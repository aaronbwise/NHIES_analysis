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Karen_Codling\Part_2\1-4_NHIES\"/>
    </mc:Choice>
  </mc:AlternateContent>
  <xr:revisionPtr revIDLastSave="0" documentId="13_ncr:1_{6301A402-30B6-4553-968E-5E6F331A215F}" xr6:coauthVersionLast="45" xr6:coauthVersionMax="45" xr10:uidLastSave="{00000000-0000-0000-0000-000000000000}"/>
  <bookViews>
    <workbookView xWindow="28680" yWindow="-120" windowWidth="29040" windowHeight="15840" activeTab="4" xr2:uid="{EE0FE10F-4EFA-7C48-BA92-27AB0DF32AA0}"/>
  </bookViews>
  <sheets>
    <sheet name="FAO" sheetId="2" r:id="rId1"/>
    <sheet name="NEWFIU" sheetId="3" r:id="rId2"/>
    <sheet name="NAB commercial" sheetId="4" r:id="rId3"/>
    <sheet name="MAWF original" sheetId="8" r:id="rId4"/>
    <sheet name="MAWF communal" sheetId="5" r:id="rId5"/>
    <sheet name="Total cereal availabilit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8" i="5" l="1"/>
  <c r="X27" i="5"/>
  <c r="X26" i="5"/>
  <c r="X25" i="5"/>
  <c r="X24" i="5"/>
  <c r="X23" i="5"/>
  <c r="X22" i="5"/>
  <c r="X18" i="5"/>
  <c r="X17" i="5"/>
  <c r="X16" i="5"/>
  <c r="X15" i="5"/>
  <c r="X14" i="5"/>
  <c r="X13" i="5"/>
  <c r="X19" i="5" s="1"/>
  <c r="X10" i="5"/>
  <c r="X5" i="5"/>
  <c r="X6" i="5"/>
  <c r="X7" i="5"/>
  <c r="X8" i="5"/>
  <c r="X9" i="5"/>
  <c r="X4" i="5"/>
  <c r="Y13" i="5"/>
  <c r="Y22" i="5"/>
  <c r="Y28" i="5" s="1"/>
  <c r="Y23" i="5"/>
  <c r="Y24" i="5"/>
  <c r="Y25" i="5"/>
  <c r="Y26" i="5"/>
  <c r="Y27" i="5"/>
  <c r="Y14" i="5"/>
  <c r="Y15" i="5"/>
  <c r="Y16" i="5"/>
  <c r="Y17" i="5"/>
  <c r="Y18" i="5"/>
  <c r="Y5" i="5"/>
  <c r="Y6" i="5"/>
  <c r="Y7" i="5"/>
  <c r="Y8" i="5"/>
  <c r="Y9" i="5"/>
  <c r="Y4" i="5"/>
  <c r="Y10" i="5" s="1"/>
  <c r="Y19" i="5" l="1"/>
  <c r="C57" i="9" l="1"/>
  <c r="D56" i="9"/>
  <c r="E56" i="9" s="1"/>
  <c r="F56" i="9" s="1"/>
  <c r="G56" i="9" s="1"/>
  <c r="C56" i="9"/>
  <c r="C54" i="9" l="1"/>
  <c r="M33" i="9" l="1"/>
  <c r="L33" i="9"/>
  <c r="K33" i="9"/>
  <c r="J33" i="9"/>
  <c r="I33" i="9"/>
  <c r="H33" i="9"/>
  <c r="G33" i="9"/>
  <c r="F33" i="9"/>
  <c r="E33" i="9"/>
  <c r="D33" i="9"/>
  <c r="C33" i="9"/>
  <c r="E52" i="9"/>
  <c r="D52" i="9"/>
  <c r="M32" i="9" l="1"/>
  <c r="L32" i="9"/>
  <c r="K32" i="9"/>
  <c r="J32" i="9"/>
  <c r="I32" i="9"/>
  <c r="H32" i="9"/>
  <c r="G32" i="9"/>
  <c r="F32" i="9"/>
  <c r="E32" i="9"/>
  <c r="D32" i="9"/>
  <c r="C32" i="9"/>
  <c r="D54" i="2"/>
  <c r="C54" i="2"/>
  <c r="E55" i="9"/>
  <c r="F55" i="9" s="1"/>
  <c r="G55" i="9" s="1"/>
  <c r="D58" i="9"/>
  <c r="E58" i="9" s="1"/>
  <c r="F58" i="9" s="1"/>
  <c r="G58" i="9" s="1"/>
  <c r="D57" i="9"/>
  <c r="E57" i="9" s="1"/>
  <c r="F57" i="9" s="1"/>
  <c r="G57" i="9" s="1"/>
  <c r="D55" i="9"/>
  <c r="D54" i="9"/>
  <c r="E54" i="9" s="1"/>
  <c r="F54" i="9" s="1"/>
  <c r="G54" i="9" s="1"/>
  <c r="C59" i="9"/>
  <c r="C58" i="9"/>
  <c r="C55" i="9"/>
  <c r="C52" i="9"/>
  <c r="C51" i="9"/>
  <c r="L29" i="9"/>
  <c r="L28" i="9"/>
  <c r="K28" i="9"/>
  <c r="K29" i="9" s="1"/>
  <c r="J28" i="9"/>
  <c r="J29" i="9" s="1"/>
  <c r="I28" i="9"/>
  <c r="I29" i="9" s="1"/>
  <c r="H28" i="9"/>
  <c r="H29" i="9" s="1"/>
  <c r="G28" i="9"/>
  <c r="G29" i="9" s="1"/>
  <c r="F28" i="9"/>
  <c r="F29" i="9" s="1"/>
  <c r="E28" i="9"/>
  <c r="E29" i="9" s="1"/>
  <c r="D28" i="9"/>
  <c r="D29" i="9" s="1"/>
  <c r="C28" i="9"/>
  <c r="C29" i="9" s="1"/>
  <c r="M27" i="9"/>
  <c r="M28" i="9" s="1"/>
  <c r="M29" i="9" s="1"/>
  <c r="L29" i="5"/>
  <c r="L27" i="5"/>
  <c r="L26" i="5"/>
  <c r="L25" i="5"/>
  <c r="L24" i="5"/>
  <c r="L23" i="5"/>
  <c r="L22" i="5"/>
  <c r="B28" i="5"/>
  <c r="L28" i="5" s="1"/>
  <c r="K28" i="5"/>
  <c r="J28" i="5"/>
  <c r="I28" i="5"/>
  <c r="H28" i="5"/>
  <c r="G28" i="5"/>
  <c r="F28" i="5"/>
  <c r="E28" i="5"/>
  <c r="D28" i="5"/>
  <c r="C28" i="5"/>
  <c r="J22" i="9"/>
  <c r="H22" i="9"/>
  <c r="L21" i="9"/>
  <c r="L22" i="9" s="1"/>
  <c r="K21" i="9"/>
  <c r="K22" i="9" s="1"/>
  <c r="J21" i="9"/>
  <c r="I21" i="9"/>
  <c r="I22" i="9" s="1"/>
  <c r="H21" i="9"/>
  <c r="G21" i="9"/>
  <c r="G22" i="9" s="1"/>
  <c r="F21" i="9"/>
  <c r="F22" i="9" s="1"/>
  <c r="E21" i="9"/>
  <c r="E22" i="9" s="1"/>
  <c r="D21" i="9"/>
  <c r="D22" i="9" s="1"/>
  <c r="C21" i="9"/>
  <c r="C22" i="9" s="1"/>
  <c r="L15" i="9"/>
  <c r="K15" i="9"/>
  <c r="J15" i="9"/>
  <c r="I15" i="9"/>
  <c r="H15" i="9"/>
  <c r="G15" i="9"/>
  <c r="F15" i="9"/>
  <c r="E15" i="9"/>
  <c r="D15" i="9"/>
  <c r="C15" i="9"/>
  <c r="I9" i="9"/>
  <c r="L8" i="9"/>
  <c r="L9" i="9" s="1"/>
  <c r="K8" i="9"/>
  <c r="K9" i="9" s="1"/>
  <c r="J8" i="9"/>
  <c r="J9" i="9" s="1"/>
  <c r="I8" i="9"/>
  <c r="I31" i="9" s="1"/>
  <c r="H8" i="9"/>
  <c r="H9" i="9" s="1"/>
  <c r="G8" i="9"/>
  <c r="G9" i="9" s="1"/>
  <c r="F8" i="9"/>
  <c r="F9" i="9" s="1"/>
  <c r="E8" i="9"/>
  <c r="E9" i="9" s="1"/>
  <c r="D8" i="9"/>
  <c r="D9" i="9" s="1"/>
  <c r="C8" i="9"/>
  <c r="C9" i="9" s="1"/>
  <c r="M20" i="9"/>
  <c r="M7" i="9"/>
  <c r="M19" i="9"/>
  <c r="M18" i="9"/>
  <c r="M13" i="9"/>
  <c r="M12" i="9"/>
  <c r="M15" i="9" s="1"/>
  <c r="M6" i="9"/>
  <c r="M5" i="9"/>
  <c r="K19" i="5"/>
  <c r="J19" i="5"/>
  <c r="I19" i="5"/>
  <c r="H19" i="5"/>
  <c r="G19" i="5"/>
  <c r="F19" i="5"/>
  <c r="E19" i="5"/>
  <c r="D19" i="5"/>
  <c r="C19" i="5"/>
  <c r="B19" i="5"/>
  <c r="M21" i="9" l="1"/>
  <c r="M22" i="9" s="1"/>
  <c r="C31" i="9"/>
  <c r="D31" i="9"/>
  <c r="E31" i="9"/>
  <c r="G31" i="9"/>
  <c r="H31" i="9"/>
  <c r="J31" i="9"/>
  <c r="F31" i="9"/>
  <c r="K31" i="9"/>
  <c r="L31" i="9"/>
  <c r="M8" i="9"/>
  <c r="I31" i="4"/>
  <c r="E31" i="4"/>
  <c r="D31" i="4"/>
  <c r="C31" i="4"/>
  <c r="B31" i="4"/>
  <c r="J30" i="4"/>
  <c r="J31" i="4" s="1"/>
  <c r="I30" i="4"/>
  <c r="H30" i="4"/>
  <c r="H31" i="4" s="1"/>
  <c r="G30" i="4"/>
  <c r="G31" i="4" s="1"/>
  <c r="F30" i="4"/>
  <c r="F31" i="4" s="1"/>
  <c r="E30" i="4"/>
  <c r="D30" i="4"/>
  <c r="C30" i="4"/>
  <c r="B30" i="4"/>
  <c r="L22" i="4"/>
  <c r="J24" i="4"/>
  <c r="I24" i="4"/>
  <c r="H24" i="4"/>
  <c r="J23" i="4"/>
  <c r="I23" i="4"/>
  <c r="H23" i="4"/>
  <c r="G23" i="4"/>
  <c r="G24" i="4" s="1"/>
  <c r="F23" i="4"/>
  <c r="F24" i="4" s="1"/>
  <c r="E23" i="4"/>
  <c r="E24" i="4" s="1"/>
  <c r="D23" i="4"/>
  <c r="D24" i="4" s="1"/>
  <c r="C23" i="4"/>
  <c r="C24" i="4" s="1"/>
  <c r="B23" i="4"/>
  <c r="B24" i="4" s="1"/>
  <c r="M21" i="4"/>
  <c r="L21" i="4"/>
  <c r="K21" i="4"/>
  <c r="K22" i="4"/>
  <c r="L11" i="5"/>
  <c r="L20" i="5"/>
  <c r="M9" i="9" l="1"/>
  <c r="M31" i="9"/>
  <c r="K23" i="4"/>
  <c r="M23" i="4"/>
  <c r="M24" i="4" s="1"/>
  <c r="L23" i="4"/>
  <c r="L18" i="5"/>
  <c r="L17" i="5"/>
  <c r="L16" i="5"/>
  <c r="L15" i="5"/>
  <c r="L14" i="5"/>
  <c r="L4" i="5"/>
  <c r="L9" i="5"/>
  <c r="L8" i="5"/>
  <c r="L7" i="5"/>
  <c r="L6" i="5"/>
  <c r="L5" i="5"/>
  <c r="L13" i="5"/>
  <c r="K10" i="5"/>
  <c r="J10" i="5"/>
  <c r="I10" i="5"/>
  <c r="H10" i="5"/>
  <c r="G10" i="5"/>
  <c r="F10" i="5"/>
  <c r="E10" i="5"/>
  <c r="D10" i="5"/>
  <c r="C10" i="5"/>
  <c r="B10" i="5"/>
  <c r="L19" i="5" l="1"/>
  <c r="L10" i="5"/>
  <c r="L24" i="4"/>
  <c r="K24" i="4"/>
  <c r="D11" i="3"/>
  <c r="C11" i="3"/>
  <c r="B11" i="3"/>
  <c r="E10" i="3"/>
  <c r="K9" i="2"/>
  <c r="L17" i="4"/>
  <c r="L16" i="4"/>
  <c r="L11" i="4"/>
  <c r="L10" i="4"/>
  <c r="L5" i="4"/>
  <c r="L4" i="4"/>
  <c r="K4" i="4"/>
  <c r="K17" i="4"/>
  <c r="K16" i="4"/>
  <c r="D19" i="4"/>
  <c r="C19" i="4"/>
  <c r="J18" i="4"/>
  <c r="J19" i="4" s="1"/>
  <c r="I18" i="4"/>
  <c r="I19" i="4" s="1"/>
  <c r="H18" i="4"/>
  <c r="G18" i="4"/>
  <c r="G19" i="4" s="1"/>
  <c r="F18" i="4"/>
  <c r="F19" i="4" s="1"/>
  <c r="E18" i="4"/>
  <c r="E19" i="4" s="1"/>
  <c r="D18" i="4"/>
  <c r="C18" i="4"/>
  <c r="B18" i="4"/>
  <c r="B19" i="4" s="1"/>
  <c r="K11" i="4"/>
  <c r="K10" i="4"/>
  <c r="F13" i="4"/>
  <c r="J12" i="4"/>
  <c r="J13" i="4" s="1"/>
  <c r="I12" i="4"/>
  <c r="I13" i="4" s="1"/>
  <c r="H12" i="4"/>
  <c r="H13" i="4" s="1"/>
  <c r="G12" i="4"/>
  <c r="G13" i="4" s="1"/>
  <c r="F12" i="4"/>
  <c r="E12" i="4"/>
  <c r="E13" i="4" s="1"/>
  <c r="D12" i="4"/>
  <c r="D13" i="4" s="1"/>
  <c r="C12" i="4"/>
  <c r="C13" i="4" s="1"/>
  <c r="B12" i="4"/>
  <c r="B13" i="4" s="1"/>
  <c r="I7" i="4"/>
  <c r="G7" i="4"/>
  <c r="E7" i="4"/>
  <c r="B7" i="4"/>
  <c r="K5" i="4"/>
  <c r="J6" i="4"/>
  <c r="I6" i="4"/>
  <c r="H6" i="4"/>
  <c r="G6" i="4"/>
  <c r="G26" i="4" s="1"/>
  <c r="G27" i="4" s="1"/>
  <c r="F6" i="4"/>
  <c r="E6" i="4"/>
  <c r="E26" i="4" s="1"/>
  <c r="E27" i="4" s="1"/>
  <c r="D6" i="4"/>
  <c r="C6" i="4"/>
  <c r="B6" i="4"/>
  <c r="B26" i="4" s="1"/>
  <c r="B27" i="4" s="1"/>
  <c r="D7" i="4" l="1"/>
  <c r="D26" i="4"/>
  <c r="D27" i="4" s="1"/>
  <c r="C7" i="4"/>
  <c r="C26" i="4"/>
  <c r="C27" i="4" s="1"/>
  <c r="F7" i="4"/>
  <c r="F26" i="4"/>
  <c r="F27" i="4" s="1"/>
  <c r="K30" i="4"/>
  <c r="K31" i="4" s="1"/>
  <c r="H7" i="4"/>
  <c r="H26" i="4"/>
  <c r="H27" i="4" s="1"/>
  <c r="L6" i="4"/>
  <c r="J7" i="4"/>
  <c r="J26" i="4"/>
  <c r="J27" i="4" s="1"/>
  <c r="I26" i="4"/>
  <c r="I27" i="4" s="1"/>
  <c r="L12" i="4"/>
  <c r="H19" i="4"/>
  <c r="L13" i="4"/>
  <c r="L18" i="4"/>
  <c r="K18" i="4"/>
  <c r="K19" i="4" s="1"/>
  <c r="K12" i="4"/>
  <c r="K6" i="4"/>
  <c r="B18" i="2"/>
  <c r="B27" i="2"/>
  <c r="B36" i="2"/>
  <c r="B45" i="2"/>
  <c r="D9" i="3"/>
  <c r="C9" i="3"/>
  <c r="B9" i="3"/>
  <c r="E8" i="3"/>
  <c r="L7" i="4" l="1"/>
  <c r="L26" i="4"/>
  <c r="L27" i="4" s="1"/>
  <c r="K7" i="4"/>
  <c r="K26" i="4"/>
  <c r="L19" i="4"/>
  <c r="K13" i="4"/>
  <c r="J18" i="2"/>
  <c r="J27" i="2"/>
  <c r="J36" i="2"/>
  <c r="J45" i="2"/>
  <c r="G45" i="2"/>
  <c r="G36" i="2"/>
  <c r="G27" i="2"/>
  <c r="G18" i="2"/>
  <c r="J53" i="2"/>
  <c r="J52" i="2"/>
  <c r="J51" i="2"/>
  <c r="J50" i="2"/>
  <c r="J49" i="2"/>
  <c r="J48" i="2"/>
  <c r="I53" i="2"/>
  <c r="I52" i="2"/>
  <c r="I51" i="2"/>
  <c r="I50" i="2"/>
  <c r="I49" i="2"/>
  <c r="I48" i="2"/>
  <c r="G53" i="2"/>
  <c r="G52" i="2"/>
  <c r="G51" i="2"/>
  <c r="G50" i="2"/>
  <c r="G49" i="2"/>
  <c r="G48" i="2"/>
  <c r="D53" i="2"/>
  <c r="D52" i="2"/>
  <c r="D51" i="2"/>
  <c r="D50" i="2"/>
  <c r="D49" i="2"/>
  <c r="D48" i="2"/>
  <c r="C53" i="2"/>
  <c r="C52" i="2"/>
  <c r="M16" i="4" s="1"/>
  <c r="C51" i="2"/>
  <c r="M4" i="4" s="1"/>
  <c r="C50" i="2"/>
  <c r="C49" i="2"/>
  <c r="C48" i="2"/>
  <c r="M10" i="4" s="1"/>
  <c r="B53" i="2"/>
  <c r="B52" i="2"/>
  <c r="M17" i="4" s="1"/>
  <c r="B51" i="2"/>
  <c r="M5" i="4" s="1"/>
  <c r="B50" i="2"/>
  <c r="B49" i="2"/>
  <c r="B48" i="2"/>
  <c r="E44" i="2"/>
  <c r="F44" i="2" s="1"/>
  <c r="E43" i="2"/>
  <c r="F43" i="2" s="1"/>
  <c r="E42" i="2"/>
  <c r="E41" i="2"/>
  <c r="F41" i="2" s="1"/>
  <c r="E40" i="2"/>
  <c r="F40" i="2" s="1"/>
  <c r="E39" i="2"/>
  <c r="E35" i="2"/>
  <c r="F35" i="2" s="1"/>
  <c r="E34" i="2"/>
  <c r="F34" i="2" s="1"/>
  <c r="E33" i="2"/>
  <c r="F33" i="2" s="1"/>
  <c r="E32" i="2"/>
  <c r="F32" i="2" s="1"/>
  <c r="E31" i="2"/>
  <c r="F31" i="2" s="1"/>
  <c r="E30" i="2"/>
  <c r="E26" i="2"/>
  <c r="F26" i="2" s="1"/>
  <c r="E25" i="2"/>
  <c r="F25" i="2" s="1"/>
  <c r="E24" i="2"/>
  <c r="F24" i="2" s="1"/>
  <c r="E23" i="2"/>
  <c r="E22" i="2"/>
  <c r="F22" i="2" s="1"/>
  <c r="E21" i="2"/>
  <c r="E17" i="2"/>
  <c r="E16" i="2"/>
  <c r="C10" i="3" s="1"/>
  <c r="E15" i="2"/>
  <c r="E14" i="2"/>
  <c r="F14" i="2" s="1"/>
  <c r="E13" i="2"/>
  <c r="F13" i="2" s="1"/>
  <c r="E12" i="2"/>
  <c r="K28" i="4" l="1"/>
  <c r="K27" i="4"/>
  <c r="M18" i="4"/>
  <c r="M19" i="4" s="1"/>
  <c r="M11" i="4"/>
  <c r="M12" i="4" s="1"/>
  <c r="M13" i="4" s="1"/>
  <c r="B54" i="2"/>
  <c r="H25" i="2"/>
  <c r="H23" i="2"/>
  <c r="H22" i="2"/>
  <c r="H26" i="2"/>
  <c r="H24" i="2"/>
  <c r="H21" i="2"/>
  <c r="H33" i="2"/>
  <c r="H30" i="2"/>
  <c r="H32" i="2"/>
  <c r="H31" i="2"/>
  <c r="H34" i="2"/>
  <c r="H35" i="2"/>
  <c r="H51" i="2"/>
  <c r="H53" i="2"/>
  <c r="F15" i="2"/>
  <c r="B10" i="3"/>
  <c r="H44" i="2"/>
  <c r="H40" i="2"/>
  <c r="H43" i="2"/>
  <c r="H42" i="2"/>
  <c r="H39" i="2"/>
  <c r="H41" i="2"/>
  <c r="J54" i="2"/>
  <c r="H15" i="2"/>
  <c r="H13" i="2"/>
  <c r="H17" i="2"/>
  <c r="H14" i="2"/>
  <c r="H12" i="2"/>
  <c r="H16" i="2"/>
  <c r="F30" i="2"/>
  <c r="E36" i="2"/>
  <c r="F39" i="2"/>
  <c r="E45" i="2"/>
  <c r="M6" i="4"/>
  <c r="H52" i="2"/>
  <c r="D10" i="3"/>
  <c r="E18" i="2"/>
  <c r="F21" i="2"/>
  <c r="E27" i="2"/>
  <c r="E48" i="2"/>
  <c r="E50" i="2"/>
  <c r="F50" i="2" s="1"/>
  <c r="F12" i="2"/>
  <c r="G54" i="2"/>
  <c r="H50" i="2" s="1"/>
  <c r="E52" i="2"/>
  <c r="F52" i="2" s="1"/>
  <c r="F16" i="2"/>
  <c r="F23" i="2"/>
  <c r="E49" i="2"/>
  <c r="F49" i="2" s="1"/>
  <c r="E53" i="2"/>
  <c r="F53" i="2" s="1"/>
  <c r="E51" i="2"/>
  <c r="F51" i="2" s="1"/>
  <c r="F17" i="2"/>
  <c r="F42" i="2"/>
  <c r="M27" i="4" l="1"/>
  <c r="M7" i="4"/>
  <c r="H48" i="2"/>
  <c r="F48" i="2"/>
  <c r="E54" i="2"/>
  <c r="H49" i="2"/>
</calcChain>
</file>

<file path=xl/sharedStrings.xml><?xml version="1.0" encoding="utf-8"?>
<sst xmlns="http://schemas.openxmlformats.org/spreadsheetml/2006/main" count="267" uniqueCount="142">
  <si>
    <t>Wheat and products</t>
  </si>
  <si>
    <t>Rice (milled equivalent)</t>
  </si>
  <si>
    <t>Barley and products</t>
  </si>
  <si>
    <t>Maize and products</t>
  </si>
  <si>
    <t>Millet and products</t>
  </si>
  <si>
    <t>Sorghum and products</t>
  </si>
  <si>
    <t>production (1000 tons)</t>
  </si>
  <si>
    <t>imports (1000 tons)</t>
  </si>
  <si>
    <t>exports (1000 tons)</t>
  </si>
  <si>
    <t>total (1000 tons)</t>
  </si>
  <si>
    <t>domestic supply (1000 tons)</t>
  </si>
  <si>
    <t>processing (1000 tons)</t>
  </si>
  <si>
    <t>Average 2014-2017</t>
  </si>
  <si>
    <t>Total</t>
  </si>
  <si>
    <t>Percentage imported</t>
  </si>
  <si>
    <t>2013/14</t>
  </si>
  <si>
    <t xml:space="preserve">Requirements </t>
  </si>
  <si>
    <t>2014/15</t>
  </si>
  <si>
    <t xml:space="preserve"> </t>
  </si>
  <si>
    <t>Maize</t>
  </si>
  <si>
    <t>Millet/Mahangu and Sorghum</t>
  </si>
  <si>
    <t xml:space="preserve">Wheat </t>
  </si>
  <si>
    <t xml:space="preserve">Total </t>
  </si>
  <si>
    <t>domestic supply (%)</t>
  </si>
  <si>
    <t>Availability</t>
  </si>
  <si>
    <t>Total Cereals</t>
  </si>
  <si>
    <t>NEWFIU</t>
  </si>
  <si>
    <t>FAO</t>
  </si>
  <si>
    <t>Why is NEWFIU so different esp for wheat?</t>
  </si>
  <si>
    <t>NAB</t>
  </si>
  <si>
    <t>White Maize</t>
  </si>
  <si>
    <t>2010/11</t>
  </si>
  <si>
    <t>2011/12</t>
  </si>
  <si>
    <t>2012/13</t>
  </si>
  <si>
    <t>2015/16</t>
  </si>
  <si>
    <t>2016/17</t>
  </si>
  <si>
    <t>2017/18</t>
  </si>
  <si>
    <t>2018/19</t>
  </si>
  <si>
    <t>imports</t>
  </si>
  <si>
    <t>production marketed</t>
  </si>
  <si>
    <t>total</t>
  </si>
  <si>
    <t>Average</t>
  </si>
  <si>
    <t>% of imports</t>
  </si>
  <si>
    <t>Wheat</t>
  </si>
  <si>
    <t>Mahangu</t>
  </si>
  <si>
    <t>% Mahangu</t>
  </si>
  <si>
    <t xml:space="preserve">FAO </t>
  </si>
  <si>
    <t>Tons</t>
  </si>
  <si>
    <t>food supply quantity (g/c/d)</t>
  </si>
  <si>
    <t>food supply quantity (kg/capita/yr)</t>
  </si>
  <si>
    <t>FAO and NAB very different for Mahungu domestic production</t>
  </si>
  <si>
    <t>% mahangu domestically produced</t>
  </si>
  <si>
    <t>2019/20</t>
  </si>
  <si>
    <t>Source</t>
  </si>
  <si>
    <t>MAWF</t>
  </si>
  <si>
    <t>White maize</t>
  </si>
  <si>
    <t>Commercial</t>
  </si>
  <si>
    <t>Zambezi</t>
  </si>
  <si>
    <t xml:space="preserve">Kavango East and West </t>
  </si>
  <si>
    <t>Omusati</t>
  </si>
  <si>
    <t>Ohangwena</t>
  </si>
  <si>
    <t>Oshana</t>
  </si>
  <si>
    <t>Oshikoto</t>
  </si>
  <si>
    <t>Pearl millet</t>
  </si>
  <si>
    <t xml:space="preserve">No communal wheat </t>
  </si>
  <si>
    <t>Source: https://www.nab.com.na/agronomy/agronomy-statistics/#1585672377295-6a63b89c-ea10</t>
  </si>
  <si>
    <t>Communal total</t>
  </si>
  <si>
    <t xml:space="preserve">Kavango East and West regions </t>
  </si>
  <si>
    <t xml:space="preserve">Omusati region </t>
  </si>
  <si>
    <t xml:space="preserve">Ohangwena region </t>
  </si>
  <si>
    <t xml:space="preserve">Oshana region </t>
  </si>
  <si>
    <t xml:space="preserve">Oshikoto region </t>
  </si>
  <si>
    <t>Commercial areas</t>
  </si>
  <si>
    <t>7 communal regions total</t>
  </si>
  <si>
    <t>NB.</t>
  </si>
  <si>
    <t>White maize:</t>
  </si>
  <si>
    <t>NAB annual report (page 24) indicates total volumne marketed in 2018/2019 as 56,422 (42%) of which 23,823 (58%) was rain fed and 32,599 was irrigated. Above figures indicate total marketed as 58,020</t>
  </si>
  <si>
    <t xml:space="preserve">NAB annual report (page 29) figures for maize irrigated production are not the same as on page 24 </t>
  </si>
  <si>
    <t>estimated production</t>
  </si>
  <si>
    <t>Total domestic production</t>
  </si>
  <si>
    <t>https://www.nab.com.na/agronomy/agronomy-statistics/#1585672377295-6a63b89c-ea10</t>
  </si>
  <si>
    <t xml:space="preserve">Source: cereal production data sent by Matheus Ndjodhi, MAWF on 29 June 2020; (i) data on national commercial production and 7 communal regions, and (i) national production for maize commercial and communal, millet, sorghum and wheat. </t>
  </si>
  <si>
    <t>Sorghum</t>
  </si>
  <si>
    <t>Total all (mahangu estimated production)</t>
  </si>
  <si>
    <t>communal</t>
  </si>
  <si>
    <t>Total white maize</t>
  </si>
  <si>
    <t>Total wheat</t>
  </si>
  <si>
    <t>Total mahangu</t>
  </si>
  <si>
    <t>Total sorghum</t>
  </si>
  <si>
    <t>Average (2010/11-2018/19)</t>
  </si>
  <si>
    <t>commercial production</t>
  </si>
  <si>
    <t>commercial production marketed</t>
  </si>
  <si>
    <t>Source: Mahangu estimated production: page 38 NAB Annual report 2018/2019 (Source: Crop Prospect and Food Security Situation Report, MAWF)</t>
  </si>
  <si>
    <t>Mahangu:</t>
  </si>
  <si>
    <t>NAB annual report (page 38) Data for "estimated production" is equal to MAWF data on communal production</t>
  </si>
  <si>
    <t>Commercial farmers sell all that is produced so production marketed is same as amount produced</t>
  </si>
  <si>
    <t>% communal</t>
  </si>
  <si>
    <t xml:space="preserve">NB. </t>
  </si>
  <si>
    <t>Communal white maize is only grown in Zambezi and East and West Kavango</t>
  </si>
  <si>
    <t xml:space="preserve">Total all </t>
  </si>
  <si>
    <t>Get regional commercial data to see if there are regions with significantly greater proportion of communal mahangu and sorghum</t>
  </si>
  <si>
    <t>Average total</t>
  </si>
  <si>
    <t>imports maize</t>
  </si>
  <si>
    <t>communal maize</t>
  </si>
  <si>
    <t>commercial maize</t>
  </si>
  <si>
    <t>imports wheat</t>
  </si>
  <si>
    <t>commercial wheat</t>
  </si>
  <si>
    <t>imports mahangu</t>
  </si>
  <si>
    <t>communal mahangu</t>
  </si>
  <si>
    <t>communal sorghum</t>
  </si>
  <si>
    <t>Namibia population</t>
  </si>
  <si>
    <t>ton/capita</t>
  </si>
  <si>
    <t>total wheat</t>
  </si>
  <si>
    <t>total sorghum</t>
  </si>
  <si>
    <t>kg/capita</t>
  </si>
  <si>
    <t>kg/capita/day</t>
  </si>
  <si>
    <t>g/c/d</t>
  </si>
  <si>
    <t>FAO g/c/d</t>
  </si>
  <si>
    <t>Sources:</t>
  </si>
  <si>
    <t xml:space="preserve">NAB imports: </t>
  </si>
  <si>
    <t>NAB production marketed</t>
  </si>
  <si>
    <t xml:space="preserve">MAWF communal </t>
  </si>
  <si>
    <t>cereal production data sent by Matheus Ndjodhi, MAWF on 29 June 2020; (i) 7 communal regions, and (i) national summary</t>
  </si>
  <si>
    <t>% imported and commercial wheat and maize</t>
  </si>
  <si>
    <t xml:space="preserve">% imported wheat and maize </t>
  </si>
  <si>
    <t>fortifiable maize</t>
  </si>
  <si>
    <t>fortifiable mahangu</t>
  </si>
  <si>
    <t>Communal: grow for own consumption and then sell suprplus, amount marketd is not the same as amount produced. These figures are "amount produced"</t>
  </si>
  <si>
    <t>Population*</t>
  </si>
  <si>
    <t>Households*</t>
  </si>
  <si>
    <t>* Namibia Inter-censal Demographic Survey, 2016 Report</t>
  </si>
  <si>
    <r>
      <rPr>
        <sz val="11"/>
        <color theme="1"/>
        <rFont val="Calibri"/>
        <family val="2"/>
      </rPr>
      <t>ƚ</t>
    </r>
    <r>
      <rPr>
        <sz val="9.9"/>
        <color theme="1"/>
        <rFont val="Calibri"/>
        <family val="2"/>
      </rPr>
      <t xml:space="preserve"> Analysis of 2015/16 Namibia Hosehold Income and Expenditure Survey</t>
    </r>
  </si>
  <si>
    <t>HH Size*</t>
  </si>
  <si>
    <r>
      <t>Household (%) produced [crop] in the last 12 months</t>
    </r>
    <r>
      <rPr>
        <b/>
        <vertAlign val="superscript"/>
        <sz val="11"/>
        <color theme="1"/>
        <rFont val="Calibri"/>
        <family val="2"/>
      </rPr>
      <t>ƚ</t>
    </r>
  </si>
  <si>
    <t>Est. EXCESS [crop] production</t>
  </si>
  <si>
    <t>Est. TOTAL [crop] production</t>
  </si>
  <si>
    <r>
      <t>N</t>
    </r>
    <r>
      <rPr>
        <b/>
        <vertAlign val="superscript"/>
        <sz val="11"/>
        <color theme="1"/>
        <rFont val="Calibri"/>
        <family val="2"/>
        <scheme val="minor"/>
      </rPr>
      <t>ƚ</t>
    </r>
  </si>
  <si>
    <r>
      <t>Amount of [crop] the household produced in the last 12 months (mean)</t>
    </r>
    <r>
      <rPr>
        <b/>
        <vertAlign val="superscript"/>
        <sz val="10"/>
        <color theme="1"/>
        <rFont val="Calibri"/>
        <family val="2"/>
        <scheme val="minor"/>
      </rPr>
      <t>ƚ</t>
    </r>
  </si>
  <si>
    <r>
      <t>Amount of [crop] the household consumed from own production in the past 12 months</t>
    </r>
    <r>
      <rPr>
        <b/>
        <vertAlign val="superscript"/>
        <sz val="10"/>
        <color theme="1"/>
        <rFont val="Calibri"/>
        <family val="2"/>
        <scheme val="minor"/>
      </rPr>
      <t>ƚ</t>
    </r>
  </si>
  <si>
    <r>
      <t>Amount of [crop] the household gave away from own production in the past 12 months</t>
    </r>
    <r>
      <rPr>
        <b/>
        <vertAlign val="superscript"/>
        <sz val="10"/>
        <color theme="1"/>
        <rFont val="Calibri"/>
        <family val="2"/>
        <scheme val="minor"/>
      </rPr>
      <t>ƚ</t>
    </r>
  </si>
  <si>
    <r>
      <t>Amount of [crop] the household sold from own production in the past 12 months</t>
    </r>
    <r>
      <rPr>
        <b/>
        <vertAlign val="superscript"/>
        <sz val="10"/>
        <color theme="1"/>
        <rFont val="Calibri"/>
        <family val="2"/>
        <scheme val="minor"/>
      </rPr>
      <t>ƚ</t>
    </r>
  </si>
  <si>
    <r>
      <t>Amount of [crop] the household UNACCOUNTED from own production in the past 12 months</t>
    </r>
    <r>
      <rPr>
        <b/>
        <vertAlign val="superscript"/>
        <sz val="10"/>
        <color theme="1"/>
        <rFont val="Calibri"/>
        <family val="2"/>
        <scheme val="minor"/>
      </rPr>
      <t>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</si>
</sst>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8" formatCode="0.0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9.9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wrapText="1"/>
    </xf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10" fontId="0" fillId="3" borderId="0" xfId="0" applyNumberFormat="1" applyFill="1"/>
    <xf numFmtId="0" fontId="2" fillId="3" borderId="0" xfId="0" applyFont="1" applyFill="1"/>
    <xf numFmtId="3" fontId="0" fillId="0" borderId="0" xfId="0" applyNumberFormat="1"/>
    <xf numFmtId="9" fontId="0" fillId="0" borderId="0" xfId="2" applyFont="1"/>
    <xf numFmtId="164" fontId="0" fillId="0" borderId="0" xfId="1" applyNumberFormat="1" applyFont="1"/>
    <xf numFmtId="9" fontId="0" fillId="2" borderId="0" xfId="2" applyFont="1" applyFill="1"/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4" fillId="4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10" fontId="0" fillId="4" borderId="0" xfId="0" applyNumberFormat="1" applyFill="1"/>
    <xf numFmtId="9" fontId="0" fillId="4" borderId="0" xfId="2" applyFont="1" applyFill="1"/>
    <xf numFmtId="164" fontId="2" fillId="0" borderId="0" xfId="1" applyNumberFormat="1" applyFont="1"/>
    <xf numFmtId="9" fontId="2" fillId="0" borderId="0" xfId="2" applyFont="1"/>
    <xf numFmtId="164" fontId="0" fillId="0" borderId="0" xfId="0" applyNumberFormat="1"/>
    <xf numFmtId="164" fontId="0" fillId="4" borderId="0" xfId="0" applyNumberFormat="1" applyFill="1"/>
    <xf numFmtId="9" fontId="2" fillId="4" borderId="0" xfId="2" applyFont="1" applyFill="1"/>
    <xf numFmtId="164" fontId="0" fillId="3" borderId="0" xfId="1" applyNumberFormat="1" applyFont="1" applyFill="1"/>
    <xf numFmtId="9" fontId="2" fillId="3" borderId="0" xfId="2" applyFont="1" applyFill="1"/>
    <xf numFmtId="9" fontId="0" fillId="3" borderId="0" xfId="2" applyFont="1" applyFill="1"/>
    <xf numFmtId="164" fontId="2" fillId="0" borderId="0" xfId="0" applyNumberFormat="1" applyFont="1"/>
    <xf numFmtId="0" fontId="2" fillId="8" borderId="0" xfId="0" applyFont="1" applyFill="1"/>
    <xf numFmtId="0" fontId="0" fillId="8" borderId="0" xfId="0" applyFill="1"/>
    <xf numFmtId="0" fontId="0" fillId="0" borderId="0" xfId="0" applyFont="1"/>
    <xf numFmtId="0" fontId="8" fillId="0" borderId="0" xfId="0" applyFont="1" applyAlignment="1">
      <alignment vertical="center"/>
    </xf>
    <xf numFmtId="164" fontId="0" fillId="4" borderId="0" xfId="1" applyNumberFormat="1" applyFont="1" applyFill="1"/>
    <xf numFmtId="0" fontId="9" fillId="0" borderId="0" xfId="0" applyFont="1"/>
    <xf numFmtId="164" fontId="9" fillId="0" borderId="0" xfId="1" applyNumberFormat="1" applyFont="1"/>
    <xf numFmtId="164" fontId="10" fillId="0" borderId="0" xfId="1" applyNumberFormat="1" applyFont="1"/>
    <xf numFmtId="164" fontId="9" fillId="4" borderId="0" xfId="0" applyNumberFormat="1" applyFont="1" applyFill="1"/>
    <xf numFmtId="164" fontId="9" fillId="3" borderId="0" xfId="1" applyNumberFormat="1" applyFont="1" applyFill="1"/>
    <xf numFmtId="9" fontId="9" fillId="3" borderId="0" xfId="2" applyFont="1" applyFill="1"/>
    <xf numFmtId="9" fontId="9" fillId="0" borderId="0" xfId="2" applyFont="1"/>
    <xf numFmtId="9" fontId="10" fillId="0" borderId="0" xfId="2" applyFont="1"/>
    <xf numFmtId="9" fontId="2" fillId="0" borderId="0" xfId="2" applyNumberFormat="1" applyFont="1"/>
    <xf numFmtId="9" fontId="10" fillId="4" borderId="0" xfId="2" applyFont="1" applyFill="1"/>
    <xf numFmtId="164" fontId="0" fillId="4" borderId="0" xfId="0" applyNumberFormat="1" applyFont="1" applyFill="1"/>
    <xf numFmtId="0" fontId="0" fillId="4" borderId="0" xfId="0" applyFont="1" applyFill="1"/>
    <xf numFmtId="0" fontId="0" fillId="3" borderId="0" xfId="0" applyFont="1" applyFill="1"/>
    <xf numFmtId="164" fontId="2" fillId="4" borderId="0" xfId="0" applyNumberFormat="1" applyFont="1" applyFill="1"/>
    <xf numFmtId="164" fontId="2" fillId="3" borderId="0" xfId="0" applyNumberFormat="1" applyFont="1" applyFill="1"/>
    <xf numFmtId="0" fontId="7" fillId="0" borderId="0" xfId="0" applyFont="1"/>
    <xf numFmtId="164" fontId="7" fillId="0" borderId="0" xfId="1" applyNumberFormat="1" applyFont="1"/>
    <xf numFmtId="164" fontId="12" fillId="0" borderId="0" xfId="2" applyNumberFormat="1" applyFont="1"/>
    <xf numFmtId="164" fontId="7" fillId="4" borderId="0" xfId="0" applyNumberFormat="1" applyFont="1" applyFill="1"/>
    <xf numFmtId="9" fontId="7" fillId="3" borderId="0" xfId="2" applyFont="1" applyFill="1"/>
    <xf numFmtId="9" fontId="7" fillId="0" borderId="0" xfId="2" applyFont="1"/>
    <xf numFmtId="9" fontId="12" fillId="0" borderId="0" xfId="2" applyFont="1"/>
    <xf numFmtId="0" fontId="12" fillId="0" borderId="0" xfId="0" applyFont="1"/>
    <xf numFmtId="164" fontId="5" fillId="0" borderId="0" xfId="1" applyNumberFormat="1" applyFont="1" applyFill="1"/>
    <xf numFmtId="164" fontId="2" fillId="0" borderId="0" xfId="0" applyNumberFormat="1" applyFont="1" applyFill="1"/>
    <xf numFmtId="164" fontId="2" fillId="0" borderId="0" xfId="1" applyNumberFormat="1" applyFont="1" applyFill="1"/>
    <xf numFmtId="9" fontId="11" fillId="0" borderId="0" xfId="3" applyNumberFormat="1"/>
    <xf numFmtId="0" fontId="3" fillId="8" borderId="0" xfId="0" applyFont="1" applyFill="1"/>
    <xf numFmtId="1" fontId="2" fillId="8" borderId="0" xfId="0" applyNumberFormat="1" applyFont="1" applyFill="1"/>
    <xf numFmtId="0" fontId="3" fillId="2" borderId="0" xfId="0" applyFont="1" applyFill="1"/>
    <xf numFmtId="164" fontId="0" fillId="2" borderId="0" xfId="0" applyNumberFormat="1" applyFill="1"/>
    <xf numFmtId="43" fontId="0" fillId="8" borderId="0" xfId="1" applyFont="1" applyFill="1"/>
    <xf numFmtId="43" fontId="0" fillId="0" borderId="0" xfId="1" applyFont="1"/>
    <xf numFmtId="43" fontId="0" fillId="2" borderId="0" xfId="1" applyFont="1" applyFill="1"/>
    <xf numFmtId="0" fontId="3" fillId="0" borderId="0" xfId="0" applyFont="1" applyFill="1"/>
    <xf numFmtId="43" fontId="0" fillId="0" borderId="0" xfId="1" applyFont="1" applyFill="1"/>
    <xf numFmtId="0" fontId="1" fillId="0" borderId="0" xfId="0" applyFont="1"/>
    <xf numFmtId="0" fontId="14" fillId="0" borderId="0" xfId="0" applyFont="1"/>
    <xf numFmtId="0" fontId="1" fillId="0" borderId="0" xfId="0" applyFont="1" applyFill="1"/>
    <xf numFmtId="0" fontId="14" fillId="9" borderId="0" xfId="0" applyFont="1" applyFill="1"/>
    <xf numFmtId="0" fontId="1" fillId="9" borderId="0" xfId="0" applyFont="1" applyFill="1"/>
    <xf numFmtId="0" fontId="1" fillId="5" borderId="0" xfId="0" applyFont="1" applyFill="1"/>
    <xf numFmtId="164" fontId="1" fillId="5" borderId="0" xfId="1" applyNumberFormat="1" applyFont="1" applyFill="1"/>
    <xf numFmtId="164" fontId="14" fillId="5" borderId="0" xfId="0" applyNumberFormat="1" applyFont="1" applyFill="1"/>
    <xf numFmtId="0" fontId="16" fillId="5" borderId="0" xfId="0" applyFont="1" applyFill="1"/>
    <xf numFmtId="164" fontId="16" fillId="5" borderId="0" xfId="1" applyNumberFormat="1" applyFont="1" applyFill="1"/>
    <xf numFmtId="164" fontId="17" fillId="5" borderId="0" xfId="0" applyNumberFormat="1" applyFont="1" applyFill="1"/>
    <xf numFmtId="0" fontId="14" fillId="10" borderId="0" xfId="0" applyFont="1" applyFill="1"/>
    <xf numFmtId="164" fontId="1" fillId="10" borderId="0" xfId="1" applyNumberFormat="1" applyFont="1" applyFill="1"/>
    <xf numFmtId="0" fontId="1" fillId="7" borderId="0" xfId="0" applyFont="1" applyFill="1"/>
    <xf numFmtId="164" fontId="1" fillId="7" borderId="0" xfId="1" applyNumberFormat="1" applyFont="1" applyFill="1"/>
    <xf numFmtId="164" fontId="14" fillId="7" borderId="0" xfId="0" applyNumberFormat="1" applyFont="1" applyFill="1"/>
    <xf numFmtId="0" fontId="16" fillId="7" borderId="0" xfId="0" applyFont="1" applyFill="1"/>
    <xf numFmtId="164" fontId="16" fillId="7" borderId="0" xfId="1" applyNumberFormat="1" applyFont="1" applyFill="1"/>
    <xf numFmtId="164" fontId="17" fillId="7" borderId="0" xfId="1" applyNumberFormat="1" applyFont="1" applyFill="1"/>
    <xf numFmtId="164" fontId="17" fillId="7" borderId="0" xfId="0" applyNumberFormat="1" applyFont="1" applyFill="1"/>
    <xf numFmtId="0" fontId="14" fillId="11" borderId="0" xfId="0" applyFont="1" applyFill="1"/>
    <xf numFmtId="0" fontId="1" fillId="6" borderId="0" xfId="0" applyFont="1" applyFill="1"/>
    <xf numFmtId="164" fontId="1" fillId="6" borderId="0" xfId="1" applyNumberFormat="1" applyFont="1" applyFill="1"/>
    <xf numFmtId="164" fontId="14" fillId="6" borderId="0" xfId="1" applyNumberFormat="1" applyFont="1" applyFill="1"/>
    <xf numFmtId="0" fontId="16" fillId="6" borderId="0" xfId="0" applyFont="1" applyFill="1"/>
    <xf numFmtId="164" fontId="16" fillId="6" borderId="0" xfId="1" applyNumberFormat="1" applyFont="1" applyFill="1"/>
    <xf numFmtId="164" fontId="17" fillId="6" borderId="0" xfId="1" applyNumberFormat="1" applyFont="1" applyFill="1"/>
    <xf numFmtId="0" fontId="14" fillId="12" borderId="0" xfId="0" applyFont="1" applyFill="1"/>
    <xf numFmtId="164" fontId="1" fillId="12" borderId="0" xfId="1" applyNumberFormat="1" applyFont="1" applyFill="1"/>
    <xf numFmtId="0" fontId="1" fillId="8" borderId="0" xfId="0" applyFont="1" applyFill="1"/>
    <xf numFmtId="0" fontId="14" fillId="8" borderId="0" xfId="0" applyFont="1" applyFill="1"/>
    <xf numFmtId="0" fontId="1" fillId="0" borderId="0" xfId="0" applyFont="1" applyFill="1" applyAlignment="1">
      <alignment horizontal="left" vertical="top" wrapText="1"/>
    </xf>
    <xf numFmtId="0" fontId="18" fillId="0" borderId="0" xfId="0" applyFont="1"/>
    <xf numFmtId="164" fontId="1" fillId="0" borderId="0" xfId="0" applyNumberFormat="1" applyFont="1"/>
    <xf numFmtId="0" fontId="14" fillId="13" borderId="1" xfId="0" applyFont="1" applyFill="1" applyBorder="1" applyAlignment="1">
      <alignment horizontal="center" wrapText="1"/>
    </xf>
    <xf numFmtId="0" fontId="19" fillId="14" borderId="1" xfId="0" applyFont="1" applyFill="1" applyBorder="1" applyAlignment="1">
      <alignment horizontal="center" wrapText="1"/>
    </xf>
    <xf numFmtId="0" fontId="13" fillId="15" borderId="1" xfId="0" applyFont="1" applyFill="1" applyBorder="1" applyAlignment="1">
      <alignment horizontal="center"/>
    </xf>
    <xf numFmtId="0" fontId="21" fillId="0" borderId="0" xfId="0" applyFont="1" applyFill="1"/>
    <xf numFmtId="3" fontId="1" fillId="5" borderId="0" xfId="0" applyNumberFormat="1" applyFont="1" applyFill="1"/>
    <xf numFmtId="165" fontId="1" fillId="5" borderId="0" xfId="0" applyNumberFormat="1" applyFont="1" applyFill="1"/>
    <xf numFmtId="168" fontId="1" fillId="5" borderId="0" xfId="0" applyNumberFormat="1" applyFont="1" applyFill="1"/>
    <xf numFmtId="1" fontId="15" fillId="5" borderId="0" xfId="0" applyNumberFormat="1" applyFont="1" applyFill="1" applyBorder="1" applyAlignment="1">
      <alignment horizontal="center"/>
    </xf>
    <xf numFmtId="3" fontId="15" fillId="5" borderId="0" xfId="0" applyNumberFormat="1" applyFont="1" applyFill="1" applyBorder="1" applyAlignment="1">
      <alignment horizontal="right"/>
    </xf>
    <xf numFmtId="3" fontId="14" fillId="5" borderId="0" xfId="0" applyNumberFormat="1" applyFont="1" applyFill="1"/>
    <xf numFmtId="168" fontId="14" fillId="5" borderId="0" xfId="0" applyNumberFormat="1" applyFont="1" applyFill="1"/>
    <xf numFmtId="3" fontId="14" fillId="5" borderId="0" xfId="0" applyNumberFormat="1" applyFont="1" applyFill="1" applyAlignment="1">
      <alignment horizontal="right"/>
    </xf>
    <xf numFmtId="0" fontId="1" fillId="10" borderId="0" xfId="0" applyFont="1" applyFill="1"/>
    <xf numFmtId="0" fontId="1" fillId="10" borderId="0" xfId="0" applyFont="1" applyFill="1" applyBorder="1"/>
    <xf numFmtId="3" fontId="1" fillId="7" borderId="0" xfId="0" applyNumberFormat="1" applyFont="1" applyFill="1"/>
    <xf numFmtId="165" fontId="1" fillId="7" borderId="0" xfId="0" applyNumberFormat="1" applyFont="1" applyFill="1"/>
    <xf numFmtId="168" fontId="1" fillId="7" borderId="0" xfId="0" applyNumberFormat="1" applyFont="1" applyFill="1" applyBorder="1"/>
    <xf numFmtId="0" fontId="1" fillId="7" borderId="0" xfId="0" applyFont="1" applyFill="1" applyBorder="1"/>
    <xf numFmtId="3" fontId="15" fillId="7" borderId="0" xfId="0" applyNumberFormat="1" applyFont="1" applyFill="1" applyBorder="1" applyAlignment="1">
      <alignment horizontal="center"/>
    </xf>
    <xf numFmtId="3" fontId="15" fillId="7" borderId="0" xfId="0" applyNumberFormat="1" applyFont="1" applyFill="1" applyBorder="1" applyAlignment="1">
      <alignment horizontal="right"/>
    </xf>
    <xf numFmtId="3" fontId="14" fillId="7" borderId="0" xfId="0" applyNumberFormat="1" applyFont="1" applyFill="1"/>
    <xf numFmtId="168" fontId="14" fillId="7" borderId="0" xfId="0" applyNumberFormat="1" applyFont="1" applyFill="1"/>
    <xf numFmtId="3" fontId="14" fillId="7" borderId="0" xfId="0" applyNumberFormat="1" applyFont="1" applyFill="1" applyAlignment="1">
      <alignment horizontal="right"/>
    </xf>
    <xf numFmtId="0" fontId="1" fillId="11" borderId="0" xfId="0" applyFont="1" applyFill="1"/>
    <xf numFmtId="3" fontId="1" fillId="6" borderId="0" xfId="0" applyNumberFormat="1" applyFont="1" applyFill="1"/>
    <xf numFmtId="165" fontId="1" fillId="6" borderId="0" xfId="0" applyNumberFormat="1" applyFont="1" applyFill="1"/>
    <xf numFmtId="168" fontId="1" fillId="6" borderId="0" xfId="0" applyNumberFormat="1" applyFont="1" applyFill="1"/>
    <xf numFmtId="0" fontId="1" fillId="6" borderId="0" xfId="0" applyFont="1" applyFill="1" applyBorder="1"/>
    <xf numFmtId="1" fontId="15" fillId="6" borderId="0" xfId="0" applyNumberFormat="1" applyFont="1" applyFill="1" applyBorder="1" applyAlignment="1">
      <alignment horizontal="center"/>
    </xf>
    <xf numFmtId="3" fontId="15" fillId="6" borderId="0" xfId="0" applyNumberFormat="1" applyFont="1" applyFill="1" applyBorder="1" applyAlignment="1">
      <alignment horizontal="right"/>
    </xf>
    <xf numFmtId="3" fontId="14" fillId="6" borderId="0" xfId="0" applyNumberFormat="1" applyFont="1" applyFill="1"/>
    <xf numFmtId="168" fontId="14" fillId="6" borderId="0" xfId="0" applyNumberFormat="1" applyFont="1" applyFill="1"/>
    <xf numFmtId="3" fontId="14" fillId="6" borderId="0" xfId="0" applyNumberFormat="1" applyFont="1" applyFill="1" applyAlignment="1">
      <alignment horizontal="right"/>
    </xf>
    <xf numFmtId="0" fontId="19" fillId="16" borderId="1" xfId="0" applyFont="1" applyFill="1" applyBorder="1" applyAlignment="1">
      <alignment horizontal="center" wrapText="1"/>
    </xf>
    <xf numFmtId="0" fontId="14" fillId="16" borderId="1" xfId="0" applyFont="1" applyFill="1" applyBorder="1" applyAlignment="1">
      <alignment horizont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Maize Production (2015/16)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MAWF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'MAWF communal'!$A$4:$A$9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communal'!$G$4:$G$9</c:f>
              <c:numCache>
                <c:formatCode>_(* #,##0_);_(* \(#,##0\);_(* "-"??_);_(@_)</c:formatCode>
                <c:ptCount val="6"/>
                <c:pt idx="0">
                  <c:v>1021</c:v>
                </c:pt>
                <c:pt idx="1">
                  <c:v>185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D-48AF-9688-508098A51FBD}"/>
            </c:ext>
          </c:extLst>
        </c:ser>
        <c:ser>
          <c:idx val="1"/>
          <c:order val="1"/>
          <c:tx>
            <c:v>NHIES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'MAWF communal'!$A$4:$A$9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communal'!$Y$4:$Y$9</c:f>
              <c:numCache>
                <c:formatCode>#,##0</c:formatCode>
                <c:ptCount val="6"/>
                <c:pt idx="0">
                  <c:v>2682.711681162677</c:v>
                </c:pt>
                <c:pt idx="1">
                  <c:v>930.41509579285389</c:v>
                </c:pt>
                <c:pt idx="2">
                  <c:v>2408.337377478947</c:v>
                </c:pt>
                <c:pt idx="3">
                  <c:v>27.813234473785336</c:v>
                </c:pt>
                <c:pt idx="4">
                  <c:v>6.8075508255724397</c:v>
                </c:pt>
                <c:pt idx="5">
                  <c:v>106.61318769389975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D-48AF-9688-508098A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56601023"/>
        <c:axId val="83156483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Average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'MAWF communal'!$L$4:$L$9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  <c:pt idx="0">
                        <c:v>3844.9</c:v>
                      </c:pt>
                      <c:pt idx="1">
                        <c:v>468.9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CBD-48AF-9688-508098A51FBD}"/>
                  </c:ext>
                </c:extLst>
              </c15:ser>
            </c15:filteredBarSeries>
          </c:ext>
        </c:extLst>
      </c:barChart>
      <c:catAx>
        <c:axId val="55660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564831"/>
        <c:crosses val="autoZero"/>
        <c:auto val="1"/>
        <c:lblAlgn val="ctr"/>
        <c:lblOffset val="100"/>
        <c:noMultiLvlLbl val="0"/>
      </c:catAx>
      <c:valAx>
        <c:axId val="8315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0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Millet Production (2015/16)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MAWF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'MAWF communal'!$A$13:$A$18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communal'!$G$13:$G$18</c:f>
              <c:numCache>
                <c:formatCode>_(* #,##0_);_(* \(#,##0\);_(* "-"??_);_(@_)</c:formatCode>
                <c:ptCount val="6"/>
                <c:pt idx="0">
                  <c:v>328</c:v>
                </c:pt>
                <c:pt idx="1">
                  <c:v>1541</c:v>
                </c:pt>
                <c:pt idx="2">
                  <c:v>4627</c:v>
                </c:pt>
                <c:pt idx="3">
                  <c:v>3952</c:v>
                </c:pt>
                <c:pt idx="4">
                  <c:v>2115</c:v>
                </c:pt>
                <c:pt idx="5">
                  <c:v>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4-4968-A35E-F2A999C155BF}"/>
            </c:ext>
          </c:extLst>
        </c:ser>
        <c:ser>
          <c:idx val="1"/>
          <c:order val="1"/>
          <c:tx>
            <c:v>NHIES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'MAWF communal'!$A$13:$A$18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communal'!$Y$13:$Y$18</c:f>
              <c:numCache>
                <c:formatCode>#,##0</c:formatCode>
                <c:ptCount val="6"/>
                <c:pt idx="0">
                  <c:v>34.150938510952656</c:v>
                </c:pt>
                <c:pt idx="1">
                  <c:v>1863.2392677422736</c:v>
                </c:pt>
                <c:pt idx="2">
                  <c:v>6089.1518133750324</c:v>
                </c:pt>
                <c:pt idx="3">
                  <c:v>4805.8969385143937</c:v>
                </c:pt>
                <c:pt idx="4">
                  <c:v>1911.4192389030843</c:v>
                </c:pt>
                <c:pt idx="5">
                  <c:v>2622.2834673323032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4-4968-A35E-F2A999C1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773375"/>
        <c:axId val="56408772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Average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'MAWF communal'!$L$13:$L$18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  <c:pt idx="0">
                        <c:v>672.8</c:v>
                      </c:pt>
                      <c:pt idx="1">
                        <c:v>3325</c:v>
                      </c:pt>
                      <c:pt idx="2">
                        <c:v>9519.5</c:v>
                      </c:pt>
                      <c:pt idx="3">
                        <c:v>8271</c:v>
                      </c:pt>
                      <c:pt idx="4">
                        <c:v>7323.4</c:v>
                      </c:pt>
                      <c:pt idx="5">
                        <c:v>15075.7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6E4-4968-A35E-F2A999C155BF}"/>
                  </c:ext>
                </c:extLst>
              </c15:ser>
            </c15:filteredBarSeries>
          </c:ext>
        </c:extLst>
      </c:barChart>
      <c:catAx>
        <c:axId val="4947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87727"/>
        <c:crosses val="autoZero"/>
        <c:auto val="1"/>
        <c:lblAlgn val="ctr"/>
        <c:lblOffset val="100"/>
        <c:noMultiLvlLbl val="0"/>
      </c:catAx>
      <c:valAx>
        <c:axId val="56408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Sorghum Production (2015/16)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MAWF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'MAWF communal'!$A$22:$A$27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communal'!$G$22:$G$27</c:f>
              <c:numCache>
                <c:formatCode>_(* #,##0_);_(* \(#,##0\);_(* "-"??_);_(@_)</c:formatCode>
                <c:ptCount val="6"/>
                <c:pt idx="0">
                  <c:v>718</c:v>
                </c:pt>
                <c:pt idx="1">
                  <c:v>117</c:v>
                </c:pt>
                <c:pt idx="2">
                  <c:v>107</c:v>
                </c:pt>
                <c:pt idx="3">
                  <c:v>273</c:v>
                </c:pt>
                <c:pt idx="4">
                  <c:v>108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F-47FA-9CF7-F21F74ABAC72}"/>
            </c:ext>
          </c:extLst>
        </c:ser>
        <c:ser>
          <c:idx val="1"/>
          <c:order val="1"/>
          <c:tx>
            <c:v>NHIES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'MAWF communal'!$A$22:$A$27</c:f>
              <c:strCache>
                <c:ptCount val="6"/>
                <c:pt idx="0">
                  <c:v>Zambezi</c:v>
                </c:pt>
                <c:pt idx="1">
                  <c:v>Kavango East and West </c:v>
                </c:pt>
                <c:pt idx="2">
                  <c:v>Omusati</c:v>
                </c:pt>
                <c:pt idx="3">
                  <c:v>Ohangwena</c:v>
                </c:pt>
                <c:pt idx="4">
                  <c:v>Oshana</c:v>
                </c:pt>
                <c:pt idx="5">
                  <c:v>Oshikoto</c:v>
                </c:pt>
              </c:strCache>
            </c:strRef>
          </c:cat>
          <c:val>
            <c:numRef>
              <c:f>'MAWF communal'!$Y$22:$Y$27</c:f>
              <c:numCache>
                <c:formatCode>#,##0</c:formatCode>
                <c:ptCount val="6"/>
                <c:pt idx="0">
                  <c:v>7.2677677653306052</c:v>
                </c:pt>
                <c:pt idx="1">
                  <c:v>77.391193542817874</c:v>
                </c:pt>
                <c:pt idx="2">
                  <c:v>336.57484109302897</c:v>
                </c:pt>
                <c:pt idx="3">
                  <c:v>78.585357578689752</c:v>
                </c:pt>
                <c:pt idx="4">
                  <c:v>191.89860842850103</c:v>
                </c:pt>
                <c:pt idx="5">
                  <c:v>69.643208727111855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F-47FA-9CF7-F21F74ABA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575791"/>
        <c:axId val="831561919"/>
      </c:barChart>
      <c:catAx>
        <c:axId val="93257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561919"/>
        <c:crosses val="autoZero"/>
        <c:auto val="1"/>
        <c:lblAlgn val="ctr"/>
        <c:lblOffset val="100"/>
        <c:noMultiLvlLbl val="0"/>
      </c:catAx>
      <c:valAx>
        <c:axId val="83156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7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Cereal availability Average 2010-2019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C-C947-B25F-734EC706DDD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C-C947-B25F-734EC706DDD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C-C947-B25F-734EC706DDD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C-C947-B25F-734EC706DDD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C-C947-B25F-734EC706DDD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7C-C947-B25F-734EC706DDD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7C-C947-B25F-734EC706DDD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7C-C947-B25F-734EC706DD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cereal availability'!$B$44:$B$51</c:f>
              <c:strCache>
                <c:ptCount val="8"/>
                <c:pt idx="0">
                  <c:v>imports maize</c:v>
                </c:pt>
                <c:pt idx="1">
                  <c:v>commercial maize</c:v>
                </c:pt>
                <c:pt idx="2">
                  <c:v>communal maize</c:v>
                </c:pt>
                <c:pt idx="3">
                  <c:v>imports wheat</c:v>
                </c:pt>
                <c:pt idx="4">
                  <c:v>commercial wheat</c:v>
                </c:pt>
                <c:pt idx="5">
                  <c:v>imports mahangu</c:v>
                </c:pt>
                <c:pt idx="6">
                  <c:v>communal mahangu</c:v>
                </c:pt>
                <c:pt idx="7">
                  <c:v>communal sorghum</c:v>
                </c:pt>
              </c:strCache>
            </c:strRef>
          </c:cat>
          <c:val>
            <c:numRef>
              <c:f>'Total cereal availability'!$C$44:$C$51</c:f>
              <c:numCache>
                <c:formatCode>_(* #,##0.00_);_(* \(#,##0.00\);_(* "-"??_);_(@_)</c:formatCode>
                <c:ptCount val="8"/>
                <c:pt idx="0">
                  <c:v>92876.555555555562</c:v>
                </c:pt>
                <c:pt idx="1">
                  <c:v>56363.777777777781</c:v>
                </c:pt>
                <c:pt idx="2">
                  <c:v>4313.8</c:v>
                </c:pt>
                <c:pt idx="3">
                  <c:v>96165.555555555562</c:v>
                </c:pt>
                <c:pt idx="4">
                  <c:v>10589.222222222223</c:v>
                </c:pt>
                <c:pt idx="5">
                  <c:v>3512.3333333333335</c:v>
                </c:pt>
                <c:pt idx="6">
                  <c:v>44187.4</c:v>
                </c:pt>
                <c:pt idx="7">
                  <c:v>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6-144B-86A9-7D5749D1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22</xdr:col>
      <xdr:colOff>231775</xdr:colOff>
      <xdr:row>15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46429-9989-FF49-9A66-C5D58009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5900"/>
          <a:ext cx="18392775" cy="28829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758825</xdr:colOff>
      <xdr:row>17</xdr:row>
      <xdr:rowOff>19050</xdr:rowOff>
    </xdr:from>
    <xdr:to>
      <xdr:col>13</xdr:col>
      <xdr:colOff>114300</xdr:colOff>
      <xdr:row>43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7F105C-A12F-394A-89C7-7F9599FC405A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06950" y="3419475"/>
          <a:ext cx="5832475" cy="520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12</xdr:col>
      <xdr:colOff>371475</xdr:colOff>
      <xdr:row>69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A59C74-1AD1-E94C-A8CB-AD77B3278419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53000" y="9144000"/>
          <a:ext cx="5324475" cy="4972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12</xdr:col>
      <xdr:colOff>190500</xdr:colOff>
      <xdr:row>96</xdr:row>
      <xdr:rowOff>155575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BC78FF-D90F-F849-A708-3A04EAA24C09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53000" y="14833600"/>
          <a:ext cx="5143500" cy="482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12</xdr:col>
      <xdr:colOff>666750</xdr:colOff>
      <xdr:row>124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7142F9-ED9D-0648-AAC1-E58E2178C1B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53000" y="20320000"/>
          <a:ext cx="5619750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12</xdr:col>
      <xdr:colOff>428625</xdr:colOff>
      <xdr:row>151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EB0DDD-3056-0A44-A2BF-AC002731EA0A}"/>
            </a:ext>
          </a:extLst>
        </xdr:cNvPr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53000" y="25806400"/>
          <a:ext cx="5381625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154</xdr:row>
      <xdr:rowOff>0</xdr:rowOff>
    </xdr:from>
    <xdr:to>
      <xdr:col>12</xdr:col>
      <xdr:colOff>333375</xdr:colOff>
      <xdr:row>178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BD3438-32C7-DF41-8BEF-68BCED976BFF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53000" y="31292800"/>
          <a:ext cx="5286375" cy="492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12</xdr:col>
      <xdr:colOff>400050</xdr:colOff>
      <xdr:row>205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D42588-FF11-F64B-8E12-80D0B42B422A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53000" y="36779200"/>
          <a:ext cx="5353050" cy="500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52916</xdr:colOff>
      <xdr:row>1</xdr:row>
      <xdr:rowOff>35984</xdr:rowOff>
    </xdr:from>
    <xdr:to>
      <xdr:col>31</xdr:col>
      <xdr:colOff>547157</xdr:colOff>
      <xdr:row>8</xdr:row>
      <xdr:rowOff>140759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B5E4D8-8164-4070-9352-9EAF54F2E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804334</xdr:colOff>
      <xdr:row>9</xdr:row>
      <xdr:rowOff>70909</xdr:rowOff>
    </xdr:from>
    <xdr:to>
      <xdr:col>31</xdr:col>
      <xdr:colOff>490009</xdr:colOff>
      <xdr:row>24</xdr:row>
      <xdr:rowOff>109009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F042B4-6E2B-42C7-8362-D6EF25A56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3175</xdr:colOff>
      <xdr:row>25</xdr:row>
      <xdr:rowOff>60326</xdr:rowOff>
    </xdr:from>
    <xdr:to>
      <xdr:col>31</xdr:col>
      <xdr:colOff>500591</xdr:colOff>
      <xdr:row>40</xdr:row>
      <xdr:rowOff>98426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2485B8-FF18-42B4-A5A0-9EDD8714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317500</xdr:colOff>
      <xdr:row>4</xdr:row>
      <xdr:rowOff>158750</xdr:rowOff>
    </xdr:from>
    <xdr:to>
      <xdr:col>20</xdr:col>
      <xdr:colOff>393700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4BC16-71D8-304E-B5E2-F6887DAE1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nab.com.na/agronomy/agronomy-statistics/" TargetMode="External"/><Relationship Id="rId1" Type="http://schemas.openxmlformats.org/officeDocument/2006/relationships/hyperlink" Target="https://www.nab.com.na/agronomy/agronomy-stat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7A93-53F7-8041-94B7-F5AA9C6DEE6B}">
  <dimension ref="A1:K54"/>
  <sheetViews>
    <sheetView zoomScale="91" zoomScaleNormal="92" workbookViewId="0">
      <selection activeCell="A25" sqref="A25:XFD25"/>
    </sheetView>
  </sheetViews>
  <sheetFormatPr defaultColWidth="10.6640625" defaultRowHeight="15.5" x14ac:dyDescent="0.35"/>
  <cols>
    <col min="1" max="1" width="21.83203125" customWidth="1"/>
    <col min="2" max="4" width="10.83203125" style="9" customWidth="1"/>
    <col min="5" max="5" width="10.83203125" style="11" customWidth="1"/>
    <col min="6" max="6" width="10.83203125" style="9" customWidth="1"/>
    <col min="7" max="8" width="10.83203125" style="5" customWidth="1"/>
    <col min="9" max="9" width="10.83203125" customWidth="1"/>
  </cols>
  <sheetData>
    <row r="1" spans="1:11" ht="62" x14ac:dyDescent="0.35">
      <c r="B1" s="8" t="s">
        <v>6</v>
      </c>
      <c r="C1" s="8" t="s">
        <v>7</v>
      </c>
      <c r="D1" s="8" t="s">
        <v>8</v>
      </c>
      <c r="E1" s="17" t="s">
        <v>9</v>
      </c>
      <c r="F1" s="8" t="s">
        <v>14</v>
      </c>
      <c r="G1" s="4" t="s">
        <v>10</v>
      </c>
      <c r="H1" s="4" t="s">
        <v>23</v>
      </c>
      <c r="I1" s="1" t="s">
        <v>11</v>
      </c>
      <c r="J1" s="1" t="s">
        <v>49</v>
      </c>
      <c r="K1" s="1" t="s">
        <v>48</v>
      </c>
    </row>
    <row r="2" spans="1:11" x14ac:dyDescent="0.35">
      <c r="A2">
        <v>2013</v>
      </c>
      <c r="B2" s="8"/>
      <c r="C2" s="8"/>
      <c r="D2" s="8"/>
      <c r="E2" s="17"/>
      <c r="F2" s="8"/>
      <c r="G2" s="4"/>
      <c r="H2" s="4"/>
      <c r="I2" s="1"/>
      <c r="J2" s="1"/>
    </row>
    <row r="3" spans="1:11" x14ac:dyDescent="0.35">
      <c r="A3" t="s">
        <v>0</v>
      </c>
      <c r="B3" s="8"/>
      <c r="C3" s="8"/>
      <c r="D3" s="8"/>
      <c r="E3" s="17"/>
      <c r="F3" s="8"/>
      <c r="G3" s="4"/>
      <c r="H3" s="4"/>
      <c r="I3" s="1"/>
      <c r="J3" s="1"/>
      <c r="K3">
        <v>99.35</v>
      </c>
    </row>
    <row r="4" spans="1:11" x14ac:dyDescent="0.35">
      <c r="A4" t="s">
        <v>1</v>
      </c>
      <c r="B4" s="8"/>
      <c r="C4" s="8"/>
      <c r="D4" s="8"/>
      <c r="E4" s="17"/>
      <c r="F4" s="8"/>
      <c r="G4" s="4"/>
      <c r="H4" s="4"/>
      <c r="I4" s="1"/>
      <c r="J4" s="1"/>
      <c r="K4">
        <v>17.29</v>
      </c>
    </row>
    <row r="5" spans="1:11" x14ac:dyDescent="0.35">
      <c r="A5" t="s">
        <v>2</v>
      </c>
      <c r="B5" s="8"/>
      <c r="C5" s="8"/>
      <c r="D5" s="8"/>
      <c r="E5" s="17"/>
      <c r="F5" s="8"/>
      <c r="G5" s="4"/>
      <c r="H5" s="4"/>
      <c r="I5" s="1"/>
      <c r="J5" s="1"/>
      <c r="K5">
        <v>0</v>
      </c>
    </row>
    <row r="6" spans="1:11" x14ac:dyDescent="0.35">
      <c r="A6" t="s">
        <v>3</v>
      </c>
      <c r="B6" s="8"/>
      <c r="C6" s="8"/>
      <c r="D6" s="8"/>
      <c r="E6" s="17"/>
      <c r="F6" s="8"/>
      <c r="G6" s="4"/>
      <c r="H6" s="4"/>
      <c r="I6" s="1"/>
      <c r="J6" s="1"/>
      <c r="K6">
        <v>118.93</v>
      </c>
    </row>
    <row r="7" spans="1:11" x14ac:dyDescent="0.35">
      <c r="A7" t="s">
        <v>4</v>
      </c>
      <c r="B7" s="8"/>
      <c r="C7" s="8"/>
      <c r="D7" s="8"/>
      <c r="E7" s="17"/>
      <c r="F7" s="8"/>
      <c r="G7" s="4"/>
      <c r="H7" s="4"/>
      <c r="I7" s="1"/>
      <c r="J7" s="1"/>
      <c r="K7">
        <v>40.29</v>
      </c>
    </row>
    <row r="8" spans="1:11" x14ac:dyDescent="0.35">
      <c r="A8" t="s">
        <v>5</v>
      </c>
      <c r="B8" s="8"/>
      <c r="C8" s="8"/>
      <c r="D8" s="8"/>
      <c r="E8" s="17"/>
      <c r="F8" s="8"/>
      <c r="G8" s="4"/>
      <c r="H8" s="4"/>
      <c r="I8" s="1"/>
      <c r="J8" s="1"/>
      <c r="K8">
        <v>6.66</v>
      </c>
    </row>
    <row r="9" spans="1:11" x14ac:dyDescent="0.35">
      <c r="A9" s="6" t="s">
        <v>13</v>
      </c>
      <c r="B9" s="8"/>
      <c r="C9" s="8"/>
      <c r="D9" s="8"/>
      <c r="E9" s="17"/>
      <c r="F9" s="8"/>
      <c r="G9" s="4"/>
      <c r="H9" s="4"/>
      <c r="I9" s="1"/>
      <c r="J9" s="1"/>
      <c r="K9" s="6">
        <f>SUM(K3:K8)</f>
        <v>282.52000000000004</v>
      </c>
    </row>
    <row r="10" spans="1:11" x14ac:dyDescent="0.35">
      <c r="B10" s="8"/>
      <c r="C10" s="8"/>
      <c r="D10" s="8"/>
      <c r="E10" s="17"/>
      <c r="F10" s="8"/>
      <c r="G10" s="4"/>
      <c r="H10" s="4"/>
      <c r="I10" s="1"/>
      <c r="J10" s="1"/>
    </row>
    <row r="11" spans="1:11" x14ac:dyDescent="0.35">
      <c r="A11">
        <v>2014</v>
      </c>
      <c r="B11" s="8"/>
      <c r="C11" s="8"/>
      <c r="D11" s="8"/>
      <c r="E11" s="17"/>
      <c r="F11" s="8"/>
      <c r="G11" s="4"/>
      <c r="H11" s="4"/>
      <c r="I11" s="1"/>
      <c r="J11" s="1"/>
    </row>
    <row r="12" spans="1:11" x14ac:dyDescent="0.35">
      <c r="A12" t="s">
        <v>0</v>
      </c>
      <c r="B12" s="9">
        <v>10</v>
      </c>
      <c r="C12" s="9">
        <v>118</v>
      </c>
      <c r="D12" s="9">
        <v>5</v>
      </c>
      <c r="E12" s="11">
        <f>(B12+C12)-D12</f>
        <v>123</v>
      </c>
      <c r="F12" s="10">
        <f>C12/E12</f>
        <v>0.95934959349593496</v>
      </c>
      <c r="G12" s="5">
        <v>118</v>
      </c>
      <c r="H12" s="15">
        <f>G12/$G$18</f>
        <v>0.34402332361516036</v>
      </c>
      <c r="J12">
        <v>40.19</v>
      </c>
    </row>
    <row r="13" spans="1:11" x14ac:dyDescent="0.35">
      <c r="A13" t="s">
        <v>1</v>
      </c>
      <c r="B13" s="9">
        <v>0</v>
      </c>
      <c r="C13" s="9">
        <v>21</v>
      </c>
      <c r="D13" s="9">
        <v>0</v>
      </c>
      <c r="E13" s="11">
        <f t="shared" ref="E13:E17" si="0">(B13+C13)-D13</f>
        <v>21</v>
      </c>
      <c r="F13" s="10">
        <f t="shared" ref="F13:F17" si="1">C13/E13</f>
        <v>1</v>
      </c>
      <c r="G13" s="5">
        <v>19</v>
      </c>
      <c r="H13" s="15">
        <f t="shared" ref="H13:H17" si="2">G13/$G$18</f>
        <v>5.5393586005830907E-2</v>
      </c>
      <c r="J13">
        <v>7.86</v>
      </c>
    </row>
    <row r="14" spans="1:11" x14ac:dyDescent="0.35">
      <c r="A14" t="s">
        <v>2</v>
      </c>
      <c r="B14" s="9">
        <v>0</v>
      </c>
      <c r="C14" s="9">
        <v>27</v>
      </c>
      <c r="D14" s="9">
        <v>1</v>
      </c>
      <c r="E14" s="11">
        <f t="shared" si="0"/>
        <v>26</v>
      </c>
      <c r="F14" s="10">
        <f t="shared" si="1"/>
        <v>1.0384615384615385</v>
      </c>
      <c r="H14" s="15">
        <f t="shared" si="2"/>
        <v>0</v>
      </c>
      <c r="I14">
        <v>39</v>
      </c>
    </row>
    <row r="15" spans="1:11" x14ac:dyDescent="0.35">
      <c r="A15" t="s">
        <v>3</v>
      </c>
      <c r="B15" s="9">
        <v>56</v>
      </c>
      <c r="C15" s="9">
        <v>106</v>
      </c>
      <c r="D15" s="9">
        <v>6</v>
      </c>
      <c r="E15" s="11">
        <f t="shared" si="0"/>
        <v>156</v>
      </c>
      <c r="F15" s="10">
        <f t="shared" si="1"/>
        <v>0.67948717948717952</v>
      </c>
      <c r="G15" s="5">
        <v>158</v>
      </c>
      <c r="H15" s="15">
        <f t="shared" si="2"/>
        <v>0.46064139941690962</v>
      </c>
      <c r="J15">
        <v>44.05</v>
      </c>
    </row>
    <row r="16" spans="1:11" x14ac:dyDescent="0.35">
      <c r="A16" t="s">
        <v>4</v>
      </c>
      <c r="B16" s="9">
        <v>37</v>
      </c>
      <c r="C16" s="9">
        <v>4</v>
      </c>
      <c r="D16" s="9">
        <v>0</v>
      </c>
      <c r="E16" s="11">
        <f t="shared" si="0"/>
        <v>41</v>
      </c>
      <c r="F16" s="10">
        <f t="shared" si="1"/>
        <v>9.7560975609756101E-2</v>
      </c>
      <c r="G16" s="5">
        <v>41</v>
      </c>
      <c r="H16" s="15">
        <f t="shared" si="2"/>
        <v>0.119533527696793</v>
      </c>
      <c r="J16">
        <v>15.38</v>
      </c>
    </row>
    <row r="17" spans="1:10" x14ac:dyDescent="0.35">
      <c r="A17" t="s">
        <v>5</v>
      </c>
      <c r="B17" s="9">
        <v>9</v>
      </c>
      <c r="C17" s="9">
        <v>0</v>
      </c>
      <c r="D17" s="9">
        <v>0</v>
      </c>
      <c r="E17" s="11">
        <f t="shared" si="0"/>
        <v>9</v>
      </c>
      <c r="F17" s="10">
        <f t="shared" si="1"/>
        <v>0</v>
      </c>
      <c r="G17" s="5">
        <v>7</v>
      </c>
      <c r="H17" s="15">
        <f t="shared" si="2"/>
        <v>2.0408163265306121E-2</v>
      </c>
      <c r="I17">
        <v>1</v>
      </c>
      <c r="J17">
        <v>2.34</v>
      </c>
    </row>
    <row r="18" spans="1:10" s="6" customFormat="1" x14ac:dyDescent="0.35">
      <c r="A18" s="6" t="s">
        <v>13</v>
      </c>
      <c r="B18" s="11">
        <f>SUM(B12:B17)</f>
        <v>112</v>
      </c>
      <c r="C18" s="11"/>
      <c r="D18" s="11"/>
      <c r="E18" s="11">
        <f>SUM(E12:E17)</f>
        <v>376</v>
      </c>
      <c r="F18" s="11"/>
      <c r="G18" s="7">
        <f>SUM(G12:G17)</f>
        <v>343</v>
      </c>
      <c r="H18" s="7" t="s">
        <v>18</v>
      </c>
      <c r="J18" s="6">
        <f>SUM(J12:J17)</f>
        <v>109.82</v>
      </c>
    </row>
    <row r="20" spans="1:10" x14ac:dyDescent="0.35">
      <c r="A20">
        <v>2015</v>
      </c>
    </row>
    <row r="21" spans="1:10" x14ac:dyDescent="0.35">
      <c r="A21" t="s">
        <v>0</v>
      </c>
      <c r="B21" s="9">
        <v>12</v>
      </c>
      <c r="C21" s="9">
        <v>131</v>
      </c>
      <c r="D21" s="9">
        <v>12</v>
      </c>
      <c r="E21" s="11">
        <f t="shared" ref="E21:E26" si="3">(B21+C21)-D21</f>
        <v>131</v>
      </c>
      <c r="F21" s="10">
        <f t="shared" ref="F21:F26" si="4">C21/E21</f>
        <v>1</v>
      </c>
      <c r="G21" s="5">
        <v>105</v>
      </c>
      <c r="H21" s="15">
        <f>G21/$G$27</f>
        <v>0.26315789473684209</v>
      </c>
      <c r="J21">
        <v>42.6</v>
      </c>
    </row>
    <row r="22" spans="1:10" x14ac:dyDescent="0.35">
      <c r="A22" t="s">
        <v>1</v>
      </c>
      <c r="B22" s="9">
        <v>0</v>
      </c>
      <c r="C22" s="9">
        <v>26</v>
      </c>
      <c r="D22" s="9">
        <v>0</v>
      </c>
      <c r="E22" s="11">
        <f t="shared" si="3"/>
        <v>26</v>
      </c>
      <c r="F22" s="10">
        <f t="shared" si="4"/>
        <v>1</v>
      </c>
      <c r="G22" s="5">
        <v>20</v>
      </c>
      <c r="H22" s="15">
        <f t="shared" ref="H22:H26" si="5">G22/$G$27</f>
        <v>5.0125313283208017E-2</v>
      </c>
      <c r="J22">
        <v>8.33</v>
      </c>
    </row>
    <row r="23" spans="1:10" x14ac:dyDescent="0.35">
      <c r="A23" t="s">
        <v>2</v>
      </c>
      <c r="B23" s="9">
        <v>0</v>
      </c>
      <c r="C23" s="9">
        <v>42</v>
      </c>
      <c r="D23" s="9">
        <v>15</v>
      </c>
      <c r="E23" s="11">
        <f t="shared" si="3"/>
        <v>27</v>
      </c>
      <c r="F23" s="10">
        <f t="shared" si="4"/>
        <v>1.5555555555555556</v>
      </c>
      <c r="G23" s="5">
        <v>27</v>
      </c>
      <c r="H23" s="15">
        <f t="shared" si="5"/>
        <v>6.7669172932330823E-2</v>
      </c>
      <c r="I23">
        <v>39</v>
      </c>
    </row>
    <row r="24" spans="1:10" x14ac:dyDescent="0.35">
      <c r="A24" t="s">
        <v>3</v>
      </c>
      <c r="B24" s="9">
        <v>60</v>
      </c>
      <c r="C24" s="9">
        <v>144</v>
      </c>
      <c r="D24" s="9">
        <v>1</v>
      </c>
      <c r="E24" s="11">
        <f t="shared" si="3"/>
        <v>203</v>
      </c>
      <c r="F24" s="10">
        <f t="shared" si="4"/>
        <v>0.70935960591133007</v>
      </c>
      <c r="G24" s="5">
        <v>193</v>
      </c>
      <c r="H24" s="15">
        <f t="shared" si="5"/>
        <v>0.48370927318295737</v>
      </c>
      <c r="J24">
        <v>46.05</v>
      </c>
    </row>
    <row r="25" spans="1:10" x14ac:dyDescent="0.35">
      <c r="A25" t="s">
        <v>4</v>
      </c>
      <c r="B25" s="9">
        <v>46</v>
      </c>
      <c r="C25" s="9">
        <v>5</v>
      </c>
      <c r="E25" s="11">
        <f t="shared" si="3"/>
        <v>51</v>
      </c>
      <c r="F25" s="10">
        <f t="shared" si="4"/>
        <v>9.8039215686274508E-2</v>
      </c>
      <c r="G25" s="5">
        <v>48</v>
      </c>
      <c r="H25" s="15">
        <f t="shared" si="5"/>
        <v>0.12030075187969924</v>
      </c>
      <c r="J25">
        <v>17.25</v>
      </c>
    </row>
    <row r="26" spans="1:10" x14ac:dyDescent="0.35">
      <c r="A26" t="s">
        <v>5</v>
      </c>
      <c r="B26" s="9">
        <v>7</v>
      </c>
      <c r="C26" s="9">
        <v>0</v>
      </c>
      <c r="D26" s="9">
        <v>0</v>
      </c>
      <c r="E26" s="11">
        <f t="shared" si="3"/>
        <v>7</v>
      </c>
      <c r="F26" s="10">
        <f t="shared" si="4"/>
        <v>0</v>
      </c>
      <c r="G26" s="5">
        <v>6</v>
      </c>
      <c r="H26" s="15">
        <f t="shared" si="5"/>
        <v>1.5037593984962405E-2</v>
      </c>
      <c r="I26">
        <v>1</v>
      </c>
      <c r="J26">
        <v>1.99</v>
      </c>
    </row>
    <row r="27" spans="1:10" s="6" customFormat="1" x14ac:dyDescent="0.35">
      <c r="A27" s="6" t="s">
        <v>13</v>
      </c>
      <c r="B27" s="11">
        <f>SUM(B21:B26)</f>
        <v>125</v>
      </c>
      <c r="C27" s="11"/>
      <c r="D27" s="11"/>
      <c r="E27" s="11">
        <f>SUM(E21:E26)</f>
        <v>445</v>
      </c>
      <c r="F27" s="11"/>
      <c r="G27" s="7">
        <f>SUM(G21:G26)</f>
        <v>399</v>
      </c>
      <c r="H27" s="7"/>
      <c r="J27" s="6">
        <f>SUM(J21:J26)</f>
        <v>116.21999999999998</v>
      </c>
    </row>
    <row r="29" spans="1:10" x14ac:dyDescent="0.35">
      <c r="A29">
        <v>2016</v>
      </c>
    </row>
    <row r="30" spans="1:10" x14ac:dyDescent="0.35">
      <c r="A30" s="2" t="s">
        <v>0</v>
      </c>
      <c r="B30" s="9">
        <v>14</v>
      </c>
      <c r="C30" s="9">
        <v>135</v>
      </c>
      <c r="D30" s="9">
        <v>8</v>
      </c>
      <c r="E30" s="11">
        <f t="shared" ref="E30:E35" si="6">(B30+C30)-D30</f>
        <v>141</v>
      </c>
      <c r="F30" s="10">
        <f t="shared" ref="F30:F35" si="7">C30/E30</f>
        <v>0.95744680851063835</v>
      </c>
      <c r="G30" s="5">
        <v>146</v>
      </c>
      <c r="H30" s="15">
        <f>G30/$G$36</f>
        <v>0.30932203389830509</v>
      </c>
      <c r="J30">
        <v>44.02</v>
      </c>
    </row>
    <row r="31" spans="1:10" x14ac:dyDescent="0.35">
      <c r="A31" s="2" t="s">
        <v>1</v>
      </c>
      <c r="B31" s="9">
        <v>0</v>
      </c>
      <c r="C31" s="9">
        <v>26</v>
      </c>
      <c r="D31" s="9">
        <v>0</v>
      </c>
      <c r="E31" s="11">
        <f t="shared" si="6"/>
        <v>26</v>
      </c>
      <c r="F31" s="10">
        <f t="shared" si="7"/>
        <v>1</v>
      </c>
      <c r="G31" s="5">
        <v>20</v>
      </c>
      <c r="H31" s="15">
        <f t="shared" ref="H31:H35" si="8">G31/$G$36</f>
        <v>4.2372881355932202E-2</v>
      </c>
      <c r="J31">
        <v>8.24</v>
      </c>
    </row>
    <row r="32" spans="1:10" x14ac:dyDescent="0.35">
      <c r="A32" s="2" t="s">
        <v>2</v>
      </c>
      <c r="B32" s="9">
        <v>0</v>
      </c>
      <c r="C32" s="9">
        <v>36</v>
      </c>
      <c r="D32" s="9">
        <v>5</v>
      </c>
      <c r="E32" s="11">
        <f t="shared" si="6"/>
        <v>31</v>
      </c>
      <c r="F32" s="10">
        <f t="shared" si="7"/>
        <v>1.1612903225806452</v>
      </c>
      <c r="G32" s="5">
        <v>30</v>
      </c>
      <c r="H32" s="15">
        <f t="shared" si="8"/>
        <v>6.3559322033898302E-2</v>
      </c>
      <c r="I32">
        <v>42</v>
      </c>
    </row>
    <row r="33" spans="1:10" x14ac:dyDescent="0.35">
      <c r="A33" s="2" t="s">
        <v>3</v>
      </c>
      <c r="B33" s="9">
        <v>64</v>
      </c>
      <c r="C33" s="9">
        <v>165</v>
      </c>
      <c r="D33" s="9">
        <v>2</v>
      </c>
      <c r="E33" s="11">
        <f t="shared" si="6"/>
        <v>227</v>
      </c>
      <c r="F33" s="10">
        <f t="shared" si="7"/>
        <v>0.72687224669603523</v>
      </c>
      <c r="G33" s="5">
        <v>223</v>
      </c>
      <c r="H33" s="15">
        <f t="shared" si="8"/>
        <v>0.47245762711864409</v>
      </c>
      <c r="J33">
        <v>50.78</v>
      </c>
    </row>
    <row r="34" spans="1:10" x14ac:dyDescent="0.35">
      <c r="A34" s="2" t="s">
        <v>4</v>
      </c>
      <c r="B34" s="9">
        <v>46</v>
      </c>
      <c r="C34" s="9">
        <v>5</v>
      </c>
      <c r="E34" s="11">
        <f t="shared" si="6"/>
        <v>51</v>
      </c>
      <c r="F34" s="10">
        <f t="shared" si="7"/>
        <v>9.8039215686274508E-2</v>
      </c>
      <c r="G34" s="5">
        <v>47</v>
      </c>
      <c r="H34" s="15">
        <f t="shared" si="8"/>
        <v>9.9576271186440676E-2</v>
      </c>
      <c r="J34">
        <v>16.34</v>
      </c>
    </row>
    <row r="35" spans="1:10" x14ac:dyDescent="0.35">
      <c r="A35" s="2" t="s">
        <v>5</v>
      </c>
      <c r="B35" s="9">
        <v>6</v>
      </c>
      <c r="C35" s="9">
        <v>0</v>
      </c>
      <c r="D35" s="9">
        <v>0</v>
      </c>
      <c r="E35" s="11">
        <f t="shared" si="6"/>
        <v>6</v>
      </c>
      <c r="F35" s="10">
        <f t="shared" si="7"/>
        <v>0</v>
      </c>
      <c r="G35" s="5">
        <v>6</v>
      </c>
      <c r="H35" s="15">
        <f t="shared" si="8"/>
        <v>1.2711864406779662E-2</v>
      </c>
      <c r="I35">
        <v>1</v>
      </c>
      <c r="J35">
        <v>1.9</v>
      </c>
    </row>
    <row r="36" spans="1:10" s="6" customFormat="1" x14ac:dyDescent="0.35">
      <c r="A36" s="3" t="s">
        <v>13</v>
      </c>
      <c r="B36" s="11">
        <f>SUM(B30:B35)</f>
        <v>130</v>
      </c>
      <c r="C36" s="11"/>
      <c r="D36" s="11"/>
      <c r="E36" s="11">
        <f>SUM(E30:E35)</f>
        <v>482</v>
      </c>
      <c r="F36" s="11"/>
      <c r="G36" s="7">
        <f>SUM(G30:G35)</f>
        <v>472</v>
      </c>
      <c r="H36" s="7"/>
      <c r="J36" s="6">
        <f>SUM(J30:J35)</f>
        <v>121.28000000000002</v>
      </c>
    </row>
    <row r="38" spans="1:10" x14ac:dyDescent="0.35">
      <c r="A38">
        <v>2017</v>
      </c>
    </row>
    <row r="39" spans="1:10" x14ac:dyDescent="0.35">
      <c r="A39" s="2" t="s">
        <v>0</v>
      </c>
      <c r="B39" s="9">
        <v>13</v>
      </c>
      <c r="C39" s="9">
        <v>135</v>
      </c>
      <c r="D39" s="9">
        <v>6</v>
      </c>
      <c r="E39" s="11">
        <f t="shared" ref="E39:E44" si="9">(B39+C39)-D39</f>
        <v>142</v>
      </c>
      <c r="F39" s="10">
        <f t="shared" ref="F39:F44" si="10">C39/E39</f>
        <v>0.95070422535211263</v>
      </c>
      <c r="G39" s="5">
        <v>141</v>
      </c>
      <c r="H39" s="15">
        <f>G39/$G$45</f>
        <v>0.33975903614457831</v>
      </c>
      <c r="J39">
        <v>42.42</v>
      </c>
    </row>
    <row r="40" spans="1:10" x14ac:dyDescent="0.35">
      <c r="A40" s="2" t="s">
        <v>1</v>
      </c>
      <c r="B40" s="9">
        <v>0</v>
      </c>
      <c r="C40" s="9">
        <v>30</v>
      </c>
      <c r="D40" s="9">
        <v>0</v>
      </c>
      <c r="E40" s="11">
        <f t="shared" si="9"/>
        <v>30</v>
      </c>
      <c r="F40" s="10">
        <f t="shared" si="10"/>
        <v>1</v>
      </c>
      <c r="G40" s="5">
        <v>20</v>
      </c>
      <c r="H40" s="15">
        <f t="shared" ref="H40:H44" si="11">G40/$G$45</f>
        <v>4.8192771084337352E-2</v>
      </c>
      <c r="J40">
        <v>8.08</v>
      </c>
    </row>
    <row r="41" spans="1:10" x14ac:dyDescent="0.35">
      <c r="A41" s="2" t="s">
        <v>2</v>
      </c>
      <c r="B41" s="9">
        <v>0</v>
      </c>
      <c r="C41" s="9">
        <v>37</v>
      </c>
      <c r="D41" s="9">
        <v>7</v>
      </c>
      <c r="E41" s="11">
        <f t="shared" si="9"/>
        <v>30</v>
      </c>
      <c r="F41" s="10">
        <f t="shared" si="10"/>
        <v>1.2333333333333334</v>
      </c>
      <c r="G41" s="5">
        <v>30</v>
      </c>
      <c r="H41" s="15">
        <f t="shared" si="11"/>
        <v>7.2289156626506021E-2</v>
      </c>
      <c r="I41">
        <v>42</v>
      </c>
    </row>
    <row r="42" spans="1:10" x14ac:dyDescent="0.35">
      <c r="A42" s="2" t="s">
        <v>3</v>
      </c>
      <c r="B42" s="9">
        <v>63</v>
      </c>
      <c r="C42" s="9">
        <v>88</v>
      </c>
      <c r="D42" s="9">
        <v>0</v>
      </c>
      <c r="E42" s="11">
        <f t="shared" si="9"/>
        <v>151</v>
      </c>
      <c r="F42" s="10">
        <f t="shared" si="10"/>
        <v>0.58278145695364236</v>
      </c>
      <c r="G42" s="5">
        <v>173</v>
      </c>
      <c r="H42" s="15">
        <f t="shared" si="11"/>
        <v>0.41686746987951806</v>
      </c>
      <c r="J42">
        <v>44</v>
      </c>
    </row>
    <row r="43" spans="1:10" x14ac:dyDescent="0.35">
      <c r="A43" s="2" t="s">
        <v>4</v>
      </c>
      <c r="B43" s="9">
        <v>44</v>
      </c>
      <c r="C43" s="9">
        <v>4</v>
      </c>
      <c r="D43" s="9">
        <v>0</v>
      </c>
      <c r="E43" s="11">
        <f t="shared" si="9"/>
        <v>48</v>
      </c>
      <c r="F43" s="10">
        <f t="shared" si="10"/>
        <v>8.3333333333333329E-2</v>
      </c>
      <c r="G43" s="5">
        <v>45</v>
      </c>
      <c r="H43" s="15">
        <f t="shared" si="11"/>
        <v>0.10843373493975904</v>
      </c>
      <c r="J43">
        <v>15.43</v>
      </c>
    </row>
    <row r="44" spans="1:10" x14ac:dyDescent="0.35">
      <c r="A44" s="2" t="s">
        <v>5</v>
      </c>
      <c r="B44" s="9">
        <v>6</v>
      </c>
      <c r="C44" s="9">
        <v>0</v>
      </c>
      <c r="D44" s="9">
        <v>0</v>
      </c>
      <c r="E44" s="11">
        <f t="shared" si="9"/>
        <v>6</v>
      </c>
      <c r="F44" s="10">
        <f t="shared" si="10"/>
        <v>0</v>
      </c>
      <c r="G44" s="5">
        <v>6</v>
      </c>
      <c r="H44" s="15">
        <f t="shared" si="11"/>
        <v>1.4457831325301205E-2</v>
      </c>
      <c r="I44">
        <v>1</v>
      </c>
      <c r="J44">
        <v>1.82</v>
      </c>
    </row>
    <row r="45" spans="1:10" s="6" customFormat="1" x14ac:dyDescent="0.35">
      <c r="A45" s="3" t="s">
        <v>13</v>
      </c>
      <c r="B45" s="11">
        <f>SUM(B39:B44)</f>
        <v>126</v>
      </c>
      <c r="C45" s="11"/>
      <c r="D45" s="11"/>
      <c r="E45" s="11">
        <f>SUM(E39:E44)</f>
        <v>407</v>
      </c>
      <c r="F45" s="11"/>
      <c r="G45" s="7">
        <f>SUM(G39:G44)</f>
        <v>415</v>
      </c>
      <c r="H45" s="7"/>
      <c r="J45" s="6">
        <f>SUM(J39:J44)</f>
        <v>111.75</v>
      </c>
    </row>
    <row r="47" spans="1:10" s="19" customFormat="1" x14ac:dyDescent="0.35">
      <c r="A47" s="18" t="s">
        <v>12</v>
      </c>
      <c r="E47" s="20"/>
    </row>
    <row r="48" spans="1:10" s="19" customFormat="1" x14ac:dyDescent="0.35">
      <c r="A48" s="21" t="s">
        <v>0</v>
      </c>
      <c r="B48" s="19">
        <f t="shared" ref="B48:E53" si="12">(B12+B21+B30+B39)/4</f>
        <v>12.25</v>
      </c>
      <c r="C48" s="19">
        <f t="shared" si="12"/>
        <v>129.75</v>
      </c>
      <c r="D48" s="19">
        <f t="shared" si="12"/>
        <v>7.75</v>
      </c>
      <c r="E48" s="20">
        <f t="shared" si="12"/>
        <v>134.25</v>
      </c>
      <c r="F48" s="22">
        <f t="shared" ref="F48:F53" si="13">C48/E48</f>
        <v>0.96648044692737434</v>
      </c>
      <c r="G48" s="19">
        <f t="shared" ref="G48:J53" si="14">(G12+G21+G30+G39)/4</f>
        <v>127.5</v>
      </c>
      <c r="H48" s="23">
        <f>G48/$G$54</f>
        <v>0.31307550644567217</v>
      </c>
      <c r="I48" s="19">
        <f t="shared" si="14"/>
        <v>0</v>
      </c>
      <c r="J48" s="19">
        <f t="shared" si="14"/>
        <v>42.307500000000005</v>
      </c>
    </row>
    <row r="49" spans="1:10" s="19" customFormat="1" x14ac:dyDescent="0.35">
      <c r="A49" s="21" t="s">
        <v>1</v>
      </c>
      <c r="B49" s="19">
        <f t="shared" si="12"/>
        <v>0</v>
      </c>
      <c r="C49" s="19">
        <f t="shared" si="12"/>
        <v>25.75</v>
      </c>
      <c r="D49" s="19">
        <f t="shared" si="12"/>
        <v>0</v>
      </c>
      <c r="E49" s="20">
        <f t="shared" si="12"/>
        <v>25.75</v>
      </c>
      <c r="F49" s="22">
        <f t="shared" si="13"/>
        <v>1</v>
      </c>
      <c r="G49" s="19">
        <f t="shared" si="14"/>
        <v>19.75</v>
      </c>
      <c r="H49" s="23">
        <f t="shared" ref="H49:H53" si="15">G49/$G$54</f>
        <v>4.8496009821976674E-2</v>
      </c>
      <c r="I49" s="19">
        <f t="shared" si="14"/>
        <v>0</v>
      </c>
      <c r="J49" s="19">
        <f t="shared" si="14"/>
        <v>8.1274999999999995</v>
      </c>
    </row>
    <row r="50" spans="1:10" s="19" customFormat="1" x14ac:dyDescent="0.35">
      <c r="A50" s="21" t="s">
        <v>2</v>
      </c>
      <c r="B50" s="19">
        <f t="shared" si="12"/>
        <v>0</v>
      </c>
      <c r="C50" s="19">
        <f t="shared" si="12"/>
        <v>35.5</v>
      </c>
      <c r="D50" s="19">
        <f t="shared" si="12"/>
        <v>7</v>
      </c>
      <c r="E50" s="20">
        <f t="shared" si="12"/>
        <v>28.5</v>
      </c>
      <c r="F50" s="22">
        <f t="shared" si="13"/>
        <v>1.2456140350877194</v>
      </c>
      <c r="G50" s="19">
        <f t="shared" si="14"/>
        <v>21.75</v>
      </c>
      <c r="H50" s="23">
        <f t="shared" si="15"/>
        <v>5.3406998158379376E-2</v>
      </c>
      <c r="I50" s="19">
        <f t="shared" si="14"/>
        <v>40.5</v>
      </c>
      <c r="J50" s="19">
        <f t="shared" si="14"/>
        <v>0</v>
      </c>
    </row>
    <row r="51" spans="1:10" s="19" customFormat="1" x14ac:dyDescent="0.35">
      <c r="A51" s="21" t="s">
        <v>3</v>
      </c>
      <c r="B51" s="19">
        <f t="shared" si="12"/>
        <v>60.75</v>
      </c>
      <c r="C51" s="19">
        <f t="shared" si="12"/>
        <v>125.75</v>
      </c>
      <c r="D51" s="19">
        <f t="shared" si="12"/>
        <v>2.25</v>
      </c>
      <c r="E51" s="20">
        <f t="shared" si="12"/>
        <v>184.25</v>
      </c>
      <c r="F51" s="22">
        <f t="shared" si="13"/>
        <v>0.6824966078697422</v>
      </c>
      <c r="G51" s="19">
        <f t="shared" si="14"/>
        <v>186.75</v>
      </c>
      <c r="H51" s="23">
        <f t="shared" si="15"/>
        <v>0.4585635359116022</v>
      </c>
      <c r="I51" s="19">
        <f t="shared" si="14"/>
        <v>0</v>
      </c>
      <c r="J51" s="19">
        <f t="shared" si="14"/>
        <v>46.22</v>
      </c>
    </row>
    <row r="52" spans="1:10" s="19" customFormat="1" x14ac:dyDescent="0.35">
      <c r="A52" s="21" t="s">
        <v>4</v>
      </c>
      <c r="B52" s="19">
        <f t="shared" si="12"/>
        <v>43.25</v>
      </c>
      <c r="C52" s="19">
        <f t="shared" si="12"/>
        <v>4.5</v>
      </c>
      <c r="D52" s="19">
        <f t="shared" si="12"/>
        <v>0</v>
      </c>
      <c r="E52" s="20">
        <f t="shared" si="12"/>
        <v>47.75</v>
      </c>
      <c r="F52" s="22">
        <f t="shared" si="13"/>
        <v>9.4240837696335081E-2</v>
      </c>
      <c r="G52" s="19">
        <f t="shared" si="14"/>
        <v>45.25</v>
      </c>
      <c r="H52" s="23">
        <f t="shared" si="15"/>
        <v>0.1111111111111111</v>
      </c>
      <c r="I52" s="19">
        <f t="shared" si="14"/>
        <v>0</v>
      </c>
      <c r="J52" s="19">
        <f t="shared" si="14"/>
        <v>16.100000000000001</v>
      </c>
    </row>
    <row r="53" spans="1:10" s="19" customFormat="1" x14ac:dyDescent="0.35">
      <c r="A53" s="21" t="s">
        <v>5</v>
      </c>
      <c r="B53" s="19">
        <f t="shared" si="12"/>
        <v>7</v>
      </c>
      <c r="C53" s="19">
        <f t="shared" si="12"/>
        <v>0</v>
      </c>
      <c r="D53" s="19">
        <f t="shared" si="12"/>
        <v>0</v>
      </c>
      <c r="E53" s="20">
        <f t="shared" si="12"/>
        <v>7</v>
      </c>
      <c r="F53" s="22">
        <f t="shared" si="13"/>
        <v>0</v>
      </c>
      <c r="G53" s="19">
        <f t="shared" si="14"/>
        <v>6.25</v>
      </c>
      <c r="H53" s="23">
        <f t="shared" si="15"/>
        <v>1.5346838551258441E-2</v>
      </c>
      <c r="I53" s="19">
        <f t="shared" si="14"/>
        <v>1</v>
      </c>
      <c r="J53" s="19">
        <f t="shared" si="14"/>
        <v>2.0125000000000002</v>
      </c>
    </row>
    <row r="54" spans="1:10" s="20" customFormat="1" x14ac:dyDescent="0.35">
      <c r="A54" s="18" t="s">
        <v>13</v>
      </c>
      <c r="B54" s="20">
        <f>SUM(B48:B53)</f>
        <v>123.25</v>
      </c>
      <c r="C54" s="20">
        <f t="shared" ref="C54:D54" si="16">SUM(C48:C53)</f>
        <v>321.25</v>
      </c>
      <c r="D54" s="20">
        <f t="shared" si="16"/>
        <v>17</v>
      </c>
      <c r="E54" s="20">
        <f>SUM(E48:E53)</f>
        <v>427.5</v>
      </c>
      <c r="G54" s="20">
        <f>SUM(G48:G53)</f>
        <v>407.25</v>
      </c>
      <c r="J54" s="20">
        <f>SUM(J48:J53)</f>
        <v>114.7675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9B7D-93EC-8544-AE3E-05FBCC3CF8F4}">
  <dimension ref="A1:G11"/>
  <sheetViews>
    <sheetView workbookViewId="0">
      <selection activeCell="F18" sqref="F18"/>
    </sheetView>
  </sheetViews>
  <sheetFormatPr defaultColWidth="10.6640625" defaultRowHeight="15.5" x14ac:dyDescent="0.35"/>
  <cols>
    <col min="2" max="2" width="11.5" bestFit="1" customWidth="1"/>
    <col min="3" max="4" width="11" bestFit="1" customWidth="1"/>
    <col min="5" max="5" width="11.5" bestFit="1" customWidth="1"/>
  </cols>
  <sheetData>
    <row r="1" spans="1:7" x14ac:dyDescent="0.35">
      <c r="A1" t="s">
        <v>18</v>
      </c>
    </row>
    <row r="3" spans="1:7" x14ac:dyDescent="0.35">
      <c r="A3" s="6" t="s">
        <v>16</v>
      </c>
      <c r="E3" s="6" t="s">
        <v>25</v>
      </c>
    </row>
    <row r="4" spans="1:7" x14ac:dyDescent="0.35">
      <c r="A4" t="s">
        <v>15</v>
      </c>
      <c r="E4" s="12">
        <v>260000</v>
      </c>
    </row>
    <row r="5" spans="1:7" x14ac:dyDescent="0.35">
      <c r="A5" t="s">
        <v>17</v>
      </c>
      <c r="E5" s="12">
        <v>272000</v>
      </c>
    </row>
    <row r="7" spans="1:7" ht="46.5" x14ac:dyDescent="0.35">
      <c r="A7" s="6" t="s">
        <v>24</v>
      </c>
      <c r="B7" s="16" t="s">
        <v>19</v>
      </c>
      <c r="C7" s="16" t="s">
        <v>20</v>
      </c>
      <c r="D7" s="16" t="s">
        <v>21</v>
      </c>
      <c r="E7" s="16" t="s">
        <v>22</v>
      </c>
    </row>
    <row r="8" spans="1:7" x14ac:dyDescent="0.35">
      <c r="A8" t="s">
        <v>15</v>
      </c>
      <c r="B8" s="14">
        <v>132000</v>
      </c>
      <c r="C8" s="14">
        <v>68000</v>
      </c>
      <c r="D8" s="14">
        <v>65000</v>
      </c>
      <c r="E8" s="14">
        <f>SUM(B8:D8)</f>
        <v>265000</v>
      </c>
      <c r="F8" t="s">
        <v>26</v>
      </c>
    </row>
    <row r="9" spans="1:7" x14ac:dyDescent="0.35">
      <c r="B9" s="13">
        <f>B8/E8</f>
        <v>0.49811320754716981</v>
      </c>
      <c r="C9" s="13">
        <f>C8/E8</f>
        <v>0.25660377358490566</v>
      </c>
      <c r="D9" s="13">
        <f>D8/E8</f>
        <v>0.24528301886792453</v>
      </c>
      <c r="E9" t="s">
        <v>18</v>
      </c>
    </row>
    <row r="10" spans="1:7" x14ac:dyDescent="0.35">
      <c r="A10">
        <v>2014</v>
      </c>
      <c r="B10">
        <f>FAO!E15</f>
        <v>156</v>
      </c>
      <c r="C10">
        <f>FAO!E16+FAO!E17</f>
        <v>50</v>
      </c>
      <c r="D10">
        <f>FAO!E12</f>
        <v>123</v>
      </c>
      <c r="E10">
        <f>SUM(B10:D10)</f>
        <v>329</v>
      </c>
      <c r="F10" t="s">
        <v>27</v>
      </c>
      <c r="G10" s="5" t="s">
        <v>28</v>
      </c>
    </row>
    <row r="11" spans="1:7" x14ac:dyDescent="0.35">
      <c r="B11" s="13">
        <f>B10/E10</f>
        <v>0.47416413373860183</v>
      </c>
      <c r="C11" s="13">
        <f>C10/E10</f>
        <v>0.1519756838905775</v>
      </c>
      <c r="D11" s="13">
        <f>D10/E10</f>
        <v>0.37386018237082069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8469-0450-CA4F-9EC8-1BC819509AA7}">
  <dimension ref="A1:O43"/>
  <sheetViews>
    <sheetView topLeftCell="A19" workbookViewId="0">
      <selection activeCell="A17" sqref="A17:XFD17"/>
    </sheetView>
  </sheetViews>
  <sheetFormatPr defaultColWidth="10.6640625" defaultRowHeight="15.5" x14ac:dyDescent="0.35"/>
  <cols>
    <col min="1" max="1" width="22.5" customWidth="1"/>
    <col min="2" max="10" width="11.5" bestFit="1" customWidth="1"/>
    <col min="11" max="11" width="11.5" style="6" bestFit="1" customWidth="1"/>
    <col min="12" max="12" width="16" customWidth="1"/>
    <col min="13" max="13" width="11.5" bestFit="1" customWidth="1"/>
  </cols>
  <sheetData>
    <row r="1" spans="1:13" x14ac:dyDescent="0.35">
      <c r="A1" t="s">
        <v>47</v>
      </c>
      <c r="L1" s="19" t="s">
        <v>29</v>
      </c>
      <c r="M1" s="9" t="s">
        <v>46</v>
      </c>
    </row>
    <row r="2" spans="1:13" x14ac:dyDescent="0.35">
      <c r="B2" t="s">
        <v>31</v>
      </c>
      <c r="C2" t="s">
        <v>32</v>
      </c>
      <c r="D2" t="s">
        <v>33</v>
      </c>
      <c r="E2" t="s">
        <v>15</v>
      </c>
      <c r="F2" t="s">
        <v>17</v>
      </c>
      <c r="G2" t="s">
        <v>34</v>
      </c>
      <c r="H2" t="s">
        <v>35</v>
      </c>
      <c r="I2" t="s">
        <v>36</v>
      </c>
      <c r="J2" t="s">
        <v>37</v>
      </c>
      <c r="K2" s="6" t="s">
        <v>41</v>
      </c>
      <c r="L2" s="19" t="s">
        <v>12</v>
      </c>
      <c r="M2" s="9" t="s">
        <v>12</v>
      </c>
    </row>
    <row r="3" spans="1:13" x14ac:dyDescent="0.35">
      <c r="A3" s="6" t="s">
        <v>30</v>
      </c>
      <c r="L3" s="19"/>
      <c r="M3" s="9"/>
    </row>
    <row r="4" spans="1:13" x14ac:dyDescent="0.35">
      <c r="A4" t="s">
        <v>38</v>
      </c>
      <c r="B4" s="14">
        <v>81111</v>
      </c>
      <c r="C4" s="14">
        <v>55305</v>
      </c>
      <c r="D4" s="14">
        <v>105742</v>
      </c>
      <c r="E4" s="14">
        <v>170234</v>
      </c>
      <c r="F4" s="14">
        <v>82527</v>
      </c>
      <c r="G4" s="14">
        <v>120650</v>
      </c>
      <c r="H4" s="14">
        <v>110229</v>
      </c>
      <c r="I4" s="14">
        <v>50483</v>
      </c>
      <c r="J4" s="14">
        <v>59608</v>
      </c>
      <c r="K4" s="24">
        <f>AVERAGE(B4:J4)</f>
        <v>92876.555555555562</v>
      </c>
      <c r="L4" s="27">
        <f>AVERAGE(F4:I4)</f>
        <v>90972.25</v>
      </c>
      <c r="M4" s="29">
        <f>FAO!C51*1000</f>
        <v>125750</v>
      </c>
    </row>
    <row r="5" spans="1:13" x14ac:dyDescent="0.35">
      <c r="A5" t="s">
        <v>39</v>
      </c>
      <c r="B5" s="14">
        <v>47961</v>
      </c>
      <c r="C5" s="14">
        <v>63228</v>
      </c>
      <c r="D5" s="14">
        <v>72438</v>
      </c>
      <c r="E5" s="14">
        <v>36694</v>
      </c>
      <c r="F5" s="14">
        <v>69433</v>
      </c>
      <c r="G5" s="14">
        <v>38900</v>
      </c>
      <c r="H5" s="14">
        <v>43940</v>
      </c>
      <c r="I5" s="14">
        <v>76660</v>
      </c>
      <c r="J5" s="14">
        <v>58020</v>
      </c>
      <c r="K5" s="24">
        <f>AVERAGE(B5:J5)</f>
        <v>56363.777777777781</v>
      </c>
      <c r="L5" s="27">
        <f t="shared" ref="L5:L6" si="0">AVERAGE(F5:I5)</f>
        <v>57233.25</v>
      </c>
      <c r="M5" s="29">
        <f>(FAO!B51*1000)</f>
        <v>60750</v>
      </c>
    </row>
    <row r="6" spans="1:13" x14ac:dyDescent="0.35">
      <c r="A6" t="s">
        <v>40</v>
      </c>
      <c r="B6" s="14">
        <f>SUM(B4:B5)</f>
        <v>129072</v>
      </c>
      <c r="C6" s="14">
        <f t="shared" ref="C6:J6" si="1">SUM(C4:C5)</f>
        <v>118533</v>
      </c>
      <c r="D6" s="14">
        <f t="shared" si="1"/>
        <v>178180</v>
      </c>
      <c r="E6" s="14">
        <f t="shared" si="1"/>
        <v>206928</v>
      </c>
      <c r="F6" s="14">
        <f t="shared" si="1"/>
        <v>151960</v>
      </c>
      <c r="G6" s="14">
        <f t="shared" si="1"/>
        <v>159550</v>
      </c>
      <c r="H6" s="14">
        <f t="shared" si="1"/>
        <v>154169</v>
      </c>
      <c r="I6" s="14">
        <f t="shared" si="1"/>
        <v>127143</v>
      </c>
      <c r="J6" s="14">
        <f t="shared" si="1"/>
        <v>117628</v>
      </c>
      <c r="K6" s="24">
        <f>AVERAGE(B6:J6)</f>
        <v>149240.33333333334</v>
      </c>
      <c r="L6" s="27">
        <f t="shared" si="0"/>
        <v>148205.5</v>
      </c>
      <c r="M6" s="29">
        <f>SUM(M4:M5)</f>
        <v>186500</v>
      </c>
    </row>
    <row r="7" spans="1:13" x14ac:dyDescent="0.35">
      <c r="A7" t="s">
        <v>42</v>
      </c>
      <c r="B7" s="13">
        <f>B4/B6</f>
        <v>0.6284166976571216</v>
      </c>
      <c r="C7" s="13">
        <f t="shared" ref="C7:J7" si="2">C4/C6</f>
        <v>0.46657892738730988</v>
      </c>
      <c r="D7" s="13">
        <f t="shared" si="2"/>
        <v>0.59345605567403747</v>
      </c>
      <c r="E7" s="13">
        <f t="shared" si="2"/>
        <v>0.82267262042836153</v>
      </c>
      <c r="F7" s="13">
        <f t="shared" si="2"/>
        <v>0.54308370623848379</v>
      </c>
      <c r="G7" s="13">
        <f t="shared" si="2"/>
        <v>0.75618928235662797</v>
      </c>
      <c r="H7" s="13">
        <f t="shared" si="2"/>
        <v>0.71498809747744363</v>
      </c>
      <c r="I7" s="13">
        <f t="shared" si="2"/>
        <v>0.39705685723948625</v>
      </c>
      <c r="J7" s="13">
        <f t="shared" si="2"/>
        <v>0.50675009351514944</v>
      </c>
      <c r="K7" s="25">
        <f>K4/K6</f>
        <v>0.62232878660296631</v>
      </c>
      <c r="L7" s="28">
        <f>L4/L6</f>
        <v>0.61382506047346419</v>
      </c>
      <c r="M7" s="30">
        <f>M4/M6</f>
        <v>0.67426273458445041</v>
      </c>
    </row>
    <row r="8" spans="1:13" x14ac:dyDescent="0.35">
      <c r="L8" s="19"/>
      <c r="M8" s="9"/>
    </row>
    <row r="9" spans="1:13" x14ac:dyDescent="0.35">
      <c r="A9" s="6" t="s">
        <v>43</v>
      </c>
      <c r="L9" s="19"/>
      <c r="M9" s="9"/>
    </row>
    <row r="10" spans="1:13" x14ac:dyDescent="0.35">
      <c r="A10" t="s">
        <v>38</v>
      </c>
      <c r="B10" s="14">
        <v>65519</v>
      </c>
      <c r="C10" s="14">
        <v>84543</v>
      </c>
      <c r="D10" s="14">
        <v>87726</v>
      </c>
      <c r="E10" s="14">
        <v>85257</v>
      </c>
      <c r="F10" s="14">
        <v>103035</v>
      </c>
      <c r="G10" s="14">
        <v>95190</v>
      </c>
      <c r="H10" s="14">
        <v>121261</v>
      </c>
      <c r="I10" s="14">
        <v>104261</v>
      </c>
      <c r="J10" s="14">
        <v>118698</v>
      </c>
      <c r="K10" s="24">
        <f>AVERAGE(B10:J10)</f>
        <v>96165.555555555562</v>
      </c>
      <c r="L10" s="27">
        <f t="shared" ref="L10:L12" si="3">AVERAGE(F10:I10)</f>
        <v>105936.75</v>
      </c>
      <c r="M10" s="29">
        <f>(FAO!C48*1000)</f>
        <v>129750</v>
      </c>
    </row>
    <row r="11" spans="1:13" x14ac:dyDescent="0.35">
      <c r="A11" t="s">
        <v>39</v>
      </c>
      <c r="B11" s="14">
        <v>10038</v>
      </c>
      <c r="C11" s="14">
        <v>11930</v>
      </c>
      <c r="D11" s="14">
        <v>14819</v>
      </c>
      <c r="E11" s="14">
        <v>11312</v>
      </c>
      <c r="F11" s="14">
        <v>11600</v>
      </c>
      <c r="G11" s="14">
        <v>11411</v>
      </c>
      <c r="H11" s="14">
        <v>9822</v>
      </c>
      <c r="I11" s="14">
        <v>6863</v>
      </c>
      <c r="J11" s="14">
        <v>7508</v>
      </c>
      <c r="K11" s="24">
        <f t="shared" ref="K11:K12" si="4">AVERAGE(B11:J11)</f>
        <v>10589.222222222223</v>
      </c>
      <c r="L11" s="27">
        <f t="shared" si="3"/>
        <v>9924</v>
      </c>
      <c r="M11" s="29">
        <f>(FAO!B48*1000)</f>
        <v>12250</v>
      </c>
    </row>
    <row r="12" spans="1:13" x14ac:dyDescent="0.35">
      <c r="A12" t="s">
        <v>40</v>
      </c>
      <c r="B12" s="14">
        <f>SUM(B10:B11)</f>
        <v>75557</v>
      </c>
      <c r="C12" s="14">
        <f t="shared" ref="C12:J12" si="5">SUM(C10:C11)</f>
        <v>96473</v>
      </c>
      <c r="D12" s="14">
        <f t="shared" si="5"/>
        <v>102545</v>
      </c>
      <c r="E12" s="14">
        <f t="shared" si="5"/>
        <v>96569</v>
      </c>
      <c r="F12" s="14">
        <f t="shared" si="5"/>
        <v>114635</v>
      </c>
      <c r="G12" s="14">
        <f t="shared" si="5"/>
        <v>106601</v>
      </c>
      <c r="H12" s="14">
        <f t="shared" si="5"/>
        <v>131083</v>
      </c>
      <c r="I12" s="14">
        <f t="shared" si="5"/>
        <v>111124</v>
      </c>
      <c r="J12" s="14">
        <f t="shared" si="5"/>
        <v>126206</v>
      </c>
      <c r="K12" s="24">
        <f t="shared" si="4"/>
        <v>106754.77777777778</v>
      </c>
      <c r="L12" s="27">
        <f t="shared" si="3"/>
        <v>115860.75</v>
      </c>
      <c r="M12" s="29">
        <f>SUM(M10:M11)</f>
        <v>142000</v>
      </c>
    </row>
    <row r="13" spans="1:13" x14ac:dyDescent="0.35">
      <c r="A13" t="s">
        <v>42</v>
      </c>
      <c r="B13" s="13">
        <f>B10/B12</f>
        <v>0.86714665749037145</v>
      </c>
      <c r="C13" s="13">
        <f t="shared" ref="C13:L13" si="6">C10/C12</f>
        <v>0.87633845739222371</v>
      </c>
      <c r="D13" s="13">
        <f t="shared" si="6"/>
        <v>0.85548783460919597</v>
      </c>
      <c r="E13" s="13">
        <f t="shared" si="6"/>
        <v>0.88286095952117138</v>
      </c>
      <c r="F13" s="13">
        <f t="shared" si="6"/>
        <v>0.89880926418633056</v>
      </c>
      <c r="G13" s="13">
        <f t="shared" si="6"/>
        <v>0.89295597602273902</v>
      </c>
      <c r="H13" s="13">
        <f t="shared" si="6"/>
        <v>0.92507037525842406</v>
      </c>
      <c r="I13" s="13">
        <f t="shared" si="6"/>
        <v>0.93824016414095968</v>
      </c>
      <c r="J13" s="13">
        <f t="shared" si="6"/>
        <v>0.94050995990681896</v>
      </c>
      <c r="K13" s="25">
        <f t="shared" si="6"/>
        <v>0.90080797840950133</v>
      </c>
      <c r="L13" s="28">
        <f t="shared" si="6"/>
        <v>0.91434545348618923</v>
      </c>
      <c r="M13" s="31">
        <f>M10/M12</f>
        <v>0.91373239436619713</v>
      </c>
    </row>
    <row r="14" spans="1:13" x14ac:dyDescent="0.35">
      <c r="L14" s="19"/>
      <c r="M14" s="9"/>
    </row>
    <row r="15" spans="1:13" x14ac:dyDescent="0.35">
      <c r="A15" s="6" t="s">
        <v>44</v>
      </c>
      <c r="L15" s="19"/>
      <c r="M15" s="9"/>
    </row>
    <row r="16" spans="1:13" s="38" customFormat="1" x14ac:dyDescent="0.35">
      <c r="A16" s="38" t="s">
        <v>38</v>
      </c>
      <c r="B16" s="39">
        <v>1034</v>
      </c>
      <c r="C16" s="39">
        <v>1860</v>
      </c>
      <c r="D16" s="39">
        <v>3863</v>
      </c>
      <c r="E16" s="39">
        <v>5485</v>
      </c>
      <c r="F16" s="39">
        <v>3332</v>
      </c>
      <c r="G16" s="39">
        <v>6096</v>
      </c>
      <c r="H16" s="39">
        <v>5541</v>
      </c>
      <c r="I16" s="39">
        <v>3469</v>
      </c>
      <c r="J16" s="39">
        <v>931</v>
      </c>
      <c r="K16" s="40">
        <f>AVERAGE(B16:J16)</f>
        <v>3512.3333333333335</v>
      </c>
      <c r="L16" s="41">
        <f t="shared" ref="L16:L18" si="7">AVERAGE(F16:I16)</f>
        <v>4609.5</v>
      </c>
      <c r="M16" s="42">
        <f>(FAO!C52*1000)</f>
        <v>4500</v>
      </c>
    </row>
    <row r="17" spans="1:15" s="38" customFormat="1" x14ac:dyDescent="0.35">
      <c r="A17" s="38" t="s">
        <v>39</v>
      </c>
      <c r="B17" s="39">
        <v>1064</v>
      </c>
      <c r="C17" s="39">
        <v>975</v>
      </c>
      <c r="D17" s="39">
        <v>1040</v>
      </c>
      <c r="E17" s="39">
        <v>532</v>
      </c>
      <c r="F17" s="39">
        <v>750</v>
      </c>
      <c r="G17" s="39">
        <v>111</v>
      </c>
      <c r="H17" s="39">
        <v>1584</v>
      </c>
      <c r="I17" s="39">
        <v>2344</v>
      </c>
      <c r="J17" s="39">
        <v>1979</v>
      </c>
      <c r="K17" s="40">
        <f>AVERAGE(B17:J17)</f>
        <v>1153.2222222222222</v>
      </c>
      <c r="L17" s="41">
        <f t="shared" si="7"/>
        <v>1197.25</v>
      </c>
      <c r="M17" s="42">
        <f>(FAO!B52*1000)</f>
        <v>43250</v>
      </c>
      <c r="O17" s="38" t="s">
        <v>50</v>
      </c>
    </row>
    <row r="18" spans="1:15" s="38" customFormat="1" x14ac:dyDescent="0.35">
      <c r="A18" s="38" t="s">
        <v>40</v>
      </c>
      <c r="B18" s="39">
        <f>SUM(B16:B17)</f>
        <v>2098</v>
      </c>
      <c r="C18" s="39">
        <f t="shared" ref="C18" si="8">SUM(C16:C17)</f>
        <v>2835</v>
      </c>
      <c r="D18" s="39">
        <f t="shared" ref="D18" si="9">SUM(D16:D17)</f>
        <v>4903</v>
      </c>
      <c r="E18" s="39">
        <f t="shared" ref="E18" si="10">SUM(E16:E17)</f>
        <v>6017</v>
      </c>
      <c r="F18" s="39">
        <f t="shared" ref="F18" si="11">SUM(F16:F17)</f>
        <v>4082</v>
      </c>
      <c r="G18" s="39">
        <f t="shared" ref="G18" si="12">SUM(G16:G17)</f>
        <v>6207</v>
      </c>
      <c r="H18" s="39">
        <f t="shared" ref="H18" si="13">SUM(H16:H17)</f>
        <v>7125</v>
      </c>
      <c r="I18" s="39">
        <f t="shared" ref="I18" si="14">SUM(I16:I17)</f>
        <v>5813</v>
      </c>
      <c r="J18" s="39">
        <f t="shared" ref="J18" si="15">SUM(J16:J17)</f>
        <v>2910</v>
      </c>
      <c r="K18" s="40">
        <f t="shared" ref="K18" si="16">AVERAGE(B18:J18)</f>
        <v>4665.5555555555557</v>
      </c>
      <c r="L18" s="41">
        <f t="shared" si="7"/>
        <v>5806.75</v>
      </c>
      <c r="M18" s="42">
        <f>SUM(M16:M17)</f>
        <v>47750</v>
      </c>
    </row>
    <row r="19" spans="1:15" s="38" customFormat="1" x14ac:dyDescent="0.35">
      <c r="A19" s="38" t="s">
        <v>42</v>
      </c>
      <c r="B19" s="44">
        <f>B16/B18</f>
        <v>0.49285033365109626</v>
      </c>
      <c r="C19" s="44">
        <f t="shared" ref="C19" si="17">C16/C18</f>
        <v>0.65608465608465605</v>
      </c>
      <c r="D19" s="44">
        <f t="shared" ref="D19" si="18">D16/D18</f>
        <v>0.78788496838670197</v>
      </c>
      <c r="E19" s="44">
        <f t="shared" ref="E19" si="19">E16/E18</f>
        <v>0.91158384577031748</v>
      </c>
      <c r="F19" s="44">
        <f t="shared" ref="F19" si="20">F16/F18</f>
        <v>0.81626653601175891</v>
      </c>
      <c r="G19" s="44">
        <f t="shared" ref="G19" si="21">G16/G18</f>
        <v>0.98211696471725474</v>
      </c>
      <c r="H19" s="44">
        <f t="shared" ref="H19" si="22">H16/H18</f>
        <v>0.77768421052631576</v>
      </c>
      <c r="I19" s="44">
        <f t="shared" ref="I19" si="23">I16/I18</f>
        <v>0.5967658696026148</v>
      </c>
      <c r="J19" s="44">
        <f t="shared" ref="J19" si="24">J16/J18</f>
        <v>0.3199312714776632</v>
      </c>
      <c r="K19" s="45">
        <f t="shared" ref="K19:L19" si="25">K16/K18</f>
        <v>0.75282210050011911</v>
      </c>
      <c r="L19" s="47">
        <f t="shared" si="25"/>
        <v>0.79381753993197568</v>
      </c>
      <c r="M19" s="43">
        <f>M16/M18</f>
        <v>9.4240837696335081E-2</v>
      </c>
    </row>
    <row r="20" spans="1:15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25"/>
      <c r="L20" s="28"/>
      <c r="M20" s="31"/>
    </row>
    <row r="21" spans="1:15" s="35" customFormat="1" x14ac:dyDescent="0.35">
      <c r="A21" s="35" t="s">
        <v>38</v>
      </c>
      <c r="B21" s="14">
        <v>1034</v>
      </c>
      <c r="C21" s="14">
        <v>1860</v>
      </c>
      <c r="D21" s="14">
        <v>3863</v>
      </c>
      <c r="E21" s="14">
        <v>5485</v>
      </c>
      <c r="F21" s="14">
        <v>3332</v>
      </c>
      <c r="G21" s="14">
        <v>6096</v>
      </c>
      <c r="H21" s="14">
        <v>5541</v>
      </c>
      <c r="I21" s="14">
        <v>3469</v>
      </c>
      <c r="J21" s="14">
        <v>931</v>
      </c>
      <c r="K21" s="24">
        <f>AVERAGE(B21:J21)</f>
        <v>3512.3333333333335</v>
      </c>
      <c r="L21" s="48">
        <f t="shared" ref="L21:L22" si="26">AVERAGE(F21:I21)</f>
        <v>4609.5</v>
      </c>
      <c r="M21" s="29">
        <f>(FAO!C56*1000)</f>
        <v>0</v>
      </c>
    </row>
    <row r="22" spans="1:15" s="53" customFormat="1" x14ac:dyDescent="0.35">
      <c r="A22" s="53" t="s">
        <v>78</v>
      </c>
      <c r="B22" s="54">
        <v>41166</v>
      </c>
      <c r="C22" s="54">
        <v>55921</v>
      </c>
      <c r="D22" s="54">
        <v>24695</v>
      </c>
      <c r="E22" s="54">
        <v>44141</v>
      </c>
      <c r="F22" s="54">
        <v>15302</v>
      </c>
      <c r="G22" s="54">
        <v>19428</v>
      </c>
      <c r="H22" s="54">
        <v>57644</v>
      </c>
      <c r="I22" s="54">
        <v>83515</v>
      </c>
      <c r="J22" s="54">
        <v>9277</v>
      </c>
      <c r="K22" s="55">
        <f>AVERAGE(B22:J22)</f>
        <v>39009.888888888891</v>
      </c>
      <c r="L22" s="56">
        <f t="shared" si="26"/>
        <v>43972.25</v>
      </c>
      <c r="M22" s="57"/>
    </row>
    <row r="23" spans="1:15" s="35" customFormat="1" x14ac:dyDescent="0.35">
      <c r="A23" s="35" t="s">
        <v>40</v>
      </c>
      <c r="B23" s="14">
        <f>SUM(B21:B22)</f>
        <v>42200</v>
      </c>
      <c r="C23" s="14">
        <f t="shared" ref="C23:M23" si="27">SUM(C21:C22)</f>
        <v>57781</v>
      </c>
      <c r="D23" s="14">
        <f t="shared" si="27"/>
        <v>28558</v>
      </c>
      <c r="E23" s="14">
        <f t="shared" si="27"/>
        <v>49626</v>
      </c>
      <c r="F23" s="14">
        <f t="shared" si="27"/>
        <v>18634</v>
      </c>
      <c r="G23" s="14">
        <f t="shared" si="27"/>
        <v>25524</v>
      </c>
      <c r="H23" s="14">
        <f t="shared" si="27"/>
        <v>63185</v>
      </c>
      <c r="I23" s="14">
        <f t="shared" si="27"/>
        <v>86984</v>
      </c>
      <c r="J23" s="14">
        <f t="shared" si="27"/>
        <v>10208</v>
      </c>
      <c r="K23" s="24">
        <f t="shared" si="27"/>
        <v>42522.222222222226</v>
      </c>
      <c r="L23" s="37">
        <f t="shared" si="27"/>
        <v>48581.75</v>
      </c>
      <c r="M23" s="29">
        <f t="shared" si="27"/>
        <v>0</v>
      </c>
    </row>
    <row r="24" spans="1:15" s="35" customFormat="1" x14ac:dyDescent="0.35">
      <c r="A24" s="35" t="s">
        <v>42</v>
      </c>
      <c r="B24" s="13">
        <f>B21/B23</f>
        <v>2.4502369668246444E-2</v>
      </c>
      <c r="C24" s="13">
        <f t="shared" ref="C24:M24" si="28">C21/C23</f>
        <v>3.2190512452190165E-2</v>
      </c>
      <c r="D24" s="13">
        <f t="shared" si="28"/>
        <v>0.1352685762308285</v>
      </c>
      <c r="E24" s="13">
        <f t="shared" si="28"/>
        <v>0.11052674001531455</v>
      </c>
      <c r="F24" s="13">
        <f t="shared" si="28"/>
        <v>0.17881292261457551</v>
      </c>
      <c r="G24" s="13">
        <f t="shared" si="28"/>
        <v>0.23883403855195109</v>
      </c>
      <c r="H24" s="13">
        <f t="shared" si="28"/>
        <v>8.7694864287409982E-2</v>
      </c>
      <c r="I24" s="13">
        <f t="shared" si="28"/>
        <v>3.9880897636346911E-2</v>
      </c>
      <c r="J24" s="13">
        <f t="shared" si="28"/>
        <v>9.1202978056426326E-2</v>
      </c>
      <c r="K24" s="25">
        <f t="shared" si="28"/>
        <v>8.2599947739743926E-2</v>
      </c>
      <c r="L24" s="23">
        <f t="shared" si="28"/>
        <v>9.4881308310219376E-2</v>
      </c>
      <c r="M24" s="31" t="e">
        <f t="shared" si="28"/>
        <v>#DIV/0!</v>
      </c>
    </row>
    <row r="25" spans="1:15" s="35" customFormat="1" x14ac:dyDescent="0.35">
      <c r="K25" s="6"/>
      <c r="L25" s="49"/>
      <c r="M25" s="50"/>
    </row>
    <row r="26" spans="1:15" s="6" customFormat="1" x14ac:dyDescent="0.35">
      <c r="A26" s="6" t="s">
        <v>83</v>
      </c>
      <c r="B26" s="32">
        <f>B6+B12+B23</f>
        <v>246829</v>
      </c>
      <c r="C26" s="32">
        <f t="shared" ref="C26:L26" si="29">C6+C12+C23</f>
        <v>272787</v>
      </c>
      <c r="D26" s="32">
        <f t="shared" si="29"/>
        <v>309283</v>
      </c>
      <c r="E26" s="32">
        <f t="shared" si="29"/>
        <v>353123</v>
      </c>
      <c r="F26" s="32">
        <f t="shared" si="29"/>
        <v>285229</v>
      </c>
      <c r="G26" s="32">
        <f t="shared" si="29"/>
        <v>291675</v>
      </c>
      <c r="H26" s="32">
        <f t="shared" si="29"/>
        <v>348437</v>
      </c>
      <c r="I26" s="32">
        <f t="shared" si="29"/>
        <v>325251</v>
      </c>
      <c r="J26" s="32">
        <f t="shared" si="29"/>
        <v>254042</v>
      </c>
      <c r="K26" s="32">
        <f t="shared" si="29"/>
        <v>298517.33333333337</v>
      </c>
      <c r="L26" s="51">
        <f t="shared" si="29"/>
        <v>312648</v>
      </c>
      <c r="M26" s="52" t="s">
        <v>18</v>
      </c>
    </row>
    <row r="27" spans="1:15" s="35" customFormat="1" x14ac:dyDescent="0.35">
      <c r="A27" s="35" t="s">
        <v>45</v>
      </c>
      <c r="B27" s="13">
        <f>B23/B26</f>
        <v>0.17096856528203735</v>
      </c>
      <c r="C27" s="13">
        <f t="shared" ref="C27:K27" si="30">C23/C26</f>
        <v>0.21181727868263517</v>
      </c>
      <c r="D27" s="13">
        <f t="shared" si="30"/>
        <v>9.2336145213283621E-2</v>
      </c>
      <c r="E27" s="13">
        <f t="shared" si="30"/>
        <v>0.14053460125791864</v>
      </c>
      <c r="F27" s="13">
        <f t="shared" si="30"/>
        <v>6.532996294205709E-2</v>
      </c>
      <c r="G27" s="13">
        <f t="shared" si="30"/>
        <v>8.7508356904088452E-2</v>
      </c>
      <c r="H27" s="13">
        <f t="shared" si="30"/>
        <v>0.18133837680843309</v>
      </c>
      <c r="I27" s="13">
        <f t="shared" si="30"/>
        <v>0.26743653363094966</v>
      </c>
      <c r="J27" s="13">
        <f t="shared" si="30"/>
        <v>4.0182332055329437E-2</v>
      </c>
      <c r="K27" s="25">
        <f t="shared" si="30"/>
        <v>0.14244473427189785</v>
      </c>
      <c r="L27" s="23">
        <f>L23/L26</f>
        <v>0.15538800823929788</v>
      </c>
      <c r="M27" s="31" t="e">
        <f t="shared" ref="M27" si="31">M18/M26</f>
        <v>#VALUE!</v>
      </c>
    </row>
    <row r="28" spans="1:15" s="35" customFormat="1" x14ac:dyDescent="0.35">
      <c r="A28" s="35" t="s">
        <v>51</v>
      </c>
      <c r="B28" s="13"/>
      <c r="C28" s="13"/>
      <c r="D28" s="13"/>
      <c r="E28" s="13"/>
      <c r="F28" s="13"/>
      <c r="G28" s="13"/>
      <c r="H28" s="13"/>
      <c r="I28" s="13"/>
      <c r="J28" s="13"/>
      <c r="K28" s="46">
        <f>K22/K26</f>
        <v>0.13067880666523737</v>
      </c>
      <c r="L28" s="23"/>
      <c r="M28" s="31"/>
    </row>
    <row r="30" spans="1:15" x14ac:dyDescent="0.35">
      <c r="A30" t="s">
        <v>79</v>
      </c>
      <c r="B30" s="26">
        <f t="shared" ref="B30:K30" si="32">B5+B11+B22</f>
        <v>99165</v>
      </c>
      <c r="C30" s="26">
        <f t="shared" si="32"/>
        <v>131079</v>
      </c>
      <c r="D30" s="26">
        <f t="shared" si="32"/>
        <v>111952</v>
      </c>
      <c r="E30" s="26">
        <f t="shared" si="32"/>
        <v>92147</v>
      </c>
      <c r="F30" s="26">
        <f t="shared" si="32"/>
        <v>96335</v>
      </c>
      <c r="G30" s="26">
        <f t="shared" si="32"/>
        <v>69739</v>
      </c>
      <c r="H30" s="26">
        <f t="shared" si="32"/>
        <v>111406</v>
      </c>
      <c r="I30" s="26">
        <f t="shared" si="32"/>
        <v>167038</v>
      </c>
      <c r="J30" s="26">
        <f t="shared" si="32"/>
        <v>74805</v>
      </c>
      <c r="K30" s="32">
        <f t="shared" si="32"/>
        <v>105962.88888888889</v>
      </c>
    </row>
    <row r="31" spans="1:15" x14ac:dyDescent="0.35">
      <c r="A31" t="s">
        <v>45</v>
      </c>
      <c r="B31" s="13">
        <f t="shared" ref="B31:K31" si="33">B22/B30</f>
        <v>0.41512630464377553</v>
      </c>
      <c r="C31" s="13">
        <f t="shared" si="33"/>
        <v>0.42662058758458637</v>
      </c>
      <c r="D31" s="13">
        <f t="shared" si="33"/>
        <v>0.22058560811776476</v>
      </c>
      <c r="E31" s="13">
        <f t="shared" si="33"/>
        <v>0.4790280747067186</v>
      </c>
      <c r="F31" s="13">
        <f t="shared" si="33"/>
        <v>0.1588415425338662</v>
      </c>
      <c r="G31" s="13">
        <f t="shared" si="33"/>
        <v>0.2785815684193923</v>
      </c>
      <c r="H31" s="13">
        <f t="shared" si="33"/>
        <v>0.51742275999497334</v>
      </c>
      <c r="I31" s="13">
        <f t="shared" si="33"/>
        <v>0.49997605335312922</v>
      </c>
      <c r="J31" s="13">
        <f t="shared" si="33"/>
        <v>0.12401577434663458</v>
      </c>
      <c r="K31" s="25">
        <f t="shared" si="33"/>
        <v>0.36814670964467644</v>
      </c>
    </row>
    <row r="34" spans="1:11" x14ac:dyDescent="0.35">
      <c r="A34" t="s">
        <v>65</v>
      </c>
    </row>
    <row r="35" spans="1:11" s="53" customFormat="1" x14ac:dyDescent="0.35">
      <c r="A35" s="53" t="s">
        <v>92</v>
      </c>
      <c r="K35" s="60"/>
    </row>
    <row r="37" spans="1:11" x14ac:dyDescent="0.35">
      <c r="A37" t="s">
        <v>74</v>
      </c>
    </row>
    <row r="38" spans="1:11" x14ac:dyDescent="0.35">
      <c r="A38" t="s">
        <v>75</v>
      </c>
      <c r="B38" t="s">
        <v>76</v>
      </c>
    </row>
    <row r="39" spans="1:11" x14ac:dyDescent="0.35">
      <c r="B39" t="s">
        <v>77</v>
      </c>
    </row>
    <row r="41" spans="1:11" x14ac:dyDescent="0.35">
      <c r="A41" t="s">
        <v>93</v>
      </c>
      <c r="B41" t="s">
        <v>94</v>
      </c>
    </row>
    <row r="43" spans="1:11" x14ac:dyDescent="0.35">
      <c r="A43" t="s">
        <v>56</v>
      </c>
      <c r="B43" t="s">
        <v>95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DDAF-BF45-5840-93E3-2FAB2DE37CDB}">
  <dimension ref="G17:G181"/>
  <sheetViews>
    <sheetView workbookViewId="0">
      <selection activeCell="A4" sqref="A4:XFD4"/>
    </sheetView>
  </sheetViews>
  <sheetFormatPr defaultColWidth="10.6640625" defaultRowHeight="15.5" x14ac:dyDescent="0.35"/>
  <sheetData>
    <row r="17" spans="7:7" x14ac:dyDescent="0.35">
      <c r="G17" t="s">
        <v>72</v>
      </c>
    </row>
    <row r="45" spans="7:7" x14ac:dyDescent="0.35">
      <c r="G45" t="s">
        <v>57</v>
      </c>
    </row>
    <row r="72" spans="7:7" x14ac:dyDescent="0.35">
      <c r="G72" s="36" t="s">
        <v>67</v>
      </c>
    </row>
    <row r="99" spans="7:7" x14ac:dyDescent="0.35">
      <c r="G99" s="36" t="s">
        <v>68</v>
      </c>
    </row>
    <row r="127" spans="7:7" x14ac:dyDescent="0.35">
      <c r="G127" s="36" t="s">
        <v>69</v>
      </c>
    </row>
    <row r="154" spans="7:7" x14ac:dyDescent="0.35">
      <c r="G154" s="36" t="s">
        <v>70</v>
      </c>
    </row>
    <row r="181" spans="7:7" x14ac:dyDescent="0.35">
      <c r="G181" s="36" t="s">
        <v>71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6D14-A59D-4941-9B7B-3C20FD6CF889}">
  <sheetPr>
    <tabColor theme="5" tint="-0.249977111117893"/>
  </sheetPr>
  <dimension ref="A1:Y37"/>
  <sheetViews>
    <sheetView tabSelected="1" zoomScale="90" zoomScaleNormal="90" workbookViewId="0">
      <selection activeCell="A18" sqref="A18:XFD18"/>
    </sheetView>
  </sheetViews>
  <sheetFormatPr defaultColWidth="10.6640625" defaultRowHeight="14.5" x14ac:dyDescent="0.35"/>
  <cols>
    <col min="1" max="1" width="25.1640625" style="74" customWidth="1"/>
    <col min="2" max="11" width="10.6640625" style="74" customWidth="1"/>
    <col min="12" max="12" width="10.6640625" style="75" customWidth="1"/>
    <col min="13" max="13" width="6.75" style="76" customWidth="1"/>
    <col min="14" max="14" width="11.1640625" style="76" customWidth="1"/>
    <col min="15" max="15" width="11.6640625" style="76" customWidth="1"/>
    <col min="16" max="16" width="8.6640625" style="76" customWidth="1"/>
    <col min="17" max="17" width="9.9140625" style="76" customWidth="1"/>
    <col min="18" max="18" width="6.1640625" style="76" customWidth="1"/>
    <col min="19" max="22" width="10.6640625" style="76"/>
    <col min="23" max="24" width="12.58203125" style="76" customWidth="1"/>
    <col min="25" max="16384" width="10.6640625" style="76"/>
  </cols>
  <sheetData>
    <row r="1" spans="1:25" x14ac:dyDescent="0.35">
      <c r="A1" s="74" t="s">
        <v>47</v>
      </c>
    </row>
    <row r="2" spans="1:25" ht="122.5" customHeight="1" x14ac:dyDescent="0.35">
      <c r="B2" s="74" t="s">
        <v>31</v>
      </c>
      <c r="C2" s="74" t="s">
        <v>32</v>
      </c>
      <c r="D2" s="74" t="s">
        <v>33</v>
      </c>
      <c r="E2" s="74" t="s">
        <v>15</v>
      </c>
      <c r="F2" s="74" t="s">
        <v>17</v>
      </c>
      <c r="G2" s="74" t="s">
        <v>34</v>
      </c>
      <c r="H2" s="74" t="s">
        <v>35</v>
      </c>
      <c r="I2" s="74" t="s">
        <v>36</v>
      </c>
      <c r="J2" s="74" t="s">
        <v>37</v>
      </c>
      <c r="K2" s="74" t="s">
        <v>52</v>
      </c>
      <c r="L2" s="75" t="s">
        <v>41</v>
      </c>
      <c r="N2" s="110" t="s">
        <v>128</v>
      </c>
      <c r="O2" s="110" t="s">
        <v>129</v>
      </c>
      <c r="P2" s="110" t="s">
        <v>132</v>
      </c>
      <c r="Q2" s="108" t="s">
        <v>133</v>
      </c>
      <c r="R2" s="108" t="s">
        <v>136</v>
      </c>
      <c r="S2" s="109" t="s">
        <v>137</v>
      </c>
      <c r="T2" s="109" t="s">
        <v>138</v>
      </c>
      <c r="U2" s="109" t="s">
        <v>139</v>
      </c>
      <c r="V2" s="109" t="s">
        <v>140</v>
      </c>
      <c r="W2" s="109" t="s">
        <v>141</v>
      </c>
      <c r="X2" s="141" t="s">
        <v>135</v>
      </c>
      <c r="Y2" s="142" t="s">
        <v>134</v>
      </c>
    </row>
    <row r="3" spans="1:25" x14ac:dyDescent="0.35">
      <c r="A3" s="77" t="s">
        <v>55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7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</row>
    <row r="4" spans="1:25" x14ac:dyDescent="0.35">
      <c r="A4" s="79" t="s">
        <v>57</v>
      </c>
      <c r="B4" s="80">
        <v>3888</v>
      </c>
      <c r="C4" s="80">
        <v>3538</v>
      </c>
      <c r="D4" s="80">
        <v>2123</v>
      </c>
      <c r="E4" s="80">
        <v>4458</v>
      </c>
      <c r="F4" s="80">
        <v>1293</v>
      </c>
      <c r="G4" s="80">
        <v>1021</v>
      </c>
      <c r="H4" s="80">
        <v>5983</v>
      </c>
      <c r="I4" s="80">
        <v>6521</v>
      </c>
      <c r="J4" s="80">
        <v>1274</v>
      </c>
      <c r="K4" s="80">
        <v>8350</v>
      </c>
      <c r="L4" s="81">
        <f>AVERAGE(B4:K4)</f>
        <v>3844.9</v>
      </c>
      <c r="N4" s="112">
        <v>98849</v>
      </c>
      <c r="O4" s="112">
        <v>26901</v>
      </c>
      <c r="P4" s="113">
        <v>3.6745474145942532</v>
      </c>
      <c r="Q4" s="114">
        <v>27.7</v>
      </c>
      <c r="R4" s="79">
        <v>566</v>
      </c>
      <c r="S4" s="115">
        <v>505.43547050952202</v>
      </c>
      <c r="T4" s="115">
        <v>145.41615095304601</v>
      </c>
      <c r="U4" s="115">
        <v>16.3082642295992</v>
      </c>
      <c r="V4" s="115">
        <v>85.359432783580502</v>
      </c>
      <c r="W4" s="115">
        <v>258.35162254329498</v>
      </c>
      <c r="X4" s="116">
        <f>(O4*(Q4/100)*S4)/1000</f>
        <v>3766.2913270329323</v>
      </c>
      <c r="Y4" s="112">
        <f>(O4*(Q4/100)*SUM(U4:W4))/1000</f>
        <v>2682.711681162677</v>
      </c>
    </row>
    <row r="5" spans="1:25" x14ac:dyDescent="0.35">
      <c r="A5" s="79" t="s">
        <v>58</v>
      </c>
      <c r="B5" s="80">
        <v>1354</v>
      </c>
      <c r="C5" s="80">
        <v>1016</v>
      </c>
      <c r="D5" s="80">
        <v>335</v>
      </c>
      <c r="E5" s="80">
        <v>774</v>
      </c>
      <c r="F5" s="80">
        <v>139</v>
      </c>
      <c r="G5" s="80">
        <v>185</v>
      </c>
      <c r="H5" s="80">
        <v>290</v>
      </c>
      <c r="I5" s="80">
        <v>365</v>
      </c>
      <c r="J5" s="80">
        <v>47</v>
      </c>
      <c r="K5" s="80">
        <v>184</v>
      </c>
      <c r="L5" s="81">
        <f t="shared" ref="L5:L10" si="0">AVERAGE(B5:K5)</f>
        <v>468.9</v>
      </c>
      <c r="N5" s="112">
        <v>237779</v>
      </c>
      <c r="O5" s="112">
        <v>52894</v>
      </c>
      <c r="P5" s="113">
        <v>4.495387000415926</v>
      </c>
      <c r="Q5" s="114">
        <v>26.074153297682706</v>
      </c>
      <c r="R5" s="79">
        <v>1122</v>
      </c>
      <c r="S5" s="115">
        <v>276.28688399101998</v>
      </c>
      <c r="T5" s="115">
        <v>208.82474257099898</v>
      </c>
      <c r="U5" s="115">
        <v>33.756933273578099</v>
      </c>
      <c r="V5" s="115">
        <v>5.39182558616249</v>
      </c>
      <c r="W5" s="115">
        <v>28.313382560280701</v>
      </c>
      <c r="X5" s="116">
        <f t="shared" ref="X5:X9" si="1">(O5*(Q5/100)*S5)/1000</f>
        <v>3810.4554973187342</v>
      </c>
      <c r="Y5" s="112">
        <f t="shared" ref="Y5:Y9" si="2">(O5*(Q5/100)*SUM(U5:W5))/1000</f>
        <v>930.41509579285389</v>
      </c>
    </row>
    <row r="6" spans="1:25" x14ac:dyDescent="0.35">
      <c r="A6" s="79" t="s">
        <v>59</v>
      </c>
      <c r="B6" s="80">
        <v>0</v>
      </c>
      <c r="C6" s="80">
        <v>0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>
        <v>0</v>
      </c>
      <c r="L6" s="81">
        <f t="shared" si="0"/>
        <v>0</v>
      </c>
      <c r="N6" s="112">
        <v>249885</v>
      </c>
      <c r="O6" s="112">
        <v>54383</v>
      </c>
      <c r="P6" s="113">
        <v>4.5949101741352996</v>
      </c>
      <c r="Q6" s="114">
        <v>8.4</v>
      </c>
      <c r="R6" s="79">
        <v>854</v>
      </c>
      <c r="S6" s="115">
        <v>566.68108687499898</v>
      </c>
      <c r="T6" s="115">
        <v>39.481721903857199</v>
      </c>
      <c r="U6" s="115">
        <v>0.49466634288199302</v>
      </c>
      <c r="V6" s="115">
        <v>485.82829665525099</v>
      </c>
      <c r="W6" s="115">
        <v>40.876401973007901</v>
      </c>
      <c r="X6" s="116">
        <f t="shared" si="1"/>
        <v>2588.696673991938</v>
      </c>
      <c r="Y6" s="112">
        <f t="shared" si="2"/>
        <v>2408.337377478947</v>
      </c>
    </row>
    <row r="7" spans="1:25" x14ac:dyDescent="0.35">
      <c r="A7" s="79" t="s">
        <v>60</v>
      </c>
      <c r="B7" s="80">
        <v>0</v>
      </c>
      <c r="C7" s="80">
        <v>0</v>
      </c>
      <c r="D7" s="80">
        <v>0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1">
        <f t="shared" si="0"/>
        <v>0</v>
      </c>
      <c r="N7" s="112">
        <v>255510</v>
      </c>
      <c r="O7" s="112">
        <v>49470</v>
      </c>
      <c r="P7" s="113">
        <v>5.1649484536082477</v>
      </c>
      <c r="Q7" s="114">
        <v>11.4</v>
      </c>
      <c r="R7" s="79">
        <v>854</v>
      </c>
      <c r="S7" s="115">
        <v>23.242940505273001</v>
      </c>
      <c r="T7" s="115">
        <v>18.311148692090899</v>
      </c>
      <c r="U7" s="115">
        <v>1.19769814219441</v>
      </c>
      <c r="V7" s="115">
        <v>0</v>
      </c>
      <c r="W7" s="115">
        <v>3.7340936709876602</v>
      </c>
      <c r="X7" s="116">
        <f t="shared" si="1"/>
        <v>131.08042241472751</v>
      </c>
      <c r="Y7" s="112">
        <f t="shared" si="2"/>
        <v>27.813234473785336</v>
      </c>
    </row>
    <row r="8" spans="1:25" x14ac:dyDescent="0.35">
      <c r="A8" s="79" t="s">
        <v>61</v>
      </c>
      <c r="B8" s="80">
        <v>0</v>
      </c>
      <c r="C8" s="80">
        <v>0</v>
      </c>
      <c r="D8" s="80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>
        <v>0</v>
      </c>
      <c r="L8" s="81">
        <f t="shared" si="0"/>
        <v>0</v>
      </c>
      <c r="N8" s="112">
        <v>189237</v>
      </c>
      <c r="O8" s="112">
        <v>44544</v>
      </c>
      <c r="P8" s="113">
        <v>4.2483162715517242</v>
      </c>
      <c r="Q8" s="114">
        <v>4.2</v>
      </c>
      <c r="R8" s="79">
        <v>846</v>
      </c>
      <c r="S8" s="115">
        <v>54.954049011948698</v>
      </c>
      <c r="T8" s="115">
        <v>51.315297587155001</v>
      </c>
      <c r="U8" s="115">
        <v>0.77908757122852501</v>
      </c>
      <c r="V8" s="115">
        <v>0.102152307151512</v>
      </c>
      <c r="W8" s="115">
        <v>2.7575115464136601</v>
      </c>
      <c r="X8" s="116">
        <f t="shared" si="1"/>
        <v>102.8106726859062</v>
      </c>
      <c r="Y8" s="112">
        <f t="shared" si="2"/>
        <v>6.8075508255724397</v>
      </c>
    </row>
    <row r="9" spans="1:25" x14ac:dyDescent="0.35">
      <c r="A9" s="79" t="s">
        <v>62</v>
      </c>
      <c r="B9" s="80">
        <v>0</v>
      </c>
      <c r="C9" s="80">
        <v>0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1">
        <f t="shared" si="0"/>
        <v>0</v>
      </c>
      <c r="N9" s="112">
        <v>195165</v>
      </c>
      <c r="O9" s="112">
        <v>45407</v>
      </c>
      <c r="P9" s="113">
        <v>4.2981258396282511</v>
      </c>
      <c r="Q9" s="114">
        <v>7</v>
      </c>
      <c r="R9" s="79">
        <v>837</v>
      </c>
      <c r="S9" s="115">
        <v>78.6617350064368</v>
      </c>
      <c r="T9" s="115">
        <v>45.119648136916901</v>
      </c>
      <c r="U9" s="115">
        <v>5.8415591091519197</v>
      </c>
      <c r="V9" s="115">
        <v>11.770711844750601</v>
      </c>
      <c r="W9" s="115">
        <v>15.929815915617199</v>
      </c>
      <c r="X9" s="116">
        <f t="shared" si="1"/>
        <v>250.02553810060931</v>
      </c>
      <c r="Y9" s="112">
        <f t="shared" si="2"/>
        <v>106.61318769389975</v>
      </c>
    </row>
    <row r="10" spans="1:25" x14ac:dyDescent="0.35">
      <c r="A10" s="82" t="s">
        <v>73</v>
      </c>
      <c r="B10" s="83">
        <f t="shared" ref="B10:K10" si="3">SUM(B4:B9)</f>
        <v>5242</v>
      </c>
      <c r="C10" s="83">
        <f t="shared" si="3"/>
        <v>4554</v>
      </c>
      <c r="D10" s="83">
        <f t="shared" si="3"/>
        <v>2458</v>
      </c>
      <c r="E10" s="83">
        <f t="shared" si="3"/>
        <v>5232</v>
      </c>
      <c r="F10" s="83">
        <f t="shared" si="3"/>
        <v>1432</v>
      </c>
      <c r="G10" s="83">
        <f t="shared" si="3"/>
        <v>1206</v>
      </c>
      <c r="H10" s="83">
        <f t="shared" si="3"/>
        <v>6273</v>
      </c>
      <c r="I10" s="83">
        <f t="shared" si="3"/>
        <v>6886</v>
      </c>
      <c r="J10" s="83">
        <f t="shared" si="3"/>
        <v>1321</v>
      </c>
      <c r="K10" s="83">
        <f t="shared" si="3"/>
        <v>8534</v>
      </c>
      <c r="L10" s="84">
        <f t="shared" si="0"/>
        <v>4313.8</v>
      </c>
      <c r="N10" s="117">
        <v>1226425</v>
      </c>
      <c r="O10" s="117">
        <v>273599</v>
      </c>
      <c r="P10" s="118">
        <v>4.4825638982598619</v>
      </c>
      <c r="Q10" s="79"/>
      <c r="R10" s="79"/>
      <c r="S10" s="79"/>
      <c r="T10" s="79"/>
      <c r="U10" s="79"/>
      <c r="V10" s="79"/>
      <c r="W10" s="79"/>
      <c r="X10" s="119">
        <f>SUM(X4:X9)</f>
        <v>10649.360131544847</v>
      </c>
      <c r="Y10" s="117">
        <f>SUM(Y4:Y9)</f>
        <v>6162.698127427735</v>
      </c>
    </row>
    <row r="11" spans="1:25" x14ac:dyDescent="0.35">
      <c r="A11" s="82" t="s">
        <v>66</v>
      </c>
      <c r="B11" s="83">
        <v>5242</v>
      </c>
      <c r="C11" s="83">
        <v>4554</v>
      </c>
      <c r="D11" s="83">
        <v>2458</v>
      </c>
      <c r="E11" s="83">
        <v>5232</v>
      </c>
      <c r="F11" s="83">
        <v>1432</v>
      </c>
      <c r="G11" s="83">
        <v>1206</v>
      </c>
      <c r="H11" s="83">
        <v>6273</v>
      </c>
      <c r="I11" s="83">
        <v>6886</v>
      </c>
      <c r="J11" s="83">
        <v>1321</v>
      </c>
      <c r="K11" s="83">
        <v>8534</v>
      </c>
      <c r="L11" s="84">
        <f>AVERAGE(B11:K11)</f>
        <v>4313.8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 spans="1:25" x14ac:dyDescent="0.35">
      <c r="A12" s="85" t="s">
        <v>63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5"/>
      <c r="N12" s="120"/>
      <c r="O12" s="120"/>
      <c r="P12" s="120"/>
      <c r="Q12" s="120"/>
      <c r="R12" s="120"/>
      <c r="S12" s="120"/>
      <c r="T12" s="120"/>
      <c r="U12" s="120"/>
      <c r="V12" s="120"/>
      <c r="W12" s="121"/>
      <c r="X12" s="121"/>
      <c r="Y12" s="120"/>
    </row>
    <row r="13" spans="1:25" x14ac:dyDescent="0.35">
      <c r="A13" s="87" t="s">
        <v>57</v>
      </c>
      <c r="B13" s="88">
        <v>862</v>
      </c>
      <c r="C13" s="88">
        <v>810</v>
      </c>
      <c r="D13" s="88">
        <v>543</v>
      </c>
      <c r="E13" s="88">
        <v>1227</v>
      </c>
      <c r="F13" s="88">
        <v>331</v>
      </c>
      <c r="G13" s="88">
        <v>328</v>
      </c>
      <c r="H13" s="88">
        <v>459</v>
      </c>
      <c r="I13" s="88">
        <v>546</v>
      </c>
      <c r="J13" s="88">
        <v>153</v>
      </c>
      <c r="K13" s="88">
        <v>1469</v>
      </c>
      <c r="L13" s="89">
        <f>AVERAGE(B13:K13)</f>
        <v>672.8</v>
      </c>
      <c r="N13" s="122">
        <v>98849</v>
      </c>
      <c r="O13" s="122">
        <v>26901</v>
      </c>
      <c r="P13" s="123">
        <v>3.6745474145942532</v>
      </c>
      <c r="Q13" s="124">
        <v>4</v>
      </c>
      <c r="R13" s="125">
        <v>566</v>
      </c>
      <c r="S13" s="126">
        <v>99.639415305457504</v>
      </c>
      <c r="T13" s="126">
        <v>67.901804704594397</v>
      </c>
      <c r="U13" s="126">
        <v>9.2635683144690404</v>
      </c>
      <c r="V13" s="126">
        <v>21.910587451208698</v>
      </c>
      <c r="W13" s="126">
        <v>0.56345483518529205</v>
      </c>
      <c r="X13" s="127">
        <f>(O13*(Q13/100)*S13)/1000</f>
        <v>107.21599644528449</v>
      </c>
      <c r="Y13" s="122">
        <f>(O13*(Q13/100)*SUM(U13:W13))/1000</f>
        <v>34.150938510952656</v>
      </c>
    </row>
    <row r="14" spans="1:25" x14ac:dyDescent="0.35">
      <c r="A14" s="87" t="s">
        <v>58</v>
      </c>
      <c r="B14" s="88">
        <v>3631</v>
      </c>
      <c r="C14" s="88">
        <v>2469</v>
      </c>
      <c r="D14" s="88">
        <v>1358</v>
      </c>
      <c r="E14" s="88">
        <v>2825</v>
      </c>
      <c r="F14" s="88">
        <v>763</v>
      </c>
      <c r="G14" s="88">
        <v>1541</v>
      </c>
      <c r="H14" s="88">
        <v>3745</v>
      </c>
      <c r="I14" s="88">
        <v>6704</v>
      </c>
      <c r="J14" s="88">
        <v>1743</v>
      </c>
      <c r="K14" s="88">
        <v>8471</v>
      </c>
      <c r="L14" s="89">
        <f t="shared" ref="L14:L18" si="4">AVERAGE(B14:K14)</f>
        <v>3325</v>
      </c>
      <c r="N14" s="122">
        <v>237779</v>
      </c>
      <c r="O14" s="122">
        <v>52894</v>
      </c>
      <c r="P14" s="123">
        <v>4.495387000415926</v>
      </c>
      <c r="Q14" s="124">
        <v>37.985918003565061</v>
      </c>
      <c r="R14" s="125">
        <v>1122</v>
      </c>
      <c r="S14" s="126">
        <v>430.29676264547402</v>
      </c>
      <c r="T14" s="126">
        <v>337.56263496682504</v>
      </c>
      <c r="U14" s="126">
        <v>30.922454639728599</v>
      </c>
      <c r="V14" s="126">
        <v>19.64003078564356</v>
      </c>
      <c r="W14" s="126">
        <v>42.171642253275301</v>
      </c>
      <c r="X14" s="127">
        <f t="shared" ref="X14:X18" si="5">(O14*(Q14/100)*S14)/1000</f>
        <v>8645.6393672211161</v>
      </c>
      <c r="Y14" s="122">
        <f t="shared" ref="Y14:Y18" si="6">(O14*(Q14/100)*SUM(U14:W14))/1000</f>
        <v>1863.2392677422736</v>
      </c>
    </row>
    <row r="15" spans="1:25" x14ac:dyDescent="0.35">
      <c r="A15" s="87" t="s">
        <v>59</v>
      </c>
      <c r="B15" s="88">
        <v>10089</v>
      </c>
      <c r="C15" s="88">
        <v>11300</v>
      </c>
      <c r="D15" s="88">
        <v>3051</v>
      </c>
      <c r="E15" s="88">
        <v>7139</v>
      </c>
      <c r="F15" s="88">
        <v>3213</v>
      </c>
      <c r="G15" s="88">
        <v>4627</v>
      </c>
      <c r="H15" s="88">
        <v>12724</v>
      </c>
      <c r="I15" s="88">
        <v>21249</v>
      </c>
      <c r="J15" s="88">
        <v>1062</v>
      </c>
      <c r="K15" s="88">
        <v>20741</v>
      </c>
      <c r="L15" s="89">
        <f t="shared" si="4"/>
        <v>9519.5</v>
      </c>
      <c r="N15" s="122">
        <v>249885</v>
      </c>
      <c r="O15" s="122">
        <v>54383</v>
      </c>
      <c r="P15" s="123">
        <v>4.5949101741352996</v>
      </c>
      <c r="Q15" s="124">
        <v>59</v>
      </c>
      <c r="R15" s="125">
        <v>854</v>
      </c>
      <c r="S15" s="126">
        <v>453.549081395455</v>
      </c>
      <c r="T15" s="126">
        <v>263.77293271193201</v>
      </c>
      <c r="U15" s="126">
        <v>14.6079615771669</v>
      </c>
      <c r="V15" s="126">
        <v>15.4707390947933</v>
      </c>
      <c r="W15" s="126">
        <v>159.69744801156199</v>
      </c>
      <c r="X15" s="127">
        <f t="shared" si="5"/>
        <v>14552.562219182126</v>
      </c>
      <c r="Y15" s="122">
        <f t="shared" si="6"/>
        <v>6089.1518133750324</v>
      </c>
    </row>
    <row r="16" spans="1:25" x14ac:dyDescent="0.35">
      <c r="A16" s="87" t="s">
        <v>60</v>
      </c>
      <c r="B16" s="88">
        <v>6724</v>
      </c>
      <c r="C16" s="88">
        <v>10758</v>
      </c>
      <c r="D16" s="88">
        <v>4518</v>
      </c>
      <c r="E16" s="88">
        <v>6641</v>
      </c>
      <c r="F16" s="88">
        <v>2258</v>
      </c>
      <c r="G16" s="88">
        <v>3952</v>
      </c>
      <c r="H16" s="88">
        <v>11461</v>
      </c>
      <c r="I16" s="88">
        <v>15472</v>
      </c>
      <c r="J16" s="88">
        <v>2476</v>
      </c>
      <c r="K16" s="88">
        <v>18450</v>
      </c>
      <c r="L16" s="89">
        <f t="shared" si="4"/>
        <v>8271</v>
      </c>
      <c r="N16" s="122">
        <v>255510</v>
      </c>
      <c r="O16" s="122">
        <v>49470</v>
      </c>
      <c r="P16" s="123">
        <v>5.1649484536082477</v>
      </c>
      <c r="Q16" s="124">
        <v>66.599999999999994</v>
      </c>
      <c r="R16" s="125">
        <v>854</v>
      </c>
      <c r="S16" s="126">
        <v>375.10659114003101</v>
      </c>
      <c r="T16" s="126">
        <v>229.23916705996501</v>
      </c>
      <c r="U16" s="126">
        <v>11.556067413471901</v>
      </c>
      <c r="V16" s="126">
        <v>1.57210783681344</v>
      </c>
      <c r="W16" s="126">
        <v>132.73924882978</v>
      </c>
      <c r="X16" s="127">
        <f t="shared" si="5"/>
        <v>12358.644360422422</v>
      </c>
      <c r="Y16" s="122">
        <f t="shared" si="6"/>
        <v>4805.8969385143937</v>
      </c>
    </row>
    <row r="17" spans="1:25" x14ac:dyDescent="0.35">
      <c r="A17" s="87" t="s">
        <v>61</v>
      </c>
      <c r="B17" s="88">
        <v>4110</v>
      </c>
      <c r="C17" s="88">
        <v>11423</v>
      </c>
      <c r="D17" s="88">
        <v>4112</v>
      </c>
      <c r="E17" s="88">
        <v>8306</v>
      </c>
      <c r="F17" s="88">
        <v>3156</v>
      </c>
      <c r="G17" s="88">
        <v>2115</v>
      </c>
      <c r="H17" s="88">
        <v>9623</v>
      </c>
      <c r="I17" s="88">
        <v>15397</v>
      </c>
      <c r="J17" s="88">
        <v>462</v>
      </c>
      <c r="K17" s="88">
        <v>14530</v>
      </c>
      <c r="L17" s="89">
        <f t="shared" si="4"/>
        <v>7323.4</v>
      </c>
      <c r="N17" s="122">
        <v>189237</v>
      </c>
      <c r="O17" s="122">
        <v>44544</v>
      </c>
      <c r="P17" s="123">
        <v>4.2483162715517242</v>
      </c>
      <c r="Q17" s="124">
        <v>38.9</v>
      </c>
      <c r="R17" s="125">
        <v>846</v>
      </c>
      <c r="S17" s="126">
        <v>293.74860726229099</v>
      </c>
      <c r="T17" s="126">
        <v>183.43803488447099</v>
      </c>
      <c r="U17" s="126">
        <v>4.6187731384331903</v>
      </c>
      <c r="V17" s="126">
        <v>7.2543298889981003</v>
      </c>
      <c r="W17" s="126">
        <v>98.437469350389406</v>
      </c>
      <c r="X17" s="127">
        <f t="shared" si="5"/>
        <v>5089.9630671757895</v>
      </c>
      <c r="Y17" s="122">
        <f t="shared" si="6"/>
        <v>1911.4192389030843</v>
      </c>
    </row>
    <row r="18" spans="1:25" x14ac:dyDescent="0.35">
      <c r="A18" s="87" t="s">
        <v>62</v>
      </c>
      <c r="B18" s="88">
        <v>15706</v>
      </c>
      <c r="C18" s="88">
        <v>19161</v>
      </c>
      <c r="D18" s="88">
        <v>11113</v>
      </c>
      <c r="E18" s="88">
        <v>18003</v>
      </c>
      <c r="F18" s="88">
        <v>5581</v>
      </c>
      <c r="G18" s="88">
        <v>6865</v>
      </c>
      <c r="H18" s="88">
        <v>19632</v>
      </c>
      <c r="I18" s="88">
        <v>24147</v>
      </c>
      <c r="J18" s="88">
        <v>3381</v>
      </c>
      <c r="K18" s="88">
        <v>27168</v>
      </c>
      <c r="L18" s="89">
        <f t="shared" si="4"/>
        <v>15075.7</v>
      </c>
      <c r="N18" s="122">
        <v>195165</v>
      </c>
      <c r="O18" s="122">
        <v>45407</v>
      </c>
      <c r="P18" s="123">
        <v>4.2981258396282511</v>
      </c>
      <c r="Q18" s="124">
        <v>51.9</v>
      </c>
      <c r="R18" s="125">
        <v>837</v>
      </c>
      <c r="S18" s="126">
        <v>280.503945296854</v>
      </c>
      <c r="T18" s="126">
        <v>169.231029199814</v>
      </c>
      <c r="U18" s="126">
        <v>13.653099302032</v>
      </c>
      <c r="V18" s="126">
        <v>6.79860363867133</v>
      </c>
      <c r="W18" s="126">
        <v>90.821213156336995</v>
      </c>
      <c r="X18" s="127">
        <f t="shared" si="5"/>
        <v>6610.4213322849155</v>
      </c>
      <c r="Y18" s="122">
        <f t="shared" si="6"/>
        <v>2622.2834673323032</v>
      </c>
    </row>
    <row r="19" spans="1:25" x14ac:dyDescent="0.35">
      <c r="A19" s="90" t="s">
        <v>73</v>
      </c>
      <c r="B19" s="91">
        <f>SUM(B13:B18)</f>
        <v>41122</v>
      </c>
      <c r="C19" s="91">
        <f t="shared" ref="C19:L19" si="7">SUM(C13:C18)</f>
        <v>55921</v>
      </c>
      <c r="D19" s="91">
        <f t="shared" si="7"/>
        <v>24695</v>
      </c>
      <c r="E19" s="91">
        <f t="shared" si="7"/>
        <v>44141</v>
      </c>
      <c r="F19" s="91">
        <f t="shared" si="7"/>
        <v>15302</v>
      </c>
      <c r="G19" s="91">
        <f t="shared" si="7"/>
        <v>19428</v>
      </c>
      <c r="H19" s="91">
        <f t="shared" si="7"/>
        <v>57644</v>
      </c>
      <c r="I19" s="91">
        <f t="shared" si="7"/>
        <v>83515</v>
      </c>
      <c r="J19" s="91">
        <f t="shared" si="7"/>
        <v>9277</v>
      </c>
      <c r="K19" s="91">
        <f t="shared" si="7"/>
        <v>90829</v>
      </c>
      <c r="L19" s="92">
        <f t="shared" si="7"/>
        <v>44187.399999999994</v>
      </c>
      <c r="N19" s="128">
        <v>1226425</v>
      </c>
      <c r="O19" s="128">
        <v>273599</v>
      </c>
      <c r="P19" s="129">
        <v>4.4825638982598619</v>
      </c>
      <c r="Q19" s="87"/>
      <c r="R19" s="87"/>
      <c r="S19" s="87"/>
      <c r="T19" s="87"/>
      <c r="U19" s="87"/>
      <c r="V19" s="87"/>
      <c r="W19" s="87"/>
      <c r="X19" s="130">
        <f>SUM(X13:X18)</f>
        <v>47364.446342731659</v>
      </c>
      <c r="Y19" s="128">
        <f>SUM(Y13:Y18)</f>
        <v>17326.141664378039</v>
      </c>
    </row>
    <row r="20" spans="1:25" x14ac:dyDescent="0.35">
      <c r="A20" s="90" t="s">
        <v>66</v>
      </c>
      <c r="B20" s="91">
        <v>41122</v>
      </c>
      <c r="C20" s="91">
        <v>55921</v>
      </c>
      <c r="D20" s="91">
        <v>24695</v>
      </c>
      <c r="E20" s="91">
        <v>44141</v>
      </c>
      <c r="F20" s="91">
        <v>15302</v>
      </c>
      <c r="G20" s="91">
        <v>19428</v>
      </c>
      <c r="H20" s="91">
        <v>57644</v>
      </c>
      <c r="I20" s="91">
        <v>83515</v>
      </c>
      <c r="J20" s="91">
        <v>9277</v>
      </c>
      <c r="K20" s="91">
        <v>90829</v>
      </c>
      <c r="L20" s="93">
        <f>AVERAGE(B20:K20)</f>
        <v>44187.4</v>
      </c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spans="1:25" x14ac:dyDescent="0.35">
      <c r="A21" s="94" t="s">
        <v>82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</row>
    <row r="22" spans="1:25" x14ac:dyDescent="0.35">
      <c r="A22" s="95" t="s">
        <v>57</v>
      </c>
      <c r="B22" s="96">
        <v>988</v>
      </c>
      <c r="C22" s="96">
        <v>1294</v>
      </c>
      <c r="D22" s="96">
        <v>867</v>
      </c>
      <c r="E22" s="96">
        <v>1864</v>
      </c>
      <c r="F22" s="96">
        <v>876</v>
      </c>
      <c r="G22" s="96">
        <v>718</v>
      </c>
      <c r="H22" s="96">
        <v>976</v>
      </c>
      <c r="I22" s="96">
        <v>869</v>
      </c>
      <c r="J22" s="96">
        <v>261</v>
      </c>
      <c r="K22" s="96">
        <v>1372</v>
      </c>
      <c r="L22" s="97">
        <f>AVERAGE(B22:K22)</f>
        <v>1008.5</v>
      </c>
      <c r="N22" s="132">
        <v>98849</v>
      </c>
      <c r="O22" s="132">
        <v>26901</v>
      </c>
      <c r="P22" s="133">
        <v>3.6745474145942532</v>
      </c>
      <c r="Q22" s="134">
        <v>2</v>
      </c>
      <c r="R22" s="135">
        <v>566</v>
      </c>
      <c r="S22" s="136">
        <v>78.453285401023706</v>
      </c>
      <c r="T22" s="136">
        <v>64.944925553191595</v>
      </c>
      <c r="U22" s="136">
        <v>4.2683887866940102</v>
      </c>
      <c r="V22" s="136">
        <v>4.61998553056902E-2</v>
      </c>
      <c r="W22" s="136">
        <v>9.1937712058323608</v>
      </c>
      <c r="X22" s="137">
        <f>(O22*(Q22/100)*S22)/1000</f>
        <v>42.209436611458777</v>
      </c>
      <c r="Y22" s="132">
        <f>(O22*(Q22/100)*SUM(U22:W22))/1000</f>
        <v>7.2677677653306052</v>
      </c>
    </row>
    <row r="23" spans="1:25" x14ac:dyDescent="0.35">
      <c r="A23" s="95" t="s">
        <v>58</v>
      </c>
      <c r="B23" s="96">
        <v>568</v>
      </c>
      <c r="C23" s="96">
        <v>466</v>
      </c>
      <c r="D23" s="96">
        <v>126</v>
      </c>
      <c r="E23" s="96">
        <v>218</v>
      </c>
      <c r="F23" s="96">
        <v>87</v>
      </c>
      <c r="G23" s="96">
        <v>117</v>
      </c>
      <c r="H23" s="96">
        <v>184</v>
      </c>
      <c r="I23" s="96">
        <v>232</v>
      </c>
      <c r="J23" s="96">
        <v>44</v>
      </c>
      <c r="K23" s="96">
        <v>89</v>
      </c>
      <c r="L23" s="97">
        <f t="shared" ref="L23:L29" si="8">AVERAGE(B23:K23)</f>
        <v>213.1</v>
      </c>
      <c r="N23" s="132">
        <v>237779</v>
      </c>
      <c r="O23" s="132">
        <v>52894</v>
      </c>
      <c r="P23" s="133">
        <v>4.495387000415926</v>
      </c>
      <c r="Q23" s="134">
        <v>5.4486631016042777</v>
      </c>
      <c r="R23" s="135">
        <v>1122</v>
      </c>
      <c r="S23" s="136">
        <v>149.69328762567031</v>
      </c>
      <c r="T23" s="136">
        <v>122.84014132932421</v>
      </c>
      <c r="U23" s="136">
        <v>10.046769141625511</v>
      </c>
      <c r="V23" s="136">
        <v>3.93441766958358</v>
      </c>
      <c r="W23" s="136">
        <v>12.871959485137079</v>
      </c>
      <c r="X23" s="137">
        <f t="shared" ref="X23:X27" si="9">(O23*(Q23/100)*S23)/1000</f>
        <v>431.41842921681337</v>
      </c>
      <c r="Y23" s="132">
        <f t="shared" ref="Y23:Y27" si="10">(O23*(Q23/100)*SUM(U23:W23))/1000</f>
        <v>77.391193542817874</v>
      </c>
    </row>
    <row r="24" spans="1:25" x14ac:dyDescent="0.35">
      <c r="A24" s="95" t="s">
        <v>59</v>
      </c>
      <c r="B24" s="96">
        <v>1030</v>
      </c>
      <c r="C24" s="96">
        <v>1318</v>
      </c>
      <c r="D24" s="96">
        <v>145</v>
      </c>
      <c r="E24" s="96">
        <v>271</v>
      </c>
      <c r="F24" s="96">
        <v>92</v>
      </c>
      <c r="G24" s="96">
        <v>107</v>
      </c>
      <c r="H24" s="96">
        <v>250</v>
      </c>
      <c r="I24" s="96">
        <v>438</v>
      </c>
      <c r="J24" s="96">
        <v>9</v>
      </c>
      <c r="K24" s="96">
        <v>1310</v>
      </c>
      <c r="L24" s="97">
        <f t="shared" si="8"/>
        <v>497</v>
      </c>
      <c r="N24" s="132">
        <v>249885</v>
      </c>
      <c r="O24" s="132">
        <v>54383</v>
      </c>
      <c r="P24" s="133">
        <v>4.5949101741352996</v>
      </c>
      <c r="Q24" s="134">
        <v>25.5</v>
      </c>
      <c r="R24" s="135">
        <v>854</v>
      </c>
      <c r="S24" s="136">
        <v>79.312183202034504</v>
      </c>
      <c r="T24" s="136">
        <v>55.041706442390399</v>
      </c>
      <c r="U24" s="136">
        <v>2.4677997785147299</v>
      </c>
      <c r="V24" s="136">
        <v>0</v>
      </c>
      <c r="W24" s="136">
        <v>21.802676981129299</v>
      </c>
      <c r="X24" s="137">
        <f t="shared" si="9"/>
        <v>1099.874787064442</v>
      </c>
      <c r="Y24" s="132">
        <f t="shared" si="10"/>
        <v>336.57484109302897</v>
      </c>
    </row>
    <row r="25" spans="1:25" x14ac:dyDescent="0.35">
      <c r="A25" s="95" t="s">
        <v>60</v>
      </c>
      <c r="B25" s="96">
        <v>1310</v>
      </c>
      <c r="C25" s="96">
        <v>1507</v>
      </c>
      <c r="D25" s="96">
        <v>377</v>
      </c>
      <c r="E25" s="96">
        <v>664</v>
      </c>
      <c r="F25" s="96">
        <v>292</v>
      </c>
      <c r="G25" s="96">
        <v>273</v>
      </c>
      <c r="H25" s="96">
        <v>603</v>
      </c>
      <c r="I25" s="96">
        <v>1206</v>
      </c>
      <c r="J25" s="96">
        <v>48</v>
      </c>
      <c r="K25" s="96">
        <v>1350</v>
      </c>
      <c r="L25" s="97">
        <f t="shared" si="8"/>
        <v>763</v>
      </c>
      <c r="N25" s="132">
        <v>255510</v>
      </c>
      <c r="O25" s="132">
        <v>49470</v>
      </c>
      <c r="P25" s="133">
        <v>5.1649484536082477</v>
      </c>
      <c r="Q25" s="134">
        <v>25.3</v>
      </c>
      <c r="R25" s="135">
        <v>854</v>
      </c>
      <c r="S25" s="136">
        <v>29.856126532649501</v>
      </c>
      <c r="T25" s="136">
        <v>23.577289629964099</v>
      </c>
      <c r="U25" s="136">
        <v>0.25167841359403598</v>
      </c>
      <c r="V25" s="136">
        <v>0.57434511575720604</v>
      </c>
      <c r="W25" s="136">
        <v>5.4528133733341999</v>
      </c>
      <c r="X25" s="137">
        <f t="shared" si="9"/>
        <v>373.67659263125324</v>
      </c>
      <c r="Y25" s="132">
        <f t="shared" si="10"/>
        <v>78.585357578689752</v>
      </c>
    </row>
    <row r="26" spans="1:25" x14ac:dyDescent="0.35">
      <c r="A26" s="95" t="s">
        <v>61</v>
      </c>
      <c r="B26" s="96">
        <v>917</v>
      </c>
      <c r="C26" s="96">
        <v>2127</v>
      </c>
      <c r="D26" s="96">
        <v>277</v>
      </c>
      <c r="E26" s="96">
        <v>573</v>
      </c>
      <c r="F26" s="96">
        <v>138</v>
      </c>
      <c r="G26" s="96">
        <v>108</v>
      </c>
      <c r="H26" s="96">
        <v>324</v>
      </c>
      <c r="I26" s="96">
        <v>629</v>
      </c>
      <c r="J26" s="96">
        <v>6</v>
      </c>
      <c r="K26" s="96">
        <v>1850</v>
      </c>
      <c r="L26" s="97">
        <f t="shared" si="8"/>
        <v>694.9</v>
      </c>
      <c r="N26" s="132">
        <v>189237</v>
      </c>
      <c r="O26" s="132">
        <v>44544</v>
      </c>
      <c r="P26" s="133">
        <v>4.2483162715517242</v>
      </c>
      <c r="Q26" s="134">
        <v>11.2</v>
      </c>
      <c r="R26" s="135">
        <v>846</v>
      </c>
      <c r="S26" s="136">
        <v>70.458370613363101</v>
      </c>
      <c r="T26" s="136">
        <v>31.993472256741999</v>
      </c>
      <c r="U26" s="136">
        <v>7.1453586915964697</v>
      </c>
      <c r="V26" s="136">
        <v>4.07680560073414</v>
      </c>
      <c r="W26" s="136">
        <v>27.242734064290499</v>
      </c>
      <c r="X26" s="137">
        <f t="shared" si="9"/>
        <v>351.51173798738432</v>
      </c>
      <c r="Y26" s="132">
        <f t="shared" si="10"/>
        <v>191.89860842850103</v>
      </c>
    </row>
    <row r="27" spans="1:25" x14ac:dyDescent="0.35">
      <c r="A27" s="95" t="s">
        <v>62</v>
      </c>
      <c r="B27" s="96">
        <v>956</v>
      </c>
      <c r="C27" s="96">
        <v>1023</v>
      </c>
      <c r="D27" s="96">
        <v>399</v>
      </c>
      <c r="E27" s="96">
        <v>563</v>
      </c>
      <c r="F27" s="96">
        <v>186</v>
      </c>
      <c r="G27" s="96">
        <v>184</v>
      </c>
      <c r="H27" s="96">
        <v>447</v>
      </c>
      <c r="I27" s="96">
        <v>662</v>
      </c>
      <c r="J27" s="96">
        <v>20</v>
      </c>
      <c r="K27" s="96">
        <v>1135</v>
      </c>
      <c r="L27" s="97">
        <f t="shared" si="8"/>
        <v>557.5</v>
      </c>
      <c r="N27" s="132">
        <v>195165</v>
      </c>
      <c r="O27" s="132">
        <v>45407</v>
      </c>
      <c r="P27" s="133">
        <v>4.2981258396282511</v>
      </c>
      <c r="Q27" s="134">
        <v>8.6999999999999993</v>
      </c>
      <c r="R27" s="135">
        <v>837</v>
      </c>
      <c r="S27" s="136">
        <v>63.423753870264001</v>
      </c>
      <c r="T27" s="136">
        <v>45.794387207948297</v>
      </c>
      <c r="U27" s="136">
        <v>4.1672367890939697</v>
      </c>
      <c r="V27" s="136">
        <v>3.4801948773147098</v>
      </c>
      <c r="W27" s="136">
        <v>9.9819349959070092</v>
      </c>
      <c r="X27" s="137">
        <f t="shared" si="9"/>
        <v>250.5497681028757</v>
      </c>
      <c r="Y27" s="132">
        <f t="shared" si="10"/>
        <v>69.643208727111855</v>
      </c>
    </row>
    <row r="28" spans="1:25" x14ac:dyDescent="0.35">
      <c r="A28" s="98" t="s">
        <v>73</v>
      </c>
      <c r="B28" s="99">
        <f>SUM(B22:B27)</f>
        <v>5769</v>
      </c>
      <c r="C28" s="99">
        <f t="shared" ref="C28:K28" si="11">SUM(C22:C27)</f>
        <v>7735</v>
      </c>
      <c r="D28" s="99">
        <f t="shared" si="11"/>
        <v>2191</v>
      </c>
      <c r="E28" s="99">
        <f t="shared" si="11"/>
        <v>4153</v>
      </c>
      <c r="F28" s="99">
        <f t="shared" si="11"/>
        <v>1671</v>
      </c>
      <c r="G28" s="99">
        <f t="shared" si="11"/>
        <v>1507</v>
      </c>
      <c r="H28" s="99">
        <f t="shared" si="11"/>
        <v>2784</v>
      </c>
      <c r="I28" s="99">
        <f t="shared" si="11"/>
        <v>4036</v>
      </c>
      <c r="J28" s="99">
        <f t="shared" si="11"/>
        <v>388</v>
      </c>
      <c r="K28" s="99">
        <f t="shared" si="11"/>
        <v>7106</v>
      </c>
      <c r="L28" s="100">
        <f t="shared" si="8"/>
        <v>3734</v>
      </c>
      <c r="N28" s="138">
        <v>1226425</v>
      </c>
      <c r="O28" s="138">
        <v>273599</v>
      </c>
      <c r="P28" s="139">
        <v>4.4825638982598619</v>
      </c>
      <c r="Q28" s="95"/>
      <c r="R28" s="95"/>
      <c r="S28" s="95"/>
      <c r="T28" s="95"/>
      <c r="U28" s="95"/>
      <c r="V28" s="95"/>
      <c r="W28" s="95"/>
      <c r="X28" s="140">
        <f>SUM(X22:X27)</f>
        <v>2549.2407516142275</v>
      </c>
      <c r="Y28" s="138">
        <f>SUM(Y22:Y27)</f>
        <v>761.36097713548008</v>
      </c>
    </row>
    <row r="29" spans="1:25" x14ac:dyDescent="0.35">
      <c r="A29" s="98" t="s">
        <v>66</v>
      </c>
      <c r="B29" s="99">
        <v>5769</v>
      </c>
      <c r="C29" s="99">
        <v>7735</v>
      </c>
      <c r="D29" s="99">
        <v>2191</v>
      </c>
      <c r="E29" s="99">
        <v>4153</v>
      </c>
      <c r="F29" s="99">
        <v>1671</v>
      </c>
      <c r="G29" s="99">
        <v>1507</v>
      </c>
      <c r="H29" s="99">
        <v>2784</v>
      </c>
      <c r="I29" s="99">
        <v>4036</v>
      </c>
      <c r="J29" s="99">
        <v>388</v>
      </c>
      <c r="K29" s="99">
        <v>7106</v>
      </c>
      <c r="L29" s="100">
        <f t="shared" si="8"/>
        <v>3734</v>
      </c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spans="1:25" x14ac:dyDescent="0.35">
      <c r="A30" s="101" t="s">
        <v>43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1"/>
    </row>
    <row r="31" spans="1:25" x14ac:dyDescent="0.35">
      <c r="A31" s="103" t="s">
        <v>64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4"/>
    </row>
    <row r="33" spans="1:14" x14ac:dyDescent="0.35">
      <c r="A33" s="105" t="s">
        <v>81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N33" s="76" t="s">
        <v>130</v>
      </c>
    </row>
    <row r="34" spans="1:14" x14ac:dyDescent="0.35">
      <c r="N34" s="111" t="s">
        <v>131</v>
      </c>
    </row>
    <row r="35" spans="1:14" x14ac:dyDescent="0.35">
      <c r="A35" s="74" t="s">
        <v>127</v>
      </c>
      <c r="B35" s="106"/>
    </row>
    <row r="36" spans="1:14" x14ac:dyDescent="0.35">
      <c r="B36" s="107" t="s">
        <v>18</v>
      </c>
    </row>
    <row r="37" spans="1:14" x14ac:dyDescent="0.35">
      <c r="B37" s="107" t="s">
        <v>18</v>
      </c>
    </row>
  </sheetData>
  <mergeCells count="1">
    <mergeCell ref="A33:L33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9F7F-152F-CB4F-9EC5-098CB4F5FA91}">
  <dimension ref="A1:M60"/>
  <sheetViews>
    <sheetView zoomScale="80" zoomScaleNormal="80" workbookViewId="0">
      <selection activeCell="H6" sqref="H6:H7"/>
    </sheetView>
  </sheetViews>
  <sheetFormatPr defaultColWidth="10.6640625" defaultRowHeight="15.5" x14ac:dyDescent="0.35"/>
  <cols>
    <col min="2" max="2" width="30.83203125" customWidth="1"/>
    <col min="3" max="3" width="13" bestFit="1" customWidth="1"/>
    <col min="4" max="4" width="12.1640625" bestFit="1" customWidth="1"/>
    <col min="13" max="13" width="10.83203125" style="6"/>
  </cols>
  <sheetData>
    <row r="1" spans="1:13" x14ac:dyDescent="0.35">
      <c r="B1" t="s">
        <v>47</v>
      </c>
    </row>
    <row r="2" spans="1:13" x14ac:dyDescent="0.35">
      <c r="C2" t="s">
        <v>31</v>
      </c>
      <c r="D2" t="s">
        <v>32</v>
      </c>
      <c r="E2" t="s">
        <v>33</v>
      </c>
      <c r="F2" t="s">
        <v>15</v>
      </c>
      <c r="G2" t="s">
        <v>17</v>
      </c>
      <c r="H2" t="s">
        <v>34</v>
      </c>
      <c r="I2" t="s">
        <v>35</v>
      </c>
      <c r="J2" t="s">
        <v>36</v>
      </c>
      <c r="K2" t="s">
        <v>37</v>
      </c>
      <c r="L2" t="s">
        <v>52</v>
      </c>
      <c r="M2" s="6" t="s">
        <v>89</v>
      </c>
    </row>
    <row r="4" spans="1:13" x14ac:dyDescent="0.35">
      <c r="A4" t="s">
        <v>53</v>
      </c>
      <c r="B4" s="6" t="s">
        <v>30</v>
      </c>
    </row>
    <row r="5" spans="1:13" x14ac:dyDescent="0.35">
      <c r="A5" t="s">
        <v>29</v>
      </c>
      <c r="B5" t="s">
        <v>38</v>
      </c>
      <c r="C5" s="14">
        <v>81111</v>
      </c>
      <c r="D5" s="14">
        <v>55305</v>
      </c>
      <c r="E5" s="14">
        <v>105742</v>
      </c>
      <c r="F5" s="14">
        <v>170234</v>
      </c>
      <c r="G5" s="14">
        <v>82527</v>
      </c>
      <c r="H5" s="14">
        <v>120650</v>
      </c>
      <c r="I5" s="14">
        <v>110229</v>
      </c>
      <c r="J5" s="14">
        <v>50483</v>
      </c>
      <c r="K5" s="14">
        <v>59608</v>
      </c>
      <c r="L5" s="14"/>
      <c r="M5" s="24">
        <f>AVERAGE(C5:K5)</f>
        <v>92876.555555555562</v>
      </c>
    </row>
    <row r="6" spans="1:13" x14ac:dyDescent="0.35">
      <c r="A6" t="s">
        <v>29</v>
      </c>
      <c r="B6" t="s">
        <v>91</v>
      </c>
      <c r="C6" s="14">
        <v>47961</v>
      </c>
      <c r="D6" s="14">
        <v>63228</v>
      </c>
      <c r="E6" s="14">
        <v>72438</v>
      </c>
      <c r="F6" s="14">
        <v>36694</v>
      </c>
      <c r="G6" s="14">
        <v>69433</v>
      </c>
      <c r="H6" s="14">
        <v>38900</v>
      </c>
      <c r="I6" s="14">
        <v>43940</v>
      </c>
      <c r="J6" s="14">
        <v>76660</v>
      </c>
      <c r="K6" s="14">
        <v>58020</v>
      </c>
      <c r="L6" s="14"/>
      <c r="M6" s="24">
        <f>AVERAGE(C6:K6)</f>
        <v>56363.777777777781</v>
      </c>
    </row>
    <row r="7" spans="1:13" x14ac:dyDescent="0.35">
      <c r="A7" t="s">
        <v>54</v>
      </c>
      <c r="B7" t="s">
        <v>84</v>
      </c>
      <c r="C7" s="61">
        <v>5242</v>
      </c>
      <c r="D7" s="61">
        <v>4554</v>
      </c>
      <c r="E7" s="61">
        <v>2458</v>
      </c>
      <c r="F7" s="61">
        <v>5232</v>
      </c>
      <c r="G7" s="61">
        <v>1432</v>
      </c>
      <c r="H7" s="61">
        <v>1206</v>
      </c>
      <c r="I7" s="61">
        <v>6273</v>
      </c>
      <c r="J7" s="61">
        <v>6886</v>
      </c>
      <c r="K7" s="61">
        <v>1321</v>
      </c>
      <c r="L7" s="61">
        <v>8534</v>
      </c>
      <c r="M7" s="62">
        <f>AVERAGE(C7:L7)</f>
        <v>4313.8</v>
      </c>
    </row>
    <row r="8" spans="1:13" s="6" customFormat="1" x14ac:dyDescent="0.35">
      <c r="B8" s="6" t="s">
        <v>85</v>
      </c>
      <c r="C8" s="32">
        <f>SUM(C5:C7)</f>
        <v>134314</v>
      </c>
      <c r="D8" s="32">
        <f t="shared" ref="D8:M8" si="0">SUM(D5:D7)</f>
        <v>123087</v>
      </c>
      <c r="E8" s="32">
        <f t="shared" si="0"/>
        <v>180638</v>
      </c>
      <c r="F8" s="32">
        <f t="shared" si="0"/>
        <v>212160</v>
      </c>
      <c r="G8" s="32">
        <f t="shared" si="0"/>
        <v>153392</v>
      </c>
      <c r="H8" s="32">
        <f t="shared" si="0"/>
        <v>160756</v>
      </c>
      <c r="I8" s="32">
        <f t="shared" si="0"/>
        <v>160442</v>
      </c>
      <c r="J8" s="32">
        <f t="shared" si="0"/>
        <v>134029</v>
      </c>
      <c r="K8" s="32">
        <f t="shared" si="0"/>
        <v>118949</v>
      </c>
      <c r="L8" s="32">
        <f t="shared" si="0"/>
        <v>8534</v>
      </c>
      <c r="M8" s="32">
        <f t="shared" si="0"/>
        <v>153554.13333333333</v>
      </c>
    </row>
    <row r="9" spans="1:13" s="53" customFormat="1" x14ac:dyDescent="0.35">
      <c r="B9" s="53" t="s">
        <v>96</v>
      </c>
      <c r="C9" s="58">
        <f>C7/C8</f>
        <v>3.9027949431928166E-2</v>
      </c>
      <c r="D9" s="58">
        <f t="shared" ref="D9:M9" si="1">D7/D8</f>
        <v>3.6998220770674398E-2</v>
      </c>
      <c r="E9" s="58">
        <f t="shared" si="1"/>
        <v>1.3607325147532634E-2</v>
      </c>
      <c r="F9" s="58">
        <f t="shared" si="1"/>
        <v>2.4660633484162895E-2</v>
      </c>
      <c r="G9" s="58">
        <f t="shared" si="1"/>
        <v>9.3355585688953795E-3</v>
      </c>
      <c r="H9" s="58">
        <f t="shared" si="1"/>
        <v>7.5020528005175545E-3</v>
      </c>
      <c r="I9" s="58">
        <f t="shared" si="1"/>
        <v>3.909824110893656E-2</v>
      </c>
      <c r="J9" s="58">
        <f t="shared" si="1"/>
        <v>5.1376940811316954E-2</v>
      </c>
      <c r="K9" s="58">
        <f t="shared" si="1"/>
        <v>1.1105599878939713E-2</v>
      </c>
      <c r="L9" s="58">
        <f t="shared" si="1"/>
        <v>1</v>
      </c>
      <c r="M9" s="59">
        <f t="shared" si="1"/>
        <v>2.8093024305869116E-2</v>
      </c>
    </row>
    <row r="11" spans="1:13" x14ac:dyDescent="0.35">
      <c r="B11" s="6" t="s">
        <v>43</v>
      </c>
    </row>
    <row r="12" spans="1:13" x14ac:dyDescent="0.35">
      <c r="A12" t="s">
        <v>29</v>
      </c>
      <c r="B12" t="s">
        <v>38</v>
      </c>
      <c r="C12" s="14">
        <v>65519</v>
      </c>
      <c r="D12" s="14">
        <v>84543</v>
      </c>
      <c r="E12" s="14">
        <v>87726</v>
      </c>
      <c r="F12" s="14">
        <v>85257</v>
      </c>
      <c r="G12" s="14">
        <v>103035</v>
      </c>
      <c r="H12" s="14">
        <v>95190</v>
      </c>
      <c r="I12" s="14">
        <v>121261</v>
      </c>
      <c r="J12" s="14">
        <v>104261</v>
      </c>
      <c r="K12" s="14">
        <v>118698</v>
      </c>
      <c r="L12" s="14"/>
      <c r="M12" s="24">
        <f>AVERAGE(C12:K12)</f>
        <v>96165.555555555562</v>
      </c>
    </row>
    <row r="13" spans="1:13" x14ac:dyDescent="0.35">
      <c r="A13" t="s">
        <v>29</v>
      </c>
      <c r="B13" t="s">
        <v>91</v>
      </c>
      <c r="C13" s="14">
        <v>10038</v>
      </c>
      <c r="D13" s="14">
        <v>11930</v>
      </c>
      <c r="E13" s="14">
        <v>14819</v>
      </c>
      <c r="F13" s="14">
        <v>11312</v>
      </c>
      <c r="G13" s="14">
        <v>11600</v>
      </c>
      <c r="H13" s="14">
        <v>11411</v>
      </c>
      <c r="I13" s="14">
        <v>9822</v>
      </c>
      <c r="J13" s="14">
        <v>6863</v>
      </c>
      <c r="K13" s="14">
        <v>7508</v>
      </c>
      <c r="L13" s="14"/>
      <c r="M13" s="24">
        <f t="shared" ref="M13" si="2">AVERAGE(C13:K13)</f>
        <v>10589.222222222223</v>
      </c>
    </row>
    <row r="14" spans="1:13" x14ac:dyDescent="0.35">
      <c r="A14" t="s">
        <v>54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s="6" customFormat="1" x14ac:dyDescent="0.35">
      <c r="B15" s="6" t="s">
        <v>86</v>
      </c>
      <c r="C15" s="32">
        <f>SUM(C12:C14)</f>
        <v>75557</v>
      </c>
      <c r="D15" s="32">
        <f t="shared" ref="D15:M15" si="3">SUM(D12:D14)</f>
        <v>96473</v>
      </c>
      <c r="E15" s="32">
        <f t="shared" si="3"/>
        <v>102545</v>
      </c>
      <c r="F15" s="32">
        <f t="shared" si="3"/>
        <v>96569</v>
      </c>
      <c r="G15" s="32">
        <f t="shared" si="3"/>
        <v>114635</v>
      </c>
      <c r="H15" s="32">
        <f t="shared" si="3"/>
        <v>106601</v>
      </c>
      <c r="I15" s="32">
        <f t="shared" si="3"/>
        <v>131083</v>
      </c>
      <c r="J15" s="32">
        <f t="shared" si="3"/>
        <v>111124</v>
      </c>
      <c r="K15" s="32">
        <f t="shared" si="3"/>
        <v>126206</v>
      </c>
      <c r="L15" s="32">
        <f t="shared" si="3"/>
        <v>0</v>
      </c>
      <c r="M15" s="32">
        <f t="shared" si="3"/>
        <v>106754.77777777778</v>
      </c>
    </row>
    <row r="17" spans="1:13" x14ac:dyDescent="0.35">
      <c r="B17" s="6" t="s">
        <v>44</v>
      </c>
    </row>
    <row r="18" spans="1:13" x14ac:dyDescent="0.35">
      <c r="A18" t="s">
        <v>29</v>
      </c>
      <c r="B18" s="35" t="s">
        <v>38</v>
      </c>
      <c r="C18" s="14">
        <v>1034</v>
      </c>
      <c r="D18" s="14">
        <v>1860</v>
      </c>
      <c r="E18" s="14">
        <v>3863</v>
      </c>
      <c r="F18" s="14">
        <v>5485</v>
      </c>
      <c r="G18" s="14">
        <v>3332</v>
      </c>
      <c r="H18" s="14">
        <v>6096</v>
      </c>
      <c r="I18" s="14">
        <v>5541</v>
      </c>
      <c r="J18" s="14">
        <v>3469</v>
      </c>
      <c r="K18" s="14">
        <v>931</v>
      </c>
      <c r="L18" s="14"/>
      <c r="M18" s="24">
        <f>AVERAGE(C18:K18)</f>
        <v>3512.3333333333335</v>
      </c>
    </row>
    <row r="19" spans="1:13" x14ac:dyDescent="0.35">
      <c r="A19" t="s">
        <v>29</v>
      </c>
      <c r="B19" s="35" t="s">
        <v>90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/>
      <c r="M19" s="55">
        <f>AVERAGE(C19:K19)</f>
        <v>0</v>
      </c>
    </row>
    <row r="20" spans="1:13" x14ac:dyDescent="0.35">
      <c r="A20" t="s">
        <v>54</v>
      </c>
      <c r="B20" t="s">
        <v>84</v>
      </c>
      <c r="C20" s="61">
        <v>41122</v>
      </c>
      <c r="D20" s="61">
        <v>55921</v>
      </c>
      <c r="E20" s="61">
        <v>24695</v>
      </c>
      <c r="F20" s="61">
        <v>44141</v>
      </c>
      <c r="G20" s="61">
        <v>15302</v>
      </c>
      <c r="H20" s="61">
        <v>19428</v>
      </c>
      <c r="I20" s="61">
        <v>57644</v>
      </c>
      <c r="J20" s="61">
        <v>83515</v>
      </c>
      <c r="K20" s="61">
        <v>9277</v>
      </c>
      <c r="L20" s="61">
        <v>90829</v>
      </c>
      <c r="M20" s="62">
        <f>AVERAGE(C20:L20)</f>
        <v>44187.4</v>
      </c>
    </row>
    <row r="21" spans="1:13" x14ac:dyDescent="0.35">
      <c r="B21" t="s">
        <v>87</v>
      </c>
      <c r="C21" s="26">
        <f>SUM(C18:C20)</f>
        <v>42156</v>
      </c>
      <c r="D21" s="26">
        <f t="shared" ref="D21:M21" si="4">SUM(D18:D20)</f>
        <v>57781</v>
      </c>
      <c r="E21" s="26">
        <f t="shared" si="4"/>
        <v>28558</v>
      </c>
      <c r="F21" s="26">
        <f t="shared" si="4"/>
        <v>49626</v>
      </c>
      <c r="G21" s="26">
        <f t="shared" si="4"/>
        <v>18634</v>
      </c>
      <c r="H21" s="26">
        <f t="shared" si="4"/>
        <v>25524</v>
      </c>
      <c r="I21" s="26">
        <f t="shared" si="4"/>
        <v>63185</v>
      </c>
      <c r="J21" s="26">
        <f t="shared" si="4"/>
        <v>86984</v>
      </c>
      <c r="K21" s="26">
        <f t="shared" si="4"/>
        <v>10208</v>
      </c>
      <c r="L21" s="26">
        <f t="shared" si="4"/>
        <v>90829</v>
      </c>
      <c r="M21" s="32">
        <f t="shared" si="4"/>
        <v>47699.733333333337</v>
      </c>
    </row>
    <row r="22" spans="1:13" s="53" customFormat="1" x14ac:dyDescent="0.35">
      <c r="B22" s="53" t="s">
        <v>96</v>
      </c>
      <c r="C22" s="58">
        <f>C20/C21</f>
        <v>0.97547205617231236</v>
      </c>
      <c r="D22" s="58">
        <f t="shared" ref="D22:M22" si="5">D20/D21</f>
        <v>0.96780948754780982</v>
      </c>
      <c r="E22" s="58">
        <f t="shared" si="5"/>
        <v>0.86473142376917156</v>
      </c>
      <c r="F22" s="58">
        <f t="shared" si="5"/>
        <v>0.8894732599846854</v>
      </c>
      <c r="G22" s="58">
        <f t="shared" si="5"/>
        <v>0.82118707738542451</v>
      </c>
      <c r="H22" s="58">
        <f t="shared" si="5"/>
        <v>0.76116596144804893</v>
      </c>
      <c r="I22" s="58">
        <f t="shared" si="5"/>
        <v>0.91230513571258998</v>
      </c>
      <c r="J22" s="58">
        <f t="shared" si="5"/>
        <v>0.96011910236365305</v>
      </c>
      <c r="K22" s="58">
        <f t="shared" si="5"/>
        <v>0.9087970219435737</v>
      </c>
      <c r="L22" s="58">
        <f t="shared" si="5"/>
        <v>1</v>
      </c>
      <c r="M22" s="59">
        <f t="shared" si="5"/>
        <v>0.92636576584634989</v>
      </c>
    </row>
    <row r="23" spans="1:13" x14ac:dyDescent="0.35"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3" x14ac:dyDescent="0.35">
      <c r="B24" s="6" t="s">
        <v>82</v>
      </c>
    </row>
    <row r="25" spans="1:13" x14ac:dyDescent="0.35">
      <c r="A25" t="s">
        <v>29</v>
      </c>
      <c r="B25" t="s">
        <v>38</v>
      </c>
    </row>
    <row r="26" spans="1:13" x14ac:dyDescent="0.35">
      <c r="A26" t="s">
        <v>29</v>
      </c>
      <c r="B26" t="s">
        <v>39</v>
      </c>
    </row>
    <row r="27" spans="1:13" x14ac:dyDescent="0.35">
      <c r="A27" t="s">
        <v>54</v>
      </c>
      <c r="B27" t="s">
        <v>84</v>
      </c>
      <c r="C27" s="61">
        <v>5769</v>
      </c>
      <c r="D27" s="61">
        <v>7735</v>
      </c>
      <c r="E27" s="61">
        <v>2191</v>
      </c>
      <c r="F27" s="61">
        <v>4153</v>
      </c>
      <c r="G27" s="61">
        <v>1671</v>
      </c>
      <c r="H27" s="61">
        <v>1507</v>
      </c>
      <c r="I27" s="61">
        <v>2784</v>
      </c>
      <c r="J27" s="61">
        <v>4036</v>
      </c>
      <c r="K27" s="61">
        <v>388</v>
      </c>
      <c r="L27" s="61">
        <v>7106</v>
      </c>
      <c r="M27" s="63">
        <f t="shared" ref="M27" si="6">AVERAGE(C27:L27)</f>
        <v>3734</v>
      </c>
    </row>
    <row r="28" spans="1:13" x14ac:dyDescent="0.35">
      <c r="B28" t="s">
        <v>88</v>
      </c>
      <c r="C28" s="14">
        <f>SUM(C25:C27)</f>
        <v>5769</v>
      </c>
      <c r="D28" s="14">
        <f t="shared" ref="D28:M28" si="7">SUM(D25:D27)</f>
        <v>7735</v>
      </c>
      <c r="E28" s="14">
        <f t="shared" si="7"/>
        <v>2191</v>
      </c>
      <c r="F28" s="14">
        <f t="shared" si="7"/>
        <v>4153</v>
      </c>
      <c r="G28" s="14">
        <f t="shared" si="7"/>
        <v>1671</v>
      </c>
      <c r="H28" s="14">
        <f t="shared" si="7"/>
        <v>1507</v>
      </c>
      <c r="I28" s="14">
        <f t="shared" si="7"/>
        <v>2784</v>
      </c>
      <c r="J28" s="14">
        <f t="shared" si="7"/>
        <v>4036</v>
      </c>
      <c r="K28" s="14">
        <f t="shared" si="7"/>
        <v>388</v>
      </c>
      <c r="L28" s="14">
        <f t="shared" si="7"/>
        <v>7106</v>
      </c>
      <c r="M28" s="24">
        <f t="shared" si="7"/>
        <v>3734</v>
      </c>
    </row>
    <row r="29" spans="1:13" s="53" customFormat="1" x14ac:dyDescent="0.35">
      <c r="B29" s="53" t="s">
        <v>96</v>
      </c>
      <c r="C29" s="58">
        <f>C27/C28</f>
        <v>1</v>
      </c>
      <c r="D29" s="58">
        <f t="shared" ref="D29:M29" si="8">D27/D28</f>
        <v>1</v>
      </c>
      <c r="E29" s="58">
        <f t="shared" si="8"/>
        <v>1</v>
      </c>
      <c r="F29" s="58">
        <f t="shared" si="8"/>
        <v>1</v>
      </c>
      <c r="G29" s="58">
        <f t="shared" si="8"/>
        <v>1</v>
      </c>
      <c r="H29" s="58">
        <f t="shared" si="8"/>
        <v>1</v>
      </c>
      <c r="I29" s="58">
        <f t="shared" si="8"/>
        <v>1</v>
      </c>
      <c r="J29" s="58">
        <f t="shared" si="8"/>
        <v>1</v>
      </c>
      <c r="K29" s="58">
        <f t="shared" si="8"/>
        <v>1</v>
      </c>
      <c r="L29" s="58">
        <f t="shared" si="8"/>
        <v>1</v>
      </c>
      <c r="M29" s="59">
        <f t="shared" si="8"/>
        <v>1</v>
      </c>
    </row>
    <row r="31" spans="1:13" x14ac:dyDescent="0.35">
      <c r="B31" s="6" t="s">
        <v>99</v>
      </c>
      <c r="C31" s="26">
        <f t="shared" ref="C31:M31" si="9">C8+C15+C21+C28</f>
        <v>257796</v>
      </c>
      <c r="D31" s="26">
        <f t="shared" si="9"/>
        <v>285076</v>
      </c>
      <c r="E31" s="26">
        <f t="shared" si="9"/>
        <v>313932</v>
      </c>
      <c r="F31" s="26">
        <f t="shared" si="9"/>
        <v>362508</v>
      </c>
      <c r="G31" s="26">
        <f t="shared" si="9"/>
        <v>288332</v>
      </c>
      <c r="H31" s="26">
        <f t="shared" si="9"/>
        <v>294388</v>
      </c>
      <c r="I31" s="26">
        <f t="shared" si="9"/>
        <v>357494</v>
      </c>
      <c r="J31" s="26">
        <f t="shared" si="9"/>
        <v>336173</v>
      </c>
      <c r="K31" s="26">
        <f t="shared" si="9"/>
        <v>255751</v>
      </c>
      <c r="L31" s="26">
        <f t="shared" si="9"/>
        <v>106469</v>
      </c>
      <c r="M31" s="32">
        <f t="shared" si="9"/>
        <v>311742.64444444445</v>
      </c>
    </row>
    <row r="32" spans="1:13" x14ac:dyDescent="0.35">
      <c r="B32" t="s">
        <v>123</v>
      </c>
      <c r="C32" s="13">
        <f>(C5+C6+C12+C13)/C31</f>
        <v>0.79376328569876953</v>
      </c>
      <c r="D32" s="13">
        <f t="shared" ref="D32:M32" si="10">(D5+D6+D12+D13)/D31</f>
        <v>0.75420589597160059</v>
      </c>
      <c r="E32" s="13">
        <f t="shared" si="10"/>
        <v>0.8942223156607163</v>
      </c>
      <c r="F32" s="13">
        <f t="shared" si="10"/>
        <v>0.83721462698754234</v>
      </c>
      <c r="G32" s="13">
        <f t="shared" si="10"/>
        <v>0.9246112120749691</v>
      </c>
      <c r="H32" s="13">
        <f t="shared" si="10"/>
        <v>0.90408236748780524</v>
      </c>
      <c r="I32" s="13">
        <f t="shared" si="10"/>
        <v>0.79792108399022077</v>
      </c>
      <c r="J32" s="13">
        <f t="shared" si="10"/>
        <v>0.70876304759751674</v>
      </c>
      <c r="K32" s="13">
        <f t="shared" si="10"/>
        <v>0.95340389675895698</v>
      </c>
      <c r="L32" s="13">
        <f t="shared" si="10"/>
        <v>0</v>
      </c>
      <c r="M32" s="13">
        <f t="shared" si="10"/>
        <v>0.82117450298568928</v>
      </c>
    </row>
    <row r="33" spans="1:13" x14ac:dyDescent="0.35">
      <c r="B33" t="s">
        <v>124</v>
      </c>
      <c r="C33" s="13">
        <f>(C5+C12)/C31</f>
        <v>0.56878306878306883</v>
      </c>
      <c r="D33" s="13">
        <f t="shared" ref="D33:M33" si="11">(D5+D12)/D31</f>
        <v>0.49056391979682612</v>
      </c>
      <c r="E33" s="13">
        <f t="shared" si="11"/>
        <v>0.6162735879107577</v>
      </c>
      <c r="F33" s="13">
        <f t="shared" si="11"/>
        <v>0.70478720469617218</v>
      </c>
      <c r="G33" s="13">
        <f t="shared" si="11"/>
        <v>0.64357060610684902</v>
      </c>
      <c r="H33" s="13">
        <f t="shared" si="11"/>
        <v>0.73318205905132006</v>
      </c>
      <c r="I33" s="13">
        <f t="shared" si="11"/>
        <v>0.64753534325051609</v>
      </c>
      <c r="J33" s="13">
        <f t="shared" si="11"/>
        <v>0.46031061388035327</v>
      </c>
      <c r="K33" s="13">
        <f t="shared" si="11"/>
        <v>0.69718593475685331</v>
      </c>
      <c r="L33" s="13">
        <f t="shared" si="11"/>
        <v>0</v>
      </c>
      <c r="M33" s="13">
        <f t="shared" si="11"/>
        <v>0.60640439952641856</v>
      </c>
    </row>
    <row r="34" spans="1:13" x14ac:dyDescent="0.35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</row>
    <row r="35" spans="1:13" x14ac:dyDescent="0.35">
      <c r="A35" t="s">
        <v>118</v>
      </c>
      <c r="B35" t="s">
        <v>119</v>
      </c>
      <c r="C35" s="64" t="s">
        <v>80</v>
      </c>
      <c r="D35" s="13"/>
      <c r="E35" s="13"/>
      <c r="F35" s="13"/>
      <c r="G35" s="13"/>
      <c r="H35" s="13"/>
      <c r="I35" s="13"/>
      <c r="J35" s="13"/>
      <c r="K35" s="13"/>
      <c r="L35" s="13"/>
      <c r="M35" s="25"/>
    </row>
    <row r="36" spans="1:13" x14ac:dyDescent="0.35">
      <c r="B36" t="s">
        <v>120</v>
      </c>
      <c r="C36" s="64" t="s">
        <v>80</v>
      </c>
      <c r="D36" s="13"/>
      <c r="E36" s="13"/>
      <c r="F36" s="13"/>
      <c r="G36" s="13"/>
      <c r="H36" s="13"/>
      <c r="I36" s="13"/>
      <c r="J36" s="13"/>
      <c r="K36" s="13"/>
      <c r="L36" s="13"/>
      <c r="M36" s="25"/>
    </row>
    <row r="37" spans="1:13" x14ac:dyDescent="0.35">
      <c r="B37" t="s">
        <v>121</v>
      </c>
      <c r="C37" t="s">
        <v>122</v>
      </c>
    </row>
    <row r="39" spans="1:13" x14ac:dyDescent="0.35">
      <c r="A39" t="s">
        <v>97</v>
      </c>
      <c r="B39" t="s">
        <v>98</v>
      </c>
    </row>
    <row r="41" spans="1:13" x14ac:dyDescent="0.35">
      <c r="B41" s="60" t="s">
        <v>100</v>
      </c>
    </row>
    <row r="43" spans="1:13" x14ac:dyDescent="0.35">
      <c r="B43" s="6" t="s">
        <v>101</v>
      </c>
    </row>
    <row r="44" spans="1:13" x14ac:dyDescent="0.35">
      <c r="B44" s="2" t="s">
        <v>102</v>
      </c>
      <c r="C44" s="70">
        <v>92876.555555555562</v>
      </c>
    </row>
    <row r="45" spans="1:13" x14ac:dyDescent="0.35">
      <c r="B45" s="2" t="s">
        <v>104</v>
      </c>
      <c r="C45" s="70">
        <v>56363.777777777781</v>
      </c>
    </row>
    <row r="46" spans="1:13" x14ac:dyDescent="0.35">
      <c r="B46" s="67" t="s">
        <v>103</v>
      </c>
      <c r="C46" s="71">
        <v>4313.8</v>
      </c>
    </row>
    <row r="47" spans="1:13" x14ac:dyDescent="0.35">
      <c r="B47" s="2" t="s">
        <v>105</v>
      </c>
      <c r="C47" s="70">
        <v>96165.555555555562</v>
      </c>
    </row>
    <row r="48" spans="1:13" x14ac:dyDescent="0.35">
      <c r="B48" s="2" t="s">
        <v>106</v>
      </c>
      <c r="C48" s="70">
        <v>10589.222222222223</v>
      </c>
    </row>
    <row r="49" spans="2:8" x14ac:dyDescent="0.35">
      <c r="B49" s="72" t="s">
        <v>107</v>
      </c>
      <c r="C49" s="73">
        <v>3512.3333333333335</v>
      </c>
    </row>
    <row r="50" spans="2:8" x14ac:dyDescent="0.35">
      <c r="B50" s="67" t="s">
        <v>108</v>
      </c>
      <c r="C50" s="71">
        <v>44187.4</v>
      </c>
    </row>
    <row r="51" spans="2:8" x14ac:dyDescent="0.35">
      <c r="B51" s="67" t="s">
        <v>109</v>
      </c>
      <c r="C51" s="71">
        <f>M27</f>
        <v>3734</v>
      </c>
    </row>
    <row r="52" spans="2:8" x14ac:dyDescent="0.35">
      <c r="C52" s="70">
        <f>SUM(C44:C51)</f>
        <v>311742.64444444445</v>
      </c>
      <c r="D52" s="68">
        <f>C46+C49+C50+C51</f>
        <v>55747.533333333333</v>
      </c>
      <c r="E52" s="15">
        <f>D52/C52</f>
        <v>0.17882549701431072</v>
      </c>
    </row>
    <row r="53" spans="2:8" x14ac:dyDescent="0.35">
      <c r="B53" s="34"/>
      <c r="C53" s="34"/>
      <c r="D53" s="34" t="s">
        <v>111</v>
      </c>
      <c r="E53" s="34" t="s">
        <v>114</v>
      </c>
      <c r="F53" s="34" t="s">
        <v>115</v>
      </c>
      <c r="G53" s="33" t="s">
        <v>116</v>
      </c>
      <c r="H53" s="34" t="s">
        <v>117</v>
      </c>
    </row>
    <row r="54" spans="2:8" x14ac:dyDescent="0.35">
      <c r="B54" s="65" t="s">
        <v>125</v>
      </c>
      <c r="C54" s="69">
        <f>C44+C45</f>
        <v>149240.33333333334</v>
      </c>
      <c r="D54" s="34">
        <f>C54/$C$60</f>
        <v>6.0964188453159047E-2</v>
      </c>
      <c r="E54" s="34">
        <f>D54*1000</f>
        <v>60.964188453159046</v>
      </c>
      <c r="F54" s="34">
        <f>E54/365</f>
        <v>0.16702517384427135</v>
      </c>
      <c r="G54" s="66">
        <f>F54*1000</f>
        <v>167.02517384427134</v>
      </c>
      <c r="H54" s="34">
        <v>119</v>
      </c>
    </row>
    <row r="55" spans="2:8" x14ac:dyDescent="0.35">
      <c r="B55" s="65" t="s">
        <v>112</v>
      </c>
      <c r="C55" s="69">
        <f>C47+C48</f>
        <v>106754.77777777778</v>
      </c>
      <c r="D55" s="34">
        <f t="shared" ref="D55:D58" si="12">C55/$C$60</f>
        <v>4.3608977850399418E-2</v>
      </c>
      <c r="E55" s="34">
        <f t="shared" ref="E55:E58" si="13">D55*1000</f>
        <v>43.60897785039942</v>
      </c>
      <c r="F55" s="34">
        <f t="shared" ref="F55:F58" si="14">E55/365</f>
        <v>0.11947665164492992</v>
      </c>
      <c r="G55" s="66">
        <f t="shared" ref="G55:G58" si="15">F55*1000</f>
        <v>119.47665164492992</v>
      </c>
      <c r="H55" s="34">
        <v>99</v>
      </c>
    </row>
    <row r="56" spans="2:8" x14ac:dyDescent="0.35">
      <c r="B56" s="65" t="s">
        <v>126</v>
      </c>
      <c r="C56" s="69">
        <f>C49</f>
        <v>3512.3333333333335</v>
      </c>
      <c r="D56" s="34">
        <f t="shared" ref="D56" si="16">C56/$C$60</f>
        <v>1.4347766884531591E-3</v>
      </c>
      <c r="E56" s="34">
        <f t="shared" ref="E56" si="17">D56*1000</f>
        <v>1.434776688453159</v>
      </c>
      <c r="F56" s="34">
        <f t="shared" ref="F56" si="18">E56/365</f>
        <v>3.93089503685797E-3</v>
      </c>
      <c r="G56" s="66">
        <f t="shared" ref="G56" si="19">F56*1000</f>
        <v>3.93089503685797</v>
      </c>
      <c r="H56" s="34"/>
    </row>
    <row r="57" spans="2:8" x14ac:dyDescent="0.35">
      <c r="B57" s="65" t="s">
        <v>108</v>
      </c>
      <c r="C57" s="69">
        <f>C50</f>
        <v>44187.4</v>
      </c>
      <c r="D57" s="34">
        <f t="shared" si="12"/>
        <v>1.8050408496732027E-2</v>
      </c>
      <c r="E57" s="34">
        <f t="shared" si="13"/>
        <v>18.050408496732029</v>
      </c>
      <c r="F57" s="34">
        <f t="shared" si="14"/>
        <v>4.9453173963649392E-2</v>
      </c>
      <c r="G57" s="66">
        <f t="shared" si="15"/>
        <v>49.453173963649391</v>
      </c>
      <c r="H57" s="34"/>
    </row>
    <row r="58" spans="2:8" x14ac:dyDescent="0.35">
      <c r="B58" s="65" t="s">
        <v>113</v>
      </c>
      <c r="C58" s="69">
        <f>C51</f>
        <v>3734</v>
      </c>
      <c r="D58" s="34">
        <f t="shared" si="12"/>
        <v>1.5253267973856209E-3</v>
      </c>
      <c r="E58" s="34">
        <f t="shared" si="13"/>
        <v>1.5253267973856208</v>
      </c>
      <c r="F58" s="34">
        <f t="shared" si="14"/>
        <v>4.1789775270838925E-3</v>
      </c>
      <c r="G58" s="66">
        <f t="shared" si="15"/>
        <v>4.1789775270838927</v>
      </c>
      <c r="H58" s="34"/>
    </row>
    <row r="59" spans="2:8" x14ac:dyDescent="0.35">
      <c r="B59" s="34"/>
      <c r="C59" s="69">
        <f>SUM(C54:C58)</f>
        <v>307428.84444444446</v>
      </c>
      <c r="D59" s="34"/>
      <c r="E59" s="34"/>
      <c r="F59" s="34"/>
      <c r="G59" s="34"/>
      <c r="H59" s="34"/>
    </row>
    <row r="60" spans="2:8" x14ac:dyDescent="0.35">
      <c r="B60" s="34" t="s">
        <v>110</v>
      </c>
      <c r="C60" s="69">
        <v>2448000</v>
      </c>
      <c r="D60" s="34"/>
      <c r="E60" s="34"/>
      <c r="F60" s="34"/>
      <c r="G60" s="34"/>
      <c r="H60" s="34"/>
    </row>
  </sheetData>
  <hyperlinks>
    <hyperlink ref="C35" r:id="rId1" location="1585672377295-6a63b89c-ea10" xr:uid="{15B02E8E-4A38-9247-97B8-1C1EA2D68758}"/>
    <hyperlink ref="C36" r:id="rId2" location="1585672377295-6a63b89c-ea10" xr:uid="{C9751984-0EF9-E344-986D-2C3EDA1A2B05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FAO</vt:lpstr>
      <vt:lpstr>NEWFIU</vt:lpstr>
      <vt:lpstr>NAB commercial</vt:lpstr>
      <vt:lpstr>MAWF original</vt:lpstr>
      <vt:lpstr>MAWF communal</vt:lpstr>
      <vt:lpstr>Total cereal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Aaron Wise</cp:lastModifiedBy>
  <dcterms:created xsi:type="dcterms:W3CDTF">2020-03-15T12:56:24Z</dcterms:created>
  <dcterms:modified xsi:type="dcterms:W3CDTF">2020-10-05T14:38:39Z</dcterms:modified>
</cp:coreProperties>
</file>