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esktop\"/>
    </mc:Choice>
  </mc:AlternateContent>
  <xr:revisionPtr revIDLastSave="0" documentId="8_{AFDB549E-EE1C-49F7-9760-57FDBDEF4BFA}" xr6:coauthVersionLast="45" xr6:coauthVersionMax="45" xr10:uidLastSave="{00000000-0000-0000-0000-000000000000}"/>
  <bookViews>
    <workbookView xWindow="28680" yWindow="-120" windowWidth="29040" windowHeight="17640" xr2:uid="{2A0518EB-4656-4625-834F-52D92D22F4F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<sst xmlns="http://schemas.openxmlformats.org/spreadsheetml/2006/main" count="33" uniqueCount="27">
  <si>
    <t>Bread (white, brown, whole wheat, rye, maize, etc.)</t>
  </si>
  <si>
    <t>Bread/Rolls, white (fortified)</t>
  </si>
  <si>
    <t>Average edible quantity (g/capita/day)</t>
  </si>
  <si>
    <t>Reference Food Composition Table (FCT)</t>
  </si>
  <si>
    <t>SA_FCT</t>
  </si>
  <si>
    <t>FCT Code</t>
  </si>
  <si>
    <t>FCT Description</t>
  </si>
  <si>
    <t>Vehicle</t>
  </si>
  <si>
    <t>Maize</t>
  </si>
  <si>
    <t>Maize meal/ grain/ samp</t>
  </si>
  <si>
    <t>Maize meal, sifted, raw (white, fortified)</t>
  </si>
  <si>
    <r>
      <t xml:space="preserve">Food item code in Household Survey </t>
    </r>
    <r>
      <rPr>
        <b/>
        <sz val="11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</si>
  <si>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rFont val="Calibri"/>
        <family val="2"/>
      </rPr>
      <t>(desc)</t>
    </r>
  </si>
  <si>
    <t>Wheat</t>
  </si>
  <si>
    <t>Mageu/Oshikundu</t>
  </si>
  <si>
    <t>Maize meal, super, porridge, soft (white, fortified)</t>
  </si>
  <si>
    <t>Mahangu meal/ grain/ samp</t>
  </si>
  <si>
    <t>WA_FCT</t>
  </si>
  <si>
    <t>01_017</t>
  </si>
  <si>
    <t>Pearl millet, whole grain, raw (with bran)</t>
  </si>
  <si>
    <t>Mahangu</t>
  </si>
  <si>
    <t>Bread/ cake flour (all types)</t>
  </si>
  <si>
    <t>Wheat flour, cake flour</t>
  </si>
  <si>
    <t>Sorghum meal/ grain</t>
  </si>
  <si>
    <t>01_039</t>
  </si>
  <si>
    <t xml:space="preserve">Sorghum, whole grain, raw </t>
  </si>
  <si>
    <t>Sorghum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</si>
</sst>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  <family val="2"/>
    </font>
    <font>
      <b/>
      <sz val="10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/>
  </cellXfs>
  <cellStyles count="2">
    <cellStyle name="Normal" xfId="0" builtinId="0"/>
    <cellStyle name="Normal 2" xfId="1" xr:uid="{A74F9ECA-CFC4-49BC-AB55-C296241DF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ADePT_micronutrient_consumption%20J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erence"/>
      <sheetName val="Table 3.1"/>
    </sheetNames>
    <sheetDataSet>
      <sheetData sheetId="0"/>
      <sheetData sheetId="1">
        <row r="4">
          <cell r="A4">
            <v>1111.01</v>
          </cell>
          <cell r="B4" t="str">
            <v>Rice</v>
          </cell>
          <cell r="C4">
            <v>22.321716191477734</v>
          </cell>
          <cell r="D4">
            <v>22.321716053173432</v>
          </cell>
        </row>
        <row r="5">
          <cell r="A5">
            <v>1111.02</v>
          </cell>
          <cell r="B5" t="str">
            <v>Malt/ Mealie Rice</v>
          </cell>
          <cell r="C5">
            <v>6.6044358443433995E-2</v>
          </cell>
          <cell r="D5">
            <v>6.6044357867169598E-2</v>
          </cell>
        </row>
        <row r="6">
          <cell r="A6">
            <v>1112.01</v>
          </cell>
          <cell r="B6" t="str">
            <v>Bread (white, brown, whole wheat, rye, maize, etc.)</v>
          </cell>
          <cell r="C6">
            <v>168.44418068655446</v>
          </cell>
          <cell r="D6">
            <v>168.44418014146595</v>
          </cell>
        </row>
        <row r="7">
          <cell r="A7">
            <v>1112.02</v>
          </cell>
          <cell r="B7" t="str">
            <v>Brotchen</v>
          </cell>
          <cell r="C7">
            <v>0.44808198006744782</v>
          </cell>
          <cell r="D7">
            <v>0.44808199204954358</v>
          </cell>
        </row>
        <row r="8">
          <cell r="A8">
            <v>1112.03</v>
          </cell>
          <cell r="B8" t="str">
            <v>Biscuits, rusks</v>
          </cell>
          <cell r="C8">
            <v>0.65390380515822999</v>
          </cell>
          <cell r="D8">
            <v>0.65390380541018467</v>
          </cell>
        </row>
        <row r="9">
          <cell r="A9">
            <v>1112.04</v>
          </cell>
          <cell r="B9" t="str">
            <v>Vetkoek</v>
          </cell>
          <cell r="C9">
            <v>3.7198098781292837</v>
          </cell>
          <cell r="D9">
            <v>3.7198099108168723</v>
          </cell>
        </row>
        <row r="10">
          <cell r="A10">
            <v>1112.0899999999999</v>
          </cell>
          <cell r="B10" t="str">
            <v>Traditional bread, ash bread, oshikwiila, oshima, omungome</v>
          </cell>
          <cell r="C10">
            <v>3.9007852778346028</v>
          </cell>
          <cell r="D10">
            <v>3.900785300354237</v>
          </cell>
        </row>
        <row r="11">
          <cell r="A11">
            <v>1113.01</v>
          </cell>
          <cell r="B11" t="str">
            <v>Macaroni, spaghetti, noodles</v>
          </cell>
          <cell r="C11">
            <v>15.198223007693093</v>
          </cell>
          <cell r="D11">
            <v>15.19822304168677</v>
          </cell>
        </row>
        <row r="12">
          <cell r="A12">
            <v>1114.01</v>
          </cell>
          <cell r="B12" t="str">
            <v>Cakes (all types)</v>
          </cell>
          <cell r="C12">
            <v>1.4542406752476251</v>
          </cell>
          <cell r="D12">
            <v>1.4542406904531449</v>
          </cell>
        </row>
        <row r="13">
          <cell r="A13">
            <v>1114.02</v>
          </cell>
          <cell r="B13" t="str">
            <v>Pies &amp; pizzas</v>
          </cell>
          <cell r="C13">
            <v>0.27176900695908701</v>
          </cell>
          <cell r="D13">
            <v>0.27176900547191069</v>
          </cell>
        </row>
        <row r="14">
          <cell r="A14">
            <v>1115.01</v>
          </cell>
          <cell r="B14" t="str">
            <v>Breakfast cereals (all types)</v>
          </cell>
          <cell r="C14">
            <v>10.421325012338068</v>
          </cell>
          <cell r="D14">
            <v>10.421325073857647</v>
          </cell>
        </row>
        <row r="15">
          <cell r="A15">
            <v>1115.02</v>
          </cell>
          <cell r="B15" t="str">
            <v>Baby foods, cereals</v>
          </cell>
          <cell r="C15">
            <v>0.30590962302986041</v>
          </cell>
          <cell r="D15">
            <v>0.30590962206568928</v>
          </cell>
        </row>
        <row r="16">
          <cell r="A16">
            <v>1115.03</v>
          </cell>
          <cell r="B16" t="str">
            <v>Bread/ cake flour (all types)</v>
          </cell>
          <cell r="C16">
            <v>2.2587661506267041</v>
          </cell>
          <cell r="D16">
            <v>2.2587661493212332</v>
          </cell>
        </row>
        <row r="17">
          <cell r="A17">
            <v>1115.04</v>
          </cell>
          <cell r="B17" t="str">
            <v>Maize meal/ grain/ samp</v>
          </cell>
          <cell r="C17">
            <v>131.59490838594806</v>
          </cell>
          <cell r="D17">
            <v>131.59490859640073</v>
          </cell>
        </row>
        <row r="18">
          <cell r="A18">
            <v>1115.05</v>
          </cell>
          <cell r="B18" t="str">
            <v>Mahangu meal/ grain/ samp</v>
          </cell>
          <cell r="C18">
            <v>77.931403847914197</v>
          </cell>
          <cell r="D18">
            <v>77.931403638426261</v>
          </cell>
        </row>
        <row r="19">
          <cell r="A19">
            <v>1115.06</v>
          </cell>
          <cell r="B19" t="str">
            <v>Sorghum meal/ grain</v>
          </cell>
          <cell r="C19">
            <v>0.76610687172630509</v>
          </cell>
          <cell r="D19">
            <v>0.76610687221912421</v>
          </cell>
        </row>
        <row r="20">
          <cell r="A20">
            <v>1115.07</v>
          </cell>
          <cell r="B20" t="str">
            <v>Cassava flour</v>
          </cell>
          <cell r="C20">
            <v>2.4422423096391099E-2</v>
          </cell>
          <cell r="D20">
            <v>2.44224214919989E-2</v>
          </cell>
        </row>
        <row r="21">
          <cell r="A21">
            <v>1119.01</v>
          </cell>
          <cell r="B21" t="str">
            <v>Other bread &amp; cereals (specify)</v>
          </cell>
          <cell r="C21">
            <v>2.0907979463454289</v>
          </cell>
          <cell r="D21">
            <v>2.0855709948043324</v>
          </cell>
        </row>
        <row r="22">
          <cell r="A22">
            <v>1121.01</v>
          </cell>
          <cell r="B22" t="str">
            <v>Beef</v>
          </cell>
          <cell r="C22">
            <v>93.177287150281742</v>
          </cell>
          <cell r="D22">
            <v>93.17728714031557</v>
          </cell>
        </row>
        <row r="23">
          <cell r="A23">
            <v>1122.01</v>
          </cell>
          <cell r="B23" t="str">
            <v>Pork</v>
          </cell>
          <cell r="C23">
            <v>5.5779112883877211</v>
          </cell>
          <cell r="D23">
            <v>5.5779113399930598</v>
          </cell>
        </row>
        <row r="24">
          <cell r="A24">
            <v>1123.01</v>
          </cell>
          <cell r="B24" t="str">
            <v>Goat meat</v>
          </cell>
          <cell r="C24">
            <v>9.1112606653032522</v>
          </cell>
          <cell r="D24">
            <v>9.0875713413721257</v>
          </cell>
        </row>
        <row r="25">
          <cell r="A25">
            <v>1123.02</v>
          </cell>
          <cell r="B25" t="str">
            <v>Mutton/ Lamb</v>
          </cell>
          <cell r="C25">
            <v>6.1778641653965964</v>
          </cell>
          <cell r="D25">
            <v>6.1624194872903857</v>
          </cell>
        </row>
        <row r="26">
          <cell r="A26">
            <v>1124.01</v>
          </cell>
          <cell r="B26" t="str">
            <v>Chicken</v>
          </cell>
          <cell r="C26">
            <v>24.777802009040791</v>
          </cell>
          <cell r="D26">
            <v>24.777801971359814</v>
          </cell>
        </row>
        <row r="27">
          <cell r="A27">
            <v>1124.02</v>
          </cell>
          <cell r="B27" t="str">
            <v>Birds, other than chicken</v>
          </cell>
          <cell r="C27">
            <v>0.1960609860318358</v>
          </cell>
          <cell r="D27">
            <v>0.1960609823213639</v>
          </cell>
        </row>
        <row r="28">
          <cell r="A28">
            <v>1125.01</v>
          </cell>
          <cell r="B28" t="str">
            <v>Bacon</v>
          </cell>
          <cell r="C28">
            <v>0.2404007901543691</v>
          </cell>
          <cell r="D28">
            <v>0.2404007899689892</v>
          </cell>
        </row>
        <row r="29">
          <cell r="A29">
            <v>1125.02</v>
          </cell>
          <cell r="B29" t="str">
            <v>Ham</v>
          </cell>
          <cell r="C29">
            <v>0.12304205956712209</v>
          </cell>
          <cell r="D29">
            <v>0.123042058981887</v>
          </cell>
        </row>
        <row r="30">
          <cell r="A30">
            <v>1125.03</v>
          </cell>
          <cell r="B30" t="str">
            <v>Biltong</v>
          </cell>
          <cell r="C30">
            <v>0.24503694440995921</v>
          </cell>
          <cell r="D30">
            <v>0.2450369436846894</v>
          </cell>
        </row>
        <row r="31">
          <cell r="A31">
            <v>1125.04</v>
          </cell>
          <cell r="B31" t="str">
            <v>Smoked meat, other than bacon &amp; ham</v>
          </cell>
          <cell r="C31">
            <v>0.41287965957542888</v>
          </cell>
          <cell r="D31">
            <v>0.4128796599891093</v>
          </cell>
        </row>
        <row r="32">
          <cell r="A32">
            <v>1125.05</v>
          </cell>
          <cell r="B32" t="str">
            <v>Polony</v>
          </cell>
          <cell r="C32">
            <v>1.152762200590681</v>
          </cell>
          <cell r="D32">
            <v>1.1527621881425154</v>
          </cell>
        </row>
        <row r="33">
          <cell r="A33">
            <v>1125.06</v>
          </cell>
          <cell r="B33" t="str">
            <v>Sausages, other than polony</v>
          </cell>
          <cell r="C33">
            <v>3.756852114588761</v>
          </cell>
          <cell r="D33">
            <v>3.7568520989183534</v>
          </cell>
        </row>
        <row r="34">
          <cell r="A34">
            <v>1125.07</v>
          </cell>
          <cell r="B34" t="str">
            <v>Offals, meat waste</v>
          </cell>
          <cell r="C34">
            <v>2.7376572961185128</v>
          </cell>
          <cell r="D34">
            <v>2.7376573175115477</v>
          </cell>
        </row>
        <row r="35">
          <cell r="A35">
            <v>1125.08</v>
          </cell>
          <cell r="B35" t="str">
            <v>Liver &amp; kidneys</v>
          </cell>
          <cell r="C35">
            <v>0.81994386886056847</v>
          </cell>
          <cell r="D35">
            <v>0.81994386918342255</v>
          </cell>
        </row>
        <row r="36">
          <cell r="A36">
            <v>1126.01</v>
          </cell>
          <cell r="B36" t="str">
            <v>Minced meat</v>
          </cell>
          <cell r="C36">
            <v>2.3717215472943267</v>
          </cell>
          <cell r="D36">
            <v>2.3717215461210257</v>
          </cell>
        </row>
        <row r="37">
          <cell r="A37">
            <v>1126.02</v>
          </cell>
          <cell r="B37" t="str">
            <v>Canned meat</v>
          </cell>
          <cell r="C37">
            <v>0.59308608656415829</v>
          </cell>
          <cell r="D37">
            <v>0.5930860839830554</v>
          </cell>
        </row>
        <row r="38">
          <cell r="A38">
            <v>1127.01</v>
          </cell>
          <cell r="B38" t="str">
            <v>Game/ Iguana</v>
          </cell>
          <cell r="C38">
            <v>4.2834915148572623</v>
          </cell>
          <cell r="D38">
            <v>4.2834915442390153</v>
          </cell>
        </row>
        <row r="39">
          <cell r="A39">
            <v>1127.02</v>
          </cell>
          <cell r="B39" t="str">
            <v>Dog</v>
          </cell>
          <cell r="C39">
            <v>0.58747629284521641</v>
          </cell>
          <cell r="D39">
            <v>0.58747629363838816</v>
          </cell>
        </row>
        <row r="40">
          <cell r="A40">
            <v>1127.03</v>
          </cell>
          <cell r="B40" t="str">
            <v>Donkey</v>
          </cell>
          <cell r="C40">
            <v>1.0738158444825818</v>
          </cell>
          <cell r="D40">
            <v>1.0738158419156902</v>
          </cell>
        </row>
        <row r="41">
          <cell r="A41">
            <v>1127.04</v>
          </cell>
          <cell r="B41" t="str">
            <v>Tortoise</v>
          </cell>
          <cell r="C41">
            <v>3.4438179380122001E-3</v>
          </cell>
          <cell r="D41">
            <v>3.4438179380122001E-3</v>
          </cell>
        </row>
        <row r="42">
          <cell r="A42">
            <v>1128.01</v>
          </cell>
          <cell r="B42" t="str">
            <v>Worms (omaungu, omanghandja, omaenghowa, murere,</v>
          </cell>
          <cell r="C42">
            <v>0.1609177832848096</v>
          </cell>
          <cell r="D42">
            <v>0.1609177824880835</v>
          </cell>
        </row>
        <row r="43">
          <cell r="A43">
            <v>1129.99</v>
          </cell>
          <cell r="B43" t="str">
            <v>Other meat (specify)</v>
          </cell>
          <cell r="C43">
            <v>2.2347742672585351</v>
          </cell>
          <cell r="D43">
            <v>2.2347742636115298</v>
          </cell>
        </row>
        <row r="44">
          <cell r="A44">
            <v>1131.01</v>
          </cell>
          <cell r="B44" t="str">
            <v>Fresh fish</v>
          </cell>
          <cell r="C44">
            <v>9.9440588982277678</v>
          </cell>
          <cell r="D44">
            <v>9.8993105141652329</v>
          </cell>
        </row>
        <row r="45">
          <cell r="A45">
            <v>1131.02</v>
          </cell>
          <cell r="B45" t="str">
            <v>Frozen fish</v>
          </cell>
          <cell r="C45">
            <v>9.0128672656205104</v>
          </cell>
          <cell r="D45">
            <v>8.9867299283664384</v>
          </cell>
        </row>
        <row r="46">
          <cell r="A46">
            <v>1132.01</v>
          </cell>
          <cell r="B46" t="str">
            <v>Cray fish, all types</v>
          </cell>
          <cell r="C46">
            <v>4.7496083151782699E-2</v>
          </cell>
          <cell r="D46">
            <v>4.7496083015136102E-2</v>
          </cell>
        </row>
        <row r="47">
          <cell r="A47">
            <v>1132.02</v>
          </cell>
          <cell r="B47" t="str">
            <v>Snails, crabs</v>
          </cell>
          <cell r="C47">
            <v>9.6633842553956999E-3</v>
          </cell>
          <cell r="D47">
            <v>9.6633842553956999E-3</v>
          </cell>
        </row>
        <row r="48">
          <cell r="A48">
            <v>1132.03</v>
          </cell>
          <cell r="B48" t="str">
            <v>Frogs</v>
          </cell>
          <cell r="C48">
            <v>0.1238244218549947</v>
          </cell>
          <cell r="D48">
            <v>0.12382441924707149</v>
          </cell>
        </row>
        <row r="49">
          <cell r="A49">
            <v>1133.01</v>
          </cell>
          <cell r="B49" t="str">
            <v>Smoked fish</v>
          </cell>
          <cell r="C49">
            <v>1.8551668895069398</v>
          </cell>
          <cell r="D49">
            <v>1.855166890926284</v>
          </cell>
        </row>
        <row r="50">
          <cell r="A50">
            <v>1133.02</v>
          </cell>
          <cell r="B50" t="str">
            <v>Kapenta/ Eentangu (fresh)</v>
          </cell>
          <cell r="C50">
            <v>4.16886314117648E-2</v>
          </cell>
          <cell r="D50">
            <v>4.1488525298049798E-2</v>
          </cell>
        </row>
        <row r="51">
          <cell r="A51">
            <v>1133.03</v>
          </cell>
          <cell r="B51" t="str">
            <v>Dried fish</v>
          </cell>
          <cell r="C51">
            <v>2.7296458723239976</v>
          </cell>
          <cell r="D51">
            <v>2.7296458680740767</v>
          </cell>
        </row>
        <row r="52">
          <cell r="A52">
            <v>1134.01</v>
          </cell>
          <cell r="B52" t="str">
            <v>Bottled/ Tinned fish</v>
          </cell>
          <cell r="C52">
            <v>2.8893046746481179</v>
          </cell>
          <cell r="D52">
            <v>2.8893046188443865</v>
          </cell>
        </row>
        <row r="53">
          <cell r="A53">
            <v>1139.99</v>
          </cell>
          <cell r="B53" t="str">
            <v>Other amphibians (specify)</v>
          </cell>
          <cell r="C53">
            <v>0.2516886632331351</v>
          </cell>
          <cell r="D53">
            <v>0.25168864628010701</v>
          </cell>
        </row>
        <row r="54">
          <cell r="A54">
            <v>1141.01</v>
          </cell>
          <cell r="B54" t="str">
            <v>Fresh milk</v>
          </cell>
          <cell r="C54">
            <v>13.11638529606847</v>
          </cell>
          <cell r="D54">
            <v>13.116385264535403</v>
          </cell>
        </row>
        <row r="55">
          <cell r="A55">
            <v>1141.02</v>
          </cell>
          <cell r="B55" t="str">
            <v>Long life milk</v>
          </cell>
          <cell r="C55">
            <v>0.59509715964807586</v>
          </cell>
          <cell r="D55">
            <v>0.59509715414700193</v>
          </cell>
        </row>
        <row r="56">
          <cell r="A56">
            <v>1141.99</v>
          </cell>
          <cell r="B56" t="str">
            <v>Other dairy products (specify)</v>
          </cell>
          <cell r="C56">
            <v>1.0476171011263249</v>
          </cell>
          <cell r="D56">
            <v>1.0476170942984222</v>
          </cell>
        </row>
        <row r="57">
          <cell r="A57">
            <v>1142.01</v>
          </cell>
          <cell r="B57" t="str">
            <v>Fresh milk - Low fat</v>
          </cell>
          <cell r="C57">
            <v>1.5456900754703899E-2</v>
          </cell>
          <cell r="D57">
            <v>1.54569004964463E-2</v>
          </cell>
        </row>
        <row r="58">
          <cell r="A58">
            <v>1142.02</v>
          </cell>
          <cell r="B58" t="str">
            <v>Long life - Low fat</v>
          </cell>
          <cell r="C58">
            <v>3.4191322905277197E-2</v>
          </cell>
          <cell r="D58">
            <v>3.4191322746412803E-2</v>
          </cell>
        </row>
        <row r="59">
          <cell r="A59">
            <v>1143.01</v>
          </cell>
          <cell r="B59" t="str">
            <v>Condensed milk</v>
          </cell>
          <cell r="C59">
            <v>2.9481557096849999E-2</v>
          </cell>
          <cell r="D59">
            <v>2.94815569108773E-2</v>
          </cell>
        </row>
        <row r="60">
          <cell r="A60">
            <v>1143.02</v>
          </cell>
          <cell r="B60" t="str">
            <v>Powdered milk</v>
          </cell>
          <cell r="C60">
            <v>0.1137547220545084</v>
          </cell>
          <cell r="D60">
            <v>0.1137547213485529</v>
          </cell>
        </row>
        <row r="61">
          <cell r="A61">
            <v>1143.03</v>
          </cell>
          <cell r="B61" t="str">
            <v>Coffee creamer</v>
          </cell>
          <cell r="C61">
            <v>8.8351076723454297E-2</v>
          </cell>
          <cell r="D61">
            <v>8.8351076864675193E-2</v>
          </cell>
        </row>
        <row r="62">
          <cell r="A62">
            <v>1143.04</v>
          </cell>
          <cell r="B62" t="str">
            <v>Baby milk powdered</v>
          </cell>
          <cell r="C62">
            <v>0.87935003708703419</v>
          </cell>
          <cell r="D62">
            <v>0.87935007194252057</v>
          </cell>
        </row>
        <row r="63">
          <cell r="A63">
            <v>1144.01</v>
          </cell>
          <cell r="B63" t="str">
            <v>Clotted/ Cultured milk</v>
          </cell>
          <cell r="C63">
            <v>3.7517319975691557</v>
          </cell>
          <cell r="D63">
            <v>3.7517320021912806</v>
          </cell>
        </row>
        <row r="64">
          <cell r="A64">
            <v>1144.02</v>
          </cell>
          <cell r="B64" t="str">
            <v>Yoghurt</v>
          </cell>
          <cell r="C64">
            <v>0.83018134701755075</v>
          </cell>
          <cell r="D64">
            <v>0.83018134575788394</v>
          </cell>
        </row>
        <row r="65">
          <cell r="A65">
            <v>1144.03</v>
          </cell>
          <cell r="B65" t="str">
            <v>Traditional sour milk</v>
          </cell>
          <cell r="C65">
            <v>18.175391907190637</v>
          </cell>
          <cell r="D65">
            <v>18.175391962348975</v>
          </cell>
        </row>
        <row r="66">
          <cell r="A66">
            <v>1145.01</v>
          </cell>
          <cell r="B66" t="str">
            <v>Cheese, all types</v>
          </cell>
          <cell r="C66">
            <v>1.0501349438359366</v>
          </cell>
          <cell r="D66">
            <v>1.0501349466035976</v>
          </cell>
        </row>
        <row r="67">
          <cell r="A67">
            <v>1146.01</v>
          </cell>
          <cell r="B67" t="str">
            <v>Cream</v>
          </cell>
          <cell r="C67">
            <v>2.11656327062337E-2</v>
          </cell>
          <cell r="D67">
            <v>2.1165633083139099E-2</v>
          </cell>
        </row>
        <row r="68">
          <cell r="A68">
            <v>1147.01</v>
          </cell>
          <cell r="B68" t="str">
            <v>Eggs</v>
          </cell>
          <cell r="C68">
            <v>3.8624752204331418</v>
          </cell>
          <cell r="D68">
            <v>3.8624752435394378</v>
          </cell>
        </row>
        <row r="69">
          <cell r="A69">
            <v>1151.01</v>
          </cell>
          <cell r="B69" t="str">
            <v>Butter</v>
          </cell>
          <cell r="C69">
            <v>0.68720156007753486</v>
          </cell>
          <cell r="D69">
            <v>0.6872015578665851</v>
          </cell>
        </row>
        <row r="70">
          <cell r="A70">
            <v>1152.01</v>
          </cell>
          <cell r="B70" t="str">
            <v>Margarine &amp; margarine spreads</v>
          </cell>
          <cell r="C70">
            <v>8.4622289681430402E-2</v>
          </cell>
          <cell r="D70">
            <v>8.4622289278846893E-2</v>
          </cell>
        </row>
        <row r="71">
          <cell r="A71">
            <v>1152.02</v>
          </cell>
          <cell r="B71" t="str">
            <v>Peanut butter</v>
          </cell>
          <cell r="C71">
            <v>8.2369878092576898E-2</v>
          </cell>
          <cell r="D71">
            <v>8.2369877535181393E-2</v>
          </cell>
        </row>
        <row r="72">
          <cell r="A72">
            <v>1152.99</v>
          </cell>
          <cell r="B72" t="str">
            <v>Spreads, other (specify)</v>
          </cell>
          <cell r="C72">
            <v>5.9757904443662E-3</v>
          </cell>
          <cell r="D72">
            <v>5.9757903902095E-3</v>
          </cell>
        </row>
        <row r="73">
          <cell r="A73">
            <v>1154.01</v>
          </cell>
          <cell r="B73" t="str">
            <v>Cooking oil</v>
          </cell>
          <cell r="C73">
            <v>7.2011584752546796</v>
          </cell>
          <cell r="D73">
            <v>7.2011584534340836</v>
          </cell>
        </row>
        <row r="74">
          <cell r="A74">
            <v>1154.02</v>
          </cell>
          <cell r="B74" t="str">
            <v>Olive oil</v>
          </cell>
          <cell r="C74">
            <v>2.16365759642786E-2</v>
          </cell>
          <cell r="D74">
            <v>2.1636575933553299E-2</v>
          </cell>
        </row>
        <row r="75">
          <cell r="A75">
            <v>1155.01</v>
          </cell>
          <cell r="B75" t="str">
            <v>Cooking fats</v>
          </cell>
          <cell r="C75">
            <v>6.8872964625248195E-2</v>
          </cell>
          <cell r="D75">
            <v>6.8872964550777696E-2</v>
          </cell>
        </row>
        <row r="76">
          <cell r="A76">
            <v>1155.02</v>
          </cell>
          <cell r="B76" t="str">
            <v>Omaze ongombe</v>
          </cell>
          <cell r="C76">
            <v>1.44654132727715E-2</v>
          </cell>
          <cell r="D76">
            <v>1.4465413284031701E-2</v>
          </cell>
        </row>
        <row r="77">
          <cell r="A77">
            <v>1155.03</v>
          </cell>
          <cell r="B77" t="str">
            <v>Komazam &amp; sheep tail fat</v>
          </cell>
          <cell r="C77">
            <v>1.2016213745612901E-2</v>
          </cell>
          <cell r="D77">
            <v>1.2016213743932001E-2</v>
          </cell>
        </row>
        <row r="78">
          <cell r="A78">
            <v>1159.99</v>
          </cell>
          <cell r="B78" t="str">
            <v>Other oils &amp; fats (specify)</v>
          </cell>
          <cell r="C78">
            <v>9.67043972157276E-2</v>
          </cell>
          <cell r="D78">
            <v>9.6704397050190002E-2</v>
          </cell>
        </row>
        <row r="79">
          <cell r="A79">
            <v>1161.01</v>
          </cell>
          <cell r="B79" t="str">
            <v>Citrus fruits (orange, lemon, etc.)</v>
          </cell>
          <cell r="C79">
            <v>1.8692445227794861</v>
          </cell>
          <cell r="D79">
            <v>1.8641975874115833</v>
          </cell>
        </row>
        <row r="80">
          <cell r="A80">
            <v>1162.01</v>
          </cell>
          <cell r="B80" t="str">
            <v>Bananas</v>
          </cell>
          <cell r="C80">
            <v>1.4182962402542825</v>
          </cell>
          <cell r="D80">
            <v>1.4131903571032163</v>
          </cell>
        </row>
        <row r="81">
          <cell r="A81">
            <v>1163.01</v>
          </cell>
          <cell r="B81" t="str">
            <v>Apples</v>
          </cell>
          <cell r="C81">
            <v>2.1008883141762786</v>
          </cell>
          <cell r="D81">
            <v>2.098787381394839</v>
          </cell>
        </row>
        <row r="82">
          <cell r="A82">
            <v>1164.01</v>
          </cell>
          <cell r="B82" t="str">
            <v>Pears</v>
          </cell>
          <cell r="C82">
            <v>0.11253258390869</v>
          </cell>
          <cell r="D82">
            <v>0.1125325875694182</v>
          </cell>
        </row>
        <row r="83">
          <cell r="A83">
            <v>1165.01</v>
          </cell>
          <cell r="B83" t="str">
            <v>Apricots</v>
          </cell>
          <cell r="C83">
            <v>5.8163921273467097E-2</v>
          </cell>
          <cell r="D83">
            <v>5.8163921273467097E-2</v>
          </cell>
        </row>
        <row r="84">
          <cell r="A84">
            <v>1165.02</v>
          </cell>
          <cell r="B84" t="str">
            <v>Avocados</v>
          </cell>
          <cell r="C84">
            <v>3.73094357256753E-2</v>
          </cell>
          <cell r="D84">
            <v>3.7201238021861802E-2</v>
          </cell>
        </row>
        <row r="85">
          <cell r="A85">
            <v>1165.04</v>
          </cell>
          <cell r="B85" t="str">
            <v>Mangoes</v>
          </cell>
          <cell r="C85">
            <v>0.4881911868887357</v>
          </cell>
          <cell r="D85">
            <v>0.48677543122134331</v>
          </cell>
        </row>
        <row r="86">
          <cell r="A86">
            <v>1165.05</v>
          </cell>
          <cell r="B86" t="str">
            <v>Plums</v>
          </cell>
          <cell r="C86">
            <v>4.5728194959953297E-2</v>
          </cell>
          <cell r="D86">
            <v>4.5728195606791998E-2</v>
          </cell>
        </row>
        <row r="87">
          <cell r="A87">
            <v>1165.06</v>
          </cell>
          <cell r="B87" t="str">
            <v>Peaches</v>
          </cell>
          <cell r="C87">
            <v>0.19633895313506761</v>
          </cell>
          <cell r="D87">
            <v>0.19610334495132131</v>
          </cell>
        </row>
        <row r="88">
          <cell r="A88">
            <v>1166.01</v>
          </cell>
          <cell r="B88" t="str">
            <v>Strawberries</v>
          </cell>
          <cell r="C88">
            <v>4.0864180869743999E-2</v>
          </cell>
          <cell r="D88">
            <v>4.0847832232951499E-2</v>
          </cell>
        </row>
        <row r="89">
          <cell r="A89">
            <v>1166.02</v>
          </cell>
          <cell r="B89" t="str">
            <v>Mulberries</v>
          </cell>
          <cell r="C89">
            <v>1.210316490854E-4</v>
          </cell>
          <cell r="D89">
            <v>1.210195518978E-4</v>
          </cell>
        </row>
        <row r="90">
          <cell r="A90">
            <v>1166.03</v>
          </cell>
          <cell r="B90" t="str">
            <v>Figs</v>
          </cell>
          <cell r="C90">
            <v>5.3005376803310897E-2</v>
          </cell>
          <cell r="D90">
            <v>5.3005376768511303E-2</v>
          </cell>
        </row>
        <row r="91">
          <cell r="A91">
            <v>1166.04</v>
          </cell>
          <cell r="B91" t="str">
            <v>Grapes/ Omandjebere (fresh)</v>
          </cell>
          <cell r="C91">
            <v>0.34236801238490572</v>
          </cell>
          <cell r="D91">
            <v>0.34236801155569901</v>
          </cell>
        </row>
        <row r="92">
          <cell r="A92">
            <v>1166.05</v>
          </cell>
          <cell r="B92" t="str">
            <v>Guavas</v>
          </cell>
          <cell r="C92">
            <v>0.20432941180631031</v>
          </cell>
          <cell r="D92">
            <v>0.203879886909273</v>
          </cell>
        </row>
        <row r="93">
          <cell r="A93">
            <v>1166.06</v>
          </cell>
          <cell r="B93" t="str">
            <v>Olives, all types</v>
          </cell>
          <cell r="C93">
            <v>2.5601529207682199E-2</v>
          </cell>
          <cell r="D93">
            <v>2.5601529077809201E-2</v>
          </cell>
        </row>
        <row r="94">
          <cell r="A94">
            <v>1167.01</v>
          </cell>
          <cell r="B94" t="str">
            <v>Sweet melons, all types</v>
          </cell>
          <cell r="C94">
            <v>0.68616181638988905</v>
          </cell>
          <cell r="D94">
            <v>0.68245655220035983</v>
          </cell>
        </row>
        <row r="95">
          <cell r="A95">
            <v>1167.02</v>
          </cell>
          <cell r="B95" t="str">
            <v>Watermelons</v>
          </cell>
          <cell r="C95">
            <v>6.9458334069334331</v>
          </cell>
          <cell r="D95">
            <v>6.9083259718116601</v>
          </cell>
        </row>
        <row r="96">
          <cell r="A96">
            <v>1167.03</v>
          </cell>
          <cell r="B96" t="str">
            <v>Pineapples</v>
          </cell>
          <cell r="C96">
            <v>6.3549914450988204E-2</v>
          </cell>
          <cell r="D96">
            <v>6.3238521479103194E-2</v>
          </cell>
        </row>
        <row r="97">
          <cell r="A97">
            <v>1167.99</v>
          </cell>
          <cell r="B97" t="str">
            <v>Passion fruit</v>
          </cell>
          <cell r="C97">
            <v>6.5685319577385003E-3</v>
          </cell>
          <cell r="D97">
            <v>6.5370025350513002E-3</v>
          </cell>
        </row>
        <row r="98">
          <cell r="A98">
            <v>1168.01</v>
          </cell>
          <cell r="B98" t="str">
            <v>Eendunga/ Munganda</v>
          </cell>
          <cell r="C98">
            <v>0.5165974844976825</v>
          </cell>
          <cell r="D98">
            <v>0.51659747855759608</v>
          </cell>
        </row>
        <row r="99">
          <cell r="A99">
            <v>1168.02</v>
          </cell>
          <cell r="B99" t="str">
            <v>Oombe</v>
          </cell>
          <cell r="C99">
            <v>0.13537327420391451</v>
          </cell>
          <cell r="D99">
            <v>0.13527851083798539</v>
          </cell>
        </row>
        <row r="100">
          <cell r="A100">
            <v>1168.03</v>
          </cell>
          <cell r="B100" t="str">
            <v>Grapes/ Omandjebere (dry)</v>
          </cell>
          <cell r="C100">
            <v>6.43686089927238E-2</v>
          </cell>
          <cell r="D100">
            <v>6.4304239151801806E-2</v>
          </cell>
        </row>
        <row r="101">
          <cell r="A101">
            <v>1168.04</v>
          </cell>
          <cell r="B101" t="str">
            <v>Omauni</v>
          </cell>
          <cell r="C101">
            <v>0.36034108179150481</v>
          </cell>
          <cell r="D101">
            <v>0.35936815403257638</v>
          </cell>
        </row>
        <row r="102">
          <cell r="A102">
            <v>1168.08</v>
          </cell>
          <cell r="B102" t="str">
            <v>Ground nuts/ Eefukwa</v>
          </cell>
          <cell r="C102">
            <v>1.1131355252374833</v>
          </cell>
          <cell r="D102">
            <v>1.1131355237439635</v>
          </cell>
        </row>
        <row r="103">
          <cell r="A103">
            <v>1168.0899999999999</v>
          </cell>
          <cell r="B103" t="str">
            <v>Omahuku</v>
          </cell>
          <cell r="C103">
            <v>0.28711702616718748</v>
          </cell>
          <cell r="D103">
            <v>0.28711702451577747</v>
          </cell>
        </row>
        <row r="104">
          <cell r="A104">
            <v>1168.0999999999999</v>
          </cell>
          <cell r="B104" t="str">
            <v>Peanuts &amp; other snack nuts</v>
          </cell>
          <cell r="C104">
            <v>9.4489734222270097E-2</v>
          </cell>
          <cell r="D104">
            <v>9.4489733755664496E-2</v>
          </cell>
        </row>
        <row r="105">
          <cell r="A105">
            <v>1168.1099999999999</v>
          </cell>
          <cell r="B105" t="str">
            <v>Ekwa/ Mubuyu</v>
          </cell>
          <cell r="C105">
            <v>6.0388060789410003E-2</v>
          </cell>
          <cell r="D105">
            <v>6.0218976472165398E-2</v>
          </cell>
        </row>
        <row r="106">
          <cell r="A106">
            <v>1168.1400000000001</v>
          </cell>
          <cell r="B106" t="str">
            <v>Eenyandi</v>
          </cell>
          <cell r="C106">
            <v>0.54100429813208162</v>
          </cell>
          <cell r="D106">
            <v>0.53867797421800112</v>
          </cell>
        </row>
        <row r="107">
          <cell r="A107">
            <v>1168.1600000000001</v>
          </cell>
          <cell r="B107" t="str">
            <v>Cocoanuts</v>
          </cell>
          <cell r="C107">
            <v>2.4591002020645999E-3</v>
          </cell>
          <cell r="D107">
            <v>2.4591002020645999E-3</v>
          </cell>
        </row>
        <row r="108">
          <cell r="A108">
            <v>1168.17</v>
          </cell>
          <cell r="B108" t="str">
            <v>Mixed nuts</v>
          </cell>
          <cell r="C108">
            <v>2.08013211545124E-2</v>
          </cell>
          <cell r="D108">
            <v>2.08013211312571E-2</v>
          </cell>
        </row>
        <row r="109">
          <cell r="A109">
            <v>1168.22</v>
          </cell>
          <cell r="B109" t="str">
            <v>Dried dates</v>
          </cell>
          <cell r="C109">
            <v>8.3977713374723997E-2</v>
          </cell>
          <cell r="D109">
            <v>8.3977713372662299E-2</v>
          </cell>
        </row>
        <row r="110">
          <cell r="A110">
            <v>1168.99</v>
          </cell>
          <cell r="B110" t="str">
            <v>Dried fruits, other</v>
          </cell>
          <cell r="C110">
            <v>8.8869982316550997E-3</v>
          </cell>
          <cell r="D110">
            <v>8.8869982316550997E-3</v>
          </cell>
        </row>
        <row r="111">
          <cell r="A111">
            <v>1169.01</v>
          </cell>
          <cell r="B111" t="str">
            <v>Tinned fruits</v>
          </cell>
          <cell r="C111">
            <v>2.6272375200165898E-2</v>
          </cell>
          <cell r="D111">
            <v>2.62723749222353E-2</v>
          </cell>
        </row>
        <row r="112">
          <cell r="A112">
            <v>1169.08</v>
          </cell>
          <cell r="B112" t="str">
            <v>Mixed fruits (fresh)</v>
          </cell>
          <cell r="C112">
            <v>0.41703355715810952</v>
          </cell>
          <cell r="D112">
            <v>0.41703355759951127</v>
          </cell>
        </row>
        <row r="113">
          <cell r="A113">
            <v>1169.99</v>
          </cell>
          <cell r="B113" t="str">
            <v>Other fruits &amp; nuts (specify)</v>
          </cell>
          <cell r="C113">
            <v>3.775367070029477</v>
          </cell>
          <cell r="D113">
            <v>3.7753670865333362</v>
          </cell>
        </row>
        <row r="114">
          <cell r="A114">
            <v>1171.01</v>
          </cell>
          <cell r="B114" t="str">
            <v>Lettuce</v>
          </cell>
          <cell r="C114">
            <v>0.20049986247879739</v>
          </cell>
          <cell r="D114">
            <v>0.1998983629240155</v>
          </cell>
        </row>
        <row r="115">
          <cell r="A115">
            <v>1171.02</v>
          </cell>
          <cell r="B115" t="str">
            <v>Spinach/ Ombindi/ Derere/ Mutete/ Ekaka</v>
          </cell>
          <cell r="C115">
            <v>12.999491016306397</v>
          </cell>
          <cell r="D115">
            <v>12.963092424468128</v>
          </cell>
        </row>
        <row r="116">
          <cell r="A116">
            <v>1171.99</v>
          </cell>
          <cell r="B116" t="str">
            <v>Chives/ Grass onion</v>
          </cell>
          <cell r="C116">
            <v>0.2025239610769011</v>
          </cell>
          <cell r="D116">
            <v>0.2025239474865311</v>
          </cell>
        </row>
        <row r="117">
          <cell r="A117">
            <v>1172.01</v>
          </cell>
          <cell r="B117" t="str">
            <v>Broccoli</v>
          </cell>
          <cell r="C117">
            <v>3.97300086156267E-2</v>
          </cell>
          <cell r="D117">
            <v>3.9730008453625003E-2</v>
          </cell>
        </row>
        <row r="118">
          <cell r="A118">
            <v>1172.02</v>
          </cell>
          <cell r="B118" t="str">
            <v>Cabbage</v>
          </cell>
          <cell r="C118">
            <v>4.5810408635428477</v>
          </cell>
          <cell r="D118">
            <v>4.571878691915221</v>
          </cell>
        </row>
        <row r="119">
          <cell r="A119">
            <v>1172.03</v>
          </cell>
          <cell r="B119" t="str">
            <v>Cauliflower</v>
          </cell>
          <cell r="C119">
            <v>3.27531534388791E-2</v>
          </cell>
          <cell r="D119">
            <v>3.2753152739885598E-2</v>
          </cell>
        </row>
        <row r="120">
          <cell r="A120">
            <v>1173.02</v>
          </cell>
          <cell r="B120" t="str">
            <v>Beans (fresh)</v>
          </cell>
          <cell r="C120">
            <v>3.2491276687476298</v>
          </cell>
          <cell r="D120">
            <v>3.2436041558211599</v>
          </cell>
        </row>
        <row r="121">
          <cell r="A121">
            <v>1173.03</v>
          </cell>
          <cell r="B121" t="str">
            <v>Cucumber</v>
          </cell>
          <cell r="C121">
            <v>0.55967749705449299</v>
          </cell>
          <cell r="D121">
            <v>0.55861409541981843</v>
          </cell>
        </row>
        <row r="122">
          <cell r="A122">
            <v>1173.04</v>
          </cell>
          <cell r="B122" t="str">
            <v>Green pepper/ Paprika</v>
          </cell>
          <cell r="C122">
            <v>0.49326257332953738</v>
          </cell>
          <cell r="D122">
            <v>0.49242403826635672</v>
          </cell>
        </row>
        <row r="123">
          <cell r="A123">
            <v>1173.05</v>
          </cell>
          <cell r="B123" t="str">
            <v>Chilli</v>
          </cell>
          <cell r="C123">
            <v>0.29111079037747922</v>
          </cell>
          <cell r="D123">
            <v>0.28898568043233441</v>
          </cell>
        </row>
        <row r="124">
          <cell r="A124">
            <v>1173.06</v>
          </cell>
          <cell r="B124" t="str">
            <v>Mealie/ Corn cob</v>
          </cell>
          <cell r="C124">
            <v>0.85041336894151554</v>
          </cell>
          <cell r="D124">
            <v>0.85041337162881858</v>
          </cell>
        </row>
        <row r="125">
          <cell r="A125">
            <v>1173.07</v>
          </cell>
          <cell r="B125" t="str">
            <v>Peas</v>
          </cell>
          <cell r="C125">
            <v>0.1040786449729612</v>
          </cell>
          <cell r="D125">
            <v>0.104078644379129</v>
          </cell>
        </row>
        <row r="126">
          <cell r="A126">
            <v>1173.08</v>
          </cell>
          <cell r="B126" t="str">
            <v>Pumpkins baby marrows &amp; squashes, all types</v>
          </cell>
          <cell r="C126">
            <v>6.024301970274851</v>
          </cell>
          <cell r="D126">
            <v>5.9821318275852464</v>
          </cell>
        </row>
        <row r="127">
          <cell r="A127">
            <v>1173.0899999999999</v>
          </cell>
          <cell r="B127" t="str">
            <v>Tomatoes</v>
          </cell>
          <cell r="C127">
            <v>7.1059196246643417</v>
          </cell>
          <cell r="D127">
            <v>7.0995243486244659</v>
          </cell>
        </row>
        <row r="128">
          <cell r="A128">
            <v>1174.02</v>
          </cell>
          <cell r="B128" t="str">
            <v>Beetroot</v>
          </cell>
          <cell r="C128">
            <v>0.68227972475820331</v>
          </cell>
          <cell r="D128">
            <v>0.68125630959837669</v>
          </cell>
        </row>
        <row r="129">
          <cell r="A129">
            <v>1174.03</v>
          </cell>
          <cell r="B129" t="str">
            <v>Carrots</v>
          </cell>
          <cell r="C129">
            <v>2.2349347409702891</v>
          </cell>
          <cell r="D129">
            <v>2.2324762903579614</v>
          </cell>
        </row>
        <row r="130">
          <cell r="A130">
            <v>1174.06</v>
          </cell>
          <cell r="B130" t="str">
            <v>Onion</v>
          </cell>
          <cell r="C130">
            <v>6.9061112346653175</v>
          </cell>
          <cell r="D130">
            <v>6.8998956376362743</v>
          </cell>
        </row>
        <row r="131">
          <cell r="A131">
            <v>1174.08</v>
          </cell>
          <cell r="B131" t="str">
            <v>Turnip</v>
          </cell>
          <cell r="C131">
            <v>1.3074305519251001E-3</v>
          </cell>
          <cell r="D131">
            <v>1.3074304215074E-3</v>
          </cell>
        </row>
        <row r="132">
          <cell r="A132">
            <v>1174.0899999999999</v>
          </cell>
          <cell r="B132" t="str">
            <v>Mushroom</v>
          </cell>
          <cell r="C132">
            <v>0.13045222063228579</v>
          </cell>
          <cell r="D132">
            <v>0.1304522184436879</v>
          </cell>
        </row>
        <row r="133">
          <cell r="A133">
            <v>1175.01</v>
          </cell>
          <cell r="B133" t="str">
            <v>Beans (dried)</v>
          </cell>
          <cell r="C133">
            <v>3.4039268696254044</v>
          </cell>
          <cell r="D133">
            <v>3.4039268687098536</v>
          </cell>
        </row>
        <row r="134">
          <cell r="A134">
            <v>1175.02</v>
          </cell>
          <cell r="B134" t="str">
            <v>Peas (dried)</v>
          </cell>
          <cell r="C134">
            <v>2.3460708727663902E-2</v>
          </cell>
          <cell r="D134">
            <v>2.34607097322409E-2</v>
          </cell>
        </row>
        <row r="135">
          <cell r="A135">
            <v>1175.03</v>
          </cell>
          <cell r="B135" t="str">
            <v>Lentils</v>
          </cell>
          <cell r="C135">
            <v>1.7644389666146901E-2</v>
          </cell>
          <cell r="D135">
            <v>1.76108647181164E-2</v>
          </cell>
        </row>
        <row r="136">
          <cell r="A136">
            <v>1175.0899999999999</v>
          </cell>
          <cell r="B136" t="str">
            <v>Dried vegetables, other</v>
          </cell>
          <cell r="C136">
            <v>0.1823823992595909</v>
          </cell>
          <cell r="D136">
            <v>0.18238239891086641</v>
          </cell>
        </row>
        <row r="137">
          <cell r="A137">
            <v>1176.01</v>
          </cell>
          <cell r="B137" t="str">
            <v>Tinned/ Pickled vegetables (e.g. cucumbers, onions, garlic, mixed)</v>
          </cell>
          <cell r="C137">
            <v>0.82964607829303427</v>
          </cell>
          <cell r="D137">
            <v>0.82964607512024136</v>
          </cell>
        </row>
        <row r="138">
          <cell r="A138">
            <v>1177.01</v>
          </cell>
          <cell r="B138" t="str">
            <v>Potatoes, English</v>
          </cell>
          <cell r="C138">
            <v>14.03676176158786</v>
          </cell>
          <cell r="D138">
            <v>14.014302845094177</v>
          </cell>
        </row>
        <row r="139">
          <cell r="A139">
            <v>1178.01</v>
          </cell>
          <cell r="B139" t="str">
            <v>Sweet potatoes</v>
          </cell>
          <cell r="C139">
            <v>1.4890883923910803</v>
          </cell>
          <cell r="D139">
            <v>1.4867058747478683</v>
          </cell>
        </row>
        <row r="140">
          <cell r="A140">
            <v>1178.02</v>
          </cell>
          <cell r="B140" t="str">
            <v>Chips &amp; crisps</v>
          </cell>
          <cell r="C140">
            <v>2.356561806163906</v>
          </cell>
          <cell r="D140">
            <v>2.3565618149858896</v>
          </cell>
        </row>
        <row r="141">
          <cell r="A141">
            <v>1178.03</v>
          </cell>
          <cell r="B141" t="str">
            <v>Cassava</v>
          </cell>
          <cell r="C141">
            <v>0.1657458704330507</v>
          </cell>
          <cell r="D141">
            <v>0.16574587167463531</v>
          </cell>
        </row>
        <row r="142">
          <cell r="A142">
            <v>1178.05</v>
          </cell>
          <cell r="B142" t="str">
            <v>Frozen vegetables</v>
          </cell>
          <cell r="C142">
            <v>0.13702268784240221</v>
          </cell>
          <cell r="D142">
            <v>0.13702268625101929</v>
          </cell>
        </row>
        <row r="143">
          <cell r="A143">
            <v>1179.08</v>
          </cell>
          <cell r="B143" t="str">
            <v>Mixed vegetables</v>
          </cell>
          <cell r="C143">
            <v>1.1530329120428335</v>
          </cell>
          <cell r="D143">
            <v>1.1530329140885442</v>
          </cell>
        </row>
        <row r="144">
          <cell r="A144">
            <v>1179.99</v>
          </cell>
          <cell r="B144" t="str">
            <v>Other vegetables &amp; tubers (specify)</v>
          </cell>
          <cell r="C144">
            <v>1.2868933709405894</v>
          </cell>
          <cell r="D144">
            <v>1.2868933739918991</v>
          </cell>
        </row>
        <row r="145">
          <cell r="A145">
            <v>1181.01</v>
          </cell>
          <cell r="B145" t="str">
            <v>Sugar</v>
          </cell>
          <cell r="C145">
            <v>9.0340987130959878</v>
          </cell>
          <cell r="D145">
            <v>9.0340986934939611</v>
          </cell>
        </row>
        <row r="146">
          <cell r="A146">
            <v>1181.02</v>
          </cell>
          <cell r="B146" t="str">
            <v>Sugar cane</v>
          </cell>
          <cell r="C146">
            <v>5.19296624183768E-2</v>
          </cell>
          <cell r="D146">
            <v>5.1929662899060598E-2</v>
          </cell>
        </row>
        <row r="147">
          <cell r="A147">
            <v>1181.03</v>
          </cell>
          <cell r="B147" t="str">
            <v>Icing sugar</v>
          </cell>
          <cell r="C147">
            <v>1.09909719825904E-2</v>
          </cell>
          <cell r="D147">
            <v>1.09909719825904E-2</v>
          </cell>
        </row>
        <row r="148">
          <cell r="A148">
            <v>1182.01</v>
          </cell>
          <cell r="B148" t="str">
            <v>Honey</v>
          </cell>
          <cell r="C148">
            <v>7.7598948142845996E-3</v>
          </cell>
          <cell r="D148">
            <v>7.7598947980116999E-3</v>
          </cell>
        </row>
        <row r="149">
          <cell r="A149">
            <v>1182.02</v>
          </cell>
          <cell r="B149" t="str">
            <v>Jam</v>
          </cell>
          <cell r="C149">
            <v>0.10817135540375029</v>
          </cell>
          <cell r="D149">
            <v>0.108171354825354</v>
          </cell>
        </row>
        <row r="150">
          <cell r="A150">
            <v>1183.01</v>
          </cell>
          <cell r="B150" t="str">
            <v>Chocolate</v>
          </cell>
          <cell r="C150">
            <v>0.76679865498373601</v>
          </cell>
          <cell r="D150">
            <v>0.76679859055017219</v>
          </cell>
        </row>
        <row r="151">
          <cell r="A151">
            <v>1184.01</v>
          </cell>
          <cell r="B151" t="str">
            <v>Sweets</v>
          </cell>
          <cell r="C151">
            <v>0.38769214179132439</v>
          </cell>
          <cell r="D151">
            <v>0.38769213830420851</v>
          </cell>
        </row>
        <row r="152">
          <cell r="A152">
            <v>1185.01</v>
          </cell>
          <cell r="B152" t="str">
            <v>Ice cream</v>
          </cell>
          <cell r="C152">
            <v>1.1579277436875031</v>
          </cell>
          <cell r="D152">
            <v>1.1579277377345627</v>
          </cell>
        </row>
        <row r="153">
          <cell r="A153">
            <v>1186.99</v>
          </cell>
          <cell r="B153" t="str">
            <v>Other sweeteners (specify)</v>
          </cell>
          <cell r="C153">
            <v>0.1704961342897538</v>
          </cell>
          <cell r="D153">
            <v>0.17049613451029039</v>
          </cell>
        </row>
        <row r="154">
          <cell r="A154">
            <v>1191.01</v>
          </cell>
          <cell r="B154" t="str">
            <v>Mayonnaise</v>
          </cell>
          <cell r="C154">
            <v>0.35780065800725952</v>
          </cell>
          <cell r="D154">
            <v>0.35780065870538991</v>
          </cell>
        </row>
        <row r="155">
          <cell r="A155">
            <v>1191.02</v>
          </cell>
          <cell r="B155" t="str">
            <v>Tomato Sauces</v>
          </cell>
          <cell r="C155">
            <v>0.55108460752129129</v>
          </cell>
          <cell r="D155">
            <v>0.55108460605576381</v>
          </cell>
        </row>
        <row r="156">
          <cell r="A156">
            <v>1191.03</v>
          </cell>
          <cell r="B156" t="str">
            <v>Vinegar</v>
          </cell>
          <cell r="C156">
            <v>1.76619828064013E-2</v>
          </cell>
          <cell r="D156">
            <v>1.7661982648407699E-2</v>
          </cell>
        </row>
        <row r="157">
          <cell r="A157">
            <v>1191.08</v>
          </cell>
          <cell r="B157" t="str">
            <v>Salad dressings</v>
          </cell>
          <cell r="C157">
            <v>0.35499796618113311</v>
          </cell>
          <cell r="D157">
            <v>0.35499795928608702</v>
          </cell>
        </row>
        <row r="158">
          <cell r="A158">
            <v>1192.01</v>
          </cell>
          <cell r="B158" t="str">
            <v>Salt</v>
          </cell>
          <cell r="C158">
            <v>1.3220154727356053</v>
          </cell>
          <cell r="D158">
            <v>1.3220154733357239</v>
          </cell>
        </row>
        <row r="159">
          <cell r="A159">
            <v>1192.02</v>
          </cell>
          <cell r="B159" t="str">
            <v>Spices &amp; condiments</v>
          </cell>
          <cell r="C159">
            <v>0.20638098457361151</v>
          </cell>
          <cell r="D159">
            <v>0.20638098397468749</v>
          </cell>
        </row>
        <row r="160">
          <cell r="A160">
            <v>1192.03</v>
          </cell>
          <cell r="B160" t="str">
            <v>Garlic</v>
          </cell>
          <cell r="C160">
            <v>1.55464234221442E-2</v>
          </cell>
          <cell r="D160">
            <v>1.5526212180351299E-2</v>
          </cell>
        </row>
        <row r="161">
          <cell r="A161">
            <v>1192.04</v>
          </cell>
          <cell r="B161" t="str">
            <v>Ginger</v>
          </cell>
          <cell r="C161">
            <v>6.5216262927539998E-4</v>
          </cell>
          <cell r="D161">
            <v>6.5131476350789998E-4</v>
          </cell>
        </row>
        <row r="162">
          <cell r="A162">
            <v>1193.02</v>
          </cell>
          <cell r="B162" t="str">
            <v>Yeast</v>
          </cell>
          <cell r="C162">
            <v>1.33731494893044E-2</v>
          </cell>
          <cell r="D162">
            <v>1.3373149327085301E-2</v>
          </cell>
        </row>
        <row r="163">
          <cell r="A163">
            <v>1193.04</v>
          </cell>
          <cell r="B163" t="str">
            <v>Cake essences</v>
          </cell>
          <cell r="C163">
            <v>7.679417446863E-4</v>
          </cell>
          <cell r="D163">
            <v>7.679417446863E-4</v>
          </cell>
        </row>
        <row r="164">
          <cell r="A164">
            <v>1193.05</v>
          </cell>
          <cell r="B164" t="str">
            <v>Custards, puddings, jelly &amp; gelatine</v>
          </cell>
          <cell r="C164">
            <v>9.5242871162012493E-2</v>
          </cell>
          <cell r="D164">
            <v>9.5242871438966398E-2</v>
          </cell>
        </row>
        <row r="165">
          <cell r="A165">
            <v>1193.06</v>
          </cell>
          <cell r="B165" t="str">
            <v>Ready-made soup</v>
          </cell>
          <cell r="C165">
            <v>0.21918641298492689</v>
          </cell>
          <cell r="D165">
            <v>0.2191864132581744</v>
          </cell>
        </row>
        <row r="166">
          <cell r="A166">
            <v>1193.07</v>
          </cell>
          <cell r="B166" t="str">
            <v>Powdered soup</v>
          </cell>
          <cell r="C166">
            <v>1.1691881171482919</v>
          </cell>
          <cell r="D166">
            <v>1.1691881157424504</v>
          </cell>
        </row>
        <row r="167">
          <cell r="A167">
            <v>1194.01</v>
          </cell>
          <cell r="B167" t="str">
            <v>Ready-made frozen food</v>
          </cell>
          <cell r="C167">
            <v>0.1037333301735351</v>
          </cell>
          <cell r="D167">
            <v>0.1037333315478746</v>
          </cell>
        </row>
        <row r="168">
          <cell r="A168">
            <v>1195.99</v>
          </cell>
          <cell r="B168" t="str">
            <v>Other foods (specify)</v>
          </cell>
          <cell r="C168">
            <v>8.9556330424833259</v>
          </cell>
          <cell r="D168">
            <v>8.9556330593559199</v>
          </cell>
        </row>
        <row r="169">
          <cell r="A169">
            <v>1211.01</v>
          </cell>
          <cell r="B169" t="str">
            <v>Coffee</v>
          </cell>
          <cell r="C169">
            <v>0.77437576189278468</v>
          </cell>
          <cell r="D169">
            <v>0.77437576348486059</v>
          </cell>
        </row>
        <row r="170">
          <cell r="A170">
            <v>1212.01</v>
          </cell>
          <cell r="B170" t="str">
            <v>Tea</v>
          </cell>
          <cell r="C170">
            <v>20.632186574346836</v>
          </cell>
          <cell r="D170">
            <v>20.632186278693887</v>
          </cell>
        </row>
        <row r="171">
          <cell r="A171">
            <v>1213.01</v>
          </cell>
          <cell r="B171" t="str">
            <v>Chocolate drinks</v>
          </cell>
          <cell r="C171">
            <v>0.14262169216116191</v>
          </cell>
          <cell r="D171">
            <v>0.14262168690653559</v>
          </cell>
        </row>
        <row r="172">
          <cell r="A172">
            <v>1219.99</v>
          </cell>
          <cell r="B172" t="str">
            <v>Other infusions (specify)</v>
          </cell>
          <cell r="C172">
            <v>0.77838909860431815</v>
          </cell>
          <cell r="D172">
            <v>0.77838910034030928</v>
          </cell>
        </row>
        <row r="173">
          <cell r="A173">
            <v>1221.01</v>
          </cell>
          <cell r="B173" t="str">
            <v>Mineral water &amp; ice cubes blocks</v>
          </cell>
          <cell r="C173">
            <v>2.3823973705529236</v>
          </cell>
          <cell r="D173">
            <v>2.3823973877958893</v>
          </cell>
        </row>
        <row r="174">
          <cell r="A174">
            <v>1222.01</v>
          </cell>
          <cell r="B174" t="str">
            <v>Soft drinks</v>
          </cell>
          <cell r="C174">
            <v>20.183570184943594</v>
          </cell>
          <cell r="D174">
            <v>20.18357059347143</v>
          </cell>
        </row>
        <row r="175">
          <cell r="A175">
            <v>1222.99</v>
          </cell>
          <cell r="B175" t="str">
            <v>Other non-alcoholic drinks (Energade, Powerade) (specify)</v>
          </cell>
          <cell r="C175">
            <v>4.1601919868395276</v>
          </cell>
          <cell r="D175">
            <v>4.1601920172589884</v>
          </cell>
        </row>
        <row r="176">
          <cell r="A176">
            <v>1223.01</v>
          </cell>
          <cell r="B176" t="str">
            <v>Fruit juice &amp; squashes</v>
          </cell>
          <cell r="C176">
            <v>13.384258112606645</v>
          </cell>
          <cell r="D176">
            <v>13.384257989417339</v>
          </cell>
        </row>
        <row r="177">
          <cell r="A177">
            <v>1223.02</v>
          </cell>
          <cell r="B177" t="str">
            <v>Mageu/Oshikundu</v>
          </cell>
          <cell r="C177">
            <v>112.25229209238651</v>
          </cell>
          <cell r="D177">
            <v>112.25229195245079</v>
          </cell>
        </row>
        <row r="178">
          <cell r="A178">
            <v>1223.99</v>
          </cell>
          <cell r="B178" t="str">
            <v>Other powdered drinks (specify)</v>
          </cell>
          <cell r="C178">
            <v>0.37318929538674861</v>
          </cell>
          <cell r="D178">
            <v>0.37318929308640181</v>
          </cell>
        </row>
        <row r="179">
          <cell r="A179">
            <v>2111.04</v>
          </cell>
          <cell r="B179" t="str">
            <v>Local home-made distilled drinks, all types (ombike, kashipembe)</v>
          </cell>
          <cell r="C179">
            <v>0.28624203246137842</v>
          </cell>
          <cell r="D179">
            <v>0.28624203045689839</v>
          </cell>
        </row>
        <row r="180">
          <cell r="A180">
            <v>2111.06</v>
          </cell>
          <cell r="B180" t="str">
            <v>Whiskies</v>
          </cell>
          <cell r="C180">
            <v>6.50441556122415E-2</v>
          </cell>
          <cell r="D180">
            <v>6.5044155988234001E-2</v>
          </cell>
        </row>
        <row r="181">
          <cell r="A181">
            <v>2121.0100000000002</v>
          </cell>
          <cell r="B181" t="str">
            <v>Wines</v>
          </cell>
          <cell r="C181">
            <v>0.59995743041114957</v>
          </cell>
          <cell r="D181">
            <v>0.59995743606548213</v>
          </cell>
        </row>
        <row r="182">
          <cell r="A182">
            <v>2122.0100000000002</v>
          </cell>
          <cell r="B182" t="str">
            <v>Sparkling wines/ Champagnes</v>
          </cell>
          <cell r="C182">
            <v>5.2912777283799201E-2</v>
          </cell>
          <cell r="D182">
            <v>5.2912778466734797E-2</v>
          </cell>
        </row>
        <row r="183">
          <cell r="A183">
            <v>2122.9899999999998</v>
          </cell>
          <cell r="B183" t="str">
            <v>Marunga (palm wine made traditional way)</v>
          </cell>
          <cell r="C183">
            <v>0.32183872093114518</v>
          </cell>
          <cell r="D183">
            <v>0.32183871143570802</v>
          </cell>
        </row>
        <row r="184">
          <cell r="A184">
            <v>2129.9899999999998</v>
          </cell>
          <cell r="B184" t="str">
            <v>Other alcoholic beverages (specify)</v>
          </cell>
          <cell r="C184">
            <v>0.84675842193727879</v>
          </cell>
          <cell r="D184">
            <v>0.84675843281711272</v>
          </cell>
        </row>
        <row r="185">
          <cell r="A185">
            <v>2131.0100000000002</v>
          </cell>
          <cell r="B185" t="str">
            <v>Beer/ Ales/ Ciders</v>
          </cell>
          <cell r="C185">
            <v>5.6051934740078506</v>
          </cell>
          <cell r="D185">
            <v>5.6051936103866185</v>
          </cell>
        </row>
        <row r="186">
          <cell r="A186">
            <v>2131.9899999999998</v>
          </cell>
          <cell r="B186" t="str">
            <v>Local home-made brew, all types (tombo, epwaka, shafuluka)</v>
          </cell>
          <cell r="C186">
            <v>4.9464178857666754</v>
          </cell>
          <cell r="D186">
            <v>4.9464178955243723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058E-B2C8-4013-B105-D03528C5477F}">
  <dimension ref="A1:G7"/>
  <sheetViews>
    <sheetView tabSelected="1" workbookViewId="0">
      <selection activeCell="E22" sqref="E22"/>
    </sheetView>
  </sheetViews>
  <sheetFormatPr defaultRowHeight="14.5" x14ac:dyDescent="0.35"/>
  <cols>
    <col min="1" max="1" width="8.7265625" style="1"/>
    <col min="2" max="2" width="10.1796875" style="2" bestFit="1" customWidth="1"/>
    <col min="3" max="3" width="12.08984375" style="2" bestFit="1" customWidth="1"/>
    <col min="4" max="4" width="45.90625" style="1" bestFit="1" customWidth="1"/>
    <col min="5" max="5" width="11.7265625" style="1" bestFit="1" customWidth="1"/>
    <col min="6" max="6" width="8.7265625" style="2"/>
    <col min="7" max="7" width="44.7265625" style="1" bestFit="1" customWidth="1"/>
    <col min="8" max="16384" width="8.7265625" style="1"/>
  </cols>
  <sheetData>
    <row r="1" spans="1:7" ht="72.5" x14ac:dyDescent="0.35">
      <c r="A1" s="3" t="s">
        <v>7</v>
      </c>
      <c r="B1" s="4" t="s">
        <v>11</v>
      </c>
      <c r="C1" s="5" t="s">
        <v>2</v>
      </c>
      <c r="D1" s="4" t="s">
        <v>12</v>
      </c>
      <c r="E1" s="4" t="s">
        <v>3</v>
      </c>
      <c r="F1" s="4" t="s">
        <v>5</v>
      </c>
      <c r="G1" s="4" t="s">
        <v>6</v>
      </c>
    </row>
    <row r="2" spans="1:7" x14ac:dyDescent="0.35">
      <c r="A2" s="6" t="s">
        <v>13</v>
      </c>
      <c r="B2" s="7">
        <v>1112.01</v>
      </c>
      <c r="C2" s="8">
        <f>VLOOKUP(B2,'[1]Table 3.1'!$A$4:$D$186,4,FALSE)</f>
        <v>168.44418014146595</v>
      </c>
      <c r="D2" s="6" t="s">
        <v>0</v>
      </c>
      <c r="E2" s="6" t="s">
        <v>4</v>
      </c>
      <c r="F2" s="7">
        <v>3210</v>
      </c>
      <c r="G2" s="6" t="s">
        <v>1</v>
      </c>
    </row>
    <row r="3" spans="1:7" x14ac:dyDescent="0.35">
      <c r="A3" s="6" t="s">
        <v>8</v>
      </c>
      <c r="B3" s="7">
        <v>1115.04</v>
      </c>
      <c r="C3" s="8">
        <f>VLOOKUP(B3,'[1]Table 3.1'!$A$4:$D$186,4,FALSE)</f>
        <v>131.59490859640073</v>
      </c>
      <c r="D3" s="6" t="s">
        <v>9</v>
      </c>
      <c r="E3" s="6" t="s">
        <v>4</v>
      </c>
      <c r="F3" s="7">
        <v>4409</v>
      </c>
      <c r="G3" s="6" t="s">
        <v>10</v>
      </c>
    </row>
    <row r="4" spans="1:7" x14ac:dyDescent="0.35">
      <c r="A4" s="6" t="s">
        <v>8</v>
      </c>
      <c r="B4" s="9">
        <v>1223.02</v>
      </c>
      <c r="C4" s="10">
        <f>VLOOKUP(B4,'[1]Table 3.1'!$A$4:$D$186,4,FALSE)</f>
        <v>112.25229195245079</v>
      </c>
      <c r="D4" s="11" t="s">
        <v>14</v>
      </c>
      <c r="E4" s="6" t="s">
        <v>4</v>
      </c>
      <c r="F4" s="9">
        <v>4410</v>
      </c>
      <c r="G4" s="11" t="s">
        <v>15</v>
      </c>
    </row>
    <row r="5" spans="1:7" x14ac:dyDescent="0.35">
      <c r="A5" s="6" t="s">
        <v>20</v>
      </c>
      <c r="B5" s="9">
        <v>1115.05</v>
      </c>
      <c r="C5" s="10">
        <f>VLOOKUP(B5,'[1]Table 3.1'!$A$4:$D$186,4,FALSE)</f>
        <v>77.931403638426261</v>
      </c>
      <c r="D5" s="11" t="s">
        <v>16</v>
      </c>
      <c r="E5" s="11" t="s">
        <v>17</v>
      </c>
      <c r="F5" s="9" t="s">
        <v>18</v>
      </c>
      <c r="G5" s="11" t="s">
        <v>19</v>
      </c>
    </row>
    <row r="6" spans="1:7" x14ac:dyDescent="0.35">
      <c r="A6" s="6" t="s">
        <v>13</v>
      </c>
      <c r="B6" s="9">
        <v>1115.03</v>
      </c>
      <c r="C6" s="10">
        <f>VLOOKUP(B6,'[1]Table 3.1'!$A$4:$D$186,4,FALSE)</f>
        <v>2.2587661493212332</v>
      </c>
      <c r="D6" s="11" t="s">
        <v>21</v>
      </c>
      <c r="E6" s="6" t="s">
        <v>4</v>
      </c>
      <c r="F6" s="9">
        <v>3273</v>
      </c>
      <c r="G6" s="11" t="s">
        <v>22</v>
      </c>
    </row>
    <row r="7" spans="1:7" x14ac:dyDescent="0.35">
      <c r="A7" s="6" t="s">
        <v>26</v>
      </c>
      <c r="B7" s="9">
        <v>1115.06</v>
      </c>
      <c r="C7" s="10">
        <f>VLOOKUP(B7,'[1]Table 3.1'!$A$4:$D$186,4,FALSE)</f>
        <v>0.76610687221912421</v>
      </c>
      <c r="D7" s="11" t="s">
        <v>23</v>
      </c>
      <c r="E7" s="11" t="s">
        <v>17</v>
      </c>
      <c r="F7" s="9" t="s">
        <v>24</v>
      </c>
      <c r="G7" s="11" t="s">
        <v>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Aaron Wise</cp:lastModifiedBy>
  <dcterms:created xsi:type="dcterms:W3CDTF">2020-10-01T04:12:03Z</dcterms:created>
  <dcterms:modified xsi:type="dcterms:W3CDTF">2020-10-01T04:18:25Z</dcterms:modified>
</cp:coreProperties>
</file>