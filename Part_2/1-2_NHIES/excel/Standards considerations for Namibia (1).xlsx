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codling/Dropbox/Namibia/SADC/"/>
    </mc:Choice>
  </mc:AlternateContent>
  <xr:revisionPtr revIDLastSave="0" documentId="13_ncr:1_{85B056D8-FDA8-0E4F-B5CF-D2C9DAA74277}" xr6:coauthVersionLast="45" xr6:coauthVersionMax="45" xr10:uidLastSave="{00000000-0000-0000-0000-000000000000}"/>
  <bookViews>
    <workbookView xWindow="14040" yWindow="1720" windowWidth="28040" windowHeight="18880" xr2:uid="{D8DD2446-40D2-CB4B-8C10-121F112D2E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/>
  <c r="L5" i="1" l="1"/>
  <c r="D5" i="1"/>
  <c r="B5" i="1"/>
  <c r="F4" i="1" l="1"/>
  <c r="C3" i="1"/>
  <c r="F3" i="1" l="1"/>
  <c r="F5" i="1" s="1"/>
  <c r="C5" i="1"/>
</calcChain>
</file>

<file path=xl/sharedStrings.xml><?xml version="1.0" encoding="utf-8"?>
<sst xmlns="http://schemas.openxmlformats.org/spreadsheetml/2006/main" count="107" uniqueCount="66">
  <si>
    <t>Salt</t>
  </si>
  <si>
    <t>Iodine</t>
  </si>
  <si>
    <t>Wheat flour</t>
  </si>
  <si>
    <t>Folic acid</t>
  </si>
  <si>
    <t>Zinc</t>
  </si>
  <si>
    <t>Vitamin A</t>
  </si>
  <si>
    <t>Vitamin B12</t>
  </si>
  <si>
    <t>Thiamin</t>
  </si>
  <si>
    <t>Riboflavin</t>
  </si>
  <si>
    <t>Pyridoxine</t>
  </si>
  <si>
    <t>Maize flour</t>
  </si>
  <si>
    <t>Sugar</t>
  </si>
  <si>
    <t>Edible oil</t>
  </si>
  <si>
    <t xml:space="preserve"> </t>
  </si>
  <si>
    <t>FAO Stat</t>
  </si>
  <si>
    <t>Powels et al</t>
  </si>
  <si>
    <t>Average</t>
  </si>
  <si>
    <t>Namibia estimated intake (g/c/d)</t>
  </si>
  <si>
    <t>Range</t>
  </si>
  <si>
    <t>89-192</t>
  </si>
  <si>
    <t>119-135</t>
  </si>
  <si>
    <t>Iron - NaEDTA</t>
  </si>
  <si>
    <t>Iron - FS/FF</t>
  </si>
  <si>
    <t>Iron - Electrolytic</t>
  </si>
  <si>
    <t>Notes</t>
  </si>
  <si>
    <t>Niacin</t>
  </si>
  <si>
    <t>Namibia</t>
  </si>
  <si>
    <t>South Africa</t>
  </si>
  <si>
    <t>WHO consumption level</t>
  </si>
  <si>
    <t>150-300</t>
  </si>
  <si>
    <t>SA standard (mg/kg)</t>
  </si>
  <si>
    <t>WHO guidelines (mg/kg)</t>
  </si>
  <si>
    <t>SADC minimum standard (target) (mg/kg)</t>
  </si>
  <si>
    <t>Namibia standard (mg/kg)</t>
  </si>
  <si>
    <t>50-80</t>
  </si>
  <si>
    <t>Average African standards</t>
  </si>
  <si>
    <t>MAWF/ NAB x75% extraction</t>
  </si>
  <si>
    <t>Wheat &amp; maize flour</t>
  </si>
  <si>
    <t>218-328</t>
  </si>
  <si>
    <t>Applied WHO guidance for consumption amount of maize &amp; wheat flour together</t>
  </si>
  <si>
    <t>Will not require as oil and sugar will also be fortified</t>
  </si>
  <si>
    <t>Adopt WHO for maize</t>
  </si>
  <si>
    <t>Estimated Consumption of Food Vehicles (g/capita/day)</t>
  </si>
  <si>
    <t>Wheat &amp; Maize</t>
  </si>
  <si>
    <t>&gt;300</t>
  </si>
  <si>
    <t>Pantothenic acid (B5)</t>
  </si>
  <si>
    <t>Adopt SADC minimum as only slightly higher than WHO guidelines</t>
  </si>
  <si>
    <t>Adopt SADC as same as WHO</t>
  </si>
  <si>
    <t>Adopt SADC as regional minimum although current SA level is much lower (ie what millers are currently used to)</t>
  </si>
  <si>
    <t>Adopt SADC as same as wHO</t>
  </si>
  <si>
    <t>assume majority is low extraction</t>
  </si>
  <si>
    <t>assume majority is high extraction</t>
  </si>
  <si>
    <t>Adopt WHO guidance; for high extraction flour</t>
  </si>
  <si>
    <t>Adopt SADC regional minimum as millers can elect to use electrolytic instead; for low extraction flour</t>
  </si>
  <si>
    <t>Adopt SADC regional minimum; for high extraction flour</t>
  </si>
  <si>
    <t>Adopt WHO guidance; for low extraction maize flour</t>
  </si>
  <si>
    <t>Adopt WHO guidance; for low extraction flour</t>
  </si>
  <si>
    <t xml:space="preserve">Adopt SADC regional minimum </t>
  </si>
  <si>
    <t>FAO ADePT analysis of NHIES DRB</t>
  </si>
  <si>
    <t>NHIES: Namibia Household Income and Expenditure Survey 2015/16; DRB: daily record book (7 day food consumption record)</t>
  </si>
  <si>
    <t>FAO STAT: FAO statistics</t>
  </si>
  <si>
    <t>Powels et al: Powles J, Fahimi S, Micha R, et al. Global, regional and national sodium intakes in 1990 and 2010: a systematic analysis of 24 hr. urinary sodium excretion and dietary surveys worldwide. BMJ Open 2013</t>
  </si>
  <si>
    <t xml:space="preserve">  </t>
  </si>
  <si>
    <t>MAWF/NAB: Ministry of Agriculture, Water and Forestry; NAB; Namibian Agronomic Board. NB. Only fortifiable maize included; assume average 75% extraction rate for wheat and maize</t>
  </si>
  <si>
    <t>Explaination</t>
  </si>
  <si>
    <t>Possible fortification requirements for 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</si>
</sst>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wrapText="1"/>
    </xf>
    <xf numFmtId="0" fontId="0" fillId="4" borderId="2" xfId="0" applyFill="1" applyBorder="1"/>
    <xf numFmtId="0" fontId="3" fillId="5" borderId="0" xfId="0" applyFont="1" applyFill="1"/>
    <xf numFmtId="0" fontId="1" fillId="4" borderId="3" xfId="0" applyFont="1" applyFill="1" applyBorder="1"/>
    <xf numFmtId="0" fontId="1" fillId="4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" fillId="5" borderId="0" xfId="0" applyFont="1" applyFill="1" applyAlignment="1">
      <alignment horizontal="center" vertical="center" wrapText="1"/>
    </xf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center" wrapText="1"/>
    </xf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 applyAlignment="1">
      <alignment horizontal="center"/>
    </xf>
    <xf numFmtId="0" fontId="0" fillId="4" borderId="11" xfId="0" applyFill="1" applyBorder="1" applyAlignment="1">
      <alignment horizontal="center" wrapText="1"/>
    </xf>
    <xf numFmtId="0" fontId="0" fillId="4" borderId="11" xfId="0" applyFill="1" applyBorder="1"/>
    <xf numFmtId="2" fontId="0" fillId="4" borderId="1" xfId="0" applyNumberFormat="1" applyFill="1" applyBorder="1" applyAlignment="1">
      <alignment horizont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590F-87FC-D449-A9D6-C358CCD3F34D}">
  <dimension ref="A1:N48"/>
  <sheetViews>
    <sheetView tabSelected="1" topLeftCell="A23" zoomScale="88" workbookViewId="0">
      <selection activeCell="H14" sqref="H14"/>
    </sheetView>
  </sheetViews>
  <sheetFormatPr baseColWidth="10" defaultRowHeight="16" x14ac:dyDescent="0.2"/>
  <cols>
    <col min="1" max="1" width="20.6640625" customWidth="1"/>
    <col min="4" max="4" width="10.83203125" style="1"/>
    <col min="8" max="8" width="13.1640625" customWidth="1"/>
    <col min="9" max="9" width="87.6640625" customWidth="1"/>
    <col min="11" max="11" width="16.5" customWidth="1"/>
    <col min="14" max="14" width="10.83203125" style="8"/>
  </cols>
  <sheetData>
    <row r="1" spans="1:14" x14ac:dyDescent="0.2">
      <c r="A1" s="35" t="s">
        <v>42</v>
      </c>
      <c r="B1" s="12"/>
      <c r="C1" s="12"/>
      <c r="D1" s="36"/>
      <c r="E1" s="12"/>
      <c r="F1" s="12"/>
      <c r="G1" s="12"/>
      <c r="H1" s="12"/>
      <c r="I1" s="37"/>
      <c r="K1" s="38" t="s">
        <v>42</v>
      </c>
      <c r="L1" s="13"/>
      <c r="M1" s="13"/>
    </row>
    <row r="2" spans="1:14" ht="68" x14ac:dyDescent="0.2">
      <c r="A2" s="21" t="s">
        <v>26</v>
      </c>
      <c r="B2" s="22" t="s">
        <v>58</v>
      </c>
      <c r="C2" s="22" t="s">
        <v>36</v>
      </c>
      <c r="D2" s="23" t="s">
        <v>14</v>
      </c>
      <c r="E2" s="22" t="s">
        <v>15</v>
      </c>
      <c r="F2" s="23" t="s">
        <v>16</v>
      </c>
      <c r="G2" s="23" t="s">
        <v>18</v>
      </c>
      <c r="H2" s="39" t="s">
        <v>24</v>
      </c>
      <c r="I2" s="40"/>
      <c r="K2" s="30" t="s">
        <v>27</v>
      </c>
      <c r="L2" s="30" t="s">
        <v>14</v>
      </c>
      <c r="M2" s="30" t="s">
        <v>28</v>
      </c>
      <c r="N2"/>
    </row>
    <row r="3" spans="1:14" x14ac:dyDescent="0.2">
      <c r="A3" s="24" t="s">
        <v>2</v>
      </c>
      <c r="B3" s="25">
        <v>192.45</v>
      </c>
      <c r="C3" s="25">
        <f>119*75%</f>
        <v>89.25</v>
      </c>
      <c r="D3" s="25">
        <v>99</v>
      </c>
      <c r="E3" s="25"/>
      <c r="F3" s="25">
        <f>AVERAGE(B3:E3)</f>
        <v>126.89999999999999</v>
      </c>
      <c r="G3" s="25" t="s">
        <v>19</v>
      </c>
      <c r="H3" s="41" t="s">
        <v>50</v>
      </c>
      <c r="I3" s="42"/>
      <c r="K3" s="31" t="s">
        <v>2</v>
      </c>
      <c r="L3" s="31">
        <v>165</v>
      </c>
      <c r="M3" s="32" t="s">
        <v>29</v>
      </c>
      <c r="N3"/>
    </row>
    <row r="4" spans="1:14" x14ac:dyDescent="0.2">
      <c r="A4" s="24" t="s">
        <v>10</v>
      </c>
      <c r="B4" s="25">
        <v>135.5</v>
      </c>
      <c r="C4" s="25">
        <f>167*75%</f>
        <v>125.25</v>
      </c>
      <c r="D4" s="25">
        <v>119</v>
      </c>
      <c r="E4" s="25"/>
      <c r="F4" s="58">
        <f>AVERAGE(B4:E4)</f>
        <v>126.58333333333333</v>
      </c>
      <c r="G4" s="25" t="s">
        <v>20</v>
      </c>
      <c r="H4" s="41" t="s">
        <v>51</v>
      </c>
      <c r="I4" s="42"/>
      <c r="K4" s="31" t="s">
        <v>10</v>
      </c>
      <c r="L4" s="31">
        <v>274</v>
      </c>
      <c r="M4" s="32" t="s">
        <v>29</v>
      </c>
      <c r="N4"/>
    </row>
    <row r="5" spans="1:14" x14ac:dyDescent="0.2">
      <c r="A5" s="26" t="s">
        <v>37</v>
      </c>
      <c r="B5" s="27">
        <f>SUM(B3:B4)</f>
        <v>327.95</v>
      </c>
      <c r="C5" s="27">
        <f>SUM(C3:C4)</f>
        <v>214.5</v>
      </c>
      <c r="D5" s="27">
        <f>SUM(D3:D4)</f>
        <v>218</v>
      </c>
      <c r="E5" s="27"/>
      <c r="F5" s="28">
        <f>SUM(F3:F4)</f>
        <v>253.48333333333332</v>
      </c>
      <c r="G5" s="27" t="s">
        <v>38</v>
      </c>
      <c r="H5" s="41"/>
      <c r="I5" s="42"/>
      <c r="K5" s="33" t="s">
        <v>43</v>
      </c>
      <c r="L5" s="33">
        <f>SUM(L3:L4)</f>
        <v>439</v>
      </c>
      <c r="M5" s="34" t="s">
        <v>44</v>
      </c>
      <c r="N5"/>
    </row>
    <row r="6" spans="1:14" x14ac:dyDescent="0.2">
      <c r="A6" s="24" t="s">
        <v>0</v>
      </c>
      <c r="B6" s="25">
        <v>1.32</v>
      </c>
      <c r="C6" s="29"/>
      <c r="D6" s="25"/>
      <c r="E6" s="25">
        <v>6.7108800000000004</v>
      </c>
      <c r="F6" s="25"/>
      <c r="G6" s="25"/>
      <c r="H6" s="41"/>
      <c r="I6" s="42"/>
      <c r="M6" s="8"/>
      <c r="N6"/>
    </row>
    <row r="7" spans="1:14" x14ac:dyDescent="0.2">
      <c r="A7" s="24" t="s">
        <v>11</v>
      </c>
      <c r="B7" s="25">
        <v>9.0299999999999994</v>
      </c>
      <c r="C7" s="29"/>
      <c r="D7" s="25"/>
      <c r="E7" s="25"/>
      <c r="F7" s="25"/>
      <c r="G7" s="25"/>
      <c r="H7" s="41"/>
      <c r="I7" s="42"/>
      <c r="M7" s="8"/>
      <c r="N7"/>
    </row>
    <row r="8" spans="1:14" x14ac:dyDescent="0.2">
      <c r="A8" s="24" t="s">
        <v>12</v>
      </c>
      <c r="B8" s="25">
        <v>7.22</v>
      </c>
      <c r="C8" s="29"/>
      <c r="D8" s="25"/>
      <c r="E8" s="25"/>
      <c r="F8" s="25"/>
      <c r="G8" s="25"/>
      <c r="H8" s="41"/>
      <c r="I8" s="42"/>
      <c r="M8" s="8"/>
      <c r="N8"/>
    </row>
    <row r="9" spans="1:14" x14ac:dyDescent="0.2">
      <c r="A9" s="45" t="s">
        <v>59</v>
      </c>
      <c r="B9" s="46"/>
      <c r="C9" s="47"/>
      <c r="D9" s="46"/>
      <c r="E9" s="46"/>
      <c r="F9" s="46"/>
      <c r="G9" s="46"/>
      <c r="H9" s="48"/>
      <c r="I9" s="49"/>
      <c r="M9" s="8"/>
      <c r="N9"/>
    </row>
    <row r="10" spans="1:14" x14ac:dyDescent="0.2">
      <c r="A10" s="50" t="s">
        <v>63</v>
      </c>
      <c r="B10" s="51"/>
      <c r="C10" s="52"/>
      <c r="D10" s="51"/>
      <c r="E10" s="51"/>
      <c r="F10" s="51"/>
      <c r="G10" s="51"/>
      <c r="H10" s="44"/>
      <c r="I10" s="53"/>
      <c r="M10" s="8"/>
      <c r="N10"/>
    </row>
    <row r="11" spans="1:14" x14ac:dyDescent="0.2">
      <c r="A11" s="50" t="s">
        <v>60</v>
      </c>
      <c r="B11" s="51"/>
      <c r="C11" s="52"/>
      <c r="D11" s="51"/>
      <c r="E11" s="51"/>
      <c r="F11" s="51"/>
      <c r="G11" s="51"/>
      <c r="H11" s="44"/>
      <c r="I11" s="53"/>
      <c r="M11" s="8"/>
      <c r="N11"/>
    </row>
    <row r="12" spans="1:14" x14ac:dyDescent="0.2">
      <c r="A12" s="54" t="s">
        <v>61</v>
      </c>
      <c r="B12" s="55"/>
      <c r="C12" s="56"/>
      <c r="D12" s="55"/>
      <c r="E12" s="55"/>
      <c r="F12" s="55"/>
      <c r="G12" s="55"/>
      <c r="H12" s="57"/>
      <c r="I12" s="37"/>
      <c r="M12" s="8"/>
      <c r="N12"/>
    </row>
    <row r="13" spans="1:14" x14ac:dyDescent="0.2">
      <c r="B13" s="8"/>
      <c r="C13" s="8"/>
      <c r="D13" s="9"/>
      <c r="E13" s="8"/>
      <c r="F13" s="8"/>
      <c r="G13" s="8"/>
      <c r="H13" s="8"/>
    </row>
    <row r="14" spans="1:14" ht="102" x14ac:dyDescent="0.2">
      <c r="B14" s="5" t="s">
        <v>17</v>
      </c>
      <c r="C14" s="5" t="s">
        <v>33</v>
      </c>
      <c r="D14" s="5" t="s">
        <v>30</v>
      </c>
      <c r="E14" s="43" t="s">
        <v>31</v>
      </c>
      <c r="F14" s="18" t="s">
        <v>32</v>
      </c>
      <c r="G14" s="5" t="s">
        <v>35</v>
      </c>
      <c r="H14" s="15" t="s">
        <v>65</v>
      </c>
      <c r="I14" s="59" t="s">
        <v>64</v>
      </c>
    </row>
    <row r="15" spans="1:14" s="2" customFormat="1" ht="17" x14ac:dyDescent="0.2">
      <c r="A15" s="2" t="s">
        <v>0</v>
      </c>
      <c r="B15" s="20">
        <v>7</v>
      </c>
      <c r="C15" s="6"/>
      <c r="D15" s="10"/>
      <c r="E15" s="11" t="s">
        <v>13</v>
      </c>
      <c r="F15" s="10"/>
      <c r="G15" s="10"/>
      <c r="H15" s="10"/>
      <c r="N15" s="10"/>
    </row>
    <row r="16" spans="1:14" x14ac:dyDescent="0.2">
      <c r="A16" t="s">
        <v>1</v>
      </c>
      <c r="B16" s="4"/>
      <c r="C16" s="4" t="s">
        <v>34</v>
      </c>
      <c r="D16" s="8"/>
      <c r="E16" s="14">
        <v>28</v>
      </c>
      <c r="F16" s="19">
        <v>30</v>
      </c>
      <c r="G16" s="8">
        <v>45</v>
      </c>
      <c r="H16" s="16">
        <v>30</v>
      </c>
      <c r="I16" s="7" t="s">
        <v>46</v>
      </c>
    </row>
    <row r="17" spans="1:14" s="2" customFormat="1" x14ac:dyDescent="0.2">
      <c r="A17" s="2" t="s">
        <v>2</v>
      </c>
      <c r="B17" s="20" t="s">
        <v>29</v>
      </c>
      <c r="C17" s="6"/>
      <c r="D17" s="10"/>
      <c r="E17" s="10"/>
      <c r="F17" s="10"/>
      <c r="G17" s="10"/>
      <c r="H17" s="10"/>
      <c r="I17" s="2" t="s">
        <v>39</v>
      </c>
      <c r="N17" s="10"/>
    </row>
    <row r="18" spans="1:14" x14ac:dyDescent="0.2">
      <c r="A18" t="s">
        <v>21</v>
      </c>
      <c r="B18" s="4"/>
      <c r="C18" s="4"/>
      <c r="D18" s="8"/>
      <c r="E18" s="14">
        <v>20</v>
      </c>
      <c r="F18" s="19"/>
      <c r="G18" s="8">
        <v>38</v>
      </c>
      <c r="H18" s="16">
        <v>20</v>
      </c>
      <c r="I18" s="7" t="s">
        <v>52</v>
      </c>
    </row>
    <row r="19" spans="1:14" x14ac:dyDescent="0.2">
      <c r="A19" s="3" t="s">
        <v>22</v>
      </c>
      <c r="B19" s="4"/>
      <c r="C19" s="4"/>
      <c r="D19" s="8"/>
      <c r="E19" s="14">
        <v>30</v>
      </c>
      <c r="F19" s="19">
        <v>55</v>
      </c>
      <c r="G19" s="8">
        <v>55</v>
      </c>
      <c r="H19" s="16">
        <v>55</v>
      </c>
      <c r="I19" s="7" t="s">
        <v>53</v>
      </c>
    </row>
    <row r="20" spans="1:14" x14ac:dyDescent="0.2">
      <c r="A20" t="s">
        <v>23</v>
      </c>
      <c r="B20" s="4"/>
      <c r="C20" s="4"/>
      <c r="D20" s="8">
        <v>35</v>
      </c>
      <c r="E20" s="14">
        <v>60</v>
      </c>
      <c r="F20" s="19"/>
      <c r="G20" s="8">
        <v>52</v>
      </c>
      <c r="H20" s="16">
        <v>60</v>
      </c>
      <c r="I20" s="7" t="s">
        <v>56</v>
      </c>
    </row>
    <row r="21" spans="1:14" x14ac:dyDescent="0.2">
      <c r="A21" s="3" t="s">
        <v>3</v>
      </c>
      <c r="B21" s="4"/>
      <c r="C21" s="4"/>
      <c r="D21" s="8">
        <v>1.43</v>
      </c>
      <c r="E21" s="14">
        <v>1.3</v>
      </c>
      <c r="F21" s="19">
        <v>1.3</v>
      </c>
      <c r="G21" s="8">
        <v>2.2999999999999998</v>
      </c>
      <c r="H21" s="16">
        <v>1.3</v>
      </c>
      <c r="I21" s="7" t="s">
        <v>47</v>
      </c>
    </row>
    <row r="22" spans="1:14" x14ac:dyDescent="0.2">
      <c r="A22" s="3" t="s">
        <v>4</v>
      </c>
      <c r="B22" s="4"/>
      <c r="C22" s="4"/>
      <c r="D22" s="8">
        <v>15</v>
      </c>
      <c r="E22" s="14">
        <v>40</v>
      </c>
      <c r="F22" s="19">
        <v>55</v>
      </c>
      <c r="G22" s="8">
        <v>54</v>
      </c>
      <c r="H22" s="16">
        <v>55</v>
      </c>
      <c r="I22" s="7" t="s">
        <v>48</v>
      </c>
    </row>
    <row r="23" spans="1:14" x14ac:dyDescent="0.2">
      <c r="A23" s="3" t="s">
        <v>5</v>
      </c>
      <c r="B23" s="4"/>
      <c r="C23" s="4"/>
      <c r="D23" s="8">
        <v>1.79</v>
      </c>
      <c r="E23" s="14">
        <v>1.5</v>
      </c>
      <c r="F23" s="19">
        <v>1.5</v>
      </c>
      <c r="G23" s="8"/>
      <c r="H23" s="16"/>
      <c r="I23" s="7" t="s">
        <v>40</v>
      </c>
    </row>
    <row r="24" spans="1:14" x14ac:dyDescent="0.2">
      <c r="A24" s="3" t="s">
        <v>6</v>
      </c>
      <c r="B24" s="4"/>
      <c r="C24" s="4"/>
      <c r="D24" s="8"/>
      <c r="E24" s="14">
        <v>0.01</v>
      </c>
      <c r="F24" s="19">
        <v>0.01</v>
      </c>
      <c r="G24" s="8"/>
      <c r="H24" s="16">
        <v>0.01</v>
      </c>
      <c r="I24" s="7" t="s">
        <v>49</v>
      </c>
    </row>
    <row r="25" spans="1:14" x14ac:dyDescent="0.2">
      <c r="A25" s="3" t="s">
        <v>7</v>
      </c>
      <c r="B25" s="4"/>
      <c r="C25" s="4"/>
      <c r="D25" s="8">
        <v>1.94</v>
      </c>
      <c r="E25" s="14"/>
      <c r="F25" s="19"/>
      <c r="G25" s="8"/>
      <c r="H25" s="16">
        <v>3.9</v>
      </c>
      <c r="I25" s="7" t="s">
        <v>41</v>
      </c>
    </row>
    <row r="26" spans="1:14" x14ac:dyDescent="0.2">
      <c r="A26" s="3" t="s">
        <v>8</v>
      </c>
      <c r="B26" s="4"/>
      <c r="C26" s="4"/>
      <c r="D26" s="8">
        <v>1.78</v>
      </c>
      <c r="E26" s="14"/>
      <c r="F26" s="19"/>
      <c r="G26" s="8"/>
      <c r="H26" s="16">
        <v>2</v>
      </c>
      <c r="I26" s="7" t="s">
        <v>41</v>
      </c>
    </row>
    <row r="27" spans="1:14" x14ac:dyDescent="0.2">
      <c r="A27" s="3" t="s">
        <v>25</v>
      </c>
      <c r="B27" s="4"/>
      <c r="C27" s="4"/>
      <c r="D27" s="8">
        <v>23.68</v>
      </c>
      <c r="E27" s="14"/>
      <c r="F27" s="19"/>
      <c r="G27" s="8"/>
      <c r="H27" s="16">
        <v>36</v>
      </c>
      <c r="I27" s="7" t="s">
        <v>41</v>
      </c>
    </row>
    <row r="28" spans="1:14" x14ac:dyDescent="0.2">
      <c r="A28" t="s">
        <v>9</v>
      </c>
      <c r="B28" s="4"/>
      <c r="C28" s="4"/>
      <c r="D28" s="8">
        <v>2.63</v>
      </c>
      <c r="E28" s="14"/>
      <c r="F28" s="19"/>
      <c r="G28" s="8"/>
      <c r="H28" s="16">
        <v>6.2</v>
      </c>
      <c r="I28" s="7" t="s">
        <v>41</v>
      </c>
    </row>
    <row r="29" spans="1:14" x14ac:dyDescent="0.2">
      <c r="B29" s="4"/>
      <c r="C29" s="4"/>
      <c r="D29" s="8"/>
      <c r="E29" s="14"/>
      <c r="F29" s="19"/>
      <c r="G29" s="8"/>
      <c r="H29" s="16"/>
      <c r="I29" s="7"/>
    </row>
    <row r="30" spans="1:14" s="2" customFormat="1" x14ac:dyDescent="0.2">
      <c r="A30" s="2" t="s">
        <v>10</v>
      </c>
      <c r="B30" s="20" t="s">
        <v>29</v>
      </c>
      <c r="C30" s="6"/>
      <c r="D30" s="10"/>
      <c r="E30" s="10"/>
      <c r="F30" s="10"/>
      <c r="G30" s="10"/>
      <c r="H30" s="10"/>
      <c r="I30" s="2" t="s">
        <v>39</v>
      </c>
      <c r="N30" s="10"/>
    </row>
    <row r="31" spans="1:14" x14ac:dyDescent="0.2">
      <c r="A31" t="s">
        <v>21</v>
      </c>
      <c r="B31" s="4"/>
      <c r="C31" s="4"/>
      <c r="D31" s="8"/>
      <c r="E31" s="14">
        <v>20</v>
      </c>
      <c r="F31" s="19">
        <v>30</v>
      </c>
      <c r="G31" s="8">
        <v>20</v>
      </c>
      <c r="H31" s="16">
        <v>30</v>
      </c>
      <c r="I31" s="7" t="s">
        <v>54</v>
      </c>
    </row>
    <row r="32" spans="1:14" x14ac:dyDescent="0.2">
      <c r="A32" s="3" t="s">
        <v>22</v>
      </c>
      <c r="B32" s="4"/>
      <c r="C32" s="4"/>
      <c r="D32" s="8"/>
      <c r="E32" s="14">
        <v>30</v>
      </c>
      <c r="F32" s="19"/>
      <c r="G32" s="8"/>
      <c r="H32" s="16">
        <v>30</v>
      </c>
      <c r="I32" s="7" t="s">
        <v>55</v>
      </c>
    </row>
    <row r="33" spans="1:14" x14ac:dyDescent="0.2">
      <c r="A33" t="s">
        <v>23</v>
      </c>
      <c r="B33" s="4"/>
      <c r="C33" s="4"/>
      <c r="D33" s="8">
        <v>35</v>
      </c>
      <c r="E33" s="14">
        <v>60</v>
      </c>
      <c r="F33" s="19"/>
      <c r="G33" s="8">
        <v>35</v>
      </c>
      <c r="H33" s="17" t="s">
        <v>13</v>
      </c>
      <c r="I33" s="7" t="s">
        <v>55</v>
      </c>
    </row>
    <row r="34" spans="1:14" x14ac:dyDescent="0.2">
      <c r="A34" s="3" t="s">
        <v>3</v>
      </c>
      <c r="B34" s="4"/>
      <c r="C34" s="4"/>
      <c r="D34" s="8">
        <v>2</v>
      </c>
      <c r="E34" s="14">
        <v>1.3</v>
      </c>
      <c r="F34" s="19">
        <v>1.3</v>
      </c>
      <c r="G34" s="8">
        <v>1.53</v>
      </c>
      <c r="H34" s="16">
        <v>1.3</v>
      </c>
      <c r="I34" s="7" t="s">
        <v>47</v>
      </c>
    </row>
    <row r="35" spans="1:14" x14ac:dyDescent="0.2">
      <c r="A35" s="3" t="s">
        <v>4</v>
      </c>
      <c r="B35" s="4"/>
      <c r="C35" s="4"/>
      <c r="D35" s="8">
        <v>15</v>
      </c>
      <c r="E35" s="14">
        <v>40</v>
      </c>
      <c r="F35" s="19">
        <v>40</v>
      </c>
      <c r="G35" s="8">
        <v>35</v>
      </c>
      <c r="H35" s="16">
        <v>40</v>
      </c>
      <c r="I35" s="7" t="s">
        <v>47</v>
      </c>
    </row>
    <row r="36" spans="1:14" x14ac:dyDescent="0.2">
      <c r="A36" s="3" t="s">
        <v>5</v>
      </c>
      <c r="B36" s="4"/>
      <c r="C36" s="4"/>
      <c r="D36" s="8">
        <v>2.09</v>
      </c>
      <c r="E36" s="14">
        <v>1.5</v>
      </c>
      <c r="F36" s="19">
        <v>1.5</v>
      </c>
      <c r="G36" s="8"/>
      <c r="H36" s="16"/>
      <c r="I36" s="7" t="s">
        <v>40</v>
      </c>
    </row>
    <row r="37" spans="1:14" x14ac:dyDescent="0.2">
      <c r="A37" s="3" t="s">
        <v>6</v>
      </c>
      <c r="B37" s="4"/>
      <c r="C37" s="4"/>
      <c r="D37" s="8"/>
      <c r="E37" s="14">
        <v>0.01</v>
      </c>
      <c r="F37" s="19">
        <v>0.01</v>
      </c>
      <c r="G37" s="8"/>
      <c r="H37" s="16">
        <v>0.01</v>
      </c>
      <c r="I37" s="7" t="s">
        <v>49</v>
      </c>
    </row>
    <row r="38" spans="1:14" x14ac:dyDescent="0.2">
      <c r="A38" s="3" t="s">
        <v>7</v>
      </c>
      <c r="B38" s="4"/>
      <c r="C38" s="4"/>
      <c r="D38" s="8">
        <v>2.19</v>
      </c>
      <c r="E38" s="14">
        <v>3.9</v>
      </c>
      <c r="F38" s="19"/>
      <c r="G38" s="8"/>
      <c r="H38" s="16">
        <v>3.9</v>
      </c>
      <c r="I38" s="7" t="s">
        <v>41</v>
      </c>
    </row>
    <row r="39" spans="1:14" x14ac:dyDescent="0.2">
      <c r="A39" s="3" t="s">
        <v>8</v>
      </c>
      <c r="B39" s="4"/>
      <c r="C39" s="4"/>
      <c r="D39" s="8">
        <v>1.69</v>
      </c>
      <c r="E39" s="14">
        <v>2</v>
      </c>
      <c r="F39" s="19"/>
      <c r="G39" s="8"/>
      <c r="H39" s="16">
        <v>2</v>
      </c>
      <c r="I39" s="7" t="s">
        <v>41</v>
      </c>
    </row>
    <row r="40" spans="1:14" x14ac:dyDescent="0.2">
      <c r="A40" s="3" t="s">
        <v>25</v>
      </c>
      <c r="B40" s="4"/>
      <c r="C40" s="4"/>
      <c r="D40" s="8">
        <v>25</v>
      </c>
      <c r="E40" s="14">
        <v>36</v>
      </c>
      <c r="F40" s="19"/>
      <c r="G40" s="8"/>
      <c r="H40" s="16">
        <v>36</v>
      </c>
      <c r="I40" s="7" t="s">
        <v>41</v>
      </c>
    </row>
    <row r="41" spans="1:14" x14ac:dyDescent="0.2">
      <c r="A41" t="s">
        <v>9</v>
      </c>
      <c r="B41" s="4"/>
      <c r="C41" s="4"/>
      <c r="D41" s="8">
        <v>3.13</v>
      </c>
      <c r="E41" s="14">
        <v>6.2</v>
      </c>
      <c r="F41" s="19"/>
      <c r="G41" s="8"/>
      <c r="H41" s="16">
        <v>6.2</v>
      </c>
      <c r="I41" s="7" t="s">
        <v>41</v>
      </c>
    </row>
    <row r="42" spans="1:14" x14ac:dyDescent="0.2">
      <c r="A42" t="s">
        <v>45</v>
      </c>
      <c r="B42" s="4"/>
      <c r="C42" s="4"/>
      <c r="D42" s="8"/>
      <c r="E42" s="14">
        <v>4.2</v>
      </c>
      <c r="F42" s="19"/>
      <c r="G42" s="8"/>
      <c r="H42" s="16">
        <v>4.2</v>
      </c>
      <c r="I42" s="7" t="s">
        <v>41</v>
      </c>
    </row>
    <row r="43" spans="1:14" s="2" customFormat="1" x14ac:dyDescent="0.2">
      <c r="A43" s="2" t="s">
        <v>11</v>
      </c>
      <c r="B43" s="20">
        <v>9</v>
      </c>
      <c r="C43" s="6"/>
      <c r="D43" s="10"/>
      <c r="E43" s="10"/>
      <c r="F43" s="10"/>
      <c r="G43" s="10"/>
      <c r="H43" s="10"/>
      <c r="N43" s="10"/>
    </row>
    <row r="44" spans="1:14" x14ac:dyDescent="0.2">
      <c r="A44" t="s">
        <v>5</v>
      </c>
      <c r="B44" s="4"/>
      <c r="C44" s="4"/>
      <c r="D44" s="8"/>
      <c r="E44" s="14"/>
      <c r="F44" s="19">
        <v>10</v>
      </c>
      <c r="H44" s="16">
        <v>10</v>
      </c>
      <c r="I44" s="7" t="s">
        <v>57</v>
      </c>
    </row>
    <row r="45" spans="1:14" s="2" customFormat="1" x14ac:dyDescent="0.2">
      <c r="A45" s="2" t="s">
        <v>12</v>
      </c>
      <c r="B45" s="20">
        <v>7</v>
      </c>
      <c r="C45" s="6"/>
      <c r="D45" s="10"/>
      <c r="E45" s="10"/>
      <c r="F45" s="10"/>
      <c r="G45" s="10"/>
      <c r="H45" s="10"/>
      <c r="N45" s="10"/>
    </row>
    <row r="46" spans="1:14" x14ac:dyDescent="0.2">
      <c r="A46" t="s">
        <v>5</v>
      </c>
      <c r="B46" s="4"/>
      <c r="C46" s="4"/>
      <c r="D46" s="9"/>
      <c r="E46" s="14"/>
      <c r="F46" s="19">
        <v>25</v>
      </c>
      <c r="G46" s="8">
        <v>21.5</v>
      </c>
      <c r="H46" s="16">
        <v>25</v>
      </c>
      <c r="I46" s="7" t="s">
        <v>57</v>
      </c>
    </row>
    <row r="48" spans="1:14" x14ac:dyDescent="0.2">
      <c r="A48" t="s">
        <v>62</v>
      </c>
    </row>
  </sheetData>
  <mergeCells count="7">
    <mergeCell ref="H8:I8"/>
    <mergeCell ref="H2:I2"/>
    <mergeCell ref="H3:I3"/>
    <mergeCell ref="H4:I4"/>
    <mergeCell ref="H5:I5"/>
    <mergeCell ref="H6:I6"/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2020-08-17T13:45:01Z</dcterms:created>
  <dcterms:modified xsi:type="dcterms:W3CDTF">2020-08-17T20:03:28Z</dcterms:modified>
</cp:coreProperties>
</file>