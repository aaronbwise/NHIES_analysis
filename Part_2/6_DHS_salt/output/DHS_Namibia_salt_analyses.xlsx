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cuments\02_Karen_Codling\Part_2\6_DHS\dhs\output\"/>
    </mc:Choice>
  </mc:AlternateContent>
  <xr:revisionPtr revIDLastSave="0" documentId="13_ncr:40009_{55E44E44-86CD-4A95-A514-74792C47E078}" xr6:coauthVersionLast="45" xr6:coauthVersionMax="45" xr10:uidLastSave="{00000000-0000-0000-0000-000000000000}"/>
  <bookViews>
    <workbookView xWindow="-110" yWindow="-110" windowWidth="19420" windowHeight="10420" activeTab="4"/>
  </bookViews>
  <sheets>
    <sheet name="2000_salt_source" sheetId="1" r:id="rId1"/>
    <sheet name="2000_salt_type" sheetId="2" r:id="rId2"/>
    <sheet name="2000_iodine" sheetId="3" r:id="rId3"/>
    <sheet name="2013_iodine" sheetId="4" r:id="rId4"/>
    <sheet name="2000-2013 comparison" sheetId="5" r:id="rId5"/>
  </sheets>
  <calcPr calcId="0"/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2" i="5"/>
</calcChain>
</file>

<file path=xl/sharedStrings.xml><?xml version="1.0" encoding="utf-8"?>
<sst xmlns="http://schemas.openxmlformats.org/spreadsheetml/2006/main" count="99" uniqueCount="34">
  <si>
    <t>shop, supermarket</t>
  </si>
  <si>
    <t>open market</t>
  </si>
  <si>
    <t>salt pan</t>
  </si>
  <si>
    <t>other</t>
  </si>
  <si>
    <t>don't know</t>
  </si>
  <si>
    <t>Weighted_Count</t>
  </si>
  <si>
    <t>completed</t>
  </si>
  <si>
    <t>rural</t>
  </si>
  <si>
    <t>urban</t>
  </si>
  <si>
    <t>caprivi</t>
  </si>
  <si>
    <t>erongo</t>
  </si>
  <si>
    <t>hardap</t>
  </si>
  <si>
    <t>karas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</si>
  <si>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</si>
  <si>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</si>
  <si>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</si>
  <si>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</si>
  <si>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</si>
  <si>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</si>
  <si>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</si>
  <si>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</si>
  <si>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</si>
  <si>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granular salt in container with lid</t>
  </si>
  <si>
    <t>uncovered granular salt</t>
  </si>
  <si>
    <t>block salt</t>
  </si>
  <si>
    <t>salt_tested_0 ppm (no iodine)</t>
  </si>
  <si>
    <t>salt_tested_15+ ppm</t>
  </si>
  <si>
    <t>salt_tested_&lt; 15 ppm</t>
  </si>
  <si>
    <t>no iodine</t>
  </si>
  <si>
    <t>iodine present</t>
  </si>
  <si>
    <t>2000 - None</t>
  </si>
  <si>
    <t>2013 - None</t>
  </si>
  <si>
    <t>2000 - Any present</t>
  </si>
  <si>
    <t>2013 - Any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</si>
</sst>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households:</a:t>
            </a:r>
            <a:r>
              <a:rPr lang="en-US" baseline="0"/>
              <a:t> Salt Source = Salt Pan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'2000_salt_source'!$D$1</c:f>
              <c:strCache>
                <c:ptCount val="1"/>
                <c:pt idx="0">
                  <c:v>salt pan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'2000_salt_source'!$A$5:$A$17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'2000_salt_source'!$D$5:$D$17</c:f>
              <c:numCache>
                <c:formatCode>0.0%</c:formatCode>
                <c:ptCount val="13"/>
                <c:pt idx="0">
                  <c:v>0</c:v>
                </c:pt>
                <c:pt idx="1">
                  <c:v>3.2890307000000001E-2</c:v>
                </c:pt>
                <c:pt idx="2">
                  <c:v>4.8216229999999997E-3</c:v>
                </c:pt>
                <c:pt idx="3">
                  <c:v>5.6847499999999997E-3</c:v>
                </c:pt>
                <c:pt idx="4">
                  <c:v>0</c:v>
                </c:pt>
                <c:pt idx="5">
                  <c:v>1.9311930000000001E-3</c:v>
                </c:pt>
                <c:pt idx="6">
                  <c:v>1.0829174E-2</c:v>
                </c:pt>
                <c:pt idx="7">
                  <c:v>1.1360387E-2</c:v>
                </c:pt>
                <c:pt idx="8">
                  <c:v>1.6338417000000001E-2</c:v>
                </c:pt>
                <c:pt idx="9">
                  <c:v>0.17191846199999999</c:v>
                </c:pt>
                <c:pt idx="10">
                  <c:v>0.17495729700000001</c:v>
                </c:pt>
                <c:pt idx="11">
                  <c:v>1.3348248E-2</c:v>
                </c:pt>
                <c:pt idx="12">
                  <c:v>3.8520160000000002E-3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2-45FC-BDC4-51DE9ACF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067055"/>
        <c:axId val="653218751"/>
      </c:barChart>
      <c:catAx>
        <c:axId val="53206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18751"/>
        <c:crosses val="autoZero"/>
        <c:auto val="1"/>
        <c:lblAlgn val="ctr"/>
        <c:lblOffset val="100"/>
        <c:noMultiLvlLbl val="0"/>
      </c:catAx>
      <c:valAx>
        <c:axId val="6532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households: Type</a:t>
            </a:r>
            <a:r>
              <a:rPr lang="en-US" baseline="0"/>
              <a:t> of Salt = Block salt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'2000_salt_type'!$D$1</c:f>
              <c:strCache>
                <c:ptCount val="1"/>
                <c:pt idx="0">
                  <c:v>block salt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'2000_salt_type'!$A$5:$A$17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'2000_salt_type'!$D$5:$D$17</c:f>
              <c:numCache>
                <c:formatCode>0.0%</c:formatCode>
                <c:ptCount val="13"/>
                <c:pt idx="0">
                  <c:v>2.8654356999999998E-2</c:v>
                </c:pt>
                <c:pt idx="1">
                  <c:v>2.7878436999999999E-2</c:v>
                </c:pt>
                <c:pt idx="2">
                  <c:v>0.130050584</c:v>
                </c:pt>
                <c:pt idx="3">
                  <c:v>0.11567184699999999</c:v>
                </c:pt>
                <c:pt idx="4">
                  <c:v>0.41447073499999998</c:v>
                </c:pt>
                <c:pt idx="5">
                  <c:v>3.2417091000000002E-2</c:v>
                </c:pt>
                <c:pt idx="6">
                  <c:v>0.15650445800000001</c:v>
                </c:pt>
                <c:pt idx="7">
                  <c:v>0.65845525900000001</c:v>
                </c:pt>
                <c:pt idx="8">
                  <c:v>0.525237854</c:v>
                </c:pt>
                <c:pt idx="9">
                  <c:v>0.44801415700000002</c:v>
                </c:pt>
                <c:pt idx="10">
                  <c:v>5.9730215000000003E-2</c:v>
                </c:pt>
                <c:pt idx="11">
                  <c:v>0.51401485700000005</c:v>
                </c:pt>
                <c:pt idx="12">
                  <c:v>0.186366895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A-4CDA-BF35-BED5C82F1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620143"/>
        <c:axId val="653225407"/>
      </c:barChart>
      <c:catAx>
        <c:axId val="53062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25407"/>
        <c:crosses val="autoZero"/>
        <c:auto val="1"/>
        <c:lblAlgn val="ctr"/>
        <c:lblOffset val="100"/>
        <c:noMultiLvlLbl val="0"/>
      </c:catAx>
      <c:valAx>
        <c:axId val="65322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2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</a:t>
            </a:r>
            <a:r>
              <a:rPr lang="en-US" baseline="0"/>
              <a:t> of households with no iodine in salt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'2000-2013 comparison'!$B$1</c:f>
              <c:strCache>
                <c:ptCount val="1"/>
                <c:pt idx="0">
                  <c:v>2000 - None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'2000-2013 comparison'!$A$2:$A$14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'2000-2013 comparison'!$B$2:$B$14</c:f>
              <c:numCache>
                <c:formatCode>0.0%</c:formatCode>
                <c:ptCount val="13"/>
                <c:pt idx="0">
                  <c:v>4.6236229291759703E-2</c:v>
                </c:pt>
                <c:pt idx="1">
                  <c:v>6.3497429523999394E-2</c:v>
                </c:pt>
                <c:pt idx="2">
                  <c:v>0.20189937162308799</c:v>
                </c:pt>
                <c:pt idx="3">
                  <c:v>0.147012048044698</c:v>
                </c:pt>
                <c:pt idx="4">
                  <c:v>0.456717749384838</c:v>
                </c:pt>
                <c:pt idx="5">
                  <c:v>5.1265377157911102E-2</c:v>
                </c:pt>
                <c:pt idx="6">
                  <c:v>0.23968236949337601</c:v>
                </c:pt>
                <c:pt idx="7">
                  <c:v>7.0490084503943007E-2</c:v>
                </c:pt>
                <c:pt idx="8">
                  <c:v>0.60384579585885301</c:v>
                </c:pt>
                <c:pt idx="9">
                  <c:v>0.22393608840212201</c:v>
                </c:pt>
                <c:pt idx="10">
                  <c:v>0.21362655104448</c:v>
                </c:pt>
                <c:pt idx="11">
                  <c:v>0.115623810916064</c:v>
                </c:pt>
                <c:pt idx="12">
                  <c:v>0.223411719353275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9-4B9A-BABE-8B37CE249BB5}"/>
            </c:ext>
          </c:extLst>
        </c:ser>
        <c:ser>
          <c:idx val="1"/>
          <c:order val="1"/>
          <c:tx>
            <c:strRef>
              <c:f>'2000-2013 comparison'!$C$1</c:f>
              <c:strCache>
                <c:ptCount val="1"/>
                <c:pt idx="0">
                  <c:v>2013 - 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'2000-2013 comparison'!$A$2:$A$14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'2000-2013 comparison'!$C$2:$C$14</c:f>
              <c:numCache>
                <c:formatCode>0.0%</c:formatCode>
                <c:ptCount val="13"/>
                <c:pt idx="0">
                  <c:v>3.1686625263012302E-2</c:v>
                </c:pt>
                <c:pt idx="1">
                  <c:v>6.7119332519852998E-2</c:v>
                </c:pt>
                <c:pt idx="2">
                  <c:v>0.22881747467109101</c:v>
                </c:pt>
                <c:pt idx="3">
                  <c:v>0.100153479378824</c:v>
                </c:pt>
                <c:pt idx="4">
                  <c:v>0.211803203915576</c:v>
                </c:pt>
                <c:pt idx="5">
                  <c:v>7.9007462018193197E-2</c:v>
                </c:pt>
                <c:pt idx="6">
                  <c:v>0.25765492222487602</c:v>
                </c:pt>
                <c:pt idx="7">
                  <c:v>0.37910134953180102</c:v>
                </c:pt>
                <c:pt idx="8">
                  <c:v>0.40714099060286502</c:v>
                </c:pt>
                <c:pt idx="9">
                  <c:v>0.435655580402381</c:v>
                </c:pt>
                <c:pt idx="10">
                  <c:v>0.32400397261684299</c:v>
                </c:pt>
                <c:pt idx="11">
                  <c:v>0.399510410408213</c:v>
                </c:pt>
                <c:pt idx="12">
                  <c:v>0.24907443393447601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C9-4B9A-BABE-8B37CE249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047855"/>
        <c:axId val="653228735"/>
      </c:barChart>
      <c:catAx>
        <c:axId val="53204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28735"/>
        <c:crosses val="autoZero"/>
        <c:auto val="1"/>
        <c:lblAlgn val="ctr"/>
        <c:lblOffset val="100"/>
        <c:noMultiLvlLbl val="0"/>
      </c:catAx>
      <c:valAx>
        <c:axId val="65322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4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households with any iodine in salt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'2000-2013 comparison'!$D$1</c:f>
              <c:strCache>
                <c:ptCount val="1"/>
                <c:pt idx="0">
                  <c:v>2000 - Any present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'2000-2013 comparison'!$A$2:$A$14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'2000-2013 comparison'!$D$2:$D$14</c:f>
              <c:numCache>
                <c:formatCode>0.0%</c:formatCode>
                <c:ptCount val="13"/>
                <c:pt idx="0">
                  <c:v>0.95376377070823903</c:v>
                </c:pt>
                <c:pt idx="1">
                  <c:v>0.93650257047599905</c:v>
                </c:pt>
                <c:pt idx="2">
                  <c:v>0.79810062837691009</c:v>
                </c:pt>
                <c:pt idx="3">
                  <c:v>0.85298795195530097</c:v>
                </c:pt>
                <c:pt idx="4">
                  <c:v>0.54328225061516178</c:v>
                </c:pt>
                <c:pt idx="5">
                  <c:v>0.94873462284208798</c:v>
                </c:pt>
                <c:pt idx="6">
                  <c:v>0.76031763050662193</c:v>
                </c:pt>
                <c:pt idx="7">
                  <c:v>0.92950991549605599</c:v>
                </c:pt>
                <c:pt idx="8">
                  <c:v>0.39615420414114599</c:v>
                </c:pt>
                <c:pt idx="9">
                  <c:v>0.77606391159787702</c:v>
                </c:pt>
                <c:pt idx="10">
                  <c:v>0.78637344895551908</c:v>
                </c:pt>
                <c:pt idx="11">
                  <c:v>0.884376189083935</c:v>
                </c:pt>
                <c:pt idx="12">
                  <c:v>0.77658828064672403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2-441A-9EBE-35FC3E91B322}"/>
            </c:ext>
          </c:extLst>
        </c:ser>
        <c:ser>
          <c:idx val="1"/>
          <c:order val="1"/>
          <c:tx>
            <c:strRef>
              <c:f>'2000-2013 comparison'!$E$1</c:f>
              <c:strCache>
                <c:ptCount val="1"/>
                <c:pt idx="0">
                  <c:v>2013 - Any present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'2000-2013 comparison'!$A$2:$A$14</c:f>
              <c:strCache>
                <c:ptCount val="13"/>
                <c:pt idx="0">
                  <c:v>caprivi</c:v>
                </c:pt>
                <c:pt idx="1">
                  <c:v>erongo</c:v>
                </c:pt>
                <c:pt idx="2">
                  <c:v>hardap</c:v>
                </c:pt>
                <c:pt idx="3">
                  <c:v>karas</c:v>
                </c:pt>
                <c:pt idx="4">
                  <c:v>kavango</c:v>
                </c:pt>
                <c:pt idx="5">
                  <c:v>khomas</c:v>
                </c:pt>
                <c:pt idx="6">
                  <c:v>kunene</c:v>
                </c:pt>
                <c:pt idx="7">
                  <c:v>ohangwena</c:v>
                </c:pt>
                <c:pt idx="8">
                  <c:v>omaheke</c:v>
                </c:pt>
                <c:pt idx="9">
                  <c:v>omusati</c:v>
                </c:pt>
                <c:pt idx="10">
                  <c:v>oshana</c:v>
                </c:pt>
                <c:pt idx="11">
                  <c:v>oshikoto</c:v>
                </c:pt>
                <c:pt idx="12">
                  <c:v>otjozondjupa</c:v>
                </c:pt>
              </c:strCache>
            </c:strRef>
          </c:cat>
          <c:val>
            <c:numRef>
              <c:f>'2000-2013 comparison'!$E$2:$E$14</c:f>
              <c:numCache>
                <c:formatCode>0.0%</c:formatCode>
                <c:ptCount val="13"/>
                <c:pt idx="0">
                  <c:v>0.96831337473698698</c:v>
                </c:pt>
                <c:pt idx="1">
                  <c:v>0.93288066748014598</c:v>
                </c:pt>
                <c:pt idx="2">
                  <c:v>0.77118252532890896</c:v>
                </c:pt>
                <c:pt idx="3">
                  <c:v>0.89984652062117498</c:v>
                </c:pt>
                <c:pt idx="4">
                  <c:v>0.78819679608442395</c:v>
                </c:pt>
                <c:pt idx="5">
                  <c:v>0.92099253798180603</c:v>
                </c:pt>
                <c:pt idx="6">
                  <c:v>0.74234507777512304</c:v>
                </c:pt>
                <c:pt idx="7">
                  <c:v>0.62089865046819803</c:v>
                </c:pt>
                <c:pt idx="8">
                  <c:v>0.59285900939713398</c:v>
                </c:pt>
                <c:pt idx="9">
                  <c:v>0.56434441959761805</c:v>
                </c:pt>
                <c:pt idx="10">
                  <c:v>0.67599602738315601</c:v>
                </c:pt>
                <c:pt idx="11">
                  <c:v>0.600489589591786</c:v>
                </c:pt>
                <c:pt idx="12">
                  <c:v>0.75092556606552296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72-441A-9EBE-35FC3E91B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8575935"/>
        <c:axId val="653221663"/>
      </c:barChart>
      <c:catAx>
        <c:axId val="47857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21663"/>
        <c:crosses val="autoZero"/>
        <c:auto val="1"/>
        <c:lblAlgn val="ctr"/>
        <c:lblOffset val="100"/>
        <c:noMultiLvlLbl val="0"/>
      </c:catAx>
      <c:valAx>
        <c:axId val="6532216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583405</xdr:colOff>
      <xdr:row>1</xdr:row>
      <xdr:rowOff>152399</xdr:rowOff>
    </xdr:from>
    <xdr:to>
      <xdr:col>16</xdr:col>
      <xdr:colOff>166687</xdr:colOff>
      <xdr:row>20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53809A-DDB4-45DC-83C3-C8D76EB39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670718</xdr:colOff>
      <xdr:row>1</xdr:row>
      <xdr:rowOff>1587</xdr:rowOff>
    </xdr:from>
    <xdr:to>
      <xdr:col>9</xdr:col>
      <xdr:colOff>253999</xdr:colOff>
      <xdr:row>20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28FC0-1344-48BE-87E7-19A688B5B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480219</xdr:colOff>
      <xdr:row>14</xdr:row>
      <xdr:rowOff>160338</xdr:rowOff>
    </xdr:from>
    <xdr:to>
      <xdr:col>4</xdr:col>
      <xdr:colOff>1075531</xdr:colOff>
      <xdr:row>31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B7D5D-7BEE-4C94-97F3-5225B02AA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519905</xdr:colOff>
      <xdr:row>0</xdr:row>
      <xdr:rowOff>104774</xdr:rowOff>
    </xdr:from>
    <xdr:to>
      <xdr:col>17</xdr:col>
      <xdr:colOff>31750</xdr:colOff>
      <xdr:row>18</xdr:row>
      <xdr:rowOff>15874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26DEF4-5F88-4C55-94CE-D609BF6A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="80" zoomScaleNormal="80" workbookViewId="0">
      <selection activeCell="T7" sqref="T7"/>
    </sheetView>
  </sheetViews>
  <sheetFormatPr defaultRowHeight="13" x14ac:dyDescent="0.3"/>
  <cols>
    <col min="1" max="1" width="11" style="1" bestFit="1" customWidth="1"/>
    <col min="2" max="2" width="15.1796875" style="1" bestFit="1" customWidth="1"/>
    <col min="3" max="6" width="10.81640625" style="1" bestFit="1" customWidth="1"/>
    <col min="7" max="7" width="13.81640625" style="1" bestFit="1" customWidth="1"/>
    <col min="8" max="16384" width="8.7265625" style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 s="2">
        <v>0.76932381599999999</v>
      </c>
      <c r="C2" s="2">
        <v>5.0717454000000002E-2</v>
      </c>
      <c r="D2" s="2">
        <v>4.0140938000000001E-2</v>
      </c>
      <c r="E2" s="2">
        <v>4.1863558000000002E-2</v>
      </c>
      <c r="F2" s="2">
        <v>2.4303300000000001E-3</v>
      </c>
      <c r="G2" s="1">
        <v>6392</v>
      </c>
    </row>
    <row r="3" spans="1:7" x14ac:dyDescent="0.3">
      <c r="A3" s="1" t="s">
        <v>7</v>
      </c>
      <c r="B3" s="2">
        <v>0.68436162300000003</v>
      </c>
      <c r="C3" s="2">
        <v>6.8889956000000002E-2</v>
      </c>
      <c r="D3" s="2">
        <v>5.9242073999999999E-2</v>
      </c>
      <c r="E3" s="2">
        <v>6.3199903000000002E-2</v>
      </c>
      <c r="F3" s="2">
        <v>3.7581720000000002E-3</v>
      </c>
      <c r="G3" s="1">
        <v>3913.3</v>
      </c>
    </row>
    <row r="4" spans="1:7" x14ac:dyDescent="0.3">
      <c r="A4" s="1" t="s">
        <v>8</v>
      </c>
      <c r="B4" s="2">
        <v>0.90346083099999996</v>
      </c>
      <c r="C4" s="2">
        <v>2.2026984999999999E-2</v>
      </c>
      <c r="D4" s="2">
        <v>9.9843559999999998E-3</v>
      </c>
      <c r="E4" s="2">
        <v>8.1780629999999993E-3</v>
      </c>
      <c r="F4" s="2">
        <v>3.3395300000000001E-4</v>
      </c>
      <c r="G4" s="1">
        <v>2478.6999999999998</v>
      </c>
    </row>
    <row r="5" spans="1:7" x14ac:dyDescent="0.3">
      <c r="A5" s="1" t="s">
        <v>9</v>
      </c>
      <c r="B5" s="2">
        <v>0.68986268699999997</v>
      </c>
      <c r="C5" s="2">
        <v>1.5089986E-2</v>
      </c>
      <c r="D5" s="2">
        <v>0</v>
      </c>
      <c r="E5" s="2">
        <v>7.062586E-3</v>
      </c>
      <c r="F5" s="2">
        <v>0</v>
      </c>
      <c r="G5" s="1">
        <v>391.6</v>
      </c>
    </row>
    <row r="6" spans="1:7" x14ac:dyDescent="0.3">
      <c r="A6" s="1" t="s">
        <v>10</v>
      </c>
      <c r="B6" s="2">
        <v>0.90267689600000001</v>
      </c>
      <c r="C6" s="2">
        <v>1.8423161E-2</v>
      </c>
      <c r="D6" s="2">
        <v>3.2890307000000001E-2</v>
      </c>
      <c r="E6" s="2">
        <v>1.6221440000000001E-3</v>
      </c>
      <c r="F6" s="2">
        <v>1.0356079999999999E-3</v>
      </c>
      <c r="G6" s="1">
        <v>425.5</v>
      </c>
    </row>
    <row r="7" spans="1:7" x14ac:dyDescent="0.3">
      <c r="A7" s="1" t="s">
        <v>11</v>
      </c>
      <c r="B7" s="2">
        <v>0.76647722200000001</v>
      </c>
      <c r="C7" s="2">
        <v>1.1073990000000001E-2</v>
      </c>
      <c r="D7" s="2">
        <v>4.8216229999999997E-3</v>
      </c>
      <c r="E7" s="2">
        <v>5.1920827000000003E-2</v>
      </c>
      <c r="F7" s="2">
        <v>3.986229E-3</v>
      </c>
      <c r="G7" s="1">
        <v>297.10000000000002</v>
      </c>
    </row>
    <row r="8" spans="1:7" x14ac:dyDescent="0.3">
      <c r="A8" s="1" t="s">
        <v>12</v>
      </c>
      <c r="B8" s="2">
        <v>0.93579294000000002</v>
      </c>
      <c r="C8" s="2">
        <v>1.1236677E-2</v>
      </c>
      <c r="D8" s="2">
        <v>5.6847499999999997E-3</v>
      </c>
      <c r="E8" s="2">
        <v>0</v>
      </c>
      <c r="F8" s="2">
        <v>1.289938E-3</v>
      </c>
      <c r="G8" s="1">
        <v>263.10000000000002</v>
      </c>
    </row>
    <row r="9" spans="1:7" x14ac:dyDescent="0.3">
      <c r="A9" s="1" t="s">
        <v>13</v>
      </c>
      <c r="B9" s="2">
        <v>0.71731637599999998</v>
      </c>
      <c r="C9" s="2">
        <v>5.0766370999999998E-2</v>
      </c>
      <c r="D9" s="2">
        <v>0</v>
      </c>
      <c r="E9" s="2">
        <v>5.8986978000000002E-2</v>
      </c>
      <c r="F9" s="2">
        <v>0</v>
      </c>
      <c r="G9" s="1">
        <v>396.9</v>
      </c>
    </row>
    <row r="10" spans="1:7" x14ac:dyDescent="0.3">
      <c r="A10" s="1" t="s">
        <v>14</v>
      </c>
      <c r="B10" s="2">
        <v>0.94545865600000001</v>
      </c>
      <c r="C10" s="2">
        <v>7.0996169999999999E-3</v>
      </c>
      <c r="D10" s="2">
        <v>1.9311930000000001E-3</v>
      </c>
      <c r="E10" s="2">
        <v>1.0612596E-2</v>
      </c>
      <c r="F10" s="2">
        <v>0</v>
      </c>
      <c r="G10" s="1">
        <v>1026.9000000000001</v>
      </c>
    </row>
    <row r="11" spans="1:7" x14ac:dyDescent="0.3">
      <c r="A11" s="1" t="s">
        <v>15</v>
      </c>
      <c r="B11" s="2">
        <v>0.55654287300000005</v>
      </c>
      <c r="C11" s="2">
        <v>4.2574780999999999E-2</v>
      </c>
      <c r="D11" s="2">
        <v>1.0829174E-2</v>
      </c>
      <c r="E11" s="2">
        <v>6.1080224000000002E-2</v>
      </c>
      <c r="F11" s="2">
        <v>2.3337502E-2</v>
      </c>
      <c r="G11" s="1">
        <v>244.4</v>
      </c>
    </row>
    <row r="12" spans="1:7" x14ac:dyDescent="0.3">
      <c r="A12" s="1" t="s">
        <v>16</v>
      </c>
      <c r="B12" s="2">
        <v>0.67650343099999999</v>
      </c>
      <c r="C12" s="2">
        <v>0.17747637699999999</v>
      </c>
      <c r="D12" s="2">
        <v>1.1360387E-2</v>
      </c>
      <c r="E12" s="2">
        <v>9.1150060000000001E-3</v>
      </c>
      <c r="F12" s="2">
        <v>2.5357460000000002E-3</v>
      </c>
      <c r="G12" s="1">
        <v>613.79999999999995</v>
      </c>
    </row>
    <row r="13" spans="1:7" x14ac:dyDescent="0.3">
      <c r="A13" s="1" t="s">
        <v>17</v>
      </c>
      <c r="B13" s="2">
        <v>0.63311815800000004</v>
      </c>
      <c r="C13" s="2">
        <v>7.9033000000000003E-3</v>
      </c>
      <c r="D13" s="2">
        <v>1.6338417000000001E-2</v>
      </c>
      <c r="E13" s="2">
        <v>0.20074994700000001</v>
      </c>
      <c r="F13" s="2">
        <v>9.4708919999999999E-3</v>
      </c>
      <c r="G13" s="1">
        <v>222.2</v>
      </c>
    </row>
    <row r="14" spans="1:7" x14ac:dyDescent="0.3">
      <c r="A14" s="1" t="s">
        <v>18</v>
      </c>
      <c r="B14" s="2">
        <v>0.65361248800000005</v>
      </c>
      <c r="C14" s="2">
        <v>0.11912653500000001</v>
      </c>
      <c r="D14" s="2">
        <v>0.17191846199999999</v>
      </c>
      <c r="E14" s="2">
        <v>2.1093568E-2</v>
      </c>
      <c r="F14" s="2">
        <v>2.1138329999999999E-3</v>
      </c>
      <c r="G14" s="1">
        <v>642.29999999999995</v>
      </c>
    </row>
    <row r="15" spans="1:7" x14ac:dyDescent="0.3">
      <c r="A15" s="1" t="s">
        <v>19</v>
      </c>
      <c r="B15" s="2">
        <v>0.71044388700000005</v>
      </c>
      <c r="C15" s="2">
        <v>6.1291590999999999E-2</v>
      </c>
      <c r="D15" s="2">
        <v>0.17495729700000001</v>
      </c>
      <c r="E15" s="2">
        <v>0</v>
      </c>
      <c r="F15" s="2">
        <v>3.8113589999999998E-3</v>
      </c>
      <c r="G15" s="1">
        <v>594.4</v>
      </c>
    </row>
    <row r="16" spans="1:7" x14ac:dyDescent="0.3">
      <c r="A16" s="1" t="s">
        <v>20</v>
      </c>
      <c r="B16" s="2">
        <v>0.81440258200000004</v>
      </c>
      <c r="C16" s="2">
        <v>5.6979233999999997E-2</v>
      </c>
      <c r="D16" s="2">
        <v>1.3348248E-2</v>
      </c>
      <c r="E16" s="2">
        <v>5.4660694000000003E-2</v>
      </c>
      <c r="F16" s="2">
        <v>0</v>
      </c>
      <c r="G16" s="1">
        <v>537.20000000000005</v>
      </c>
    </row>
    <row r="17" spans="1:7" x14ac:dyDescent="0.3">
      <c r="A17" s="1" t="s">
        <v>21</v>
      </c>
      <c r="B17" s="2">
        <v>0.76326541199999998</v>
      </c>
      <c r="C17" s="2">
        <v>1.6417199E-2</v>
      </c>
      <c r="D17" s="2">
        <v>3.8520160000000002E-3</v>
      </c>
      <c r="E17" s="2">
        <v>0.14439273699999999</v>
      </c>
      <c r="F17" s="2">
        <v>7.9016100000000005E-4</v>
      </c>
      <c r="G17" s="1">
        <v>736.6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zoomScale="80" zoomScaleNormal="80" workbookViewId="0">
      <selection activeCell="J7" sqref="J7"/>
    </sheetView>
  </sheetViews>
  <sheetFormatPr defaultColWidth="29.453125" defaultRowHeight="13" x14ac:dyDescent="0.3"/>
  <cols>
    <col min="1" max="1" width="11" style="1" bestFit="1" customWidth="1"/>
    <col min="2" max="2" width="26.54296875" style="1" bestFit="1" customWidth="1"/>
    <col min="3" max="3" width="19" style="1" bestFit="1" customWidth="1"/>
    <col min="4" max="5" width="10.81640625" style="1" bestFit="1" customWidth="1"/>
    <col min="6" max="6" width="13.81640625" style="1" bestFit="1" customWidth="1"/>
    <col min="7" max="16384" width="29.453125" style="1"/>
  </cols>
  <sheetData>
    <row r="1" spans="1:6" x14ac:dyDescent="0.3">
      <c r="B1" s="1" t="s">
        <v>22</v>
      </c>
      <c r="C1" s="1" t="s">
        <v>23</v>
      </c>
      <c r="D1" s="1" t="s">
        <v>24</v>
      </c>
      <c r="E1" s="1" t="s">
        <v>3</v>
      </c>
      <c r="F1" s="1" t="s">
        <v>5</v>
      </c>
    </row>
    <row r="2" spans="1:6" x14ac:dyDescent="0.3">
      <c r="A2" s="1" t="s">
        <v>6</v>
      </c>
      <c r="B2" s="2">
        <v>0.50486697000000003</v>
      </c>
      <c r="C2" s="2">
        <v>0.126196743</v>
      </c>
      <c r="D2" s="2">
        <v>0.24808493500000001</v>
      </c>
      <c r="E2" s="2">
        <v>1.6851512999999999E-2</v>
      </c>
      <c r="F2" s="1">
        <v>6392</v>
      </c>
    </row>
    <row r="3" spans="1:6" x14ac:dyDescent="0.3">
      <c r="A3" s="1" t="s">
        <v>7</v>
      </c>
      <c r="B3" s="2">
        <v>0.34546495399999999</v>
      </c>
      <c r="C3" s="2">
        <v>0.14205942099999999</v>
      </c>
      <c r="D3" s="2">
        <v>0.38059469600000001</v>
      </c>
      <c r="E3" s="2">
        <v>4.9883940000000002E-3</v>
      </c>
      <c r="F3" s="1">
        <v>3913.3</v>
      </c>
    </row>
    <row r="4" spans="1:6" x14ac:dyDescent="0.3">
      <c r="A4" s="1" t="s">
        <v>8</v>
      </c>
      <c r="B4" s="2">
        <v>0.75652844399999997</v>
      </c>
      <c r="C4" s="2">
        <v>0.101152989</v>
      </c>
      <c r="D4" s="2">
        <v>3.8880545000000002E-2</v>
      </c>
      <c r="E4" s="2">
        <v>3.5580823999999997E-2</v>
      </c>
      <c r="F4" s="1">
        <v>2478.6999999999998</v>
      </c>
    </row>
    <row r="5" spans="1:6" x14ac:dyDescent="0.3">
      <c r="A5" s="1" t="s">
        <v>9</v>
      </c>
      <c r="B5" s="2">
        <v>0.55703514700000001</v>
      </c>
      <c r="C5" s="2">
        <v>0.13008293100000001</v>
      </c>
      <c r="D5" s="2">
        <v>2.8654356999999998E-2</v>
      </c>
      <c r="E5" s="2">
        <v>1.518049E-3</v>
      </c>
      <c r="F5" s="1">
        <v>391.6</v>
      </c>
    </row>
    <row r="6" spans="1:6" x14ac:dyDescent="0.3">
      <c r="A6" s="1" t="s">
        <v>10</v>
      </c>
      <c r="B6" s="2">
        <v>0.73837017100000002</v>
      </c>
      <c r="C6" s="2">
        <v>0.17647658799999999</v>
      </c>
      <c r="D6" s="2">
        <v>2.7878436999999999E-2</v>
      </c>
      <c r="E6" s="2">
        <v>0</v>
      </c>
      <c r="F6" s="1">
        <v>425.5</v>
      </c>
    </row>
    <row r="7" spans="1:6" x14ac:dyDescent="0.3">
      <c r="A7" s="1" t="s">
        <v>11</v>
      </c>
      <c r="B7" s="2">
        <v>0.60962610399999995</v>
      </c>
      <c r="C7" s="2">
        <v>6.7077107999999996E-2</v>
      </c>
      <c r="D7" s="2">
        <v>0.130050584</v>
      </c>
      <c r="E7" s="2">
        <v>1.356313E-3</v>
      </c>
      <c r="F7" s="1">
        <v>297.10000000000002</v>
      </c>
    </row>
    <row r="8" spans="1:6" x14ac:dyDescent="0.3">
      <c r="A8" s="1" t="s">
        <v>12</v>
      </c>
      <c r="B8" s="2">
        <v>0.80778262700000003</v>
      </c>
      <c r="C8" s="2">
        <v>2.2288901E-2</v>
      </c>
      <c r="D8" s="2">
        <v>0.11567184699999999</v>
      </c>
      <c r="E8" s="2">
        <v>0</v>
      </c>
      <c r="F8" s="1">
        <v>263.10000000000002</v>
      </c>
    </row>
    <row r="9" spans="1:6" x14ac:dyDescent="0.3">
      <c r="A9" s="1" t="s">
        <v>13</v>
      </c>
      <c r="B9" s="2">
        <v>0.33553202799999998</v>
      </c>
      <c r="C9" s="2">
        <v>7.4146545999999994E-2</v>
      </c>
      <c r="D9" s="2">
        <v>0.41447073499999998</v>
      </c>
      <c r="E9" s="2">
        <v>0</v>
      </c>
      <c r="F9" s="1">
        <v>396.9</v>
      </c>
    </row>
    <row r="10" spans="1:6" x14ac:dyDescent="0.3">
      <c r="A10" s="1" t="s">
        <v>14</v>
      </c>
      <c r="B10" s="2">
        <v>0.797378751</v>
      </c>
      <c r="C10" s="2">
        <v>3.1201696000000001E-2</v>
      </c>
      <c r="D10" s="2">
        <v>3.2417091000000002E-2</v>
      </c>
      <c r="E10" s="2">
        <v>9.7150216999999997E-2</v>
      </c>
      <c r="F10" s="1">
        <v>1026.9000000000001</v>
      </c>
    </row>
    <row r="11" spans="1:6" x14ac:dyDescent="0.3">
      <c r="A11" s="1" t="s">
        <v>15</v>
      </c>
      <c r="B11" s="2">
        <v>0.37102802400000001</v>
      </c>
      <c r="C11" s="2">
        <v>0.15356458100000001</v>
      </c>
      <c r="D11" s="2">
        <v>0.15650445800000001</v>
      </c>
      <c r="E11" s="2">
        <v>5.4865019999999999E-3</v>
      </c>
      <c r="F11" s="1">
        <v>244.4</v>
      </c>
    </row>
    <row r="12" spans="1:6" x14ac:dyDescent="0.3">
      <c r="A12" s="1" t="s">
        <v>16</v>
      </c>
      <c r="B12" s="2">
        <v>8.8088281000000004E-2</v>
      </c>
      <c r="C12" s="2">
        <v>0.124412915</v>
      </c>
      <c r="D12" s="2">
        <v>0.65845525900000001</v>
      </c>
      <c r="E12" s="2">
        <v>0</v>
      </c>
      <c r="F12" s="1">
        <v>613.79999999999995</v>
      </c>
    </row>
    <row r="13" spans="1:6" x14ac:dyDescent="0.3">
      <c r="A13" s="1" t="s">
        <v>17</v>
      </c>
      <c r="B13" s="2">
        <v>0.26929904900000001</v>
      </c>
      <c r="C13" s="2">
        <v>6.7922539000000004E-2</v>
      </c>
      <c r="D13" s="2">
        <v>0.525237854</v>
      </c>
      <c r="E13" s="2">
        <v>1.165672E-3</v>
      </c>
      <c r="F13" s="1">
        <v>222.2</v>
      </c>
    </row>
    <row r="14" spans="1:6" x14ac:dyDescent="0.3">
      <c r="A14" s="1" t="s">
        <v>18</v>
      </c>
      <c r="B14" s="2">
        <v>0.356430576</v>
      </c>
      <c r="C14" s="2">
        <v>0.157619278</v>
      </c>
      <c r="D14" s="2">
        <v>0.44801415700000002</v>
      </c>
      <c r="E14" s="2">
        <v>0</v>
      </c>
      <c r="F14" s="1">
        <v>642.29999999999995</v>
      </c>
    </row>
    <row r="15" spans="1:6" x14ac:dyDescent="0.3">
      <c r="A15" s="1" t="s">
        <v>19</v>
      </c>
      <c r="B15" s="2">
        <v>0.62232489999999996</v>
      </c>
      <c r="C15" s="2">
        <v>0.26638308900000002</v>
      </c>
      <c r="D15" s="2">
        <v>5.9730215000000003E-2</v>
      </c>
      <c r="E15" s="2">
        <v>0</v>
      </c>
      <c r="F15" s="1">
        <v>594.4</v>
      </c>
    </row>
    <row r="16" spans="1:6" x14ac:dyDescent="0.3">
      <c r="A16" s="1" t="s">
        <v>20</v>
      </c>
      <c r="B16" s="2">
        <v>0.29927526100000001</v>
      </c>
      <c r="C16" s="2">
        <v>0.101407421</v>
      </c>
      <c r="D16" s="2">
        <v>0.51401485700000005</v>
      </c>
      <c r="E16" s="2">
        <v>1.712812E-3</v>
      </c>
      <c r="F16" s="1">
        <v>537.20000000000005</v>
      </c>
    </row>
    <row r="17" spans="1:6" x14ac:dyDescent="0.3">
      <c r="A17" s="1" t="s">
        <v>21</v>
      </c>
      <c r="B17" s="2">
        <v>0.522633083</v>
      </c>
      <c r="C17" s="2">
        <v>0.204063404</v>
      </c>
      <c r="D17" s="2">
        <v>0.186366895</v>
      </c>
      <c r="E17" s="2">
        <v>6.0184369999999997E-3</v>
      </c>
      <c r="F17" s="1">
        <v>736.6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="80" zoomScaleNormal="80" workbookViewId="0">
      <selection sqref="A1:XFD1048576"/>
    </sheetView>
  </sheetViews>
  <sheetFormatPr defaultRowHeight="13" x14ac:dyDescent="0.3"/>
  <cols>
    <col min="1" max="1" width="11" style="1" bestFit="1" customWidth="1"/>
    <col min="2" max="2" width="24.08984375" style="1" bestFit="1" customWidth="1"/>
    <col min="3" max="3" width="17" style="1" bestFit="1" customWidth="1"/>
    <col min="4" max="4" width="17.453125" style="1" bestFit="1" customWidth="1"/>
    <col min="5" max="5" width="13.81640625" style="1" bestFit="1" customWidth="1"/>
    <col min="6" max="16384" width="8.7265625" style="1"/>
  </cols>
  <sheetData>
    <row r="1" spans="1:5" x14ac:dyDescent="0.3">
      <c r="B1" s="1" t="s">
        <v>25</v>
      </c>
      <c r="C1" s="1" t="s">
        <v>26</v>
      </c>
      <c r="D1" s="1" t="s">
        <v>27</v>
      </c>
      <c r="E1" s="1" t="s">
        <v>5</v>
      </c>
    </row>
    <row r="2" spans="1:5" x14ac:dyDescent="0.3">
      <c r="A2" s="1" t="s">
        <v>6</v>
      </c>
      <c r="B2" s="1">
        <v>0.17178519048442401</v>
      </c>
      <c r="C2" s="1">
        <v>0.62914706040947199</v>
      </c>
      <c r="D2" s="1">
        <v>0.199067749106103</v>
      </c>
      <c r="E2" s="1">
        <v>5741.7</v>
      </c>
    </row>
    <row r="3" spans="1:5" x14ac:dyDescent="0.3">
      <c r="A3" s="1" t="s">
        <v>7</v>
      </c>
      <c r="B3" s="1">
        <v>0.23796094126782699</v>
      </c>
      <c r="C3" s="1">
        <v>0.59494444458143203</v>
      </c>
      <c r="D3" s="1">
        <v>0.16709461415073901</v>
      </c>
      <c r="E3" s="1">
        <v>3428.9</v>
      </c>
    </row>
    <row r="4" spans="1:5" x14ac:dyDescent="0.3">
      <c r="A4" s="1" t="s">
        <v>8</v>
      </c>
      <c r="B4" s="1">
        <v>7.3673884828402994E-2</v>
      </c>
      <c r="C4" s="1">
        <v>0.67985541288020701</v>
      </c>
      <c r="D4" s="1">
        <v>0.24647070229138901</v>
      </c>
      <c r="E4" s="1">
        <v>2312.8000000000002</v>
      </c>
    </row>
    <row r="5" spans="1:5" x14ac:dyDescent="0.3">
      <c r="A5" s="1" t="s">
        <v>9</v>
      </c>
      <c r="B5" s="1">
        <v>4.6236229291759703E-2</v>
      </c>
      <c r="C5" s="1">
        <v>0.72550945256548605</v>
      </c>
      <c r="D5" s="1">
        <v>0.22825431814275299</v>
      </c>
      <c r="E5" s="1">
        <v>280.7</v>
      </c>
    </row>
    <row r="6" spans="1:5" x14ac:dyDescent="0.3">
      <c r="A6" s="1" t="s">
        <v>10</v>
      </c>
      <c r="B6" s="1">
        <v>6.3497429523999394E-2</v>
      </c>
      <c r="C6" s="1">
        <v>0.66524520188268199</v>
      </c>
      <c r="D6" s="1">
        <v>0.27125736859331701</v>
      </c>
      <c r="E6" s="1">
        <v>400.6</v>
      </c>
    </row>
    <row r="7" spans="1:5" x14ac:dyDescent="0.3">
      <c r="A7" s="1" t="s">
        <v>11</v>
      </c>
      <c r="B7" s="1">
        <v>0.20189937162308799</v>
      </c>
      <c r="C7" s="1">
        <v>0.54582109721058303</v>
      </c>
      <c r="D7" s="1">
        <v>0.25227953116632701</v>
      </c>
      <c r="E7" s="1">
        <v>249.5</v>
      </c>
    </row>
    <row r="8" spans="1:5" x14ac:dyDescent="0.3">
      <c r="A8" s="1" t="s">
        <v>12</v>
      </c>
      <c r="B8" s="1">
        <v>0.147012048044698</v>
      </c>
      <c r="C8" s="1">
        <v>0.59220704546101599</v>
      </c>
      <c r="D8" s="1">
        <v>0.26078090649428498</v>
      </c>
      <c r="E8" s="1">
        <v>251.9</v>
      </c>
    </row>
    <row r="9" spans="1:5" x14ac:dyDescent="0.3">
      <c r="A9" s="1" t="s">
        <v>13</v>
      </c>
      <c r="B9" s="1">
        <v>0.456717749384838</v>
      </c>
      <c r="C9" s="1">
        <v>0.46412286476263998</v>
      </c>
      <c r="D9" s="1">
        <v>7.9159385852521802E-2</v>
      </c>
      <c r="E9" s="1">
        <v>327.10000000000002</v>
      </c>
    </row>
    <row r="10" spans="1:5" x14ac:dyDescent="0.3">
      <c r="A10" s="1" t="s">
        <v>14</v>
      </c>
      <c r="B10" s="1">
        <v>5.1265377157911102E-2</v>
      </c>
      <c r="C10" s="1">
        <v>0.692645034596858</v>
      </c>
      <c r="D10" s="1">
        <v>0.25608958824522998</v>
      </c>
      <c r="E10" s="1">
        <v>981.3</v>
      </c>
    </row>
    <row r="11" spans="1:5" x14ac:dyDescent="0.3">
      <c r="A11" s="1" t="s">
        <v>15</v>
      </c>
      <c r="B11" s="1">
        <v>0.23968236949337601</v>
      </c>
      <c r="C11" s="1">
        <v>0.54150069236462295</v>
      </c>
      <c r="D11" s="1">
        <v>0.21881693814199901</v>
      </c>
      <c r="E11" s="1">
        <v>168.9</v>
      </c>
    </row>
    <row r="12" spans="1:5" x14ac:dyDescent="0.3">
      <c r="A12" s="1" t="s">
        <v>16</v>
      </c>
      <c r="B12" s="1">
        <v>7.0490084503943007E-2</v>
      </c>
      <c r="C12" s="1">
        <v>0.78815076519162697</v>
      </c>
      <c r="D12" s="1">
        <v>0.141359150304429</v>
      </c>
      <c r="E12" s="1">
        <v>535.9</v>
      </c>
    </row>
    <row r="13" spans="1:5" x14ac:dyDescent="0.3">
      <c r="A13" s="1" t="s">
        <v>17</v>
      </c>
      <c r="B13" s="1">
        <v>0.60384579585885301</v>
      </c>
      <c r="C13" s="1">
        <v>0.22996837959966199</v>
      </c>
      <c r="D13" s="1">
        <v>0.16618582454148401</v>
      </c>
      <c r="E13" s="1">
        <v>190.8</v>
      </c>
    </row>
    <row r="14" spans="1:5" x14ac:dyDescent="0.3">
      <c r="A14" s="1" t="s">
        <v>18</v>
      </c>
      <c r="B14" s="1">
        <v>0.22393608840212201</v>
      </c>
      <c r="C14" s="1">
        <v>0.62857243683353503</v>
      </c>
      <c r="D14" s="1">
        <v>0.14749147476434199</v>
      </c>
      <c r="E14" s="1">
        <v>616.29999999999995</v>
      </c>
    </row>
    <row r="15" spans="1:5" x14ac:dyDescent="0.3">
      <c r="A15" s="1" t="s">
        <v>19</v>
      </c>
      <c r="B15" s="1">
        <v>0.21362655104448</v>
      </c>
      <c r="C15" s="1">
        <v>0.71415584564801304</v>
      </c>
      <c r="D15" s="1">
        <v>7.2217603307505998E-2</v>
      </c>
      <c r="E15" s="1">
        <v>561</v>
      </c>
    </row>
    <row r="16" spans="1:5" x14ac:dyDescent="0.3">
      <c r="A16" s="1" t="s">
        <v>20</v>
      </c>
      <c r="B16" s="1">
        <v>0.115623810916064</v>
      </c>
      <c r="C16" s="1">
        <v>0.748901758299239</v>
      </c>
      <c r="D16" s="1">
        <v>0.13547443078469601</v>
      </c>
      <c r="E16" s="1">
        <v>497.6</v>
      </c>
    </row>
    <row r="17" spans="1:5" x14ac:dyDescent="0.3">
      <c r="A17" s="1" t="s">
        <v>21</v>
      </c>
      <c r="B17" s="1">
        <v>0.223411719353275</v>
      </c>
      <c r="C17" s="1">
        <v>0.45135927621822303</v>
      </c>
      <c r="D17" s="1">
        <v>0.325229004428501</v>
      </c>
      <c r="E17" s="1">
        <v>680.1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80" zoomScaleNormal="80" workbookViewId="0">
      <selection activeCell="A5" sqref="A5:A17"/>
    </sheetView>
  </sheetViews>
  <sheetFormatPr defaultColWidth="15.54296875" defaultRowHeight="13" x14ac:dyDescent="0.3"/>
  <cols>
    <col min="1" max="16384" width="15.54296875" style="1"/>
  </cols>
  <sheetData>
    <row r="1" spans="1:4" x14ac:dyDescent="0.3">
      <c r="B1" s="1" t="s">
        <v>29</v>
      </c>
      <c r="C1" s="1" t="s">
        <v>28</v>
      </c>
      <c r="D1" s="1" t="s">
        <v>5</v>
      </c>
    </row>
    <row r="2" spans="1:4" x14ac:dyDescent="0.3">
      <c r="A2" s="1" t="s">
        <v>6</v>
      </c>
      <c r="B2" s="1">
        <v>0.76825590109356301</v>
      </c>
      <c r="C2" s="1">
        <v>0.23174409890643599</v>
      </c>
      <c r="D2" s="1">
        <v>9205.5</v>
      </c>
    </row>
    <row r="3" spans="1:4" x14ac:dyDescent="0.3">
      <c r="A3" s="1" t="s">
        <v>7</v>
      </c>
      <c r="B3" s="1">
        <v>0.62154616060230805</v>
      </c>
      <c r="C3" s="1">
        <v>0.37845383939769101</v>
      </c>
      <c r="D3" s="1">
        <v>4388.7</v>
      </c>
    </row>
    <row r="4" spans="1:4" x14ac:dyDescent="0.3">
      <c r="A4" s="1" t="s">
        <v>8</v>
      </c>
      <c r="B4" s="1">
        <v>0.90192827635272099</v>
      </c>
      <c r="C4" s="1">
        <v>9.8071723647278494E-2</v>
      </c>
      <c r="D4" s="1">
        <v>4816.7</v>
      </c>
    </row>
    <row r="5" spans="1:4" x14ac:dyDescent="0.3">
      <c r="A5" s="1" t="s">
        <v>9</v>
      </c>
      <c r="B5" s="1">
        <v>0.96831337473698698</v>
      </c>
      <c r="C5" s="1">
        <v>3.1686625263012302E-2</v>
      </c>
      <c r="D5" s="1">
        <v>471.8</v>
      </c>
    </row>
    <row r="6" spans="1:4" x14ac:dyDescent="0.3">
      <c r="A6" s="1" t="s">
        <v>10</v>
      </c>
      <c r="B6" s="1">
        <v>0.93288066748014598</v>
      </c>
      <c r="C6" s="1">
        <v>6.7119332519852998E-2</v>
      </c>
      <c r="D6" s="1">
        <v>865.7</v>
      </c>
    </row>
    <row r="7" spans="1:4" x14ac:dyDescent="0.3">
      <c r="A7" s="1" t="s">
        <v>11</v>
      </c>
      <c r="B7" s="1">
        <v>0.77118252532890896</v>
      </c>
      <c r="C7" s="1">
        <v>0.22881747467109101</v>
      </c>
      <c r="D7" s="1">
        <v>346.8</v>
      </c>
    </row>
    <row r="8" spans="1:4" x14ac:dyDescent="0.3">
      <c r="A8" s="1" t="s">
        <v>12</v>
      </c>
      <c r="B8" s="1">
        <v>0.89984652062117498</v>
      </c>
      <c r="C8" s="1">
        <v>0.100153479378824</v>
      </c>
      <c r="D8" s="1">
        <v>369.6</v>
      </c>
    </row>
    <row r="9" spans="1:4" x14ac:dyDescent="0.3">
      <c r="A9" s="1" t="s">
        <v>13</v>
      </c>
      <c r="B9" s="1">
        <v>0.78819679608442395</v>
      </c>
      <c r="C9" s="1">
        <v>0.211803203915576</v>
      </c>
      <c r="D9" s="1">
        <v>681.7</v>
      </c>
    </row>
    <row r="10" spans="1:4" x14ac:dyDescent="0.3">
      <c r="A10" s="1" t="s">
        <v>14</v>
      </c>
      <c r="B10" s="1">
        <v>0.92099253798180603</v>
      </c>
      <c r="C10" s="1">
        <v>7.9007462018193197E-2</v>
      </c>
      <c r="D10" s="1">
        <v>1903.9</v>
      </c>
    </row>
    <row r="11" spans="1:4" x14ac:dyDescent="0.3">
      <c r="A11" s="1" t="s">
        <v>15</v>
      </c>
      <c r="B11" s="1">
        <v>0.74234507777512304</v>
      </c>
      <c r="C11" s="1">
        <v>0.25765492222487602</v>
      </c>
      <c r="D11" s="1">
        <v>309.10000000000002</v>
      </c>
    </row>
    <row r="12" spans="1:4" x14ac:dyDescent="0.3">
      <c r="A12" s="1" t="s">
        <v>16</v>
      </c>
      <c r="B12" s="1">
        <v>0.62089865046819803</v>
      </c>
      <c r="C12" s="1">
        <v>0.37910134953180102</v>
      </c>
      <c r="D12" s="1">
        <v>877.8</v>
      </c>
    </row>
    <row r="13" spans="1:4" x14ac:dyDescent="0.3">
      <c r="A13" s="1" t="s">
        <v>17</v>
      </c>
      <c r="B13" s="1">
        <v>0.59285900939713398</v>
      </c>
      <c r="C13" s="1">
        <v>0.40714099060286502</v>
      </c>
      <c r="D13" s="1">
        <v>299.8</v>
      </c>
    </row>
    <row r="14" spans="1:4" x14ac:dyDescent="0.3">
      <c r="A14" s="1" t="s">
        <v>18</v>
      </c>
      <c r="B14" s="1">
        <v>0.56434441959761805</v>
      </c>
      <c r="C14" s="1">
        <v>0.435655580402381</v>
      </c>
      <c r="D14" s="1">
        <v>914.8</v>
      </c>
    </row>
    <row r="15" spans="1:4" x14ac:dyDescent="0.3">
      <c r="A15" s="1" t="s">
        <v>19</v>
      </c>
      <c r="B15" s="1">
        <v>0.67599602738315601</v>
      </c>
      <c r="C15" s="1">
        <v>0.32400397261684299</v>
      </c>
      <c r="D15" s="1">
        <v>814.2</v>
      </c>
    </row>
    <row r="16" spans="1:4" x14ac:dyDescent="0.3">
      <c r="A16" s="1" t="s">
        <v>20</v>
      </c>
      <c r="B16" s="1">
        <v>0.600489589591786</v>
      </c>
      <c r="C16" s="1">
        <v>0.399510410408213</v>
      </c>
      <c r="D16" s="1">
        <v>770.5</v>
      </c>
    </row>
    <row r="17" spans="1:4" x14ac:dyDescent="0.3">
      <c r="A17" s="1" t="s">
        <v>21</v>
      </c>
      <c r="B17" s="1">
        <v>0.75092556606552296</v>
      </c>
      <c r="C17" s="1">
        <v>0.24907443393447601</v>
      </c>
      <c r="D17" s="1">
        <v>579.79999999999995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80" zoomScaleNormal="80" workbookViewId="0">
      <selection activeCell="H13" sqref="H13"/>
    </sheetView>
  </sheetViews>
  <sheetFormatPr defaultRowHeight="13" x14ac:dyDescent="0.3"/>
  <cols>
    <col min="1" max="1" width="12.7265625" style="1" customWidth="1"/>
    <col min="2" max="2" width="15" style="1" customWidth="1"/>
    <col min="3" max="3" width="12.7265625" style="1" customWidth="1"/>
    <col min="4" max="5" width="16.453125" style="1" customWidth="1"/>
    <col min="6" max="16384" width="8.7265625" style="1"/>
  </cols>
  <sheetData>
    <row r="1" spans="1:5" x14ac:dyDescent="0.3"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s="1" t="s">
        <v>9</v>
      </c>
      <c r="B2" s="2">
        <f>'2000_iodine'!B5</f>
        <v>4.6236229291759703E-2</v>
      </c>
      <c r="C2" s="2">
        <f>'2013_iodine'!C5</f>
        <v>3.1686625263012302E-2</v>
      </c>
      <c r="D2" s="2">
        <f>SUM('2000_iodine'!C5:D5)</f>
        <v>0.95376377070823903</v>
      </c>
      <c r="E2" s="2">
        <f>'2013_iodine'!B5</f>
        <v>0.96831337473698698</v>
      </c>
    </row>
    <row r="3" spans="1:5" x14ac:dyDescent="0.3">
      <c r="A3" s="1" t="s">
        <v>10</v>
      </c>
      <c r="B3" s="2">
        <f>'2000_iodine'!B6</f>
        <v>6.3497429523999394E-2</v>
      </c>
      <c r="C3" s="2">
        <f>'2013_iodine'!C6</f>
        <v>6.7119332519852998E-2</v>
      </c>
      <c r="D3" s="2">
        <f>SUM('2000_iodine'!C6:D6)</f>
        <v>0.93650257047599905</v>
      </c>
      <c r="E3" s="2">
        <f>'2013_iodine'!B6</f>
        <v>0.93288066748014598</v>
      </c>
    </row>
    <row r="4" spans="1:5" x14ac:dyDescent="0.3">
      <c r="A4" s="1" t="s">
        <v>11</v>
      </c>
      <c r="B4" s="2">
        <f>'2000_iodine'!B7</f>
        <v>0.20189937162308799</v>
      </c>
      <c r="C4" s="2">
        <f>'2013_iodine'!C7</f>
        <v>0.22881747467109101</v>
      </c>
      <c r="D4" s="2">
        <f>SUM('2000_iodine'!C7:D7)</f>
        <v>0.79810062837691009</v>
      </c>
      <c r="E4" s="2">
        <f>'2013_iodine'!B7</f>
        <v>0.77118252532890896</v>
      </c>
    </row>
    <row r="5" spans="1:5" x14ac:dyDescent="0.3">
      <c r="A5" s="1" t="s">
        <v>12</v>
      </c>
      <c r="B5" s="2">
        <f>'2000_iodine'!B8</f>
        <v>0.147012048044698</v>
      </c>
      <c r="C5" s="2">
        <f>'2013_iodine'!C8</f>
        <v>0.100153479378824</v>
      </c>
      <c r="D5" s="2">
        <f>SUM('2000_iodine'!C8:D8)</f>
        <v>0.85298795195530097</v>
      </c>
      <c r="E5" s="2">
        <f>'2013_iodine'!B8</f>
        <v>0.89984652062117498</v>
      </c>
    </row>
    <row r="6" spans="1:5" x14ac:dyDescent="0.3">
      <c r="A6" s="1" t="s">
        <v>13</v>
      </c>
      <c r="B6" s="2">
        <f>'2000_iodine'!B9</f>
        <v>0.456717749384838</v>
      </c>
      <c r="C6" s="2">
        <f>'2013_iodine'!C9</f>
        <v>0.211803203915576</v>
      </c>
      <c r="D6" s="2">
        <f>SUM('2000_iodine'!C9:D9)</f>
        <v>0.54328225061516178</v>
      </c>
      <c r="E6" s="2">
        <f>'2013_iodine'!B9</f>
        <v>0.78819679608442395</v>
      </c>
    </row>
    <row r="7" spans="1:5" x14ac:dyDescent="0.3">
      <c r="A7" s="1" t="s">
        <v>14</v>
      </c>
      <c r="B7" s="2">
        <f>'2000_iodine'!B10</f>
        <v>5.1265377157911102E-2</v>
      </c>
      <c r="C7" s="2">
        <f>'2013_iodine'!C10</f>
        <v>7.9007462018193197E-2</v>
      </c>
      <c r="D7" s="2">
        <f>SUM('2000_iodine'!C10:D10)</f>
        <v>0.94873462284208798</v>
      </c>
      <c r="E7" s="2">
        <f>'2013_iodine'!B10</f>
        <v>0.92099253798180603</v>
      </c>
    </row>
    <row r="8" spans="1:5" x14ac:dyDescent="0.3">
      <c r="A8" s="1" t="s">
        <v>15</v>
      </c>
      <c r="B8" s="2">
        <f>'2000_iodine'!B11</f>
        <v>0.23968236949337601</v>
      </c>
      <c r="C8" s="2">
        <f>'2013_iodine'!C11</f>
        <v>0.25765492222487602</v>
      </c>
      <c r="D8" s="2">
        <f>SUM('2000_iodine'!C11:D11)</f>
        <v>0.76031763050662193</v>
      </c>
      <c r="E8" s="2">
        <f>'2013_iodine'!B11</f>
        <v>0.74234507777512304</v>
      </c>
    </row>
    <row r="9" spans="1:5" x14ac:dyDescent="0.3">
      <c r="A9" s="1" t="s">
        <v>16</v>
      </c>
      <c r="B9" s="2">
        <f>'2000_iodine'!B12</f>
        <v>7.0490084503943007E-2</v>
      </c>
      <c r="C9" s="2">
        <f>'2013_iodine'!C12</f>
        <v>0.37910134953180102</v>
      </c>
      <c r="D9" s="2">
        <f>SUM('2000_iodine'!C12:D12)</f>
        <v>0.92950991549605599</v>
      </c>
      <c r="E9" s="2">
        <f>'2013_iodine'!B12</f>
        <v>0.62089865046819803</v>
      </c>
    </row>
    <row r="10" spans="1:5" x14ac:dyDescent="0.3">
      <c r="A10" s="1" t="s">
        <v>17</v>
      </c>
      <c r="B10" s="2">
        <f>'2000_iodine'!B13</f>
        <v>0.60384579585885301</v>
      </c>
      <c r="C10" s="2">
        <f>'2013_iodine'!C13</f>
        <v>0.40714099060286502</v>
      </c>
      <c r="D10" s="2">
        <f>SUM('2000_iodine'!C13:D13)</f>
        <v>0.39615420414114599</v>
      </c>
      <c r="E10" s="2">
        <f>'2013_iodine'!B13</f>
        <v>0.59285900939713398</v>
      </c>
    </row>
    <row r="11" spans="1:5" x14ac:dyDescent="0.3">
      <c r="A11" s="1" t="s">
        <v>18</v>
      </c>
      <c r="B11" s="2">
        <f>'2000_iodine'!B14</f>
        <v>0.22393608840212201</v>
      </c>
      <c r="C11" s="2">
        <f>'2013_iodine'!C14</f>
        <v>0.435655580402381</v>
      </c>
      <c r="D11" s="2">
        <f>SUM('2000_iodine'!C14:D14)</f>
        <v>0.77606391159787702</v>
      </c>
      <c r="E11" s="2">
        <f>'2013_iodine'!B14</f>
        <v>0.56434441959761805</v>
      </c>
    </row>
    <row r="12" spans="1:5" x14ac:dyDescent="0.3">
      <c r="A12" s="1" t="s">
        <v>19</v>
      </c>
      <c r="B12" s="2">
        <f>'2000_iodine'!B15</f>
        <v>0.21362655104448</v>
      </c>
      <c r="C12" s="2">
        <f>'2013_iodine'!C15</f>
        <v>0.32400397261684299</v>
      </c>
      <c r="D12" s="2">
        <f>SUM('2000_iodine'!C15:D15)</f>
        <v>0.78637344895551908</v>
      </c>
      <c r="E12" s="2">
        <f>'2013_iodine'!B15</f>
        <v>0.67599602738315601</v>
      </c>
    </row>
    <row r="13" spans="1:5" x14ac:dyDescent="0.3">
      <c r="A13" s="1" t="s">
        <v>20</v>
      </c>
      <c r="B13" s="2">
        <f>'2000_iodine'!B16</f>
        <v>0.115623810916064</v>
      </c>
      <c r="C13" s="2">
        <f>'2013_iodine'!C16</f>
        <v>0.399510410408213</v>
      </c>
      <c r="D13" s="2">
        <f>SUM('2000_iodine'!C16:D16)</f>
        <v>0.884376189083935</v>
      </c>
      <c r="E13" s="2">
        <f>'2013_iodine'!B16</f>
        <v>0.600489589591786</v>
      </c>
    </row>
    <row r="14" spans="1:5" x14ac:dyDescent="0.3">
      <c r="A14" s="1" t="s">
        <v>21</v>
      </c>
      <c r="B14" s="2">
        <f>'2000_iodine'!B17</f>
        <v>0.223411719353275</v>
      </c>
      <c r="C14" s="2">
        <f>'2013_iodine'!C17</f>
        <v>0.24907443393447601</v>
      </c>
      <c r="D14" s="2">
        <f>SUM('2000_iodine'!C17:D17)</f>
        <v>0.77658828064672403</v>
      </c>
      <c r="E14" s="2">
        <f>'2013_iodine'!B17</f>
        <v>0.75092556606552296</v>
      </c>
    </row>
  </sheetData>
  <pageMargins left="0.7" right="0.7" top="0.75" bottom="0.75" header="0.3" footer="0.3"/>
  <ignoredErrors>
    <ignoredError sqref="D2:D14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2000_salt_source</vt:lpstr>
      <vt:lpstr>2000_salt_type</vt:lpstr>
      <vt:lpstr>2000_iodine</vt:lpstr>
      <vt:lpstr>2013_iodine</vt:lpstr>
      <vt:lpstr>2000-2013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Wise</cp:lastModifiedBy>
  <dcterms:created xsi:type="dcterms:W3CDTF">2020-11-02T12:31:34Z</dcterms:created>
  <dcterms:modified xsi:type="dcterms:W3CDTF">2020-11-02T13:04:41Z</dcterms:modified>
</cp:coreProperties>
</file>