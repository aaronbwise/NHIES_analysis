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codeName="ThisWorkbook" defaultThemeVersion="166925"/>
  <mc:AlternateContent xmlns:mc="http://schemas.openxmlformats.org/markup-compatibility/2006">
    <mc:Choice Requires="x15">
      <x15ac:absPath xmlns:x15ac="http://schemas.microsoft.com/office/spreadsheetml/2010/11/ac" url="C:\Users\Aaron\Desktop\"/>
    </mc:Choice>
  </mc:AlternateContent>
  <xr:revisionPtr revIDLastSave="0" documentId="13_ncr:1_{B9D57977-4F46-483B-8A89-2606D5271ECB}" xr6:coauthVersionLast="45" xr6:coauthVersionMax="45" xr10:uidLastSave="{00000000-0000-0000-0000-000000000000}"/>
  <bookViews>
    <workbookView xWindow="28680" yWindow="-120" windowWidth="29040" windowHeight="15840" tabRatio="853" activeTab="3" xr2:uid="{627296B3-77E8-4A0C-BC45-435627EB0E66}"/>
  </bookViews>
  <sheets>
    <sheet name="EXPLAIN" sheetId="55" r:id="rId1"/>
    <sheet name="OPTION 1 - Working Tab" sheetId="54" r:id="rId2"/>
    <sheet name="OPTION 1 - Data for Figures" sheetId="47" r:id="rId3"/>
    <sheet name="Fig1a Iodine intake by product" sheetId="51" r:id="rId4"/>
    <sheet name="Fig1b Intake by product no SR" sheetId="52" r:id="rId5"/>
    <sheet name="Fig 2a Iodine intake HH v PF" sheetId="50" r:id="rId6"/>
    <sheet name="Fig 2b Intake HH v PF no SR" sheetId="53" r:id="rId7"/>
    <sheet name="Lists" sheetId="4" state="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4" i="47" l="1"/>
  <c r="C33" i="47"/>
  <c r="E34" i="47"/>
  <c r="C20" i="54" l="1"/>
  <c r="F7" i="47" l="1"/>
  <c r="F6" i="47"/>
  <c r="E7" i="47"/>
  <c r="E6" i="47"/>
  <c r="D7" i="47"/>
  <c r="D6" i="47"/>
  <c r="C7" i="47"/>
  <c r="C6" i="47"/>
  <c r="A27" i="47"/>
  <c r="A26" i="47"/>
  <c r="A25" i="47"/>
  <c r="A24" i="47"/>
  <c r="A23" i="47"/>
  <c r="A22" i="47"/>
  <c r="A21" i="47"/>
  <c r="A20" i="47"/>
  <c r="A19" i="47"/>
  <c r="A18" i="47"/>
  <c r="A17" i="47"/>
  <c r="A16" i="47"/>
  <c r="A15" i="47"/>
  <c r="A14" i="47"/>
  <c r="A13" i="47"/>
  <c r="A12" i="47"/>
  <c r="A11" i="47"/>
  <c r="A10" i="47"/>
  <c r="A9" i="47"/>
  <c r="A8" i="47"/>
  <c r="A7" i="47"/>
  <c r="E38" i="54"/>
  <c r="E37" i="54"/>
  <c r="E36" i="54"/>
  <c r="E35" i="54"/>
  <c r="E34" i="54"/>
  <c r="E33" i="54"/>
  <c r="C40" i="54"/>
  <c r="C39" i="54"/>
  <c r="E32" i="54"/>
  <c r="E31" i="54"/>
  <c r="E30" i="54"/>
  <c r="E29" i="54"/>
  <c r="E28" i="54"/>
  <c r="E27" i="54"/>
  <c r="E26" i="54"/>
  <c r="E25" i="54"/>
  <c r="E24" i="54"/>
  <c r="E23" i="54"/>
  <c r="E22" i="54"/>
  <c r="E21" i="54"/>
  <c r="E20" i="54"/>
  <c r="E19" i="54"/>
  <c r="B8" i="54"/>
  <c r="B7" i="54"/>
  <c r="B36" i="47" s="1"/>
  <c r="G6" i="54"/>
  <c r="B6" i="54"/>
  <c r="B35" i="47" s="1"/>
  <c r="F30" i="54" l="1"/>
  <c r="F23" i="54"/>
  <c r="F36" i="54"/>
  <c r="G36" i="54" s="1"/>
  <c r="F34" i="54"/>
  <c r="G34" i="54" s="1"/>
  <c r="F38" i="54"/>
  <c r="G38" i="54" s="1"/>
  <c r="F33" i="54"/>
  <c r="G33" i="54" s="1"/>
  <c r="F35" i="54"/>
  <c r="G35" i="54" s="1"/>
  <c r="F37" i="54"/>
  <c r="G37" i="54" s="1"/>
  <c r="F32" i="54"/>
  <c r="G32" i="54" s="1"/>
  <c r="L32" i="54" s="1"/>
  <c r="D21" i="47" s="1"/>
  <c r="F29" i="54"/>
  <c r="G29" i="54" s="1"/>
  <c r="J29" i="54" s="1"/>
  <c r="F25" i="54"/>
  <c r="G25" i="54" s="1"/>
  <c r="C14" i="47" s="1"/>
  <c r="F28" i="54"/>
  <c r="G28" i="54" s="1"/>
  <c r="C17" i="47" s="1"/>
  <c r="G30" i="54"/>
  <c r="F21" i="54"/>
  <c r="G21" i="54" s="1"/>
  <c r="F24" i="54"/>
  <c r="G24" i="54" s="1"/>
  <c r="C13" i="47" s="1"/>
  <c r="F20" i="54"/>
  <c r="G20" i="54" s="1"/>
  <c r="L21" i="54"/>
  <c r="D10" i="47" s="1"/>
  <c r="E39" i="54"/>
  <c r="E40" i="54"/>
  <c r="F19" i="54"/>
  <c r="G19" i="54" s="1"/>
  <c r="C8" i="47" s="1"/>
  <c r="G23" i="54"/>
  <c r="C12" i="47" s="1"/>
  <c r="F27" i="54"/>
  <c r="G27" i="54" s="1"/>
  <c r="C16" i="47" s="1"/>
  <c r="F31" i="54"/>
  <c r="G31" i="54" s="1"/>
  <c r="C20" i="47" s="1"/>
  <c r="F22" i="54"/>
  <c r="G22" i="54" s="1"/>
  <c r="C11" i="47" s="1"/>
  <c r="F26" i="54"/>
  <c r="G26" i="54" s="1"/>
  <c r="C15" i="47" s="1"/>
  <c r="H37" i="54" l="1"/>
  <c r="I37" i="54"/>
  <c r="I33" i="54"/>
  <c r="C22" i="47"/>
  <c r="H33" i="54"/>
  <c r="Q33" i="54"/>
  <c r="E22" i="47" s="1"/>
  <c r="J33" i="54"/>
  <c r="L33" i="54"/>
  <c r="O33" i="54" s="1"/>
  <c r="J35" i="54"/>
  <c r="Q35" i="54"/>
  <c r="E24" i="47" s="1"/>
  <c r="I35" i="54"/>
  <c r="C24" i="47"/>
  <c r="H35" i="54"/>
  <c r="L35" i="54"/>
  <c r="D24" i="47" s="1"/>
  <c r="Q38" i="54"/>
  <c r="E27" i="47" s="1"/>
  <c r="L38" i="54"/>
  <c r="C27" i="47"/>
  <c r="J38" i="54"/>
  <c r="H38" i="54"/>
  <c r="I38" i="54"/>
  <c r="C23" i="47"/>
  <c r="H34" i="54"/>
  <c r="J34" i="54"/>
  <c r="Q34" i="54"/>
  <c r="E23" i="47" s="1"/>
  <c r="I34" i="54"/>
  <c r="L34" i="54"/>
  <c r="D23" i="47" s="1"/>
  <c r="C25" i="47"/>
  <c r="L36" i="54"/>
  <c r="I36" i="54"/>
  <c r="Q36" i="54"/>
  <c r="E25" i="47" s="1"/>
  <c r="J36" i="54"/>
  <c r="H36" i="54"/>
  <c r="C26" i="47"/>
  <c r="L37" i="54"/>
  <c r="R37" i="54" s="1"/>
  <c r="F26" i="47" s="1"/>
  <c r="Q37" i="54"/>
  <c r="E26" i="47" s="1"/>
  <c r="J37" i="54"/>
  <c r="I30" i="54"/>
  <c r="C19" i="47"/>
  <c r="J32" i="54"/>
  <c r="C21" i="47"/>
  <c r="L29" i="54"/>
  <c r="D18" i="47" s="1"/>
  <c r="C18" i="47"/>
  <c r="Q30" i="54"/>
  <c r="E19" i="47" s="1"/>
  <c r="Q29" i="54"/>
  <c r="E18" i="47" s="1"/>
  <c r="H29" i="54"/>
  <c r="I32" i="54"/>
  <c r="H20" i="54"/>
  <c r="C9" i="47"/>
  <c r="L30" i="54"/>
  <c r="D19" i="47" s="1"/>
  <c r="H30" i="54"/>
  <c r="I21" i="54"/>
  <c r="C10" i="47"/>
  <c r="I29" i="54"/>
  <c r="I28" i="54"/>
  <c r="H28" i="54"/>
  <c r="Q28" i="54"/>
  <c r="E17" i="47" s="1"/>
  <c r="L28" i="54"/>
  <c r="J28" i="54"/>
  <c r="J21" i="54"/>
  <c r="H21" i="54"/>
  <c r="H32" i="54"/>
  <c r="Q21" i="54"/>
  <c r="E10" i="47" s="1"/>
  <c r="J30" i="54"/>
  <c r="I25" i="54"/>
  <c r="J25" i="54"/>
  <c r="Q25" i="54"/>
  <c r="E14" i="47" s="1"/>
  <c r="H25" i="54"/>
  <c r="L25" i="54"/>
  <c r="D14" i="47" s="1"/>
  <c r="Q32" i="54"/>
  <c r="E21" i="47" s="1"/>
  <c r="Q20" i="54"/>
  <c r="E9" i="47" s="1"/>
  <c r="I24" i="54"/>
  <c r="J24" i="54"/>
  <c r="H24" i="54"/>
  <c r="Q24" i="54"/>
  <c r="E13" i="47" s="1"/>
  <c r="L24" i="54"/>
  <c r="O24" i="54" s="1"/>
  <c r="J20" i="54"/>
  <c r="I20" i="54"/>
  <c r="L20" i="54"/>
  <c r="Q23" i="54"/>
  <c r="E12" i="47" s="1"/>
  <c r="L23" i="54"/>
  <c r="D12" i="47" s="1"/>
  <c r="I23" i="54"/>
  <c r="J23" i="54"/>
  <c r="H23" i="54"/>
  <c r="G40" i="54"/>
  <c r="Q19" i="54"/>
  <c r="E8" i="47" s="1"/>
  <c r="L19" i="54"/>
  <c r="D8" i="47" s="1"/>
  <c r="J19" i="54"/>
  <c r="I19" i="54"/>
  <c r="G39" i="54"/>
  <c r="H19" i="54"/>
  <c r="N21" i="54"/>
  <c r="M21" i="54"/>
  <c r="R21" i="54"/>
  <c r="F10" i="47" s="1"/>
  <c r="O21" i="54"/>
  <c r="M32" i="54"/>
  <c r="R32" i="54"/>
  <c r="F21" i="47" s="1"/>
  <c r="O32" i="54"/>
  <c r="N32" i="54"/>
  <c r="J26" i="54"/>
  <c r="H26" i="54"/>
  <c r="I26" i="54"/>
  <c r="L26" i="54"/>
  <c r="D15" i="47" s="1"/>
  <c r="Q26" i="54"/>
  <c r="E15" i="47" s="1"/>
  <c r="Q27" i="54"/>
  <c r="E16" i="47" s="1"/>
  <c r="L27" i="54"/>
  <c r="D16" i="47" s="1"/>
  <c r="J27" i="54"/>
  <c r="I27" i="54"/>
  <c r="H27" i="54"/>
  <c r="J22" i="54"/>
  <c r="I22" i="54"/>
  <c r="H22" i="54"/>
  <c r="L22" i="54"/>
  <c r="D11" i="47" s="1"/>
  <c r="Q22" i="54"/>
  <c r="E11" i="47" s="1"/>
  <c r="M24" i="54"/>
  <c r="Q31" i="54"/>
  <c r="E20" i="47" s="1"/>
  <c r="L31" i="54"/>
  <c r="D20" i="47" s="1"/>
  <c r="J31" i="54"/>
  <c r="I31" i="54"/>
  <c r="H31" i="54"/>
  <c r="M29" i="54"/>
  <c r="D22" i="47" l="1"/>
  <c r="R33" i="54"/>
  <c r="F22" i="47" s="1"/>
  <c r="N29" i="54"/>
  <c r="O25" i="54"/>
  <c r="R35" i="54"/>
  <c r="F24" i="47" s="1"/>
  <c r="D26" i="47"/>
  <c r="N33" i="54"/>
  <c r="M33" i="54"/>
  <c r="M37" i="54"/>
  <c r="N37" i="54"/>
  <c r="O37" i="54"/>
  <c r="R34" i="54"/>
  <c r="F23" i="47" s="1"/>
  <c r="M35" i="54"/>
  <c r="N35" i="54"/>
  <c r="O29" i="54"/>
  <c r="O36" i="54"/>
  <c r="R36" i="54"/>
  <c r="F25" i="47" s="1"/>
  <c r="M36" i="54"/>
  <c r="N36" i="54"/>
  <c r="D25" i="47"/>
  <c r="O38" i="54"/>
  <c r="D27" i="47"/>
  <c r="M38" i="54"/>
  <c r="R38" i="54"/>
  <c r="F27" i="47" s="1"/>
  <c r="N38" i="54"/>
  <c r="M34" i="54"/>
  <c r="N34" i="54"/>
  <c r="O35" i="54"/>
  <c r="R29" i="54"/>
  <c r="F18" i="47" s="1"/>
  <c r="O34" i="54"/>
  <c r="N28" i="54"/>
  <c r="D17" i="47"/>
  <c r="O28" i="54"/>
  <c r="R25" i="54"/>
  <c r="F14" i="47" s="1"/>
  <c r="R30" i="54"/>
  <c r="F19" i="47" s="1"/>
  <c r="M30" i="54"/>
  <c r="M25" i="54"/>
  <c r="N25" i="54"/>
  <c r="N30" i="54"/>
  <c r="O30" i="54"/>
  <c r="M20" i="54"/>
  <c r="D9" i="47"/>
  <c r="R24" i="54"/>
  <c r="F13" i="47" s="1"/>
  <c r="D13" i="47"/>
  <c r="N20" i="54"/>
  <c r="M28" i="54"/>
  <c r="R28" i="54"/>
  <c r="F17" i="47" s="1"/>
  <c r="N24" i="54"/>
  <c r="O20" i="54"/>
  <c r="R20" i="54"/>
  <c r="F9" i="47" s="1"/>
  <c r="O26" i="54"/>
  <c r="N26" i="54"/>
  <c r="M26" i="54"/>
  <c r="R26" i="54"/>
  <c r="F15" i="47" s="1"/>
  <c r="L40" i="54"/>
  <c r="R19" i="54"/>
  <c r="F8" i="47" s="1"/>
  <c r="O19" i="54"/>
  <c r="N19" i="54"/>
  <c r="M19" i="54"/>
  <c r="L39" i="54"/>
  <c r="R27" i="54"/>
  <c r="F16" i="47" s="1"/>
  <c r="O27" i="54"/>
  <c r="N27" i="54"/>
  <c r="M27" i="54"/>
  <c r="J39" i="54"/>
  <c r="I39" i="54"/>
  <c r="H39" i="54"/>
  <c r="Q40" i="54"/>
  <c r="Q39" i="54"/>
  <c r="J40" i="54"/>
  <c r="I40" i="54"/>
  <c r="H40" i="54"/>
  <c r="R23" i="54"/>
  <c r="F12" i="47" s="1"/>
  <c r="O23" i="54"/>
  <c r="N23" i="54"/>
  <c r="M23" i="54"/>
  <c r="O22" i="54"/>
  <c r="M22" i="54"/>
  <c r="N22" i="54"/>
  <c r="R22" i="54"/>
  <c r="F11" i="47" s="1"/>
  <c r="R31" i="54"/>
  <c r="F20" i="47" s="1"/>
  <c r="O31" i="54"/>
  <c r="N31" i="54"/>
  <c r="M31" i="54"/>
  <c r="O39" i="54" l="1"/>
  <c r="N39" i="54"/>
  <c r="M39" i="54"/>
  <c r="R40" i="54"/>
  <c r="R39" i="54"/>
  <c r="O40" i="54"/>
  <c r="N40" i="54"/>
  <c r="M40" i="54"/>
  <c r="C35" i="47" l="1"/>
  <c r="D35" i="47" s="1"/>
  <c r="C36" i="47"/>
  <c r="D36" i="47" s="1"/>
  <c r="F35" i="47" l="1"/>
  <c r="G35" i="47" s="1"/>
  <c r="E35" i="47"/>
  <c r="F36" i="47"/>
  <c r="G36" i="47" s="1"/>
  <c r="E36" i="47"/>
  <c r="E33" i="47" l="1"/>
  <c r="D33" i="47" l="1"/>
  <c r="F33" i="47"/>
  <c r="D34" i="47" l="1"/>
  <c r="F34" i="47" l="1"/>
</calcChain>
</file>

<file path=xl/sharedStrings.xml><?xml version="1.0" encoding="utf-8"?>
<sst xmlns="http://schemas.openxmlformats.org/spreadsheetml/2006/main" count="184" uniqueCount="157">
  <si>
    <t>Minimum</t>
  </si>
  <si>
    <t>Maximum</t>
  </si>
  <si>
    <t>Mean</t>
  </si>
  <si>
    <t>Non-pregnant adult</t>
  </si>
  <si>
    <t>Children 6-12 years</t>
  </si>
  <si>
    <t>Children 0-5 years</t>
  </si>
  <si>
    <t>Population group</t>
  </si>
  <si>
    <t>Click on dark grey shaded cells for instructions on information to insert in the corresponding light blue cell</t>
  </si>
  <si>
    <t>Geographic area (define)</t>
  </si>
  <si>
    <t>SES group (define)</t>
  </si>
  <si>
    <r>
      <t xml:space="preserve">National salt iodine standards 
(mg/kg or </t>
    </r>
    <r>
      <rPr>
        <b/>
        <sz val="11"/>
        <color theme="1"/>
        <rFont val="Calibri"/>
        <family val="2"/>
      </rPr>
      <t>µ</t>
    </r>
    <r>
      <rPr>
        <b/>
        <sz val="11"/>
        <color theme="1"/>
        <rFont val="Calibri"/>
        <family val="2"/>
        <scheme val="minor"/>
      </rPr>
      <t>g/g)</t>
    </r>
  </si>
  <si>
    <t>Not specified</t>
  </si>
  <si>
    <t>Additional description of data shown in each table</t>
  </si>
  <si>
    <t>Recommended daily iodine intake (RNI) (µg)</t>
  </si>
  <si>
    <t>Source references</t>
  </si>
  <si>
    <t>Code</t>
  </si>
  <si>
    <t>Source reference code</t>
  </si>
  <si>
    <t>Reference - add reference and year for data source</t>
  </si>
  <si>
    <t>Pregnant women</t>
  </si>
  <si>
    <t>National</t>
  </si>
  <si>
    <t>Estimated Average Requirement iodine (EAR) (µg)</t>
  </si>
  <si>
    <t xml:space="preserve">Potential % RNI iodine </t>
  </si>
  <si>
    <t xml:space="preserve">Potential % EAR iodine </t>
  </si>
  <si>
    <t>Current % RNI iodine</t>
  </si>
  <si>
    <t>Current % EAR iodine</t>
  </si>
  <si>
    <t>Food type</t>
  </si>
  <si>
    <t xml:space="preserve">Potential % UL iodine </t>
  </si>
  <si>
    <t>Tolerable upper limit iodine (UL)</t>
  </si>
  <si>
    <t>Current % UL iodine</t>
  </si>
  <si>
    <t>EAR iodine</t>
  </si>
  <si>
    <r>
      <t xml:space="preserve">A </t>
    </r>
    <r>
      <rPr>
        <sz val="12"/>
        <color theme="1"/>
        <rFont val="Calibri"/>
        <family val="2"/>
        <scheme val="minor"/>
      </rPr>
      <t xml:space="preserve">* </t>
    </r>
    <r>
      <rPr>
        <sz val="11"/>
        <color theme="1"/>
        <rFont val="Calibri"/>
        <family val="2"/>
        <scheme val="minor"/>
      </rPr>
      <t>B</t>
    </r>
  </si>
  <si>
    <r>
      <t>UL iodine (</t>
    </r>
    <r>
      <rPr>
        <sz val="11"/>
        <color theme="1"/>
        <rFont val="Calibri"/>
        <family val="2"/>
      </rPr>
      <t>µg)</t>
    </r>
  </si>
  <si>
    <t>Lactating women</t>
  </si>
  <si>
    <r>
      <rPr>
        <b/>
        <sz val="14"/>
        <color rgb="FFFF0000"/>
        <rFont val="Calibri"/>
        <family val="2"/>
        <scheme val="minor"/>
      </rPr>
      <t xml:space="preserve">OPTION 1 - Daily intake estimates </t>
    </r>
    <r>
      <rPr>
        <b/>
        <sz val="14"/>
        <rFont val="Calibri"/>
        <family val="2"/>
        <scheme val="minor"/>
      </rPr>
      <t xml:space="preserve"> - compared with RNI, EAR, UL iodine - Input data according to the national situation.</t>
    </r>
  </si>
  <si>
    <r>
      <t>EAR iodine (</t>
    </r>
    <r>
      <rPr>
        <sz val="11"/>
        <color theme="1"/>
        <rFont val="Calibri"/>
        <family val="2"/>
      </rPr>
      <t>µg)</t>
    </r>
  </si>
  <si>
    <t>N/A</t>
  </si>
  <si>
    <t>Use non-pregnant adult ref values</t>
  </si>
  <si>
    <t>Text in brown font = instruction</t>
  </si>
  <si>
    <t>Calculation for each column:</t>
  </si>
  <si>
    <t>For all selected products</t>
  </si>
  <si>
    <t>A</t>
  </si>
  <si>
    <t>Column label:</t>
  </si>
  <si>
    <r>
      <t xml:space="preserve">Estimated average </t>
    </r>
    <r>
      <rPr>
        <b/>
        <u/>
        <sz val="11"/>
        <color theme="1"/>
        <rFont val="Calibri"/>
        <family val="2"/>
        <scheme val="minor"/>
      </rPr>
      <t>daily per capita consumption</t>
    </r>
    <r>
      <rPr>
        <b/>
        <sz val="11"/>
        <color theme="1"/>
        <rFont val="Calibri"/>
        <family val="2"/>
        <scheme val="minor"/>
      </rPr>
      <t xml:space="preserve"> (g)</t>
    </r>
  </si>
  <si>
    <t xml:space="preserve">B </t>
  </si>
  <si>
    <t xml:space="preserve">C </t>
  </si>
  <si>
    <t>N</t>
  </si>
  <si>
    <t>O</t>
  </si>
  <si>
    <t>P</t>
  </si>
  <si>
    <r>
      <t xml:space="preserve">Estimated </t>
    </r>
    <r>
      <rPr>
        <b/>
        <u/>
        <sz val="11"/>
        <color theme="1"/>
        <rFont val="Calibri"/>
        <family val="2"/>
        <scheme val="minor"/>
      </rPr>
      <t>daily salt intake</t>
    </r>
    <r>
      <rPr>
        <b/>
        <sz val="11"/>
        <color theme="1"/>
        <rFont val="Calibri"/>
        <family val="2"/>
        <scheme val="minor"/>
      </rPr>
      <t xml:space="preserve"> from the product (g)</t>
    </r>
  </si>
  <si>
    <r>
      <t xml:space="preserve">Potential iodine intake (µg) from </t>
    </r>
    <r>
      <rPr>
        <b/>
        <u/>
        <sz val="11"/>
        <color theme="1"/>
        <rFont val="Calibri"/>
        <family val="2"/>
        <scheme val="minor"/>
      </rPr>
      <t>daily intake</t>
    </r>
    <r>
      <rPr>
        <b/>
        <sz val="11"/>
        <color theme="1"/>
        <rFont val="Calibri"/>
        <family val="2"/>
        <scheme val="minor"/>
      </rPr>
      <t xml:space="preserve"> (g) of the product </t>
    </r>
  </si>
  <si>
    <t>Estimated percent of total salt used in the product that is iodised</t>
  </si>
  <si>
    <t>Target reduction in salt content of the product (%)</t>
  </si>
  <si>
    <r>
      <t>RNI iodine (</t>
    </r>
    <r>
      <rPr>
        <sz val="11"/>
        <color theme="1"/>
        <rFont val="Calibri"/>
        <family val="2"/>
      </rPr>
      <t>µg)</t>
    </r>
    <r>
      <rPr>
        <sz val="11"/>
        <color theme="1"/>
        <rFont val="Calibri"/>
        <family val="2"/>
        <scheme val="minor"/>
      </rPr>
      <t xml:space="preserve">
Also known as RDA</t>
    </r>
  </si>
  <si>
    <t>Salt content 
(% product weight)</t>
  </si>
  <si>
    <r>
      <t>Potential iodine intake (</t>
    </r>
    <r>
      <rPr>
        <b/>
        <sz val="11"/>
        <rFont val="Calibri"/>
        <family val="2"/>
      </rPr>
      <t>µg</t>
    </r>
    <r>
      <rPr>
        <b/>
        <sz val="7.7"/>
        <rFont val="Calibri"/>
        <family val="2"/>
      </rPr>
      <t>)</t>
    </r>
  </si>
  <si>
    <t>Estimated Average Requirement</t>
  </si>
  <si>
    <t>Recommended Nutrient Intake</t>
  </si>
  <si>
    <t>Tolerable upper limit for iodine intake</t>
  </si>
  <si>
    <t xml:space="preserve">RNI (RDA) iodine </t>
  </si>
  <si>
    <r>
      <t xml:space="preserve">Potential % EAR for </t>
    </r>
    <r>
      <rPr>
        <b/>
        <u/>
        <sz val="11"/>
        <color theme="1"/>
        <rFont val="Calibri"/>
        <family val="2"/>
        <scheme val="minor"/>
      </rPr>
      <t xml:space="preserve">iodine </t>
    </r>
    <r>
      <rPr>
        <b/>
        <sz val="11"/>
        <color theme="1"/>
        <rFont val="Calibri"/>
        <family val="2"/>
        <scheme val="minor"/>
      </rPr>
      <t xml:space="preserve">from </t>
    </r>
    <r>
      <rPr>
        <b/>
        <u/>
        <sz val="11"/>
        <color theme="1"/>
        <rFont val="Calibri"/>
        <family val="2"/>
        <scheme val="minor"/>
      </rPr>
      <t xml:space="preserve">typical daily intake </t>
    </r>
    <r>
      <rPr>
        <b/>
        <sz val="11"/>
        <color theme="1"/>
        <rFont val="Calibri"/>
        <family val="2"/>
        <scheme val="minor"/>
      </rPr>
      <t>of the product</t>
    </r>
  </si>
  <si>
    <r>
      <t xml:space="preserve">Potential % UL for </t>
    </r>
    <r>
      <rPr>
        <b/>
        <u/>
        <sz val="11"/>
        <color theme="1"/>
        <rFont val="Calibri"/>
        <family val="2"/>
        <scheme val="minor"/>
      </rPr>
      <t xml:space="preserve">iodine </t>
    </r>
    <r>
      <rPr>
        <b/>
        <sz val="11"/>
        <color theme="1"/>
        <rFont val="Calibri"/>
        <family val="2"/>
        <scheme val="minor"/>
      </rPr>
      <t xml:space="preserve">from </t>
    </r>
    <r>
      <rPr>
        <b/>
        <u/>
        <sz val="11"/>
        <color theme="1"/>
        <rFont val="Calibri"/>
        <family val="2"/>
        <scheme val="minor"/>
      </rPr>
      <t xml:space="preserve">typical daily intake </t>
    </r>
    <r>
      <rPr>
        <b/>
        <sz val="11"/>
        <color theme="1"/>
        <rFont val="Calibri"/>
        <family val="2"/>
        <scheme val="minor"/>
      </rPr>
      <t>of the product</t>
    </r>
  </si>
  <si>
    <r>
      <t xml:space="preserve">Potential % RNI for </t>
    </r>
    <r>
      <rPr>
        <b/>
        <u/>
        <sz val="11"/>
        <color theme="1"/>
        <rFont val="Calibri"/>
        <family val="2"/>
        <scheme val="minor"/>
      </rPr>
      <t xml:space="preserve">iodine </t>
    </r>
    <r>
      <rPr>
        <b/>
        <sz val="11"/>
        <color theme="1"/>
        <rFont val="Calibri"/>
        <family val="2"/>
        <scheme val="minor"/>
      </rPr>
      <t xml:space="preserve">from </t>
    </r>
    <r>
      <rPr>
        <b/>
        <u/>
        <sz val="11"/>
        <color theme="1"/>
        <rFont val="Calibri"/>
        <family val="2"/>
        <scheme val="minor"/>
      </rPr>
      <t xml:space="preserve">typical daily intake </t>
    </r>
    <r>
      <rPr>
        <b/>
        <sz val="11"/>
        <color theme="1"/>
        <rFont val="Calibri"/>
        <family val="2"/>
        <scheme val="minor"/>
      </rPr>
      <t>of the product</t>
    </r>
  </si>
  <si>
    <r>
      <t xml:space="preserve">Estimated current % UL for </t>
    </r>
    <r>
      <rPr>
        <b/>
        <u/>
        <sz val="11"/>
        <color theme="9" tint="-0.499984740745262"/>
        <rFont val="Calibri"/>
        <family val="2"/>
        <scheme val="minor"/>
      </rPr>
      <t xml:space="preserve">iodine </t>
    </r>
    <r>
      <rPr>
        <b/>
        <sz val="11"/>
        <color theme="9" tint="-0.499984740745262"/>
        <rFont val="Calibri"/>
        <family val="2"/>
        <scheme val="minor"/>
      </rPr>
      <t xml:space="preserve">from </t>
    </r>
    <r>
      <rPr>
        <b/>
        <u/>
        <sz val="11"/>
        <color theme="9" tint="-0.499984740745262"/>
        <rFont val="Calibri"/>
        <family val="2"/>
        <scheme val="minor"/>
      </rPr>
      <t xml:space="preserve">typical daily intake </t>
    </r>
    <r>
      <rPr>
        <b/>
        <sz val="11"/>
        <color theme="9" tint="-0.499984740745262"/>
        <rFont val="Calibri"/>
        <family val="2"/>
        <scheme val="minor"/>
      </rPr>
      <t>of the product</t>
    </r>
  </si>
  <si>
    <r>
      <t xml:space="preserve">Estimated current iodine intake (µg) from </t>
    </r>
    <r>
      <rPr>
        <b/>
        <u/>
        <sz val="11"/>
        <color theme="9" tint="-0.499984740745262"/>
        <rFont val="Calibri"/>
        <family val="2"/>
        <scheme val="minor"/>
      </rPr>
      <t xml:space="preserve">daily intake </t>
    </r>
    <r>
      <rPr>
        <b/>
        <sz val="11"/>
        <color theme="9" tint="-0.499984740745262"/>
        <rFont val="Calibri"/>
        <family val="2"/>
        <scheme val="minor"/>
      </rPr>
      <t>of the product (g)</t>
    </r>
  </si>
  <si>
    <r>
      <t xml:space="preserve">Estimated current % EAR for </t>
    </r>
    <r>
      <rPr>
        <b/>
        <u/>
        <sz val="11"/>
        <color theme="9" tint="-0.499984740745262"/>
        <rFont val="Calibri"/>
        <family val="2"/>
        <scheme val="minor"/>
      </rPr>
      <t xml:space="preserve">iodine </t>
    </r>
    <r>
      <rPr>
        <b/>
        <sz val="11"/>
        <color theme="9" tint="-0.499984740745262"/>
        <rFont val="Calibri"/>
        <family val="2"/>
        <scheme val="minor"/>
      </rPr>
      <t xml:space="preserve">from </t>
    </r>
    <r>
      <rPr>
        <b/>
        <u/>
        <sz val="11"/>
        <color theme="9" tint="-0.499984740745262"/>
        <rFont val="Calibri"/>
        <family val="2"/>
        <scheme val="minor"/>
      </rPr>
      <t xml:space="preserve">typical daily intake </t>
    </r>
    <r>
      <rPr>
        <b/>
        <sz val="11"/>
        <color theme="9" tint="-0.499984740745262"/>
        <rFont val="Calibri"/>
        <family val="2"/>
        <scheme val="minor"/>
      </rPr>
      <t>of the product</t>
    </r>
  </si>
  <si>
    <r>
      <t xml:space="preserve">Estimated current % RNI for </t>
    </r>
    <r>
      <rPr>
        <b/>
        <u/>
        <sz val="11"/>
        <color theme="9" tint="-0.499984740745262"/>
        <rFont val="Calibri"/>
        <family val="2"/>
        <scheme val="minor"/>
      </rPr>
      <t xml:space="preserve">iodine </t>
    </r>
    <r>
      <rPr>
        <b/>
        <sz val="11"/>
        <color theme="9" tint="-0.499984740745262"/>
        <rFont val="Calibri"/>
        <family val="2"/>
        <scheme val="minor"/>
      </rPr>
      <t xml:space="preserve">from </t>
    </r>
    <r>
      <rPr>
        <b/>
        <u/>
        <sz val="11"/>
        <color theme="9" tint="-0.499984740745262"/>
        <rFont val="Calibri"/>
        <family val="2"/>
        <scheme val="minor"/>
      </rPr>
      <t xml:space="preserve">typical daily intake </t>
    </r>
    <r>
      <rPr>
        <b/>
        <sz val="11"/>
        <color theme="9" tint="-0.499984740745262"/>
        <rFont val="Calibri"/>
        <family val="2"/>
        <scheme val="minor"/>
      </rPr>
      <t>of the product</t>
    </r>
  </si>
  <si>
    <t>Household salt</t>
  </si>
  <si>
    <t>For all products except HH salt</t>
  </si>
  <si>
    <t>Food product 
(aim for at least 4 products).
Include household (HH) salt where possible</t>
  </si>
  <si>
    <t>For HH salt</t>
  </si>
  <si>
    <t xml:space="preserve">Data to generate a chart showing estimated iodine intake from household (HH) salt compared with from processed food salt for the 3 different situations </t>
  </si>
  <si>
    <t>Household salt must be the first food in the "Food Type" list for the formulae and charts to work. Reorder the list - that is currently auto-inserted here from the previous sheet - as needed</t>
  </si>
  <si>
    <r>
      <t>Estimated Average Requirement (</t>
    </r>
    <r>
      <rPr>
        <sz val="11"/>
        <color theme="1"/>
        <rFont val="Calibri"/>
        <family val="2"/>
      </rPr>
      <t>µg)</t>
    </r>
  </si>
  <si>
    <r>
      <t>Recommended Nutrient Intake (</t>
    </r>
    <r>
      <rPr>
        <sz val="11"/>
        <color theme="1"/>
        <rFont val="Calibri"/>
        <family val="2"/>
      </rPr>
      <t>µg)</t>
    </r>
  </si>
  <si>
    <t>If this information doesn't transfer from the first sheet correctly, either re-do the formulae or overwrite the formulae and type in food types and figures for the columns separately.</t>
  </si>
  <si>
    <t>Please check all figures match those in previous sheet</t>
  </si>
  <si>
    <t>D</t>
  </si>
  <si>
    <t>E</t>
  </si>
  <si>
    <t>F</t>
  </si>
  <si>
    <t>G</t>
  </si>
  <si>
    <t>H</t>
  </si>
  <si>
    <t>I</t>
  </si>
  <si>
    <t>J</t>
  </si>
  <si>
    <t>K</t>
  </si>
  <si>
    <t>L</t>
  </si>
  <si>
    <t>M</t>
  </si>
  <si>
    <t>CHARTS in following sheets will update automatically when data are entered below. See EXPLAIN sheet for more information on adapting the charts</t>
  </si>
  <si>
    <t>Exception to above is for light green shading for salt iodine standard. This is autofilled, but can be overwritten where a different standard applies</t>
  </si>
  <si>
    <r>
      <t xml:space="preserve">C  </t>
    </r>
    <r>
      <rPr>
        <sz val="12"/>
        <color theme="1"/>
        <rFont val="Calibri"/>
        <family val="2"/>
        <scheme val="minor"/>
      </rPr>
      <t xml:space="preserve">* </t>
    </r>
    <r>
      <rPr>
        <sz val="11"/>
        <color theme="1"/>
        <rFont val="Calibri"/>
        <family val="2"/>
        <scheme val="minor"/>
      </rPr>
      <t>D</t>
    </r>
    <r>
      <rPr>
        <sz val="12"/>
        <color theme="1"/>
        <rFont val="Calibri"/>
        <family val="2"/>
        <scheme val="minor"/>
      </rPr>
      <t xml:space="preserve"> *</t>
    </r>
    <r>
      <rPr>
        <sz val="11"/>
        <color theme="1"/>
        <rFont val="Calibri"/>
        <family val="2"/>
        <scheme val="minor"/>
      </rPr>
      <t xml:space="preserve"> 70% (for losses)</t>
    </r>
  </si>
  <si>
    <t>E / EAR iodine for population group</t>
  </si>
  <si>
    <t>E / RNI iodine for population group</t>
  </si>
  <si>
    <t>E / UL iodine for population group</t>
  </si>
  <si>
    <r>
      <t>E</t>
    </r>
    <r>
      <rPr>
        <sz val="12"/>
        <color theme="9" tint="-0.499984740745262"/>
        <rFont val="Calibri"/>
        <family val="2"/>
        <scheme val="minor"/>
      </rPr>
      <t xml:space="preserve"> *</t>
    </r>
    <r>
      <rPr>
        <sz val="11"/>
        <color theme="9" tint="-0.499984740745262"/>
        <rFont val="Calibri"/>
        <family val="2"/>
        <scheme val="minor"/>
      </rPr>
      <t xml:space="preserve"> I</t>
    </r>
  </si>
  <si>
    <t>J / EAR iodine for population group</t>
  </si>
  <si>
    <t>J / RNI iodine for population group</t>
  </si>
  <si>
    <t>J / UL iodine for population group</t>
  </si>
  <si>
    <t>J * N</t>
  </si>
  <si>
    <r>
      <rPr>
        <sz val="12"/>
        <color theme="4" tint="-0.499984740745262"/>
        <rFont val="Calibri"/>
        <family val="2"/>
        <scheme val="minor"/>
      </rPr>
      <t xml:space="preserve">E * </t>
    </r>
    <r>
      <rPr>
        <sz val="11"/>
        <color theme="4" tint="-0.499984740745262"/>
        <rFont val="Calibri"/>
        <family val="2"/>
        <scheme val="minor"/>
      </rPr>
      <t>N</t>
    </r>
  </si>
  <si>
    <t>Potential iodine intake (µg) after SR</t>
  </si>
  <si>
    <r>
      <t xml:space="preserve">Potential iodine intake (µg) from </t>
    </r>
    <r>
      <rPr>
        <b/>
        <u/>
        <sz val="11"/>
        <color theme="4" tint="-0.499984740745262"/>
        <rFont val="Calibri"/>
        <family val="2"/>
        <scheme val="minor"/>
      </rPr>
      <t xml:space="preserve">daily intake </t>
    </r>
    <r>
      <rPr>
        <b/>
        <sz val="11"/>
        <color theme="4" tint="-0.499984740745262"/>
        <rFont val="Calibri"/>
        <family val="2"/>
        <scheme val="minor"/>
      </rPr>
      <t>of the product (g) based on ALL salt iodised and after SR</t>
    </r>
  </si>
  <si>
    <t>Main Outcome: 
If all food grade salt is iodised at mean mg/kg of the national salt iodine standard (adjusted for imports as needed), and assuming 30% loss of iodine</t>
  </si>
  <si>
    <r>
      <t xml:space="preserve">Optional - iodine intake if salt reduction (SR) achieved with variable SR targets by food type, if known.
Based on </t>
    </r>
    <r>
      <rPr>
        <i/>
        <sz val="11"/>
        <color theme="4" tint="-0.499984740745262"/>
        <rFont val="Calibri"/>
        <family val="2"/>
        <scheme val="minor"/>
      </rPr>
      <t xml:space="preserve">potential </t>
    </r>
    <r>
      <rPr>
        <b/>
        <sz val="11"/>
        <color theme="4" tint="-0.499984740745262"/>
        <rFont val="Calibri"/>
        <family val="2"/>
        <scheme val="minor"/>
      </rPr>
      <t xml:space="preserve">iodine intake if all food grade salt iodised (O) and on iodine intake with </t>
    </r>
    <r>
      <rPr>
        <i/>
        <sz val="11"/>
        <color theme="4" tint="-0.499984740745262"/>
        <rFont val="Calibri"/>
        <family val="2"/>
        <scheme val="minor"/>
      </rPr>
      <t xml:space="preserve">estimated current </t>
    </r>
    <r>
      <rPr>
        <b/>
        <sz val="11"/>
        <color theme="4" tint="-0.499984740745262"/>
        <rFont val="Calibri"/>
        <family val="2"/>
        <scheme val="minor"/>
      </rPr>
      <t xml:space="preserve">% salt iodised (P). </t>
    </r>
  </si>
  <si>
    <t>Optional - estimated current iodine intake: 
If data on current household and food industry use of iodised salt known
Based on estimated current % salt iodised with assumed mean (mg/kg) national salt iodine standard  (adjusted for imports as needed) and 30% iodine loss</t>
  </si>
  <si>
    <r>
      <t>Estimated current iodine intake (</t>
    </r>
    <r>
      <rPr>
        <b/>
        <sz val="11"/>
        <color theme="9" tint="-0.499984740745262"/>
        <rFont val="Calibri"/>
        <family val="2"/>
      </rPr>
      <t>µg</t>
    </r>
    <r>
      <rPr>
        <b/>
        <sz val="7.7"/>
        <color theme="9" tint="-0.499984740745262"/>
        <rFont val="Calibri"/>
        <family val="2"/>
      </rPr>
      <t>)</t>
    </r>
  </si>
  <si>
    <t>Estimated current iodine intake (µg) after SR</t>
  </si>
  <si>
    <r>
      <t>Salt iodine standard 
(mg/kg or µg/g)</t>
    </r>
    <r>
      <rPr>
        <b/>
        <sz val="11"/>
        <color theme="5" tint="-0.499984740745262"/>
        <rFont val="Calibri"/>
        <family val="2"/>
        <scheme val="minor"/>
      </rPr>
      <t xml:space="preserve">
</t>
    </r>
    <r>
      <rPr>
        <sz val="11"/>
        <color theme="5" tint="-0.499984740745262"/>
        <rFont val="Calibri"/>
        <family val="2"/>
        <scheme val="minor"/>
      </rPr>
      <t>Overwrite the autofill where different standard applies, e.g. for imported foods</t>
    </r>
  </si>
  <si>
    <r>
      <t xml:space="preserve">Estimated iodine intake (µg) from </t>
    </r>
    <r>
      <rPr>
        <b/>
        <u/>
        <sz val="11"/>
        <color theme="4" tint="-0.499984740745262"/>
        <rFont val="Calibri"/>
        <family val="2"/>
        <scheme val="minor"/>
      </rPr>
      <t xml:space="preserve">daily intake </t>
    </r>
    <r>
      <rPr>
        <b/>
        <sz val="11"/>
        <color theme="4" tint="-0.499984740745262"/>
        <rFont val="Calibri"/>
        <family val="2"/>
        <scheme val="minor"/>
      </rPr>
      <t>of the product (g) based on estimated current levels iodisation and after SR</t>
    </r>
  </si>
  <si>
    <t>The "OPTION 1 - Working Tab" is relatively self-explanatory if you read the instructions at the top of the page, and in the cells, and in the message that appears when you click on many of the dark grey shaded cells.</t>
  </si>
  <si>
    <t>Always double check the figures in the Data for Figures matches the required data from the Working Tab</t>
  </si>
  <si>
    <t>The "OPTION 1 - Data for Figures" table should auto fill based on data in the Working Tab. If the Working Tab file structure is changed (columns/rows added) it may not work</t>
  </si>
  <si>
    <t>Where autofill is not correct, it is possible to manually fill the cells for iodine intake with the relevant data, or look at formula in the original file and adjust your file accordingly</t>
  </si>
  <si>
    <t>"Fig 1a Iodine by product" will auto update based on new data entry. Changes will be needed to accommodate different numbers of food types.</t>
  </si>
  <si>
    <r>
      <t xml:space="preserve">Where you have data for more than 7 foods, select the chart (click on outer edge) then go to </t>
    </r>
    <r>
      <rPr>
        <i/>
        <sz val="11"/>
        <color theme="1"/>
        <rFont val="Calibri"/>
        <family val="2"/>
        <scheme val="minor"/>
      </rPr>
      <t xml:space="preserve">Chart Design </t>
    </r>
    <r>
      <rPr>
        <sz val="11"/>
        <color theme="1"/>
        <rFont val="Calibri"/>
        <family val="2"/>
        <scheme val="minor"/>
      </rPr>
      <t xml:space="preserve">and </t>
    </r>
    <r>
      <rPr>
        <i/>
        <sz val="11"/>
        <color theme="1"/>
        <rFont val="Calibri"/>
        <family val="2"/>
        <scheme val="minor"/>
      </rPr>
      <t>Select Data</t>
    </r>
    <r>
      <rPr>
        <sz val="11"/>
        <color theme="1"/>
        <rFont val="Calibri"/>
        <family val="2"/>
        <scheme val="minor"/>
      </rPr>
      <t xml:space="preserve"> </t>
    </r>
    <r>
      <rPr>
        <i/>
        <sz val="11"/>
        <color theme="1"/>
        <rFont val="Calibri"/>
        <family val="2"/>
        <scheme val="minor"/>
      </rPr>
      <t xml:space="preserve">- </t>
    </r>
    <r>
      <rPr>
        <sz val="11"/>
        <color theme="1"/>
        <rFont val="Calibri"/>
        <family val="2"/>
        <scheme val="minor"/>
      </rPr>
      <t>look at the list of foods in the box on the left hand side and add a check mark for those you need</t>
    </r>
  </si>
  <si>
    <r>
      <t xml:space="preserve">Where you have data for less than 7 foods, select the chart (click on outer edge) then go to </t>
    </r>
    <r>
      <rPr>
        <i/>
        <sz val="11"/>
        <color theme="1"/>
        <rFont val="Calibri"/>
        <family val="2"/>
        <scheme val="minor"/>
      </rPr>
      <t xml:space="preserve">Chart Design </t>
    </r>
    <r>
      <rPr>
        <sz val="11"/>
        <color theme="1"/>
        <rFont val="Calibri"/>
        <family val="2"/>
        <scheme val="minor"/>
      </rPr>
      <t xml:space="preserve">and </t>
    </r>
    <r>
      <rPr>
        <i/>
        <sz val="11"/>
        <color theme="1"/>
        <rFont val="Calibri"/>
        <family val="2"/>
        <scheme val="minor"/>
      </rPr>
      <t>Select Data</t>
    </r>
    <r>
      <rPr>
        <sz val="11"/>
        <color theme="1"/>
        <rFont val="Calibri"/>
        <family val="2"/>
        <scheme val="minor"/>
      </rPr>
      <t xml:space="preserve"> </t>
    </r>
    <r>
      <rPr>
        <i/>
        <sz val="11"/>
        <color theme="1"/>
        <rFont val="Calibri"/>
        <family val="2"/>
        <scheme val="minor"/>
      </rPr>
      <t xml:space="preserve">- </t>
    </r>
    <r>
      <rPr>
        <sz val="11"/>
        <color theme="1"/>
        <rFont val="Calibri"/>
        <family val="2"/>
        <scheme val="minor"/>
      </rPr>
      <t>look at the list of foods in the box on the left hand side and remove check marks those you do not need</t>
    </r>
  </si>
  <si>
    <t>"Fig 1b Intake by product no SR" is an example of this process, where the salt reduction columns in the right hand box have been unchecked</t>
  </si>
  <si>
    <t xml:space="preserve">"Fig 2a Iodine intake HH v PF" shows the overall contribution to iodine intake from iodised household salt versus iodised salt in all selected processed foods combined. This chart is less likely to require editing than the Fig 1 charts. Follow steps above to check the selected data, etc., where any issues arise. </t>
  </si>
  <si>
    <t>"Fig 2b Intake HH v PF no SR" is an example where the salt reduction columns in the right hand box of Fig 2a chart have been unchecked</t>
  </si>
  <si>
    <t>See EXPLAIN sheet for more information on how to adjust this sheet where needed</t>
  </si>
  <si>
    <t>Add sheet rows and change formulae in TOTAL row where more food types are required. See EXPLAIN sheet for more information on this.</t>
  </si>
  <si>
    <t>Some explanations to help navigate the data input table and charts for this excel file</t>
  </si>
  <si>
    <r>
      <t xml:space="preserve">If you wish to "try out" the impact of setting more than one salt reduction target for the different products, copy the </t>
    </r>
    <r>
      <rPr>
        <u/>
        <sz val="11"/>
        <color theme="1"/>
        <rFont val="Calibri"/>
        <family val="2"/>
        <scheme val="minor"/>
      </rPr>
      <t>Working Tab</t>
    </r>
    <r>
      <rPr>
        <sz val="11"/>
        <color theme="1"/>
        <rFont val="Calibri"/>
        <family val="2"/>
        <scheme val="minor"/>
      </rPr>
      <t xml:space="preserve">, </t>
    </r>
    <r>
      <rPr>
        <u/>
        <sz val="11"/>
        <color theme="1"/>
        <rFont val="Calibri"/>
        <family val="2"/>
        <scheme val="minor"/>
      </rPr>
      <t>Data for Figures</t>
    </r>
    <r>
      <rPr>
        <sz val="11"/>
        <color theme="1"/>
        <rFont val="Calibri"/>
        <family val="2"/>
        <scheme val="minor"/>
      </rPr>
      <t xml:space="preserve"> and</t>
    </r>
    <r>
      <rPr>
        <u/>
        <sz val="11"/>
        <color theme="1"/>
        <rFont val="Calibri"/>
        <family val="2"/>
        <scheme val="minor"/>
      </rPr>
      <t xml:space="preserve"> Fig 1a</t>
    </r>
    <r>
      <rPr>
        <sz val="11"/>
        <color theme="1"/>
        <rFont val="Calibri"/>
        <family val="2"/>
        <scheme val="minor"/>
      </rPr>
      <t xml:space="preserve"> chart together (hold down ctrl and select all 3 tabs, then right click and select </t>
    </r>
    <r>
      <rPr>
        <i/>
        <sz val="11"/>
        <color theme="1"/>
        <rFont val="Calibri"/>
        <family val="2"/>
        <scheme val="minor"/>
      </rPr>
      <t xml:space="preserve">Move or Copy and make sure the </t>
    </r>
    <r>
      <rPr>
        <sz val="11"/>
        <color theme="1"/>
        <rFont val="Calibri"/>
        <family val="2"/>
        <scheme val="minor"/>
      </rPr>
      <t xml:space="preserve">Create a Copy </t>
    </r>
    <r>
      <rPr>
        <i/>
        <sz val="11"/>
        <color theme="1"/>
        <rFont val="Calibri"/>
        <family val="2"/>
        <scheme val="minor"/>
      </rPr>
      <t>box is selected</t>
    </r>
    <r>
      <rPr>
        <sz val="11"/>
        <color theme="1"/>
        <rFont val="Calibri"/>
        <family val="2"/>
        <scheme val="minor"/>
      </rPr>
      <t>). Then use different SR targets in the copied Working Tab, which will automatically adjust figures in the copied Data for Figures and in the copied Fig 1a.</t>
    </r>
  </si>
  <si>
    <t>It is strongly suggested to make a copy of this whole file and rename the copy you will work on, so you can refer back to the original file with example data and formulae, etc.</t>
  </si>
  <si>
    <r>
      <t xml:space="preserve">If you make adjustments to the "Data for Figures" sheet and the Fig 1a and 1b chart columns and lines are no longer displayed as they should be, select the chart (click on outer edge) then go to </t>
    </r>
    <r>
      <rPr>
        <i/>
        <sz val="11"/>
        <color theme="1"/>
        <rFont val="Calibri"/>
        <family val="2"/>
        <scheme val="minor"/>
      </rPr>
      <t xml:space="preserve">Chart Design </t>
    </r>
    <r>
      <rPr>
        <sz val="11"/>
        <color theme="1"/>
        <rFont val="Calibri"/>
        <family val="2"/>
        <scheme val="minor"/>
      </rPr>
      <t xml:space="preserve">and </t>
    </r>
    <r>
      <rPr>
        <i/>
        <sz val="11"/>
        <color theme="1"/>
        <rFont val="Calibri"/>
        <family val="2"/>
        <scheme val="minor"/>
      </rPr>
      <t xml:space="preserve">Change Chart Type </t>
    </r>
    <r>
      <rPr>
        <sz val="11"/>
        <color theme="1"/>
        <rFont val="Calibri"/>
        <family val="2"/>
        <scheme val="minor"/>
      </rPr>
      <t xml:space="preserve">- verify that the chart type is "Combo" then review the box labelled "Chart type and axis for your series". Check that all foods are "stacked column" and the EAR and RNI are "line". There is no need to select a secondary axis for anything. </t>
    </r>
  </si>
  <si>
    <t>In general the salt iodine standards will be set to the mean of the national standard. However, where selected processed foods include imports that are known to be manufactured using salt with a different standard iodine level, the auto-completed standard in the Column labelled D can be over-written with the mean of the standard used in the exporting country. It's suggested that where the same product is both domestically produced and imported - but using different salt iodine standards - then the product is listed twice, one marked as import, one as domestic production. Estimated consumption for each can be assessed by dividing by the approx market share for each, where known.</t>
  </si>
  <si>
    <t>Then enter the data you have for household salt (where available) and for selected processed foods. Overwrite the current example data in the file with national data for selected processed foods. If fewer than 7 foods are selected in the national situation, delete the data for any remaining example rows.</t>
  </si>
  <si>
    <t xml:space="preserve">Where rows are added to the "Working Tab", add the correct number of rows to the "Data for Figures" at this point also. Make sure that the existing formula are copied into these additional rows on a sequential basis, as for the example data. </t>
  </si>
  <si>
    <r>
      <t xml:space="preserve">If you wish to "try out" the impact of changing any other variable, such as the national salt iodine standard, copy the </t>
    </r>
    <r>
      <rPr>
        <u/>
        <sz val="11"/>
        <color theme="1"/>
        <rFont val="Calibri"/>
        <family val="2"/>
        <scheme val="minor"/>
      </rPr>
      <t>Working Tab</t>
    </r>
    <r>
      <rPr>
        <sz val="11"/>
        <color theme="1"/>
        <rFont val="Calibri"/>
        <family val="2"/>
        <scheme val="minor"/>
      </rPr>
      <t xml:space="preserve">, </t>
    </r>
    <r>
      <rPr>
        <u/>
        <sz val="11"/>
        <color theme="1"/>
        <rFont val="Calibri"/>
        <family val="2"/>
        <scheme val="minor"/>
      </rPr>
      <t>Data for Figures</t>
    </r>
    <r>
      <rPr>
        <sz val="11"/>
        <color theme="1"/>
        <rFont val="Calibri"/>
        <family val="2"/>
        <scheme val="minor"/>
      </rPr>
      <t xml:space="preserve"> and</t>
    </r>
    <r>
      <rPr>
        <u/>
        <sz val="11"/>
        <color theme="1"/>
        <rFont val="Calibri"/>
        <family val="2"/>
        <scheme val="minor"/>
      </rPr>
      <t xml:space="preserve"> the relevant </t>
    </r>
    <r>
      <rPr>
        <sz val="11"/>
        <color theme="1"/>
        <rFont val="Calibri"/>
        <family val="2"/>
        <scheme val="minor"/>
      </rPr>
      <t xml:space="preserve">chart together (hold down ctrl and select all required tabs, then right click and select </t>
    </r>
    <r>
      <rPr>
        <i/>
        <sz val="11"/>
        <color theme="1"/>
        <rFont val="Calibri"/>
        <family val="2"/>
        <scheme val="minor"/>
      </rPr>
      <t xml:space="preserve">Move or Copy and make sure the </t>
    </r>
    <r>
      <rPr>
        <sz val="11"/>
        <color theme="1"/>
        <rFont val="Calibri"/>
        <family val="2"/>
        <scheme val="minor"/>
      </rPr>
      <t xml:space="preserve">Create a Copy </t>
    </r>
    <r>
      <rPr>
        <i/>
        <sz val="11"/>
        <color theme="1"/>
        <rFont val="Calibri"/>
        <family val="2"/>
        <scheme val="minor"/>
      </rPr>
      <t>box is selected</t>
    </r>
    <r>
      <rPr>
        <sz val="11"/>
        <color theme="1"/>
        <rFont val="Calibri"/>
        <family val="2"/>
        <scheme val="minor"/>
      </rPr>
      <t>). Then use different SR targets in the copied Working Tab, which will automatically adjust figures in the copied Data for Figures and in the copied chart.</t>
    </r>
  </si>
  <si>
    <t>It is also possible to manually change the headings for the columns if you wish to compare different aspects, for example estimated current iodine intake with different salt iodine standards, and to manually input the relevant data in the cells for iodine intake for each food. it is strongly recommended to copy the excel file (or the relevant sheets) to a new workbook, and to ensure your original data are not lost.</t>
  </si>
  <si>
    <t>Start the process by counting the total number of products to include (household salt and selected processed foods). Where this is greater than 25, add rows to the data input table (add rows above the row for "Food 25" so that the totals for all selected products updates automatically). If you add the row at the very bottom, you will need to adjust the formula for totals to make sure the formula =Sum(x:y)  covers all the rows with data. It is worth while checking the rows for totals have the correct formula in all situations.</t>
  </si>
  <si>
    <t xml:space="preserve">Consider the order of the rows. It is suggested to start with "household salt" since that is slightly different and it will keep the formula for the charts correct. 
Then it is also suggested to add selected foods according to their expected contribution to iodine intake. Or you might want to group foods by similar food type (e.g. processed meats and fish) that can then be colour coded in the chart to indicate this similarity. </t>
  </si>
  <si>
    <t>If, after following these instructions and discussing with your national team, the charts do not show the expected data or format in the expected way, contact IGN to request technical assistance. OR use the main data input page to produce the data you need. Then use these figures in a separate Excel or graph file to produce the figures that work for your national context.</t>
  </si>
  <si>
    <t>Where additional foods are added, it is likely that the legend box will need to be made larger to view all the legends. The area of the chart might need moving up to fit with the size of the legend box.</t>
  </si>
  <si>
    <r>
      <t xml:space="preserve">If you do not want all 4 columns in the chart (no data available or salt reduction is not relevant), select the chart (click on outer edge) then go to </t>
    </r>
    <r>
      <rPr>
        <i/>
        <sz val="11"/>
        <color theme="1"/>
        <rFont val="Calibri"/>
        <family val="2"/>
        <scheme val="minor"/>
      </rPr>
      <t xml:space="preserve">Chart Design </t>
    </r>
    <r>
      <rPr>
        <sz val="11"/>
        <color theme="1"/>
        <rFont val="Calibri"/>
        <family val="2"/>
        <scheme val="minor"/>
      </rPr>
      <t xml:space="preserve">and </t>
    </r>
    <r>
      <rPr>
        <i/>
        <sz val="11"/>
        <color theme="1"/>
        <rFont val="Calibri"/>
        <family val="2"/>
        <scheme val="minor"/>
      </rPr>
      <t>Select Data</t>
    </r>
    <r>
      <rPr>
        <sz val="11"/>
        <color theme="1"/>
        <rFont val="Calibri"/>
        <family val="2"/>
        <scheme val="minor"/>
      </rPr>
      <t xml:space="preserve"> </t>
    </r>
    <r>
      <rPr>
        <i/>
        <sz val="11"/>
        <color theme="1"/>
        <rFont val="Calibri"/>
        <family val="2"/>
        <scheme val="minor"/>
      </rPr>
      <t xml:space="preserve">- </t>
    </r>
    <r>
      <rPr>
        <sz val="11"/>
        <color theme="1"/>
        <rFont val="Calibri"/>
        <family val="2"/>
        <scheme val="minor"/>
      </rPr>
      <t>look at the list of columns in the box on the right hand side and remove check marks for those you do not need</t>
    </r>
  </si>
  <si>
    <t>OPTION 1 - typical daily intake</t>
  </si>
  <si>
    <t xml:space="preserve">Data inputs required ONLY in light blue shaded cells. Other data will automatically update. </t>
  </si>
  <si>
    <t xml:space="preserve">Where data are available for different groups or scenarios, copy this sheet together with the associated (working) charts , label and complete for: population age/sex group; geographic areas; different socio-economic (SES) groups; different salt iodine levels etc. </t>
  </si>
  <si>
    <t>For all selected processed foods excluding HH salt</t>
  </si>
  <si>
    <t>Bread &amp; brotchen</t>
  </si>
  <si>
    <t>2 for food consumption 3 for salt content</t>
  </si>
  <si>
    <t>Dried fish</t>
  </si>
  <si>
    <t>Powdered soup</t>
  </si>
  <si>
    <t>Sausages, other than polony</t>
  </si>
  <si>
    <t>Spices &amp; condiments</t>
  </si>
  <si>
    <t>Traditional bread</t>
  </si>
  <si>
    <t>Chips &amp; crisps</t>
  </si>
  <si>
    <t>Smoked fish</t>
  </si>
  <si>
    <t>Polony</t>
  </si>
  <si>
    <t>Cheese, all types</t>
  </si>
  <si>
    <t>Canned meat</t>
  </si>
  <si>
    <t>Biltong</t>
  </si>
  <si>
    <t>Smoked meat, other than bacon &amp; ham</t>
  </si>
  <si>
    <t>Tomato sauce</t>
  </si>
  <si>
    <t>Bacon</t>
  </si>
  <si>
    <t>Ham</t>
  </si>
  <si>
    <t>Pies &amp; pizza</t>
  </si>
  <si>
    <t>Biscuits, rusks</t>
  </si>
  <si>
    <t>Ready made soup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</si>
</sst>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38" x14ac:knownFonts="1">
    <font>
      <sz val="11"/>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b/>
      <sz val="14"/>
      <color theme="1"/>
      <name val="Calibri"/>
      <family val="2"/>
      <scheme val="minor"/>
    </font>
    <font>
      <b/>
      <sz val="11"/>
      <name val="Calibri"/>
      <family val="2"/>
      <scheme val="minor"/>
    </font>
    <font>
      <b/>
      <sz val="11"/>
      <color theme="1"/>
      <name val="Calibri"/>
      <family val="2"/>
    </font>
    <font>
      <b/>
      <sz val="14"/>
      <color rgb="FFFF0000"/>
      <name val="Calibri"/>
      <family val="2"/>
      <scheme val="minor"/>
    </font>
    <font>
      <b/>
      <sz val="11"/>
      <color theme="5" tint="-0.499984740745262"/>
      <name val="Calibri"/>
      <family val="2"/>
      <scheme val="minor"/>
    </font>
    <font>
      <sz val="11"/>
      <color theme="5" tint="-0.499984740745262"/>
      <name val="Calibri"/>
      <family val="2"/>
      <scheme val="minor"/>
    </font>
    <font>
      <b/>
      <u/>
      <sz val="11"/>
      <color theme="1"/>
      <name val="Calibri"/>
      <family val="2"/>
      <scheme val="minor"/>
    </font>
    <font>
      <sz val="11"/>
      <color theme="1"/>
      <name val="Calibri"/>
      <family val="2"/>
    </font>
    <font>
      <i/>
      <sz val="10"/>
      <color theme="1"/>
      <name val="Calibri"/>
      <family val="2"/>
      <scheme val="minor"/>
    </font>
    <font>
      <sz val="12"/>
      <color theme="1"/>
      <name val="Calibri"/>
      <family val="2"/>
      <scheme val="minor"/>
    </font>
    <font>
      <sz val="12"/>
      <color theme="5" tint="-0.499984740745262"/>
      <name val="Calibri"/>
      <family val="2"/>
      <scheme val="minor"/>
    </font>
    <font>
      <b/>
      <sz val="14"/>
      <name val="Calibri"/>
      <family val="2"/>
      <scheme val="minor"/>
    </font>
    <font>
      <b/>
      <sz val="11"/>
      <color theme="9" tint="-0.499984740745262"/>
      <name val="Calibri"/>
      <family val="2"/>
      <scheme val="minor"/>
    </font>
    <font>
      <b/>
      <u/>
      <sz val="11"/>
      <color theme="9" tint="-0.499984740745262"/>
      <name val="Calibri"/>
      <family val="2"/>
      <scheme val="minor"/>
    </font>
    <font>
      <sz val="11"/>
      <color theme="9" tint="-0.499984740745262"/>
      <name val="Calibri"/>
      <family val="2"/>
      <scheme val="minor"/>
    </font>
    <font>
      <sz val="12"/>
      <color theme="9" tint="-0.499984740745262"/>
      <name val="Calibri"/>
      <family val="2"/>
      <scheme val="minor"/>
    </font>
    <font>
      <b/>
      <sz val="11"/>
      <color theme="4" tint="-0.499984740745262"/>
      <name val="Calibri"/>
      <family val="2"/>
      <scheme val="minor"/>
    </font>
    <font>
      <b/>
      <u/>
      <sz val="11"/>
      <color theme="4" tint="-0.499984740745262"/>
      <name val="Calibri"/>
      <family val="2"/>
      <scheme val="minor"/>
    </font>
    <font>
      <sz val="11"/>
      <color theme="4" tint="-0.499984740745262"/>
      <name val="Calibri"/>
      <family val="2"/>
      <scheme val="minor"/>
    </font>
    <font>
      <sz val="12"/>
      <color theme="4" tint="-0.499984740745262"/>
      <name val="Calibri"/>
      <family val="2"/>
      <scheme val="minor"/>
    </font>
    <font>
      <b/>
      <sz val="11"/>
      <color theme="9" tint="-0.499984740745262"/>
      <name val="Calibri"/>
      <family val="2"/>
    </font>
    <font>
      <b/>
      <sz val="7.7"/>
      <color theme="9" tint="-0.499984740745262"/>
      <name val="Calibri"/>
      <family val="2"/>
    </font>
    <font>
      <b/>
      <sz val="11"/>
      <name val="Calibri"/>
      <family val="2"/>
    </font>
    <font>
      <b/>
      <sz val="7.7"/>
      <name val="Calibri"/>
      <family val="2"/>
    </font>
    <font>
      <sz val="11"/>
      <name val="Calibri"/>
      <family val="2"/>
      <scheme val="minor"/>
    </font>
    <font>
      <b/>
      <sz val="12"/>
      <color theme="1"/>
      <name val="Calibri"/>
      <family val="2"/>
      <scheme val="minor"/>
    </font>
    <font>
      <sz val="11"/>
      <color rgb="FFC00000"/>
      <name val="Calibri"/>
      <family val="2"/>
      <scheme val="minor"/>
    </font>
    <font>
      <i/>
      <sz val="11"/>
      <color theme="4" tint="-0.499984740745262"/>
      <name val="Calibri"/>
      <family val="2"/>
      <scheme val="minor"/>
    </font>
    <font>
      <i/>
      <sz val="11"/>
      <color theme="5" tint="-0.499984740745262"/>
      <name val="Calibri"/>
      <family val="2"/>
      <scheme val="minor"/>
    </font>
    <font>
      <sz val="13"/>
      <color theme="5" tint="-0.499984740745262"/>
      <name val="Calibri"/>
      <family val="2"/>
      <scheme val="minor"/>
    </font>
    <font>
      <b/>
      <sz val="13"/>
      <color theme="5" tint="-0.499984740745262"/>
      <name val="Calibri"/>
      <family val="2"/>
      <scheme val="minor"/>
    </font>
    <font>
      <sz val="13"/>
      <color theme="1"/>
      <name val="Calibri"/>
      <family val="2"/>
      <scheme val="minor"/>
    </font>
    <font>
      <u/>
      <sz val="11"/>
      <color theme="1"/>
      <name val="Calibri"/>
      <family val="2"/>
      <scheme val="minor"/>
    </font>
  </fonts>
  <fills count="12">
    <fill>
      <patternFill patternType="none"/>
    </fill>
    <fill>
      <patternFill patternType="gray125"/>
    </fill>
    <fill>
      <patternFill patternType="solid">
        <fgColor them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FFFF00"/>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auto="1"/>
      </right>
      <top style="thin">
        <color auto="1"/>
      </top>
      <bottom/>
      <diagonal/>
    </border>
    <border>
      <left style="thin">
        <color auto="1"/>
      </left>
      <right style="thin">
        <color indexed="64"/>
      </right>
      <top style="thin">
        <color indexed="64"/>
      </top>
      <bottom/>
      <diagonal/>
    </border>
    <border>
      <left style="thin">
        <color auto="1"/>
      </left>
      <right style="thin">
        <color indexed="64"/>
      </right>
      <top/>
      <bottom/>
      <diagonal/>
    </border>
    <border>
      <left style="thin">
        <color auto="1"/>
      </left>
      <right/>
      <top style="thin">
        <color auto="1"/>
      </top>
      <bottom/>
      <diagonal/>
    </border>
  </borders>
  <cellStyleXfs count="1">
    <xf numFmtId="0" fontId="0" fillId="0" borderId="0"/>
  </cellStyleXfs>
  <cellXfs count="172">
    <xf numFmtId="0" fontId="0" fillId="0" borderId="0" xfId="0"/>
    <xf numFmtId="0" fontId="0" fillId="0" borderId="0" xfId="0" applyAlignment="1">
      <alignment vertical="center"/>
    </xf>
    <xf numFmtId="0" fontId="0" fillId="0" borderId="0" xfId="0" applyAlignment="1">
      <alignment wrapText="1"/>
    </xf>
    <xf numFmtId="0" fontId="4" fillId="0" borderId="0" xfId="0" applyFont="1" applyAlignment="1">
      <alignment vertical="center"/>
    </xf>
    <xf numFmtId="0" fontId="0" fillId="0" borderId="0" xfId="0" applyAlignment="1">
      <alignment horizontal="center" vertical="center"/>
    </xf>
    <xf numFmtId="0" fontId="0" fillId="3" borderId="1" xfId="0" applyFill="1" applyBorder="1"/>
    <xf numFmtId="0" fontId="0" fillId="4" borderId="1" xfId="0" applyFill="1" applyBorder="1" applyAlignment="1" applyProtection="1">
      <alignment vertical="center"/>
      <protection locked="0"/>
    </xf>
    <xf numFmtId="0" fontId="6" fillId="3" borderId="1" xfId="0" applyFont="1" applyFill="1" applyBorder="1" applyAlignment="1">
      <alignment vertical="center"/>
    </xf>
    <xf numFmtId="0" fontId="6" fillId="0" borderId="0" xfId="0" applyFont="1"/>
    <xf numFmtId="0" fontId="0" fillId="3" borderId="1" xfId="0" applyFill="1" applyBorder="1" applyAlignment="1" applyProtection="1">
      <alignment vertical="center" wrapText="1"/>
      <protection locked="0"/>
    </xf>
    <xf numFmtId="0" fontId="0" fillId="0" borderId="0" xfId="0" applyFont="1" applyAlignment="1">
      <alignment vertical="center" wrapText="1"/>
    </xf>
    <xf numFmtId="0" fontId="0" fillId="4" borderId="2" xfId="0" applyFill="1" applyBorder="1" applyAlignment="1" applyProtection="1">
      <alignment vertical="center"/>
      <protection locked="0"/>
    </xf>
    <xf numFmtId="0" fontId="3" fillId="3" borderId="1" xfId="0" applyFont="1" applyFill="1" applyBorder="1" applyAlignment="1" applyProtection="1">
      <alignment vertical="center"/>
      <protection locked="0"/>
    </xf>
    <xf numFmtId="0" fontId="0" fillId="3" borderId="2" xfId="0" applyFont="1" applyFill="1" applyBorder="1" applyAlignment="1" applyProtection="1">
      <alignment vertical="center"/>
      <protection locked="0"/>
    </xf>
    <xf numFmtId="0" fontId="0" fillId="3" borderId="1" xfId="0" applyFont="1" applyFill="1" applyBorder="1" applyAlignment="1" applyProtection="1">
      <alignment vertical="center"/>
    </xf>
    <xf numFmtId="0" fontId="3" fillId="3" borderId="1" xfId="0" applyFont="1" applyFill="1" applyBorder="1" applyAlignment="1" applyProtection="1">
      <alignment vertical="center" wrapText="1"/>
    </xf>
    <xf numFmtId="0" fontId="0" fillId="0" borderId="0" xfId="0" applyProtection="1"/>
    <xf numFmtId="0" fontId="3" fillId="3" borderId="1" xfId="0" applyFont="1" applyFill="1" applyBorder="1" applyAlignment="1" applyProtection="1">
      <alignment horizontal="center" vertical="center" wrapText="1"/>
    </xf>
    <xf numFmtId="0" fontId="0" fillId="0" borderId="0" xfId="0" applyAlignment="1" applyProtection="1">
      <alignment horizontal="center" vertical="center"/>
    </xf>
    <xf numFmtId="0" fontId="3" fillId="2" borderId="1" xfId="0" applyFont="1" applyFill="1" applyBorder="1" applyAlignment="1" applyProtection="1">
      <alignment horizontal="center" vertical="center" wrapText="1"/>
    </xf>
    <xf numFmtId="0" fontId="3" fillId="2" borderId="1" xfId="0" applyFont="1" applyFill="1" applyBorder="1" applyAlignment="1" applyProtection="1">
      <alignment vertical="center" wrapText="1"/>
    </xf>
    <xf numFmtId="0" fontId="0" fillId="2" borderId="1" xfId="0" applyFont="1" applyFill="1" applyBorder="1" applyAlignment="1" applyProtection="1">
      <alignment horizontal="center" vertical="center" wrapText="1"/>
    </xf>
    <xf numFmtId="0" fontId="0" fillId="0" borderId="0" xfId="0" applyAlignment="1" applyProtection="1">
      <alignment vertical="center"/>
    </xf>
    <xf numFmtId="0" fontId="11" fillId="6" borderId="0" xfId="0" applyFont="1" applyFill="1" applyBorder="1" applyAlignment="1" applyProtection="1">
      <alignment vertical="center"/>
      <protection locked="0"/>
    </xf>
    <xf numFmtId="0" fontId="3" fillId="6" borderId="1" xfId="0" applyFont="1" applyFill="1" applyBorder="1" applyAlignment="1" applyProtection="1">
      <alignment vertical="center"/>
      <protection locked="0"/>
    </xf>
    <xf numFmtId="0" fontId="0" fillId="4" borderId="1" xfId="0" applyFill="1" applyBorder="1" applyProtection="1">
      <protection locked="0"/>
    </xf>
    <xf numFmtId="0" fontId="0" fillId="4" borderId="1" xfId="0" applyFill="1" applyBorder="1" applyAlignment="1" applyProtection="1">
      <alignment horizontal="right"/>
      <protection locked="0"/>
    </xf>
    <xf numFmtId="0" fontId="3" fillId="4" borderId="1" xfId="0" applyFont="1" applyFill="1" applyBorder="1" applyProtection="1">
      <protection locked="0"/>
    </xf>
    <xf numFmtId="0" fontId="3" fillId="0" borderId="9" xfId="0" applyFont="1" applyFill="1" applyBorder="1" applyAlignment="1" applyProtection="1">
      <alignment vertical="center"/>
      <protection locked="0"/>
    </xf>
    <xf numFmtId="0" fontId="0" fillId="0" borderId="9" xfId="0" applyFill="1" applyBorder="1" applyAlignment="1" applyProtection="1">
      <alignment vertical="center" wrapText="1"/>
      <protection locked="0"/>
    </xf>
    <xf numFmtId="0" fontId="13" fillId="0" borderId="0" xfId="0" applyFont="1" applyAlignment="1">
      <alignment vertical="center"/>
    </xf>
    <xf numFmtId="0" fontId="0" fillId="0" borderId="0" xfId="0" applyFill="1" applyBorder="1" applyAlignment="1">
      <alignment vertical="center" wrapText="1"/>
    </xf>
    <xf numFmtId="0" fontId="0" fillId="3" borderId="1" xfId="0" applyFont="1" applyFill="1" applyBorder="1" applyAlignment="1" applyProtection="1">
      <alignment horizontal="center" vertical="center" wrapText="1"/>
    </xf>
    <xf numFmtId="0" fontId="2" fillId="0" borderId="0" xfId="0" applyFont="1" applyAlignment="1">
      <alignment vertical="center"/>
    </xf>
    <xf numFmtId="0" fontId="0" fillId="3" borderId="3"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3" borderId="1" xfId="0" applyFont="1" applyFill="1" applyBorder="1" applyAlignment="1">
      <alignment horizontal="center" vertical="center" wrapText="1"/>
    </xf>
    <xf numFmtId="0" fontId="0" fillId="5" borderId="3" xfId="0" applyFill="1" applyBorder="1" applyAlignment="1">
      <alignment horizontal="center" vertical="center"/>
    </xf>
    <xf numFmtId="0" fontId="0" fillId="5" borderId="4" xfId="0" applyFill="1" applyBorder="1" applyAlignment="1">
      <alignment horizontal="center" vertical="center" wrapText="1"/>
    </xf>
    <xf numFmtId="0" fontId="0" fillId="5" borderId="4" xfId="0" applyFill="1" applyBorder="1" applyAlignment="1">
      <alignment horizontal="center" vertical="center"/>
    </xf>
    <xf numFmtId="0" fontId="0" fillId="7" borderId="1" xfId="0" applyFill="1" applyBorder="1" applyAlignment="1">
      <alignment horizontal="center" vertical="center"/>
    </xf>
    <xf numFmtId="0" fontId="0" fillId="0" borderId="0" xfId="0" applyFill="1" applyBorder="1" applyAlignment="1" applyProtection="1">
      <alignment vertical="center"/>
      <protection locked="0"/>
    </xf>
    <xf numFmtId="0" fontId="0" fillId="0" borderId="0" xfId="0" applyFill="1" applyBorder="1" applyAlignment="1" applyProtection="1">
      <alignment vertical="center"/>
    </xf>
    <xf numFmtId="0" fontId="0" fillId="0" borderId="0" xfId="0" applyFill="1" applyBorder="1"/>
    <xf numFmtId="0" fontId="3" fillId="0" borderId="9"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0" fillId="5" borderId="7" xfId="0" applyFill="1" applyBorder="1" applyAlignment="1">
      <alignment horizontal="center" vertical="center"/>
    </xf>
    <xf numFmtId="0" fontId="0" fillId="5" borderId="6" xfId="0" applyFill="1" applyBorder="1" applyAlignment="1">
      <alignment horizontal="center" vertical="center"/>
    </xf>
    <xf numFmtId="0" fontId="0" fillId="5" borderId="6" xfId="0" quotePrefix="1" applyFill="1" applyBorder="1" applyAlignment="1">
      <alignment horizontal="center" vertical="center"/>
    </xf>
    <xf numFmtId="0" fontId="0" fillId="3" borderId="1" xfId="0" applyFill="1" applyBorder="1" applyAlignment="1">
      <alignment horizontal="center" vertical="center"/>
    </xf>
    <xf numFmtId="0" fontId="3" fillId="0" borderId="0" xfId="0" applyFont="1" applyFill="1" applyBorder="1" applyAlignment="1">
      <alignment horizontal="center" vertical="center" wrapText="1"/>
    </xf>
    <xf numFmtId="0" fontId="0" fillId="5" borderId="4" xfId="0" applyFont="1" applyFill="1" applyBorder="1" applyAlignment="1">
      <alignment horizontal="center" vertical="center"/>
    </xf>
    <xf numFmtId="0" fontId="3" fillId="7" borderId="5" xfId="0" applyFont="1" applyFill="1" applyBorder="1" applyAlignment="1">
      <alignment vertical="center" wrapText="1"/>
    </xf>
    <xf numFmtId="0" fontId="0" fillId="7" borderId="1" xfId="0" quotePrefix="1" applyFill="1" applyBorder="1" applyAlignment="1">
      <alignment horizontal="center" vertical="center" wrapText="1"/>
    </xf>
    <xf numFmtId="0" fontId="0" fillId="4" borderId="1" xfId="0" applyFill="1" applyBorder="1" applyAlignment="1" applyProtection="1">
      <alignment horizontal="center" vertical="center"/>
      <protection locked="0"/>
    </xf>
    <xf numFmtId="0" fontId="0" fillId="3" borderId="1" xfId="0"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applyAlignment="1" applyProtection="1">
      <alignment horizontal="center" vertical="center" wrapText="1"/>
      <protection locked="0"/>
    </xf>
    <xf numFmtId="0" fontId="17" fillId="3" borderId="5" xfId="0" applyFont="1" applyFill="1" applyBorder="1" applyAlignment="1">
      <alignment horizontal="center" vertical="center" wrapText="1"/>
    </xf>
    <xf numFmtId="0" fontId="17"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7" fillId="2" borderId="1" xfId="0" applyFont="1" applyFill="1" applyBorder="1" applyAlignment="1" applyProtection="1">
      <alignment horizontal="center" vertical="center" wrapText="1"/>
    </xf>
    <xf numFmtId="0" fontId="21" fillId="3" borderId="5"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1" fillId="2" borderId="1" xfId="0" applyFont="1" applyFill="1" applyBorder="1" applyAlignment="1" applyProtection="1">
      <alignment horizontal="center" vertical="center" wrapText="1"/>
    </xf>
    <xf numFmtId="0" fontId="3" fillId="3" borderId="1" xfId="0" applyFont="1" applyFill="1" applyBorder="1" applyAlignment="1" applyProtection="1">
      <alignment horizontal="right" vertical="center" wrapText="1"/>
    </xf>
    <xf numFmtId="0" fontId="0" fillId="3" borderId="1" xfId="0" applyFill="1" applyBorder="1" applyProtection="1"/>
    <xf numFmtId="0" fontId="3" fillId="3" borderId="1" xfId="0" applyFont="1" applyFill="1" applyBorder="1" applyAlignment="1" applyProtection="1">
      <alignment horizontal="center" vertical="center"/>
    </xf>
    <xf numFmtId="0" fontId="0" fillId="7" borderId="1" xfId="0" applyFill="1" applyBorder="1" applyAlignment="1">
      <alignment horizontal="center" vertical="center" wrapText="1"/>
    </xf>
    <xf numFmtId="0" fontId="6" fillId="2" borderId="1" xfId="0" applyFont="1" applyFill="1" applyBorder="1" applyAlignment="1" applyProtection="1">
      <alignment horizontal="center" vertical="center" wrapText="1"/>
    </xf>
    <xf numFmtId="0" fontId="0" fillId="7" borderId="1" xfId="0" applyFill="1" applyBorder="1" applyAlignment="1">
      <alignment horizontal="left" vertical="center"/>
    </xf>
    <xf numFmtId="0" fontId="0" fillId="7" borderId="1" xfId="0" applyFill="1" applyBorder="1" applyAlignment="1">
      <alignment horizontal="left" vertical="center" wrapText="1"/>
    </xf>
    <xf numFmtId="166" fontId="23" fillId="0" borderId="1" xfId="0" applyNumberFormat="1" applyFont="1" applyBorder="1" applyAlignment="1">
      <alignment horizontal="center" vertical="center"/>
    </xf>
    <xf numFmtId="166" fontId="19" fillId="0" borderId="1" xfId="0" applyNumberFormat="1" applyFont="1" applyBorder="1" applyAlignment="1">
      <alignment horizontal="center" vertical="center"/>
    </xf>
    <xf numFmtId="165" fontId="19" fillId="0" borderId="1" xfId="0" applyNumberFormat="1" applyFont="1" applyBorder="1" applyAlignment="1">
      <alignment horizontal="center" vertical="center"/>
    </xf>
    <xf numFmtId="166" fontId="0" fillId="4" borderId="1" xfId="0" applyNumberFormat="1" applyFill="1" applyBorder="1" applyAlignment="1" applyProtection="1">
      <alignment horizontal="center" vertical="center"/>
      <protection locked="0"/>
    </xf>
    <xf numFmtId="165" fontId="0" fillId="4" borderId="1" xfId="0" applyNumberFormat="1" applyFill="1" applyBorder="1" applyAlignment="1" applyProtection="1">
      <alignment horizontal="center" vertical="center"/>
      <protection locked="0"/>
    </xf>
    <xf numFmtId="164" fontId="0" fillId="0" borderId="1" xfId="0" applyNumberFormat="1" applyBorder="1" applyAlignment="1">
      <alignment horizontal="center" vertical="center"/>
    </xf>
    <xf numFmtId="166" fontId="0" fillId="0" borderId="1" xfId="0" applyNumberFormat="1" applyBorder="1" applyAlignment="1">
      <alignment horizontal="center" vertical="center"/>
    </xf>
    <xf numFmtId="165" fontId="0" fillId="0" borderId="1" xfId="0" applyNumberFormat="1" applyBorder="1" applyAlignment="1">
      <alignment horizontal="center" vertical="center"/>
    </xf>
    <xf numFmtId="9" fontId="19" fillId="4" borderId="1" xfId="0" applyNumberFormat="1" applyFont="1" applyFill="1" applyBorder="1" applyAlignment="1" applyProtection="1">
      <alignment horizontal="center" vertical="center"/>
      <protection locked="0"/>
    </xf>
    <xf numFmtId="9" fontId="23" fillId="4" borderId="1" xfId="0" applyNumberFormat="1" applyFont="1" applyFill="1" applyBorder="1" applyAlignment="1" applyProtection="1">
      <alignment horizontal="center" vertical="center"/>
      <protection locked="0"/>
    </xf>
    <xf numFmtId="165" fontId="29" fillId="4" borderId="1" xfId="0" applyNumberFormat="1" applyFont="1" applyFill="1" applyBorder="1" applyAlignment="1" applyProtection="1">
      <alignment horizontal="center" vertical="center"/>
      <protection locked="0"/>
    </xf>
    <xf numFmtId="166" fontId="6" fillId="3" borderId="1" xfId="0" applyNumberFormat="1" applyFont="1" applyFill="1" applyBorder="1" applyAlignment="1">
      <alignment horizontal="center" vertical="center"/>
    </xf>
    <xf numFmtId="165" fontId="6" fillId="3" borderId="1" xfId="0" applyNumberFormat="1" applyFont="1" applyFill="1" applyBorder="1" applyAlignment="1">
      <alignment horizontal="center" vertical="center"/>
    </xf>
    <xf numFmtId="165" fontId="17" fillId="3" borderId="1" xfId="0" applyNumberFormat="1" applyFont="1" applyFill="1" applyBorder="1" applyAlignment="1">
      <alignment horizontal="center" vertical="center"/>
    </xf>
    <xf numFmtId="166" fontId="17" fillId="3" borderId="1" xfId="0" applyNumberFormat="1" applyFont="1" applyFill="1" applyBorder="1" applyAlignment="1">
      <alignment horizontal="center" vertical="center"/>
    </xf>
    <xf numFmtId="165" fontId="21" fillId="3" borderId="1" xfId="0" applyNumberFormat="1" applyFont="1" applyFill="1" applyBorder="1" applyAlignment="1">
      <alignment horizontal="center" vertical="center"/>
    </xf>
    <xf numFmtId="166" fontId="21" fillId="3" borderId="1" xfId="0" applyNumberFormat="1" applyFont="1" applyFill="1" applyBorder="1" applyAlignment="1">
      <alignment horizontal="center" vertical="center"/>
    </xf>
    <xf numFmtId="166" fontId="0" fillId="0" borderId="0" xfId="0" applyNumberFormat="1" applyFont="1" applyAlignment="1">
      <alignment horizontal="center" vertical="center" wrapText="1"/>
    </xf>
    <xf numFmtId="0" fontId="6" fillId="3" borderId="1" xfId="0" applyFont="1" applyFill="1" applyBorder="1" applyAlignment="1">
      <alignment vertical="center" wrapText="1"/>
    </xf>
    <xf numFmtId="0" fontId="0" fillId="0" borderId="0" xfId="0" applyAlignment="1"/>
    <xf numFmtId="0" fontId="3" fillId="3" borderId="0" xfId="0" applyFont="1" applyFill="1" applyAlignment="1">
      <alignment horizontal="center" vertical="center" wrapText="1"/>
    </xf>
    <xf numFmtId="0" fontId="3" fillId="3" borderId="11" xfId="0" applyFont="1" applyFill="1" applyBorder="1" applyAlignment="1">
      <alignment wrapText="1"/>
    </xf>
    <xf numFmtId="0" fontId="0" fillId="0" borderId="11" xfId="0" applyBorder="1" applyAlignment="1">
      <alignment wrapText="1"/>
    </xf>
    <xf numFmtId="0" fontId="0" fillId="3" borderId="12" xfId="0" applyFill="1" applyBorder="1" applyAlignment="1">
      <alignment wrapText="1"/>
    </xf>
    <xf numFmtId="0" fontId="3" fillId="3" borderId="9" xfId="0" applyFont="1" applyFill="1" applyBorder="1" applyAlignment="1">
      <alignment horizontal="center" vertical="center" wrapText="1"/>
    </xf>
    <xf numFmtId="0" fontId="30" fillId="0" borderId="0" xfId="0" applyFont="1" applyAlignment="1">
      <alignment vertical="center"/>
    </xf>
    <xf numFmtId="0" fontId="4" fillId="0" borderId="0" xfId="0" applyFont="1" applyAlignment="1"/>
    <xf numFmtId="0" fontId="6" fillId="3" borderId="3" xfId="0" applyFont="1" applyFill="1" applyBorder="1" applyAlignment="1">
      <alignment vertical="center" wrapText="1"/>
    </xf>
    <xf numFmtId="0" fontId="0" fillId="3" borderId="13" xfId="0" applyFill="1" applyBorder="1" applyAlignment="1">
      <alignment wrapText="1"/>
    </xf>
    <xf numFmtId="0" fontId="3" fillId="3" borderId="14" xfId="0" applyFont="1" applyFill="1" applyBorder="1" applyAlignment="1">
      <alignment wrapText="1"/>
    </xf>
    <xf numFmtId="0" fontId="0" fillId="0" borderId="14" xfId="0" applyBorder="1" applyAlignment="1">
      <alignment wrapText="1"/>
    </xf>
    <xf numFmtId="0" fontId="0" fillId="3" borderId="11" xfId="0" applyFill="1" applyBorder="1" applyAlignment="1">
      <alignment wrapText="1"/>
    </xf>
    <xf numFmtId="166" fontId="3" fillId="3" borderId="4" xfId="0" applyNumberFormat="1" applyFont="1" applyFill="1" applyBorder="1" applyAlignment="1">
      <alignment horizontal="center" vertical="center" wrapText="1"/>
    </xf>
    <xf numFmtId="166" fontId="3" fillId="3" borderId="5" xfId="0" applyNumberFormat="1" applyFont="1" applyFill="1" applyBorder="1" applyAlignment="1">
      <alignment horizontal="center" vertical="center" wrapText="1"/>
    </xf>
    <xf numFmtId="166" fontId="3" fillId="3" borderId="3" xfId="0" applyNumberFormat="1" applyFont="1" applyFill="1" applyBorder="1" applyAlignment="1">
      <alignment horizontal="center" vertical="center" wrapText="1"/>
    </xf>
    <xf numFmtId="0" fontId="0" fillId="3" borderId="12" xfId="0" applyFill="1" applyBorder="1" applyAlignment="1">
      <alignment horizontal="center" vertical="center" wrapText="1"/>
    </xf>
    <xf numFmtId="0" fontId="0" fillId="3" borderId="11" xfId="0" applyFill="1" applyBorder="1" applyAlignment="1">
      <alignment horizontal="center" vertical="center" wrapText="1"/>
    </xf>
    <xf numFmtId="0" fontId="0" fillId="3" borderId="13"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9"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0" xfId="0" applyFill="1" applyBorder="1" applyAlignment="1">
      <alignment horizontal="center" vertical="center" wrapText="1"/>
    </xf>
    <xf numFmtId="0" fontId="0" fillId="3" borderId="0" xfId="0" applyFill="1" applyBorder="1" applyAlignment="1">
      <alignment horizontal="center" vertical="center" wrapText="1"/>
    </xf>
    <xf numFmtId="0" fontId="3" fillId="3" borderId="1" xfId="0" applyFont="1" applyFill="1" applyBorder="1" applyAlignment="1" applyProtection="1">
      <alignment horizontal="left"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1" fillId="3" borderId="1" xfId="0" applyFont="1" applyFill="1" applyBorder="1" applyAlignment="1" applyProtection="1">
      <alignment horizontal="center" vertical="center"/>
    </xf>
    <xf numFmtId="0" fontId="0" fillId="5" borderId="5" xfId="0" applyFill="1" applyBorder="1" applyAlignment="1">
      <alignment horizontal="center" vertical="center"/>
    </xf>
    <xf numFmtId="0" fontId="0" fillId="5" borderId="8" xfId="0" applyFill="1" applyBorder="1" applyAlignment="1">
      <alignment horizontal="center" vertical="center"/>
    </xf>
    <xf numFmtId="0" fontId="31" fillId="0" borderId="0" xfId="0" applyFont="1" applyFill="1" applyAlignment="1" applyProtection="1">
      <alignment horizontal="center" vertical="center" wrapText="1"/>
    </xf>
    <xf numFmtId="164" fontId="0" fillId="8" borderId="1" xfId="0" applyNumberFormat="1" applyFill="1" applyBorder="1" applyAlignment="1">
      <alignment horizontal="center" vertical="center"/>
    </xf>
    <xf numFmtId="0" fontId="3" fillId="0" borderId="0" xfId="0" applyFont="1" applyAlignment="1">
      <alignment vertical="center"/>
    </xf>
    <xf numFmtId="0" fontId="0" fillId="0" borderId="0" xfId="0" applyAlignment="1">
      <alignment vertical="center" wrapText="1"/>
    </xf>
    <xf numFmtId="0" fontId="10" fillId="0" borderId="0" xfId="0" applyFont="1" applyAlignment="1"/>
    <xf numFmtId="0" fontId="33" fillId="0" borderId="0" xfId="0" applyFont="1" applyAlignment="1"/>
    <xf numFmtId="0" fontId="9" fillId="0" borderId="0" xfId="0" applyFont="1" applyAlignment="1"/>
    <xf numFmtId="0" fontId="15" fillId="0" borderId="8" xfId="0" applyFont="1" applyBorder="1" applyAlignment="1" applyProtection="1">
      <alignment vertical="center" wrapText="1"/>
    </xf>
    <xf numFmtId="0" fontId="35" fillId="0" borderId="0" xfId="0" applyFont="1" applyAlignment="1">
      <alignment vertical="center"/>
    </xf>
    <xf numFmtId="0" fontId="36" fillId="0" borderId="0" xfId="0" applyFont="1" applyAlignment="1">
      <alignment horizontal="center" vertical="center"/>
    </xf>
    <xf numFmtId="0" fontId="5" fillId="0" borderId="0" xfId="0" applyFont="1" applyAlignment="1">
      <alignment vertical="center"/>
    </xf>
    <xf numFmtId="0" fontId="0" fillId="4" borderId="1" xfId="0" applyFill="1" applyBorder="1" applyAlignment="1" applyProtection="1">
      <alignment horizontal="right" vertical="center"/>
      <protection locked="0"/>
    </xf>
    <xf numFmtId="0" fontId="0" fillId="9" borderId="0" xfId="0" applyFill="1" applyAlignment="1">
      <alignment horizontal="left" vertical="center" wrapText="1"/>
    </xf>
    <xf numFmtId="0" fontId="0" fillId="9" borderId="0" xfId="0" applyFill="1" applyAlignment="1">
      <alignment horizontal="left" vertical="center"/>
    </xf>
    <xf numFmtId="0" fontId="0" fillId="0" borderId="0" xfId="0" applyAlignment="1">
      <alignment horizontal="left" vertical="center" wrapText="1"/>
    </xf>
    <xf numFmtId="0" fontId="3" fillId="11" borderId="0" xfId="0" applyFont="1" applyFill="1" applyAlignment="1">
      <alignment horizontal="left" vertical="center" wrapText="1"/>
    </xf>
    <xf numFmtId="0" fontId="3" fillId="10" borderId="0" xfId="0" applyFont="1" applyFill="1" applyAlignment="1">
      <alignment horizontal="left" vertical="center"/>
    </xf>
    <xf numFmtId="0" fontId="3" fillId="0" borderId="6" xfId="0" applyFont="1" applyFill="1" applyBorder="1" applyAlignment="1">
      <alignment horizontal="center" vertical="center"/>
    </xf>
    <xf numFmtId="0" fontId="3" fillId="0" borderId="0" xfId="0" applyFont="1" applyFill="1" applyBorder="1" applyAlignment="1">
      <alignment horizontal="center" vertical="center"/>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34" fillId="4" borderId="3" xfId="0" applyFont="1" applyFill="1" applyBorder="1" applyAlignment="1">
      <alignment horizontal="center" vertical="center" wrapText="1"/>
    </xf>
    <xf numFmtId="0" fontId="34" fillId="4" borderId="4" xfId="0" applyFont="1" applyFill="1" applyBorder="1" applyAlignment="1">
      <alignment horizontal="center" vertical="center" wrapText="1"/>
    </xf>
    <xf numFmtId="0" fontId="34" fillId="4" borderId="5" xfId="0" applyFont="1" applyFill="1" applyBorder="1" applyAlignment="1">
      <alignment horizontal="center" vertical="center" wrapText="1"/>
    </xf>
    <xf numFmtId="0" fontId="14" fillId="3" borderId="1" xfId="0" applyFont="1" applyFill="1" applyBorder="1" applyAlignment="1">
      <alignment horizontal="left" vertical="center"/>
    </xf>
    <xf numFmtId="0" fontId="34" fillId="8" borderId="3" xfId="0" applyFont="1" applyFill="1" applyBorder="1" applyAlignment="1">
      <alignment horizontal="center" vertical="center" wrapText="1"/>
    </xf>
    <xf numFmtId="0" fontId="34" fillId="8" borderId="4" xfId="0" applyFont="1" applyFill="1" applyBorder="1" applyAlignment="1">
      <alignment horizontal="center" vertical="center" wrapText="1"/>
    </xf>
    <xf numFmtId="0" fontId="34" fillId="8" borderId="5" xfId="0" applyFont="1" applyFill="1" applyBorder="1" applyAlignment="1">
      <alignment horizontal="center" vertical="center" wrapText="1"/>
    </xf>
    <xf numFmtId="0" fontId="14" fillId="0" borderId="0" xfId="0" applyFont="1" applyAlignment="1">
      <alignment horizontal="left" vertical="center" wrapText="1"/>
    </xf>
    <xf numFmtId="0" fontId="34" fillId="0" borderId="0" xfId="0" applyFont="1" applyAlignment="1">
      <alignment horizontal="left" vertical="center" wrapText="1"/>
    </xf>
    <xf numFmtId="0" fontId="3" fillId="3"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0" fillId="5" borderId="4" xfId="0" applyFont="1" applyFill="1" applyBorder="1" applyAlignment="1">
      <alignment horizontal="left" vertical="center"/>
    </xf>
    <xf numFmtId="0" fontId="0" fillId="5" borderId="5" xfId="0" applyFont="1" applyFill="1" applyBorder="1" applyAlignment="1">
      <alignment horizontal="left" vertical="center"/>
    </xf>
    <xf numFmtId="0" fontId="3" fillId="3" borderId="3" xfId="0" applyFont="1" applyFill="1" applyBorder="1" applyAlignment="1" applyProtection="1">
      <alignment horizontal="center" vertical="center" wrapText="1"/>
    </xf>
    <xf numFmtId="0" fontId="3" fillId="3" borderId="4" xfId="0" applyFont="1" applyFill="1" applyBorder="1" applyAlignment="1" applyProtection="1">
      <alignment horizontal="center" vertical="center" wrapText="1"/>
    </xf>
    <xf numFmtId="0" fontId="3" fillId="3" borderId="5" xfId="0" applyFont="1" applyFill="1" applyBorder="1" applyAlignment="1" applyProtection="1">
      <alignment horizontal="center" vertical="center" wrapText="1"/>
    </xf>
    <xf numFmtId="0" fontId="17" fillId="3" borderId="3" xfId="0" applyFont="1" applyFill="1" applyBorder="1" applyAlignment="1" applyProtection="1">
      <alignment horizontal="center" vertical="center" wrapText="1"/>
    </xf>
    <xf numFmtId="0" fontId="17" fillId="3" borderId="4" xfId="0" applyFont="1" applyFill="1" applyBorder="1" applyAlignment="1" applyProtection="1">
      <alignment horizontal="center" vertical="center" wrapText="1"/>
    </xf>
    <xf numFmtId="0" fontId="17" fillId="3" borderId="5" xfId="0" applyFont="1" applyFill="1" applyBorder="1" applyAlignment="1" applyProtection="1">
      <alignment horizontal="center" vertical="center" wrapText="1"/>
    </xf>
    <xf numFmtId="0" fontId="0" fillId="4" borderId="3" xfId="0" applyFill="1" applyBorder="1" applyAlignment="1" applyProtection="1">
      <alignment horizontal="left" wrapText="1"/>
      <protection locked="0"/>
    </xf>
    <xf numFmtId="0" fontId="0" fillId="4" borderId="4" xfId="0" applyFill="1" applyBorder="1" applyAlignment="1" applyProtection="1">
      <alignment horizontal="left" wrapText="1"/>
      <protection locked="0"/>
    </xf>
    <xf numFmtId="0" fontId="0" fillId="4" borderId="5" xfId="0" applyFill="1" applyBorder="1" applyAlignment="1" applyProtection="1">
      <alignment horizontal="left" wrapText="1"/>
      <protection locked="0"/>
    </xf>
    <xf numFmtId="0" fontId="21" fillId="3" borderId="3" xfId="0" applyFont="1" applyFill="1" applyBorder="1" applyAlignment="1" applyProtection="1">
      <alignment horizontal="center" vertical="center" wrapText="1"/>
    </xf>
    <xf numFmtId="0" fontId="21" fillId="3" borderId="4" xfId="0" applyFont="1" applyFill="1" applyBorder="1" applyAlignment="1" applyProtection="1">
      <alignment horizontal="center" vertical="center" wrapText="1"/>
    </xf>
    <xf numFmtId="0" fontId="21" fillId="3" borderId="5" xfId="0" applyFont="1" applyFill="1" applyBorder="1" applyAlignment="1" applyProtection="1">
      <alignment horizontal="center" vertical="center" wrapText="1"/>
    </xf>
    <xf numFmtId="0" fontId="34" fillId="0" borderId="6" xfId="0" applyFont="1" applyBorder="1" applyAlignment="1" applyProtection="1">
      <alignment horizontal="left" vertical="center" wrapText="1"/>
    </xf>
    <xf numFmtId="0" fontId="3" fillId="6"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C9D6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4.xml"/><Relationship Id="rId3" Type="http://schemas.openxmlformats.org/officeDocument/2006/relationships/worksheet" Target="worksheets/sheet3.xml"/><Relationship Id="rId7" Type="http://schemas.openxmlformats.org/officeDocument/2006/relationships/chartsheet" Target="chartsheets/sheet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3.xml"/><Relationship Id="rId11" Type="http://schemas.openxmlformats.org/officeDocument/2006/relationships/sharedStrings" Target="sharedStrings.xml"/><Relationship Id="rId5" Type="http://schemas.openxmlformats.org/officeDocument/2006/relationships/chartsheet" Target="chartsheets/sheet2.xml"/><Relationship Id="rId10" Type="http://schemas.openxmlformats.org/officeDocument/2006/relationships/styles" Target="styles.xml"/><Relationship Id="rId4" Type="http://schemas.openxmlformats.org/officeDocument/2006/relationships/chartsheet" Target="chartsheets/sheet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86856736431896E-2"/>
          <c:y val="4.3769798408706768E-2"/>
          <c:w val="0.89677897523796124"/>
          <c:h val="0.63597064764810163"/>
        </c:manualLayout>
      </c:layout>
      <c:barChart>
        <c:barDir val="col"/>
        <c:grouping val="stacked"/>
        <c:varyColors val="0"/>
        <c:ser>
          <c:idx val="0"/>
          <c:order val="0"/>
          <c:tx>
            <c:strRef>
              <c:f>'OPTION 1 - Data for Figures'!$A$8</c:f>
              <c:strCache>
                <c:ptCount val="1"/>
                <c:pt idx="0">
                  <c:v>Household salt</c:v>
                </c:pt>
              </c:strCache>
            </c:strRef>
          </c:tx>
          <c:spPr>
            <a:solidFill>
              <a:schemeClr val="accent1">
                <a:lumMod val="75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Figures'!$B$8:$G$8</c:f>
              <c:numCache>
                <c:formatCode>0.0</c:formatCode>
                <c:ptCount val="6"/>
                <c:pt idx="1">
                  <c:v>250.24999999999997</c:v>
                </c:pt>
                <c:pt idx="2">
                  <c:v>175.17499999999998</c:v>
                </c:pt>
                <c:pt idx="3">
                  <c:v>237.73749999999995</c:v>
                </c:pt>
                <c:pt idx="4">
                  <c:v>166.41624999999996</c:v>
                </c:pt>
              </c:numCache>
            </c:numRef>
          </c:val>
          <c:extLst>
            <c:ext xmlns:c16="http://schemas.microsoft.com/office/drawing/2014/chart" uri="{C3380CC4-5D6E-409C-BE32-E72D297353CC}">
              <c16:uniqueId val="{00000000-BAAA-46D5-848E-72A7D953355C}"/>
            </c:ext>
          </c:extLst>
        </c:ser>
        <c:ser>
          <c:idx val="1"/>
          <c:order val="1"/>
          <c:tx>
            <c:strRef>
              <c:f>'OPTION 1 - Data for Figures'!$A$9</c:f>
              <c:strCache>
                <c:ptCount val="1"/>
                <c:pt idx="0">
                  <c:v>Bread &amp; brotchen</c:v>
                </c:pt>
              </c:strCache>
            </c:strRef>
          </c:tx>
          <c:spPr>
            <a:solidFill>
              <a:schemeClr val="accent2">
                <a:lumMod val="40000"/>
                <a:lumOff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Figures'!$B$9:$G$9</c:f>
              <c:numCache>
                <c:formatCode>0.0</c:formatCode>
                <c:ptCount val="6"/>
                <c:pt idx="1">
                  <c:v>121.63423999999998</c:v>
                </c:pt>
                <c:pt idx="2">
                  <c:v>97.307391999999993</c:v>
                </c:pt>
                <c:pt idx="3">
                  <c:v>103.38910399999997</c:v>
                </c:pt>
                <c:pt idx="4">
                  <c:v>82.711283199999997</c:v>
                </c:pt>
              </c:numCache>
            </c:numRef>
          </c:val>
          <c:extLst>
            <c:ext xmlns:c16="http://schemas.microsoft.com/office/drawing/2014/chart" uri="{C3380CC4-5D6E-409C-BE32-E72D297353CC}">
              <c16:uniqueId val="{00000001-BAAA-46D5-848E-72A7D953355C}"/>
            </c:ext>
          </c:extLst>
        </c:ser>
        <c:ser>
          <c:idx val="2"/>
          <c:order val="2"/>
          <c:tx>
            <c:strRef>
              <c:f>'OPTION 1 - Data for Figures'!$A$10</c:f>
              <c:strCache>
                <c:ptCount val="1"/>
                <c:pt idx="0">
                  <c:v>Dried fish</c:v>
                </c:pt>
              </c:strCache>
            </c:strRef>
          </c:tx>
          <c:spPr>
            <a:solidFill>
              <a:schemeClr val="accent6">
                <a:lumMod val="40000"/>
                <a:lumOff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Figures'!$B$10:$G$10</c:f>
              <c:numCache>
                <c:formatCode>0.0</c:formatCode>
                <c:ptCount val="6"/>
                <c:pt idx="1">
                  <c:v>16.696680000000001</c:v>
                </c:pt>
                <c:pt idx="2">
                  <c:v>8.3483400000000003</c:v>
                </c:pt>
                <c:pt idx="3">
                  <c:v>16.195779600000002</c:v>
                </c:pt>
                <c:pt idx="4">
                  <c:v>8.0978898000000008</c:v>
                </c:pt>
              </c:numCache>
            </c:numRef>
          </c:val>
          <c:extLst>
            <c:ext xmlns:c16="http://schemas.microsoft.com/office/drawing/2014/chart" uri="{C3380CC4-5D6E-409C-BE32-E72D297353CC}">
              <c16:uniqueId val="{00000002-BAAA-46D5-848E-72A7D953355C}"/>
            </c:ext>
          </c:extLst>
        </c:ser>
        <c:ser>
          <c:idx val="3"/>
          <c:order val="3"/>
          <c:tx>
            <c:strRef>
              <c:f>'OPTION 1 - Data for Figures'!$A$11</c:f>
              <c:strCache>
                <c:ptCount val="1"/>
                <c:pt idx="0">
                  <c:v>Powdered soup</c:v>
                </c:pt>
              </c:strCache>
            </c:strRef>
          </c:tx>
          <c:spPr>
            <a:solidFill>
              <a:schemeClr val="accent4"/>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Figures'!$B$11:$G$11</c:f>
              <c:numCache>
                <c:formatCode>0.0</c:formatCode>
                <c:ptCount val="6"/>
                <c:pt idx="1">
                  <c:v>6.7746769999999996</c:v>
                </c:pt>
                <c:pt idx="2">
                  <c:v>6.7746769999999996</c:v>
                </c:pt>
                <c:pt idx="3">
                  <c:v>5.7584754499999997</c:v>
                </c:pt>
                <c:pt idx="4">
                  <c:v>5.7584754499999997</c:v>
                </c:pt>
              </c:numCache>
            </c:numRef>
          </c:val>
          <c:extLst>
            <c:ext xmlns:c16="http://schemas.microsoft.com/office/drawing/2014/chart" uri="{C3380CC4-5D6E-409C-BE32-E72D297353CC}">
              <c16:uniqueId val="{00000003-BAAA-46D5-848E-72A7D953355C}"/>
            </c:ext>
          </c:extLst>
        </c:ser>
        <c:ser>
          <c:idx val="4"/>
          <c:order val="4"/>
          <c:tx>
            <c:strRef>
              <c:f>'OPTION 1 - Data for Figures'!$A$12</c:f>
              <c:strCache>
                <c:ptCount val="1"/>
                <c:pt idx="0">
                  <c:v>Sausages, other than polony</c:v>
                </c:pt>
              </c:strCache>
            </c:strRef>
          </c:tx>
          <c:spPr>
            <a:solidFill>
              <a:schemeClr val="accent5"/>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Figures'!$B$12:$G$12</c:f>
              <c:numCache>
                <c:formatCode>0.0</c:formatCode>
                <c:ptCount val="6"/>
                <c:pt idx="1">
                  <c:v>5.3513459999999995</c:v>
                </c:pt>
                <c:pt idx="2">
                  <c:v>3.7459421999999996</c:v>
                </c:pt>
                <c:pt idx="3">
                  <c:v>5.3513459999999995</c:v>
                </c:pt>
                <c:pt idx="4">
                  <c:v>3.7459421999999996</c:v>
                </c:pt>
              </c:numCache>
            </c:numRef>
          </c:val>
          <c:extLst>
            <c:ext xmlns:c16="http://schemas.microsoft.com/office/drawing/2014/chart" uri="{C3380CC4-5D6E-409C-BE32-E72D297353CC}">
              <c16:uniqueId val="{00000004-BAAA-46D5-848E-72A7D953355C}"/>
            </c:ext>
          </c:extLst>
        </c:ser>
        <c:ser>
          <c:idx val="5"/>
          <c:order val="5"/>
          <c:tx>
            <c:strRef>
              <c:f>'OPTION 1 - Data for Figures'!$A$13</c:f>
              <c:strCache>
                <c:ptCount val="1"/>
                <c:pt idx="0">
                  <c:v>Spices &amp; condiments</c:v>
                </c:pt>
              </c:strCache>
            </c:strRef>
          </c:tx>
          <c:spPr>
            <a:solidFill>
              <a:schemeClr val="accent6"/>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Figures'!$B$13:$G$13</c:f>
              <c:numCache>
                <c:formatCode>0.0</c:formatCode>
                <c:ptCount val="6"/>
                <c:pt idx="1">
                  <c:v>2.5934999999999997</c:v>
                </c:pt>
                <c:pt idx="2">
                  <c:v>2.5934999999999997</c:v>
                </c:pt>
                <c:pt idx="3">
                  <c:v>2.3341499999999997</c:v>
                </c:pt>
                <c:pt idx="4">
                  <c:v>2.3341499999999997</c:v>
                </c:pt>
              </c:numCache>
            </c:numRef>
          </c:val>
          <c:extLst>
            <c:ext xmlns:c16="http://schemas.microsoft.com/office/drawing/2014/chart" uri="{C3380CC4-5D6E-409C-BE32-E72D297353CC}">
              <c16:uniqueId val="{00000005-BAAA-46D5-848E-72A7D953355C}"/>
            </c:ext>
          </c:extLst>
        </c:ser>
        <c:ser>
          <c:idx val="6"/>
          <c:order val="6"/>
          <c:tx>
            <c:strRef>
              <c:f>'OPTION 1 - Data for Figures'!$A$14</c:f>
              <c:strCache>
                <c:ptCount val="1"/>
                <c:pt idx="0">
                  <c:v>Traditional bread</c:v>
                </c:pt>
              </c:strCache>
            </c:strRef>
          </c:tx>
          <c:spPr>
            <a:solidFill>
              <a:schemeClr val="accent1">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Figures'!$B$14:$G$14</c:f>
              <c:numCache>
                <c:formatCode>0.0</c:formatCode>
                <c:ptCount val="6"/>
                <c:pt idx="1">
                  <c:v>2.9775199999999997</c:v>
                </c:pt>
                <c:pt idx="2">
                  <c:v>2.9775199999999997</c:v>
                </c:pt>
                <c:pt idx="3">
                  <c:v>2.8286439999999997</c:v>
                </c:pt>
                <c:pt idx="4">
                  <c:v>2.8286439999999997</c:v>
                </c:pt>
              </c:numCache>
            </c:numRef>
          </c:val>
          <c:extLst xmlns:c15="http://schemas.microsoft.com/office/drawing/2012/chart">
            <c:ext xmlns:c16="http://schemas.microsoft.com/office/drawing/2014/chart" uri="{C3380CC4-5D6E-409C-BE32-E72D297353CC}">
              <c16:uniqueId val="{00000001-C0CD-4E9E-8887-F76FE532C86B}"/>
            </c:ext>
          </c:extLst>
        </c:ser>
        <c:ser>
          <c:idx val="7"/>
          <c:order val="7"/>
          <c:tx>
            <c:strRef>
              <c:f>'OPTION 1 - Data for Figures'!$A$15</c:f>
              <c:strCache>
                <c:ptCount val="1"/>
                <c:pt idx="0">
                  <c:v>Chips &amp; crisps</c:v>
                </c:pt>
              </c:strCache>
            </c:strRef>
          </c:tx>
          <c:spPr>
            <a:solidFill>
              <a:schemeClr val="accent2">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Figures'!$B$15:$G$15</c:f>
              <c:numCache>
                <c:formatCode>0.0</c:formatCode>
                <c:ptCount val="6"/>
                <c:pt idx="1">
                  <c:v>2.5025000000000004</c:v>
                </c:pt>
                <c:pt idx="2">
                  <c:v>0</c:v>
                </c:pt>
                <c:pt idx="3">
                  <c:v>2.5025000000000004</c:v>
                </c:pt>
                <c:pt idx="4">
                  <c:v>0</c:v>
                </c:pt>
              </c:numCache>
            </c:numRef>
          </c:val>
          <c:extLst xmlns:c15="http://schemas.microsoft.com/office/drawing/2012/chart">
            <c:ext xmlns:c16="http://schemas.microsoft.com/office/drawing/2014/chart" uri="{C3380CC4-5D6E-409C-BE32-E72D297353CC}">
              <c16:uniqueId val="{00000002-C0CD-4E9E-8887-F76FE532C86B}"/>
            </c:ext>
          </c:extLst>
        </c:ser>
        <c:ser>
          <c:idx val="8"/>
          <c:order val="8"/>
          <c:tx>
            <c:strRef>
              <c:f>'OPTION 1 - Data for Figures'!$A$16</c:f>
              <c:strCache>
                <c:ptCount val="1"/>
                <c:pt idx="0">
                  <c:v>Smoked fish</c:v>
                </c:pt>
              </c:strCache>
            </c:strRef>
          </c:tx>
          <c:spPr>
            <a:solidFill>
              <a:schemeClr val="accent3">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Figures'!$B$16:$G$16</c:f>
              <c:numCache>
                <c:formatCode>0.0</c:formatCode>
                <c:ptCount val="6"/>
                <c:pt idx="1">
                  <c:v>9.2819999999999986E-2</c:v>
                </c:pt>
                <c:pt idx="2">
                  <c:v>0</c:v>
                </c:pt>
                <c:pt idx="3">
                  <c:v>9.2819999999999986E-2</c:v>
                </c:pt>
                <c:pt idx="4">
                  <c:v>0</c:v>
                </c:pt>
              </c:numCache>
            </c:numRef>
          </c:val>
          <c:extLst xmlns:c15="http://schemas.microsoft.com/office/drawing/2012/chart">
            <c:ext xmlns:c16="http://schemas.microsoft.com/office/drawing/2014/chart" uri="{C3380CC4-5D6E-409C-BE32-E72D297353CC}">
              <c16:uniqueId val="{00000003-C0CD-4E9E-8887-F76FE532C86B}"/>
            </c:ext>
          </c:extLst>
        </c:ser>
        <c:ser>
          <c:idx val="9"/>
          <c:order val="9"/>
          <c:tx>
            <c:strRef>
              <c:f>'OPTION 1 - Data for Figures'!$A$17</c:f>
              <c:strCache>
                <c:ptCount val="1"/>
                <c:pt idx="0">
                  <c:v>Polony</c:v>
                </c:pt>
              </c:strCache>
            </c:strRef>
          </c:tx>
          <c:spPr>
            <a:solidFill>
              <a:schemeClr val="accent4">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Figures'!$B$17:$G$17</c:f>
              <c:numCache>
                <c:formatCode>0.0</c:formatCode>
                <c:ptCount val="6"/>
                <c:pt idx="1">
                  <c:v>1.3367899999999997</c:v>
                </c:pt>
                <c:pt idx="2">
                  <c:v>0</c:v>
                </c:pt>
                <c:pt idx="3">
                  <c:v>1.3367899999999997</c:v>
                </c:pt>
                <c:pt idx="4">
                  <c:v>0</c:v>
                </c:pt>
              </c:numCache>
            </c:numRef>
          </c:val>
          <c:extLst xmlns:c15="http://schemas.microsoft.com/office/drawing/2012/chart">
            <c:ext xmlns:c16="http://schemas.microsoft.com/office/drawing/2014/chart" uri="{C3380CC4-5D6E-409C-BE32-E72D297353CC}">
              <c16:uniqueId val="{00000004-C0CD-4E9E-8887-F76FE532C86B}"/>
            </c:ext>
          </c:extLst>
        </c:ser>
        <c:ser>
          <c:idx val="10"/>
          <c:order val="10"/>
          <c:tx>
            <c:strRef>
              <c:f>'OPTION 1 - Data for Figures'!$A$18</c:f>
              <c:strCache>
                <c:ptCount val="1"/>
                <c:pt idx="0">
                  <c:v>Cheese, all types</c:v>
                </c:pt>
              </c:strCache>
            </c:strRef>
          </c:tx>
          <c:spPr>
            <a:solidFill>
              <a:schemeClr val="accent5">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Figures'!$B$18:$G$18</c:f>
              <c:numCache>
                <c:formatCode>0.0</c:formatCode>
                <c:ptCount val="6"/>
                <c:pt idx="1">
                  <c:v>0.79169999999999996</c:v>
                </c:pt>
                <c:pt idx="2">
                  <c:v>0</c:v>
                </c:pt>
                <c:pt idx="3">
                  <c:v>0.79169999999999996</c:v>
                </c:pt>
                <c:pt idx="4">
                  <c:v>0</c:v>
                </c:pt>
              </c:numCache>
            </c:numRef>
          </c:val>
          <c:extLst xmlns:c15="http://schemas.microsoft.com/office/drawing/2012/chart">
            <c:ext xmlns:c16="http://schemas.microsoft.com/office/drawing/2014/chart" uri="{C3380CC4-5D6E-409C-BE32-E72D297353CC}">
              <c16:uniqueId val="{00000005-C0CD-4E9E-8887-F76FE532C86B}"/>
            </c:ext>
          </c:extLst>
        </c:ser>
        <c:ser>
          <c:idx val="11"/>
          <c:order val="11"/>
          <c:tx>
            <c:strRef>
              <c:f>'OPTION 1 - Data for Figures'!$A$19</c:f>
              <c:strCache>
                <c:ptCount val="1"/>
                <c:pt idx="0">
                  <c:v>Canned meat</c:v>
                </c:pt>
              </c:strCache>
            </c:strRef>
          </c:tx>
          <c:spPr>
            <a:solidFill>
              <a:schemeClr val="accent6">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Figures'!$B$19:$G$19</c:f>
              <c:numCache>
                <c:formatCode>0.0</c:formatCode>
                <c:ptCount val="6"/>
                <c:pt idx="1">
                  <c:v>0.67112499999999997</c:v>
                </c:pt>
                <c:pt idx="2">
                  <c:v>0</c:v>
                </c:pt>
                <c:pt idx="3">
                  <c:v>0.67112499999999997</c:v>
                </c:pt>
                <c:pt idx="4">
                  <c:v>0</c:v>
                </c:pt>
              </c:numCache>
            </c:numRef>
          </c:val>
          <c:extLst xmlns:c15="http://schemas.microsoft.com/office/drawing/2012/chart">
            <c:ext xmlns:c16="http://schemas.microsoft.com/office/drawing/2014/chart" uri="{C3380CC4-5D6E-409C-BE32-E72D297353CC}">
              <c16:uniqueId val="{00000006-C0CD-4E9E-8887-F76FE532C86B}"/>
            </c:ext>
          </c:extLst>
        </c:ser>
        <c:ser>
          <c:idx val="12"/>
          <c:order val="12"/>
          <c:tx>
            <c:strRef>
              <c:f>'OPTION 1 - Data for Figures'!$A$20</c:f>
              <c:strCache>
                <c:ptCount val="1"/>
                <c:pt idx="0">
                  <c:v>Biltong</c:v>
                </c:pt>
              </c:strCache>
            </c:strRef>
          </c:tx>
          <c:spPr>
            <a:solidFill>
              <a:schemeClr val="accent1">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Figures'!$B$20:$G$20</c:f>
              <c:numCache>
                <c:formatCode>0.0</c:formatCode>
                <c:ptCount val="6"/>
                <c:pt idx="1">
                  <c:v>0.60387599999999997</c:v>
                </c:pt>
                <c:pt idx="2">
                  <c:v>0</c:v>
                </c:pt>
                <c:pt idx="3">
                  <c:v>0.60387599999999997</c:v>
                </c:pt>
                <c:pt idx="4">
                  <c:v>0</c:v>
                </c:pt>
              </c:numCache>
            </c:numRef>
          </c:val>
          <c:extLst xmlns:c15="http://schemas.microsoft.com/office/drawing/2012/chart">
            <c:ext xmlns:c16="http://schemas.microsoft.com/office/drawing/2014/chart" uri="{C3380CC4-5D6E-409C-BE32-E72D297353CC}">
              <c16:uniqueId val="{00000007-C0CD-4E9E-8887-F76FE532C86B}"/>
            </c:ext>
          </c:extLst>
        </c:ser>
        <c:ser>
          <c:idx val="13"/>
          <c:order val="13"/>
          <c:tx>
            <c:strRef>
              <c:f>'OPTION 1 - Data for Figures'!$A$21</c:f>
              <c:strCache>
                <c:ptCount val="1"/>
                <c:pt idx="0">
                  <c:v>Smoked meat, other than bacon &amp; ham</c:v>
                </c:pt>
              </c:strCache>
            </c:strRef>
          </c:tx>
          <c:spPr>
            <a:solidFill>
              <a:schemeClr val="accent2">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Figures'!$B$21:$G$21</c:f>
              <c:numCache>
                <c:formatCode>0.0</c:formatCode>
                <c:ptCount val="6"/>
                <c:pt idx="1">
                  <c:v>0.44771999999999995</c:v>
                </c:pt>
                <c:pt idx="2">
                  <c:v>0</c:v>
                </c:pt>
                <c:pt idx="3">
                  <c:v>0.44771999999999995</c:v>
                </c:pt>
                <c:pt idx="4">
                  <c:v>0</c:v>
                </c:pt>
              </c:numCache>
            </c:numRef>
          </c:val>
          <c:extLst xmlns:c15="http://schemas.microsoft.com/office/drawing/2012/chart">
            <c:ext xmlns:c16="http://schemas.microsoft.com/office/drawing/2014/chart" uri="{C3380CC4-5D6E-409C-BE32-E72D297353CC}">
              <c16:uniqueId val="{00000008-C0CD-4E9E-8887-F76FE532C86B}"/>
            </c:ext>
          </c:extLst>
        </c:ser>
        <c:ser>
          <c:idx val="14"/>
          <c:order val="14"/>
          <c:tx>
            <c:strRef>
              <c:f>'OPTION 1 - Data for Figures'!$A$22</c:f>
              <c:strCache>
                <c:ptCount val="1"/>
                <c:pt idx="0">
                  <c:v>Tomato sauce</c:v>
                </c:pt>
              </c:strCache>
            </c:strRef>
          </c:tx>
          <c:spPr>
            <a:solidFill>
              <a:schemeClr val="accent3">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Figures'!$B$22:$G$22</c:f>
              <c:numCache>
                <c:formatCode>0.0</c:formatCode>
                <c:ptCount val="6"/>
                <c:pt idx="1">
                  <c:v>0.33760999999999997</c:v>
                </c:pt>
                <c:pt idx="2">
                  <c:v>0</c:v>
                </c:pt>
                <c:pt idx="3">
                  <c:v>0.33760999999999997</c:v>
                </c:pt>
                <c:pt idx="4">
                  <c:v>0</c:v>
                </c:pt>
              </c:numCache>
            </c:numRef>
          </c:val>
          <c:extLst xmlns:c15="http://schemas.microsoft.com/office/drawing/2012/chart">
            <c:ext xmlns:c16="http://schemas.microsoft.com/office/drawing/2014/chart" uri="{C3380CC4-5D6E-409C-BE32-E72D297353CC}">
              <c16:uniqueId val="{00000009-C0CD-4E9E-8887-F76FE532C86B}"/>
            </c:ext>
          </c:extLst>
        </c:ser>
        <c:ser>
          <c:idx val="18"/>
          <c:order val="15"/>
          <c:tx>
            <c:strRef>
              <c:f>'OPTION 1 - Data for Figures'!$A$23</c:f>
              <c:strCache>
                <c:ptCount val="1"/>
                <c:pt idx="0">
                  <c:v>Bacon</c:v>
                </c:pt>
              </c:strCache>
            </c:strRef>
          </c:tx>
          <c:spPr>
            <a:solidFill>
              <a:schemeClr val="accent1">
                <a:lumMod val="8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Figures'!$B$23:$G$23</c:f>
              <c:numCache>
                <c:formatCode>0.0</c:formatCode>
                <c:ptCount val="6"/>
                <c:pt idx="1">
                  <c:v>0.49017149999999998</c:v>
                </c:pt>
                <c:pt idx="2">
                  <c:v>0</c:v>
                </c:pt>
                <c:pt idx="3">
                  <c:v>0.49017149999999998</c:v>
                </c:pt>
                <c:pt idx="4">
                  <c:v>0</c:v>
                </c:pt>
              </c:numCache>
            </c:numRef>
          </c:val>
          <c:extLst>
            <c:ext xmlns:c16="http://schemas.microsoft.com/office/drawing/2014/chart" uri="{C3380CC4-5D6E-409C-BE32-E72D297353CC}">
              <c16:uniqueId val="{00000009-0333-49C2-9464-58665D9CAA0F}"/>
            </c:ext>
          </c:extLst>
        </c:ser>
        <c:ser>
          <c:idx val="21"/>
          <c:order val="16"/>
          <c:tx>
            <c:strRef>
              <c:f>'OPTION 1 - Data for Figures'!$A$24</c:f>
              <c:strCache>
                <c:ptCount val="1"/>
                <c:pt idx="0">
                  <c:v>Ham</c:v>
                </c:pt>
              </c:strCache>
            </c:strRef>
          </c:tx>
          <c:spPr>
            <a:solidFill>
              <a:schemeClr val="accent4">
                <a:lumMod val="8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Figures'!$B$24:$G$24</c:f>
              <c:numCache>
                <c:formatCode>0.0</c:formatCode>
                <c:ptCount val="6"/>
                <c:pt idx="1">
                  <c:v>0.18018000000000001</c:v>
                </c:pt>
                <c:pt idx="2">
                  <c:v>0</c:v>
                </c:pt>
                <c:pt idx="3">
                  <c:v>0.18018000000000001</c:v>
                </c:pt>
                <c:pt idx="4">
                  <c:v>0</c:v>
                </c:pt>
              </c:numCache>
            </c:numRef>
          </c:val>
          <c:extLst>
            <c:ext xmlns:c16="http://schemas.microsoft.com/office/drawing/2014/chart" uri="{C3380CC4-5D6E-409C-BE32-E72D297353CC}">
              <c16:uniqueId val="{0000000A-0333-49C2-9464-58665D9CAA0F}"/>
            </c:ext>
          </c:extLst>
        </c:ser>
        <c:ser>
          <c:idx val="15"/>
          <c:order val="17"/>
          <c:tx>
            <c:strRef>
              <c:f>'OPTION 1 - Data for Figures'!$A$25</c:f>
              <c:strCache>
                <c:ptCount val="1"/>
                <c:pt idx="0">
                  <c:v>Pies &amp; pizza</c:v>
                </c:pt>
              </c:strCache>
            </c:strRef>
          </c:tx>
          <c:spPr>
            <a:solidFill>
              <a:schemeClr val="accent4">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Figures'!$B$25:$G$25</c:f>
              <c:numCache>
                <c:formatCode>0.0</c:formatCode>
                <c:ptCount val="6"/>
                <c:pt idx="1">
                  <c:v>0.12740000000000001</c:v>
                </c:pt>
                <c:pt idx="2">
                  <c:v>0</c:v>
                </c:pt>
                <c:pt idx="3">
                  <c:v>0.12740000000000001</c:v>
                </c:pt>
                <c:pt idx="4">
                  <c:v>0</c:v>
                </c:pt>
              </c:numCache>
            </c:numRef>
          </c:val>
          <c:extLst>
            <c:ext xmlns:c16="http://schemas.microsoft.com/office/drawing/2014/chart" uri="{C3380CC4-5D6E-409C-BE32-E72D297353CC}">
              <c16:uniqueId val="{0000000B-0333-49C2-9464-58665D9CAA0F}"/>
            </c:ext>
          </c:extLst>
        </c:ser>
        <c:ser>
          <c:idx val="16"/>
          <c:order val="18"/>
          <c:tx>
            <c:strRef>
              <c:f>'OPTION 1 - Data for Figures'!$A$26</c:f>
              <c:strCache>
                <c:ptCount val="1"/>
                <c:pt idx="0">
                  <c:v>Biscuits, rusks</c:v>
                </c:pt>
              </c:strCache>
            </c:strRef>
          </c:tx>
          <c:spPr>
            <a:solidFill>
              <a:schemeClr val="accent5">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Figures'!$B$26:$G$26</c:f>
              <c:numCache>
                <c:formatCode>0.0</c:formatCode>
                <c:ptCount val="6"/>
                <c:pt idx="1">
                  <c:v>9.0090000000000003E-2</c:v>
                </c:pt>
                <c:pt idx="2">
                  <c:v>0</c:v>
                </c:pt>
                <c:pt idx="3">
                  <c:v>9.0090000000000003E-2</c:v>
                </c:pt>
                <c:pt idx="4">
                  <c:v>0</c:v>
                </c:pt>
              </c:numCache>
            </c:numRef>
          </c:val>
          <c:extLst>
            <c:ext xmlns:c16="http://schemas.microsoft.com/office/drawing/2014/chart" uri="{C3380CC4-5D6E-409C-BE32-E72D297353CC}">
              <c16:uniqueId val="{0000000C-0333-49C2-9464-58665D9CAA0F}"/>
            </c:ext>
          </c:extLst>
        </c:ser>
        <c:ser>
          <c:idx val="17"/>
          <c:order val="19"/>
          <c:tx>
            <c:strRef>
              <c:f>'OPTION 1 - Data for Figures'!$A$27</c:f>
              <c:strCache>
                <c:ptCount val="1"/>
                <c:pt idx="0">
                  <c:v>Ready made soup</c:v>
                </c:pt>
              </c:strCache>
            </c:strRef>
          </c:tx>
          <c:spPr>
            <a:solidFill>
              <a:schemeClr val="accent6">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Figures'!$B$27:$G$27</c:f>
              <c:numCache>
                <c:formatCode>0.0</c:formatCode>
                <c:ptCount val="6"/>
                <c:pt idx="1">
                  <c:v>6.9614999999999996E-2</c:v>
                </c:pt>
                <c:pt idx="2">
                  <c:v>0</c:v>
                </c:pt>
                <c:pt idx="3">
                  <c:v>6.9614999999999996E-2</c:v>
                </c:pt>
                <c:pt idx="4">
                  <c:v>0</c:v>
                </c:pt>
              </c:numCache>
            </c:numRef>
          </c:val>
          <c:extLst>
            <c:ext xmlns:c16="http://schemas.microsoft.com/office/drawing/2014/chart" uri="{C3380CC4-5D6E-409C-BE32-E72D297353CC}">
              <c16:uniqueId val="{0000000D-0333-49C2-9464-58665D9CAA0F}"/>
            </c:ext>
          </c:extLst>
        </c:ser>
        <c:dLbls>
          <c:showLegendKey val="0"/>
          <c:showVal val="0"/>
          <c:showCatName val="0"/>
          <c:showSerName val="0"/>
          <c:showPercent val="0"/>
          <c:showBubbleSize val="0"/>
        </c:dLbls>
        <c:gapWidth val="150"/>
        <c:overlap val="100"/>
        <c:axId val="598414352"/>
        <c:axId val="598412056"/>
      </c:barChart>
      <c:lineChart>
        <c:grouping val="standard"/>
        <c:varyColors val="0"/>
        <c:ser>
          <c:idx val="19"/>
          <c:order val="20"/>
          <c:tx>
            <c:strRef>
              <c:f>'OPTION 1 - Data for Figures'!$A$35</c:f>
              <c:strCache>
                <c:ptCount val="1"/>
                <c:pt idx="0">
                  <c:v>Estimated Average Requirement (µg)</c:v>
                </c:pt>
              </c:strCache>
            </c:strRef>
          </c:tx>
          <c:spPr>
            <a:ln w="28575" cap="rnd">
              <a:solidFill>
                <a:srgbClr val="C00000"/>
              </a:solidFill>
              <a:round/>
            </a:ln>
            <a:effectLst/>
          </c:spPr>
          <c:marker>
            <c:symbol val="none"/>
          </c:marker>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Figures'!$B$35:$G$35</c:f>
              <c:numCache>
                <c:formatCode>General</c:formatCode>
                <c:ptCount val="6"/>
                <c:pt idx="0">
                  <c:v>95</c:v>
                </c:pt>
                <c:pt idx="1">
                  <c:v>95</c:v>
                </c:pt>
                <c:pt idx="2">
                  <c:v>95</c:v>
                </c:pt>
                <c:pt idx="3">
                  <c:v>95</c:v>
                </c:pt>
                <c:pt idx="4">
                  <c:v>95</c:v>
                </c:pt>
                <c:pt idx="5">
                  <c:v>95</c:v>
                </c:pt>
              </c:numCache>
            </c:numRef>
          </c:val>
          <c:smooth val="0"/>
          <c:extLst>
            <c:ext xmlns:c16="http://schemas.microsoft.com/office/drawing/2014/chart" uri="{C3380CC4-5D6E-409C-BE32-E72D297353CC}">
              <c16:uniqueId val="{0000000E-0333-49C2-9464-58665D9CAA0F}"/>
            </c:ext>
          </c:extLst>
        </c:ser>
        <c:ser>
          <c:idx val="20"/>
          <c:order val="21"/>
          <c:tx>
            <c:strRef>
              <c:f>'OPTION 1 - Data for Figures'!$A$36</c:f>
              <c:strCache>
                <c:ptCount val="1"/>
                <c:pt idx="0">
                  <c:v>Recommended Nutrient Intake (µg)</c:v>
                </c:pt>
              </c:strCache>
            </c:strRef>
          </c:tx>
          <c:spPr>
            <a:ln w="28575" cap="rnd">
              <a:solidFill>
                <a:schemeClr val="accent6">
                  <a:lumMod val="75000"/>
                </a:schemeClr>
              </a:solidFill>
              <a:round/>
            </a:ln>
            <a:effectLst/>
          </c:spPr>
          <c:marker>
            <c:symbol val="none"/>
          </c:marker>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Figures'!$B$36:$G$36</c:f>
              <c:numCache>
                <c:formatCode>General</c:formatCode>
                <c:ptCount val="6"/>
                <c:pt idx="0">
                  <c:v>150</c:v>
                </c:pt>
                <c:pt idx="1">
                  <c:v>150</c:v>
                </c:pt>
                <c:pt idx="2">
                  <c:v>150</c:v>
                </c:pt>
                <c:pt idx="3">
                  <c:v>150</c:v>
                </c:pt>
                <c:pt idx="4">
                  <c:v>150</c:v>
                </c:pt>
                <c:pt idx="5">
                  <c:v>150</c:v>
                </c:pt>
              </c:numCache>
            </c:numRef>
          </c:val>
          <c:smooth val="0"/>
          <c:extLst>
            <c:ext xmlns:c16="http://schemas.microsoft.com/office/drawing/2014/chart" uri="{C3380CC4-5D6E-409C-BE32-E72D297353CC}">
              <c16:uniqueId val="{0000000F-0333-49C2-9464-58665D9CAA0F}"/>
            </c:ext>
          </c:extLst>
        </c:ser>
        <c:dLbls>
          <c:showLegendKey val="0"/>
          <c:showVal val="0"/>
          <c:showCatName val="0"/>
          <c:showSerName val="0"/>
          <c:showPercent val="0"/>
          <c:showBubbleSize val="0"/>
        </c:dLbls>
        <c:marker val="1"/>
        <c:smooth val="0"/>
        <c:axId val="598414352"/>
        <c:axId val="598412056"/>
        <c:extLst/>
      </c:lineChart>
      <c:catAx>
        <c:axId val="5984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2056"/>
        <c:crosses val="autoZero"/>
        <c:auto val="1"/>
        <c:lblAlgn val="ctr"/>
        <c:lblOffset val="100"/>
        <c:noMultiLvlLbl val="0"/>
      </c:catAx>
      <c:valAx>
        <c:axId val="598412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Estiamted iodine intake (µg)</a:t>
                </a:r>
              </a:p>
            </c:rich>
          </c:tx>
          <c:layout>
            <c:manualLayout>
              <c:xMode val="edge"/>
              <c:yMode val="edge"/>
              <c:x val="1.3667425477824494E-2"/>
              <c:y val="0.3054671228923609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4352"/>
        <c:crosses val="autoZero"/>
        <c:crossBetween val="between"/>
      </c:valAx>
      <c:spPr>
        <a:noFill/>
        <a:ln>
          <a:noFill/>
        </a:ln>
        <a:effectLst/>
      </c:spPr>
    </c:plotArea>
    <c:legend>
      <c:legendPos val="b"/>
      <c:layout>
        <c:manualLayout>
          <c:xMode val="edge"/>
          <c:yMode val="edge"/>
          <c:x val="8.0367576401639725E-3"/>
          <c:y val="0.77980618924211376"/>
          <c:w val="0.98017278824745913"/>
          <c:h val="0.17944382277312615"/>
        </c:manualLayout>
      </c:layout>
      <c:overlay val="0"/>
      <c:spPr>
        <a:noFill/>
        <a:ln>
          <a:solidFill>
            <a:schemeClr val="bg2">
              <a:lumMod val="25000"/>
            </a:schemeClr>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86856736431896E-2"/>
          <c:y val="8.1466133487240799E-2"/>
          <c:w val="0.89677897523796124"/>
          <c:h val="0.66738426021354658"/>
        </c:manualLayout>
      </c:layout>
      <c:barChart>
        <c:barDir val="col"/>
        <c:grouping val="stacked"/>
        <c:varyColors val="0"/>
        <c:ser>
          <c:idx val="0"/>
          <c:order val="0"/>
          <c:tx>
            <c:strRef>
              <c:f>'OPTION 1 - Data for Figures'!$A$8</c:f>
              <c:strCache>
                <c:ptCount val="1"/>
                <c:pt idx="0">
                  <c:v>Household salt</c:v>
                </c:pt>
              </c:strCache>
            </c:strRef>
          </c:tx>
          <c:spPr>
            <a:solidFill>
              <a:schemeClr val="accent1">
                <a:lumMod val="75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Figures'!$B$8:$G$8</c:f>
              <c:numCache>
                <c:formatCode>0.0</c:formatCode>
                <c:ptCount val="6"/>
                <c:pt idx="1">
                  <c:v>250.24999999999997</c:v>
                </c:pt>
                <c:pt idx="2">
                  <c:v>175.17499999999998</c:v>
                </c:pt>
                <c:pt idx="3">
                  <c:v>237.73749999999995</c:v>
                </c:pt>
                <c:pt idx="4">
                  <c:v>166.41624999999996</c:v>
                </c:pt>
              </c:numCache>
            </c:numRef>
          </c:val>
          <c:extLst>
            <c:ext xmlns:c16="http://schemas.microsoft.com/office/drawing/2014/chart" uri="{C3380CC4-5D6E-409C-BE32-E72D297353CC}">
              <c16:uniqueId val="{00000000-3621-4068-8275-15F0E209113A}"/>
            </c:ext>
          </c:extLst>
        </c:ser>
        <c:ser>
          <c:idx val="1"/>
          <c:order val="1"/>
          <c:tx>
            <c:strRef>
              <c:f>'OPTION 1 - Data for Figures'!$A$9</c:f>
              <c:strCache>
                <c:ptCount val="1"/>
                <c:pt idx="0">
                  <c:v>Bread &amp; brotchen</c:v>
                </c:pt>
              </c:strCache>
            </c:strRef>
          </c:tx>
          <c:spPr>
            <a:solidFill>
              <a:schemeClr val="accent2">
                <a:lumMod val="40000"/>
                <a:lumOff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Figures'!$B$9:$G$9</c:f>
              <c:numCache>
                <c:formatCode>0.0</c:formatCode>
                <c:ptCount val="6"/>
                <c:pt idx="1">
                  <c:v>121.63423999999998</c:v>
                </c:pt>
                <c:pt idx="2">
                  <c:v>97.307391999999993</c:v>
                </c:pt>
                <c:pt idx="3">
                  <c:v>103.38910399999997</c:v>
                </c:pt>
                <c:pt idx="4">
                  <c:v>82.711283199999997</c:v>
                </c:pt>
              </c:numCache>
            </c:numRef>
          </c:val>
          <c:extLst>
            <c:ext xmlns:c16="http://schemas.microsoft.com/office/drawing/2014/chart" uri="{C3380CC4-5D6E-409C-BE32-E72D297353CC}">
              <c16:uniqueId val="{00000001-3621-4068-8275-15F0E209113A}"/>
            </c:ext>
          </c:extLst>
        </c:ser>
        <c:ser>
          <c:idx val="2"/>
          <c:order val="2"/>
          <c:tx>
            <c:strRef>
              <c:f>'OPTION 1 - Data for Figures'!$A$10</c:f>
              <c:strCache>
                <c:ptCount val="1"/>
                <c:pt idx="0">
                  <c:v>Dried fish</c:v>
                </c:pt>
              </c:strCache>
            </c:strRef>
          </c:tx>
          <c:spPr>
            <a:solidFill>
              <a:schemeClr val="accent6">
                <a:lumMod val="40000"/>
                <a:lumOff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Figures'!$B$10:$G$10</c:f>
              <c:numCache>
                <c:formatCode>0.0</c:formatCode>
                <c:ptCount val="6"/>
                <c:pt idx="1">
                  <c:v>16.696680000000001</c:v>
                </c:pt>
                <c:pt idx="2">
                  <c:v>8.3483400000000003</c:v>
                </c:pt>
                <c:pt idx="3">
                  <c:v>16.195779600000002</c:v>
                </c:pt>
                <c:pt idx="4">
                  <c:v>8.0978898000000008</c:v>
                </c:pt>
              </c:numCache>
            </c:numRef>
          </c:val>
          <c:extLst>
            <c:ext xmlns:c16="http://schemas.microsoft.com/office/drawing/2014/chart" uri="{C3380CC4-5D6E-409C-BE32-E72D297353CC}">
              <c16:uniqueId val="{00000002-3621-4068-8275-15F0E209113A}"/>
            </c:ext>
          </c:extLst>
        </c:ser>
        <c:ser>
          <c:idx val="3"/>
          <c:order val="3"/>
          <c:tx>
            <c:strRef>
              <c:f>'OPTION 1 - Data for Figures'!$A$11</c:f>
              <c:strCache>
                <c:ptCount val="1"/>
                <c:pt idx="0">
                  <c:v>Powdered soup</c:v>
                </c:pt>
              </c:strCache>
            </c:strRef>
          </c:tx>
          <c:spPr>
            <a:solidFill>
              <a:schemeClr val="accent4"/>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Figures'!$B$11:$G$11</c:f>
              <c:numCache>
                <c:formatCode>0.0</c:formatCode>
                <c:ptCount val="6"/>
                <c:pt idx="1">
                  <c:v>6.7746769999999996</c:v>
                </c:pt>
                <c:pt idx="2">
                  <c:v>6.7746769999999996</c:v>
                </c:pt>
                <c:pt idx="3">
                  <c:v>5.7584754499999997</c:v>
                </c:pt>
                <c:pt idx="4">
                  <c:v>5.7584754499999997</c:v>
                </c:pt>
              </c:numCache>
            </c:numRef>
          </c:val>
          <c:extLst>
            <c:ext xmlns:c16="http://schemas.microsoft.com/office/drawing/2014/chart" uri="{C3380CC4-5D6E-409C-BE32-E72D297353CC}">
              <c16:uniqueId val="{00000003-3621-4068-8275-15F0E209113A}"/>
            </c:ext>
          </c:extLst>
        </c:ser>
        <c:ser>
          <c:idx val="4"/>
          <c:order val="4"/>
          <c:tx>
            <c:strRef>
              <c:f>'OPTION 1 - Data for Figures'!$A$12</c:f>
              <c:strCache>
                <c:ptCount val="1"/>
                <c:pt idx="0">
                  <c:v>Sausages, other than polony</c:v>
                </c:pt>
              </c:strCache>
            </c:strRef>
          </c:tx>
          <c:spPr>
            <a:solidFill>
              <a:schemeClr val="accent5"/>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Figures'!$B$12:$G$12</c:f>
              <c:numCache>
                <c:formatCode>0.0</c:formatCode>
                <c:ptCount val="6"/>
                <c:pt idx="1">
                  <c:v>5.3513459999999995</c:v>
                </c:pt>
                <c:pt idx="2">
                  <c:v>3.7459421999999996</c:v>
                </c:pt>
                <c:pt idx="3">
                  <c:v>5.3513459999999995</c:v>
                </c:pt>
                <c:pt idx="4">
                  <c:v>3.7459421999999996</c:v>
                </c:pt>
              </c:numCache>
            </c:numRef>
          </c:val>
          <c:extLst>
            <c:ext xmlns:c16="http://schemas.microsoft.com/office/drawing/2014/chart" uri="{C3380CC4-5D6E-409C-BE32-E72D297353CC}">
              <c16:uniqueId val="{00000004-3621-4068-8275-15F0E209113A}"/>
            </c:ext>
          </c:extLst>
        </c:ser>
        <c:ser>
          <c:idx val="5"/>
          <c:order val="5"/>
          <c:tx>
            <c:strRef>
              <c:f>'OPTION 1 - Data for Figures'!$A$13</c:f>
              <c:strCache>
                <c:ptCount val="1"/>
                <c:pt idx="0">
                  <c:v>Spices &amp; condiments</c:v>
                </c:pt>
              </c:strCache>
            </c:strRef>
          </c:tx>
          <c:spPr>
            <a:solidFill>
              <a:schemeClr val="accent6"/>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Figures'!$B$13:$G$13</c:f>
              <c:numCache>
                <c:formatCode>0.0</c:formatCode>
                <c:ptCount val="6"/>
                <c:pt idx="1">
                  <c:v>2.5934999999999997</c:v>
                </c:pt>
                <c:pt idx="2">
                  <c:v>2.5934999999999997</c:v>
                </c:pt>
                <c:pt idx="3">
                  <c:v>2.3341499999999997</c:v>
                </c:pt>
                <c:pt idx="4">
                  <c:v>2.3341499999999997</c:v>
                </c:pt>
              </c:numCache>
            </c:numRef>
          </c:val>
          <c:extLst>
            <c:ext xmlns:c16="http://schemas.microsoft.com/office/drawing/2014/chart" uri="{C3380CC4-5D6E-409C-BE32-E72D297353CC}">
              <c16:uniqueId val="{00000005-3621-4068-8275-15F0E209113A}"/>
            </c:ext>
          </c:extLst>
        </c:ser>
        <c:ser>
          <c:idx val="6"/>
          <c:order val="6"/>
          <c:tx>
            <c:strRef>
              <c:f>'OPTION 1 - Data for Figures'!$A$14</c:f>
              <c:strCache>
                <c:ptCount val="1"/>
                <c:pt idx="0">
                  <c:v>Traditional bread</c:v>
                </c:pt>
              </c:strCache>
            </c:strRef>
          </c:tx>
          <c:spPr>
            <a:solidFill>
              <a:schemeClr val="accent1">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Figures'!$B$14:$G$14</c:f>
              <c:numCache>
                <c:formatCode>0.0</c:formatCode>
                <c:ptCount val="6"/>
                <c:pt idx="1">
                  <c:v>2.9775199999999997</c:v>
                </c:pt>
                <c:pt idx="2">
                  <c:v>2.9775199999999997</c:v>
                </c:pt>
                <c:pt idx="3">
                  <c:v>2.8286439999999997</c:v>
                </c:pt>
                <c:pt idx="4">
                  <c:v>2.8286439999999997</c:v>
                </c:pt>
              </c:numCache>
            </c:numRef>
          </c:val>
          <c:extLst>
            <c:ext xmlns:c16="http://schemas.microsoft.com/office/drawing/2014/chart" uri="{C3380CC4-5D6E-409C-BE32-E72D297353CC}">
              <c16:uniqueId val="{00000001-3046-49A1-AA03-1A5AA2C958F7}"/>
            </c:ext>
          </c:extLst>
        </c:ser>
        <c:ser>
          <c:idx val="7"/>
          <c:order val="7"/>
          <c:tx>
            <c:strRef>
              <c:f>'OPTION 1 - Data for Figures'!$A$15</c:f>
              <c:strCache>
                <c:ptCount val="1"/>
                <c:pt idx="0">
                  <c:v>Chips &amp; crisps</c:v>
                </c:pt>
              </c:strCache>
            </c:strRef>
          </c:tx>
          <c:spPr>
            <a:solidFill>
              <a:schemeClr val="accent2">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Figures'!$B$15:$G$15</c:f>
              <c:numCache>
                <c:formatCode>0.0</c:formatCode>
                <c:ptCount val="6"/>
                <c:pt idx="1">
                  <c:v>2.5025000000000004</c:v>
                </c:pt>
                <c:pt idx="2">
                  <c:v>0</c:v>
                </c:pt>
                <c:pt idx="3">
                  <c:v>2.5025000000000004</c:v>
                </c:pt>
                <c:pt idx="4">
                  <c:v>0</c:v>
                </c:pt>
              </c:numCache>
            </c:numRef>
          </c:val>
          <c:extLst xmlns:c15="http://schemas.microsoft.com/office/drawing/2012/chart">
            <c:ext xmlns:c16="http://schemas.microsoft.com/office/drawing/2014/chart" uri="{C3380CC4-5D6E-409C-BE32-E72D297353CC}">
              <c16:uniqueId val="{00000002-3046-49A1-AA03-1A5AA2C958F7}"/>
            </c:ext>
          </c:extLst>
        </c:ser>
        <c:ser>
          <c:idx val="8"/>
          <c:order val="8"/>
          <c:tx>
            <c:strRef>
              <c:f>'OPTION 1 - Data for Figures'!$A$16</c:f>
              <c:strCache>
                <c:ptCount val="1"/>
                <c:pt idx="0">
                  <c:v>Smoked fish</c:v>
                </c:pt>
              </c:strCache>
            </c:strRef>
          </c:tx>
          <c:spPr>
            <a:solidFill>
              <a:schemeClr val="accent3">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Figures'!$B$16:$G$16</c:f>
              <c:numCache>
                <c:formatCode>0.0</c:formatCode>
                <c:ptCount val="6"/>
                <c:pt idx="1">
                  <c:v>9.2819999999999986E-2</c:v>
                </c:pt>
                <c:pt idx="2">
                  <c:v>0</c:v>
                </c:pt>
                <c:pt idx="3">
                  <c:v>9.2819999999999986E-2</c:v>
                </c:pt>
                <c:pt idx="4">
                  <c:v>0</c:v>
                </c:pt>
              </c:numCache>
            </c:numRef>
          </c:val>
          <c:extLst xmlns:c15="http://schemas.microsoft.com/office/drawing/2012/chart">
            <c:ext xmlns:c16="http://schemas.microsoft.com/office/drawing/2014/chart" uri="{C3380CC4-5D6E-409C-BE32-E72D297353CC}">
              <c16:uniqueId val="{00000003-3046-49A1-AA03-1A5AA2C958F7}"/>
            </c:ext>
          </c:extLst>
        </c:ser>
        <c:ser>
          <c:idx val="9"/>
          <c:order val="9"/>
          <c:tx>
            <c:strRef>
              <c:f>'OPTION 1 - Data for Figures'!$A$17</c:f>
              <c:strCache>
                <c:ptCount val="1"/>
                <c:pt idx="0">
                  <c:v>Polony</c:v>
                </c:pt>
              </c:strCache>
            </c:strRef>
          </c:tx>
          <c:spPr>
            <a:solidFill>
              <a:schemeClr val="accent4">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Figures'!$B$17:$G$17</c:f>
              <c:numCache>
                <c:formatCode>0.0</c:formatCode>
                <c:ptCount val="6"/>
                <c:pt idx="1">
                  <c:v>1.3367899999999997</c:v>
                </c:pt>
                <c:pt idx="2">
                  <c:v>0</c:v>
                </c:pt>
                <c:pt idx="3">
                  <c:v>1.3367899999999997</c:v>
                </c:pt>
                <c:pt idx="4">
                  <c:v>0</c:v>
                </c:pt>
              </c:numCache>
            </c:numRef>
          </c:val>
          <c:extLst xmlns:c15="http://schemas.microsoft.com/office/drawing/2012/chart">
            <c:ext xmlns:c16="http://schemas.microsoft.com/office/drawing/2014/chart" uri="{C3380CC4-5D6E-409C-BE32-E72D297353CC}">
              <c16:uniqueId val="{00000004-3046-49A1-AA03-1A5AA2C958F7}"/>
            </c:ext>
          </c:extLst>
        </c:ser>
        <c:ser>
          <c:idx val="10"/>
          <c:order val="10"/>
          <c:tx>
            <c:strRef>
              <c:f>'OPTION 1 - Data for Figures'!$A$18</c:f>
              <c:strCache>
                <c:ptCount val="1"/>
                <c:pt idx="0">
                  <c:v>Cheese, all types</c:v>
                </c:pt>
              </c:strCache>
            </c:strRef>
          </c:tx>
          <c:spPr>
            <a:solidFill>
              <a:schemeClr val="accent5">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Figures'!$B$18:$G$18</c:f>
              <c:numCache>
                <c:formatCode>0.0</c:formatCode>
                <c:ptCount val="6"/>
                <c:pt idx="1">
                  <c:v>0.79169999999999996</c:v>
                </c:pt>
                <c:pt idx="2">
                  <c:v>0</c:v>
                </c:pt>
                <c:pt idx="3">
                  <c:v>0.79169999999999996</c:v>
                </c:pt>
                <c:pt idx="4">
                  <c:v>0</c:v>
                </c:pt>
              </c:numCache>
            </c:numRef>
          </c:val>
          <c:extLst xmlns:c15="http://schemas.microsoft.com/office/drawing/2012/chart">
            <c:ext xmlns:c16="http://schemas.microsoft.com/office/drawing/2014/chart" uri="{C3380CC4-5D6E-409C-BE32-E72D297353CC}">
              <c16:uniqueId val="{00000005-3046-49A1-AA03-1A5AA2C958F7}"/>
            </c:ext>
          </c:extLst>
        </c:ser>
        <c:ser>
          <c:idx val="25"/>
          <c:order val="11"/>
          <c:tx>
            <c:strRef>
              <c:f>'OPTION 1 - Data for Figures'!$A$19</c:f>
              <c:strCache>
                <c:ptCount val="1"/>
                <c:pt idx="0">
                  <c:v>Canned meat</c:v>
                </c:pt>
              </c:strCache>
            </c:strRef>
          </c:tx>
          <c:spPr>
            <a:solidFill>
              <a:schemeClr val="accent2">
                <a:lumMod val="60000"/>
                <a:lumOff val="4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Figures'!$B$19:$G$19</c:f>
              <c:numCache>
                <c:formatCode>0.0</c:formatCode>
                <c:ptCount val="6"/>
                <c:pt idx="1">
                  <c:v>0.67112499999999997</c:v>
                </c:pt>
                <c:pt idx="2">
                  <c:v>0</c:v>
                </c:pt>
                <c:pt idx="3">
                  <c:v>0.67112499999999997</c:v>
                </c:pt>
                <c:pt idx="4">
                  <c:v>0</c:v>
                </c:pt>
              </c:numCache>
            </c:numRef>
          </c:val>
          <c:extLst>
            <c:ext xmlns:c16="http://schemas.microsoft.com/office/drawing/2014/chart" uri="{C3380CC4-5D6E-409C-BE32-E72D297353CC}">
              <c16:uniqueId val="{0000000D-8F3D-45FA-AAB3-8E729A33E09A}"/>
            </c:ext>
          </c:extLst>
        </c:ser>
        <c:ser>
          <c:idx val="26"/>
          <c:order val="12"/>
          <c:tx>
            <c:strRef>
              <c:f>'OPTION 1 - Data for Figures'!$A$20</c:f>
              <c:strCache>
                <c:ptCount val="1"/>
                <c:pt idx="0">
                  <c:v>Biltong</c:v>
                </c:pt>
              </c:strCache>
            </c:strRef>
          </c:tx>
          <c:spPr>
            <a:solidFill>
              <a:schemeClr val="accent3">
                <a:lumMod val="60000"/>
                <a:lumOff val="4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Figures'!$B$20:$G$20</c:f>
              <c:numCache>
                <c:formatCode>0.0</c:formatCode>
                <c:ptCount val="6"/>
                <c:pt idx="1">
                  <c:v>0.60387599999999997</c:v>
                </c:pt>
                <c:pt idx="2">
                  <c:v>0</c:v>
                </c:pt>
                <c:pt idx="3">
                  <c:v>0.60387599999999997</c:v>
                </c:pt>
                <c:pt idx="4">
                  <c:v>0</c:v>
                </c:pt>
              </c:numCache>
            </c:numRef>
          </c:val>
          <c:extLst>
            <c:ext xmlns:c16="http://schemas.microsoft.com/office/drawing/2014/chart" uri="{C3380CC4-5D6E-409C-BE32-E72D297353CC}">
              <c16:uniqueId val="{0000000E-8F3D-45FA-AAB3-8E729A33E09A}"/>
            </c:ext>
          </c:extLst>
        </c:ser>
        <c:ser>
          <c:idx val="11"/>
          <c:order val="13"/>
          <c:tx>
            <c:strRef>
              <c:f>'OPTION 1 - Data for Figures'!$A$21</c:f>
              <c:strCache>
                <c:ptCount val="1"/>
                <c:pt idx="0">
                  <c:v>Smoked meat, other than bacon &amp; ham</c:v>
                </c:pt>
              </c:strCache>
            </c:strRef>
          </c:tx>
          <c:spPr>
            <a:solidFill>
              <a:schemeClr val="accent6">
                <a:lumMod val="6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Figures'!$B$21:$G$21</c:f>
              <c:numCache>
                <c:formatCode>0.0</c:formatCode>
                <c:ptCount val="6"/>
                <c:pt idx="1">
                  <c:v>0.44771999999999995</c:v>
                </c:pt>
                <c:pt idx="2">
                  <c:v>0</c:v>
                </c:pt>
                <c:pt idx="3">
                  <c:v>0.44771999999999995</c:v>
                </c:pt>
                <c:pt idx="4">
                  <c:v>0</c:v>
                </c:pt>
              </c:numCache>
            </c:numRef>
          </c:val>
          <c:extLst>
            <c:ext xmlns:c16="http://schemas.microsoft.com/office/drawing/2014/chart" uri="{C3380CC4-5D6E-409C-BE32-E72D297353CC}">
              <c16:uniqueId val="{00000035-BDF2-4240-9349-8286B3BE7C52}"/>
            </c:ext>
          </c:extLst>
        </c:ser>
        <c:ser>
          <c:idx val="12"/>
          <c:order val="14"/>
          <c:tx>
            <c:strRef>
              <c:f>'OPTION 1 - Data for Figures'!$A$22</c:f>
              <c:strCache>
                <c:ptCount val="1"/>
                <c:pt idx="0">
                  <c:v>Tomato sauce</c:v>
                </c:pt>
              </c:strCache>
            </c:strRef>
          </c:tx>
          <c:spPr>
            <a:solidFill>
              <a:schemeClr val="accent1">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Figures'!$B$22:$G$22</c:f>
              <c:numCache>
                <c:formatCode>0.0</c:formatCode>
                <c:ptCount val="6"/>
                <c:pt idx="1">
                  <c:v>0.33760999999999997</c:v>
                </c:pt>
                <c:pt idx="2">
                  <c:v>0</c:v>
                </c:pt>
                <c:pt idx="3">
                  <c:v>0.33760999999999997</c:v>
                </c:pt>
                <c:pt idx="4">
                  <c:v>0</c:v>
                </c:pt>
              </c:numCache>
            </c:numRef>
          </c:val>
          <c:extLst>
            <c:ext xmlns:c16="http://schemas.microsoft.com/office/drawing/2014/chart" uri="{C3380CC4-5D6E-409C-BE32-E72D297353CC}">
              <c16:uniqueId val="{00000036-BDF2-4240-9349-8286B3BE7C52}"/>
            </c:ext>
          </c:extLst>
        </c:ser>
        <c:ser>
          <c:idx val="13"/>
          <c:order val="15"/>
          <c:tx>
            <c:strRef>
              <c:f>'OPTION 1 - Data for Figures'!$A$23</c:f>
              <c:strCache>
                <c:ptCount val="1"/>
                <c:pt idx="0">
                  <c:v>Bacon</c:v>
                </c:pt>
              </c:strCache>
            </c:strRef>
          </c:tx>
          <c:spPr>
            <a:solidFill>
              <a:schemeClr val="accent2">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Figures'!$B$23:$G$23</c:f>
              <c:numCache>
                <c:formatCode>0.0</c:formatCode>
                <c:ptCount val="6"/>
                <c:pt idx="1">
                  <c:v>0.49017149999999998</c:v>
                </c:pt>
                <c:pt idx="2">
                  <c:v>0</c:v>
                </c:pt>
                <c:pt idx="3">
                  <c:v>0.49017149999999998</c:v>
                </c:pt>
                <c:pt idx="4">
                  <c:v>0</c:v>
                </c:pt>
              </c:numCache>
            </c:numRef>
          </c:val>
          <c:extLst>
            <c:ext xmlns:c16="http://schemas.microsoft.com/office/drawing/2014/chart" uri="{C3380CC4-5D6E-409C-BE32-E72D297353CC}">
              <c16:uniqueId val="{00000037-BDF2-4240-9349-8286B3BE7C52}"/>
            </c:ext>
          </c:extLst>
        </c:ser>
        <c:ser>
          <c:idx val="14"/>
          <c:order val="16"/>
          <c:tx>
            <c:strRef>
              <c:f>'OPTION 1 - Data for Figures'!$A$24</c:f>
              <c:strCache>
                <c:ptCount val="1"/>
                <c:pt idx="0">
                  <c:v>Ham</c:v>
                </c:pt>
              </c:strCache>
            </c:strRef>
          </c:tx>
          <c:spPr>
            <a:solidFill>
              <a:schemeClr val="accent3">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Figures'!$B$24:$G$24</c:f>
              <c:numCache>
                <c:formatCode>0.0</c:formatCode>
                <c:ptCount val="6"/>
                <c:pt idx="1">
                  <c:v>0.18018000000000001</c:v>
                </c:pt>
                <c:pt idx="2">
                  <c:v>0</c:v>
                </c:pt>
                <c:pt idx="3">
                  <c:v>0.18018000000000001</c:v>
                </c:pt>
                <c:pt idx="4">
                  <c:v>0</c:v>
                </c:pt>
              </c:numCache>
            </c:numRef>
          </c:val>
          <c:extLst>
            <c:ext xmlns:c16="http://schemas.microsoft.com/office/drawing/2014/chart" uri="{C3380CC4-5D6E-409C-BE32-E72D297353CC}">
              <c16:uniqueId val="{00000038-BDF2-4240-9349-8286B3BE7C52}"/>
            </c:ext>
          </c:extLst>
        </c:ser>
        <c:ser>
          <c:idx val="15"/>
          <c:order val="17"/>
          <c:tx>
            <c:strRef>
              <c:f>'OPTION 1 - Data for Figures'!$A$25</c:f>
              <c:strCache>
                <c:ptCount val="1"/>
                <c:pt idx="0">
                  <c:v>Pies &amp; pizza</c:v>
                </c:pt>
              </c:strCache>
            </c:strRef>
          </c:tx>
          <c:spPr>
            <a:solidFill>
              <a:schemeClr val="accent4">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Figures'!$B$25:$G$25</c:f>
              <c:numCache>
                <c:formatCode>0.0</c:formatCode>
                <c:ptCount val="6"/>
                <c:pt idx="1">
                  <c:v>0.12740000000000001</c:v>
                </c:pt>
                <c:pt idx="2">
                  <c:v>0</c:v>
                </c:pt>
                <c:pt idx="3">
                  <c:v>0.12740000000000001</c:v>
                </c:pt>
                <c:pt idx="4">
                  <c:v>0</c:v>
                </c:pt>
              </c:numCache>
            </c:numRef>
          </c:val>
          <c:extLst>
            <c:ext xmlns:c16="http://schemas.microsoft.com/office/drawing/2014/chart" uri="{C3380CC4-5D6E-409C-BE32-E72D297353CC}">
              <c16:uniqueId val="{00000039-BDF2-4240-9349-8286B3BE7C52}"/>
            </c:ext>
          </c:extLst>
        </c:ser>
        <c:ser>
          <c:idx val="16"/>
          <c:order val="18"/>
          <c:tx>
            <c:strRef>
              <c:f>'OPTION 1 - Data for Figures'!$A$26</c:f>
              <c:strCache>
                <c:ptCount val="1"/>
                <c:pt idx="0">
                  <c:v>Biscuits, rusks</c:v>
                </c:pt>
              </c:strCache>
            </c:strRef>
          </c:tx>
          <c:spPr>
            <a:solidFill>
              <a:schemeClr val="accent5">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Figures'!$B$26:$G$26</c:f>
              <c:numCache>
                <c:formatCode>0.0</c:formatCode>
                <c:ptCount val="6"/>
                <c:pt idx="1">
                  <c:v>9.0090000000000003E-2</c:v>
                </c:pt>
                <c:pt idx="2">
                  <c:v>0</c:v>
                </c:pt>
                <c:pt idx="3">
                  <c:v>9.0090000000000003E-2</c:v>
                </c:pt>
                <c:pt idx="4">
                  <c:v>0</c:v>
                </c:pt>
              </c:numCache>
            </c:numRef>
          </c:val>
          <c:extLst>
            <c:ext xmlns:c16="http://schemas.microsoft.com/office/drawing/2014/chart" uri="{C3380CC4-5D6E-409C-BE32-E72D297353CC}">
              <c16:uniqueId val="{0000003A-BDF2-4240-9349-8286B3BE7C52}"/>
            </c:ext>
          </c:extLst>
        </c:ser>
        <c:ser>
          <c:idx val="17"/>
          <c:order val="19"/>
          <c:tx>
            <c:strRef>
              <c:f>'OPTION 1 - Data for Figures'!$A$27</c:f>
              <c:strCache>
                <c:ptCount val="1"/>
                <c:pt idx="0">
                  <c:v>Ready made soup</c:v>
                </c:pt>
              </c:strCache>
            </c:strRef>
          </c:tx>
          <c:spPr>
            <a:solidFill>
              <a:schemeClr val="accent6">
                <a:lumMod val="80000"/>
                <a:lumOff val="20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Figures'!$B$27:$G$27</c:f>
              <c:numCache>
                <c:formatCode>0.0</c:formatCode>
                <c:ptCount val="6"/>
                <c:pt idx="1">
                  <c:v>6.9614999999999996E-2</c:v>
                </c:pt>
                <c:pt idx="2">
                  <c:v>0</c:v>
                </c:pt>
                <c:pt idx="3">
                  <c:v>6.9614999999999996E-2</c:v>
                </c:pt>
                <c:pt idx="4">
                  <c:v>0</c:v>
                </c:pt>
              </c:numCache>
            </c:numRef>
          </c:val>
          <c:extLst>
            <c:ext xmlns:c16="http://schemas.microsoft.com/office/drawing/2014/chart" uri="{C3380CC4-5D6E-409C-BE32-E72D297353CC}">
              <c16:uniqueId val="{0000003B-BDF2-4240-9349-8286B3BE7C52}"/>
            </c:ext>
          </c:extLst>
        </c:ser>
        <c:dLbls>
          <c:showLegendKey val="0"/>
          <c:showVal val="0"/>
          <c:showCatName val="0"/>
          <c:showSerName val="0"/>
          <c:showPercent val="0"/>
          <c:showBubbleSize val="0"/>
        </c:dLbls>
        <c:gapWidth val="150"/>
        <c:overlap val="100"/>
        <c:axId val="598414352"/>
        <c:axId val="598412056"/>
      </c:barChart>
      <c:lineChart>
        <c:grouping val="standard"/>
        <c:varyColors val="0"/>
        <c:ser>
          <c:idx val="18"/>
          <c:order val="20"/>
          <c:tx>
            <c:strRef>
              <c:f>'OPTION 1 - Data for Figures'!$A$35</c:f>
              <c:strCache>
                <c:ptCount val="1"/>
                <c:pt idx="0">
                  <c:v>Estimated Average Requirement (µg)</c:v>
                </c:pt>
              </c:strCache>
            </c:strRef>
          </c:tx>
          <c:spPr>
            <a:ln w="28575" cap="rnd">
              <a:solidFill>
                <a:srgbClr val="C00000"/>
              </a:solidFill>
              <a:round/>
            </a:ln>
            <a:effectLst/>
          </c:spPr>
          <c:marker>
            <c:symbol val="none"/>
          </c:marker>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Figures'!$B$35:$G$35</c:f>
              <c:numCache>
                <c:formatCode>General</c:formatCode>
                <c:ptCount val="6"/>
                <c:pt idx="0">
                  <c:v>95</c:v>
                </c:pt>
                <c:pt idx="1">
                  <c:v>95</c:v>
                </c:pt>
                <c:pt idx="2">
                  <c:v>95</c:v>
                </c:pt>
                <c:pt idx="3">
                  <c:v>95</c:v>
                </c:pt>
                <c:pt idx="4">
                  <c:v>95</c:v>
                </c:pt>
                <c:pt idx="5">
                  <c:v>95</c:v>
                </c:pt>
              </c:numCache>
            </c:numRef>
          </c:val>
          <c:smooth val="0"/>
          <c:extLst>
            <c:ext xmlns:c16="http://schemas.microsoft.com/office/drawing/2014/chart" uri="{C3380CC4-5D6E-409C-BE32-E72D297353CC}">
              <c16:uniqueId val="{0000003C-BDF2-4240-9349-8286B3BE7C52}"/>
            </c:ext>
          </c:extLst>
        </c:ser>
        <c:ser>
          <c:idx val="19"/>
          <c:order val="21"/>
          <c:tx>
            <c:strRef>
              <c:f>'OPTION 1 - Data for Figures'!$A$36</c:f>
              <c:strCache>
                <c:ptCount val="1"/>
                <c:pt idx="0">
                  <c:v>Recommended Nutrient Intake (µg)</c:v>
                </c:pt>
              </c:strCache>
            </c:strRef>
          </c:tx>
          <c:spPr>
            <a:ln w="28575" cap="rnd">
              <a:solidFill>
                <a:schemeClr val="accent6">
                  <a:lumMod val="75000"/>
                </a:schemeClr>
              </a:solidFill>
              <a:round/>
            </a:ln>
            <a:effectLst/>
          </c:spPr>
          <c:marker>
            <c:symbol val="none"/>
          </c:marker>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Figures'!$B$36:$G$36</c:f>
              <c:numCache>
                <c:formatCode>General</c:formatCode>
                <c:ptCount val="6"/>
                <c:pt idx="0">
                  <c:v>150</c:v>
                </c:pt>
                <c:pt idx="1">
                  <c:v>150</c:v>
                </c:pt>
                <c:pt idx="2">
                  <c:v>150</c:v>
                </c:pt>
                <c:pt idx="3">
                  <c:v>150</c:v>
                </c:pt>
                <c:pt idx="4">
                  <c:v>150</c:v>
                </c:pt>
                <c:pt idx="5">
                  <c:v>150</c:v>
                </c:pt>
              </c:numCache>
            </c:numRef>
          </c:val>
          <c:smooth val="0"/>
          <c:extLst>
            <c:ext xmlns:c16="http://schemas.microsoft.com/office/drawing/2014/chart" uri="{C3380CC4-5D6E-409C-BE32-E72D297353CC}">
              <c16:uniqueId val="{0000003D-BDF2-4240-9349-8286B3BE7C52}"/>
            </c:ext>
          </c:extLst>
        </c:ser>
        <c:dLbls>
          <c:showLegendKey val="0"/>
          <c:showVal val="0"/>
          <c:showCatName val="0"/>
          <c:showSerName val="0"/>
          <c:showPercent val="0"/>
          <c:showBubbleSize val="0"/>
        </c:dLbls>
        <c:marker val="1"/>
        <c:smooth val="0"/>
        <c:axId val="598414352"/>
        <c:axId val="598412056"/>
        <c:extLst/>
      </c:lineChart>
      <c:catAx>
        <c:axId val="59841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2056"/>
        <c:crosses val="autoZero"/>
        <c:auto val="1"/>
        <c:lblAlgn val="ctr"/>
        <c:lblOffset val="100"/>
        <c:noMultiLvlLbl val="0"/>
      </c:catAx>
      <c:valAx>
        <c:axId val="598412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Estiamted iodine intake (µg)</a:t>
                </a:r>
              </a:p>
            </c:rich>
          </c:tx>
          <c:layout>
            <c:manualLayout>
              <c:xMode val="edge"/>
              <c:yMode val="edge"/>
              <c:x val="1.3667425477824494E-2"/>
              <c:y val="0.3054671228923609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4352"/>
        <c:crosses val="autoZero"/>
        <c:crossBetween val="between"/>
      </c:valAx>
      <c:spPr>
        <a:noFill/>
        <a:ln>
          <a:noFill/>
        </a:ln>
        <a:effectLst/>
      </c:spPr>
    </c:plotArea>
    <c:legend>
      <c:legendPos val="b"/>
      <c:layout>
        <c:manualLayout>
          <c:xMode val="edge"/>
          <c:yMode val="edge"/>
          <c:x val="1.9911892909715487E-2"/>
          <c:y val="0.84605845735251684"/>
          <c:w val="0.97107422059842652"/>
          <c:h val="0.15394155831187964"/>
        </c:manualLayout>
      </c:layout>
      <c:overlay val="0"/>
      <c:spPr>
        <a:noFill/>
        <a:ln>
          <a:solidFill>
            <a:schemeClr val="bg2">
              <a:lumMod val="25000"/>
            </a:schemeClr>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64306054766345E-2"/>
          <c:y val="8.1466133487240799E-2"/>
          <c:w val="0.91270152591962672"/>
          <c:h val="0.71258754174052852"/>
        </c:manualLayout>
      </c:layout>
      <c:barChart>
        <c:barDir val="col"/>
        <c:grouping val="stacked"/>
        <c:varyColors val="0"/>
        <c:ser>
          <c:idx val="0"/>
          <c:order val="0"/>
          <c:tx>
            <c:strRef>
              <c:f>'OPTION 1 - Data for Figures'!$A$33</c:f>
              <c:strCache>
                <c:ptCount val="1"/>
                <c:pt idx="0">
                  <c:v>For HH salt</c:v>
                </c:pt>
              </c:strCache>
            </c:strRef>
          </c:tx>
          <c:spPr>
            <a:solidFill>
              <a:schemeClr val="accent1">
                <a:lumMod val="75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Figures'!$B$33:$G$33</c:f>
              <c:numCache>
                <c:formatCode>0.0</c:formatCode>
                <c:ptCount val="6"/>
                <c:pt idx="1">
                  <c:v>250.24999999999997</c:v>
                </c:pt>
                <c:pt idx="2">
                  <c:v>175.17499999999998</c:v>
                </c:pt>
                <c:pt idx="3">
                  <c:v>237.73749999999995</c:v>
                </c:pt>
                <c:pt idx="4">
                  <c:v>166.41624999999996</c:v>
                </c:pt>
              </c:numCache>
            </c:numRef>
          </c:val>
          <c:extLst>
            <c:ext xmlns:c16="http://schemas.microsoft.com/office/drawing/2014/chart" uri="{C3380CC4-5D6E-409C-BE32-E72D297353CC}">
              <c16:uniqueId val="{00000000-B6F2-4937-B45F-482B7FCC3DC0}"/>
            </c:ext>
          </c:extLst>
        </c:ser>
        <c:ser>
          <c:idx val="1"/>
          <c:order val="1"/>
          <c:tx>
            <c:strRef>
              <c:f>'OPTION 1 - Data for Figures'!$A$34</c:f>
              <c:strCache>
                <c:ptCount val="1"/>
                <c:pt idx="0">
                  <c:v>For all selected processed foods excluding HH salt</c:v>
                </c:pt>
              </c:strCache>
            </c:strRef>
          </c:tx>
          <c:spPr>
            <a:solidFill>
              <a:schemeClr val="bg1">
                <a:lumMod val="65000"/>
              </a:schemeClr>
            </a:solidFill>
            <a:ln>
              <a:noFill/>
            </a:ln>
            <a:effectLst/>
          </c:spPr>
          <c:invertIfNegative val="0"/>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Figures'!$B$34:$G$34</c:f>
              <c:numCache>
                <c:formatCode>0.0</c:formatCode>
                <c:ptCount val="6"/>
                <c:pt idx="1">
                  <c:v>163.76956050000001</c:v>
                </c:pt>
                <c:pt idx="2">
                  <c:v>121.7473712</c:v>
                </c:pt>
                <c:pt idx="3">
                  <c:v>143.59909654999998</c:v>
                </c:pt>
                <c:pt idx="4">
                  <c:v>105.47638465</c:v>
                </c:pt>
              </c:numCache>
            </c:numRef>
          </c:val>
          <c:extLst>
            <c:ext xmlns:c16="http://schemas.microsoft.com/office/drawing/2014/chart" uri="{C3380CC4-5D6E-409C-BE32-E72D297353CC}">
              <c16:uniqueId val="{00000001-71E3-46D0-B9A1-C961EBE92C95}"/>
            </c:ext>
          </c:extLst>
        </c:ser>
        <c:dLbls>
          <c:showLegendKey val="0"/>
          <c:showVal val="0"/>
          <c:showCatName val="0"/>
          <c:showSerName val="0"/>
          <c:showPercent val="0"/>
          <c:showBubbleSize val="0"/>
        </c:dLbls>
        <c:gapWidth val="219"/>
        <c:overlap val="100"/>
        <c:axId val="598414680"/>
        <c:axId val="598419600"/>
      </c:barChart>
      <c:lineChart>
        <c:grouping val="standard"/>
        <c:varyColors val="0"/>
        <c:ser>
          <c:idx val="2"/>
          <c:order val="2"/>
          <c:tx>
            <c:strRef>
              <c:f>'OPTION 1 - Data for Figures'!$A$35</c:f>
              <c:strCache>
                <c:ptCount val="1"/>
                <c:pt idx="0">
                  <c:v>Estimated Average Requirement (µg)</c:v>
                </c:pt>
              </c:strCache>
            </c:strRef>
          </c:tx>
          <c:spPr>
            <a:ln w="28575" cap="rnd">
              <a:solidFill>
                <a:srgbClr val="C00000"/>
              </a:solidFill>
              <a:round/>
            </a:ln>
            <a:effectLst/>
          </c:spPr>
          <c:marker>
            <c:symbol val="none"/>
          </c:marker>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Figures'!$B$35:$G$35</c:f>
              <c:numCache>
                <c:formatCode>General</c:formatCode>
                <c:ptCount val="6"/>
                <c:pt idx="0">
                  <c:v>95</c:v>
                </c:pt>
                <c:pt idx="1">
                  <c:v>95</c:v>
                </c:pt>
                <c:pt idx="2">
                  <c:v>95</c:v>
                </c:pt>
                <c:pt idx="3">
                  <c:v>95</c:v>
                </c:pt>
                <c:pt idx="4">
                  <c:v>95</c:v>
                </c:pt>
                <c:pt idx="5">
                  <c:v>95</c:v>
                </c:pt>
              </c:numCache>
            </c:numRef>
          </c:val>
          <c:smooth val="0"/>
          <c:extLst>
            <c:ext xmlns:c16="http://schemas.microsoft.com/office/drawing/2014/chart" uri="{C3380CC4-5D6E-409C-BE32-E72D297353CC}">
              <c16:uniqueId val="{00000002-71E3-46D0-B9A1-C961EBE92C95}"/>
            </c:ext>
          </c:extLst>
        </c:ser>
        <c:ser>
          <c:idx val="3"/>
          <c:order val="3"/>
          <c:tx>
            <c:strRef>
              <c:f>'OPTION 1 - Data for Figures'!$A$36</c:f>
              <c:strCache>
                <c:ptCount val="1"/>
                <c:pt idx="0">
                  <c:v>Recommended Nutrient Intake (µg)</c:v>
                </c:pt>
              </c:strCache>
            </c:strRef>
          </c:tx>
          <c:spPr>
            <a:ln w="28575" cap="rnd">
              <a:solidFill>
                <a:schemeClr val="accent6">
                  <a:lumMod val="75000"/>
                </a:schemeClr>
              </a:solidFill>
              <a:round/>
            </a:ln>
            <a:effectLst/>
          </c:spPr>
          <c:marker>
            <c:symbol val="none"/>
          </c:marker>
          <c:cat>
            <c:strRef>
              <c:f>'OPTION 1 - Data for Figures'!$B$7:$G$7</c:f>
              <c:strCache>
                <c:ptCount val="5"/>
                <c:pt idx="1">
                  <c:v>Potential iodine intake (µg)</c:v>
                </c:pt>
                <c:pt idx="2">
                  <c:v>Estimated current iodine intake (µg)</c:v>
                </c:pt>
                <c:pt idx="3">
                  <c:v>Potential iodine intake (µg) after SR</c:v>
                </c:pt>
                <c:pt idx="4">
                  <c:v>Estimated current iodine intake (µg) after SR</c:v>
                </c:pt>
              </c:strCache>
            </c:strRef>
          </c:cat>
          <c:val>
            <c:numRef>
              <c:f>'OPTION 1 - Data for Figures'!$B$36:$G$36</c:f>
              <c:numCache>
                <c:formatCode>General</c:formatCode>
                <c:ptCount val="6"/>
                <c:pt idx="0">
                  <c:v>150</c:v>
                </c:pt>
                <c:pt idx="1">
                  <c:v>150</c:v>
                </c:pt>
                <c:pt idx="2">
                  <c:v>150</c:v>
                </c:pt>
                <c:pt idx="3">
                  <c:v>150</c:v>
                </c:pt>
                <c:pt idx="4">
                  <c:v>150</c:v>
                </c:pt>
                <c:pt idx="5">
                  <c:v>150</c:v>
                </c:pt>
              </c:numCache>
            </c:numRef>
          </c:val>
          <c:smooth val="0"/>
          <c:extLst>
            <c:ext xmlns:c16="http://schemas.microsoft.com/office/drawing/2014/chart" uri="{C3380CC4-5D6E-409C-BE32-E72D297353CC}">
              <c16:uniqueId val="{00000003-71E3-46D0-B9A1-C961EBE92C95}"/>
            </c:ext>
          </c:extLst>
        </c:ser>
        <c:dLbls>
          <c:showLegendKey val="0"/>
          <c:showVal val="0"/>
          <c:showCatName val="0"/>
          <c:showSerName val="0"/>
          <c:showPercent val="0"/>
          <c:showBubbleSize val="0"/>
        </c:dLbls>
        <c:marker val="1"/>
        <c:smooth val="0"/>
        <c:axId val="598414680"/>
        <c:axId val="598419600"/>
      </c:lineChart>
      <c:catAx>
        <c:axId val="598414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9600"/>
        <c:crosses val="autoZero"/>
        <c:auto val="1"/>
        <c:lblAlgn val="ctr"/>
        <c:lblOffset val="100"/>
        <c:noMultiLvlLbl val="0"/>
      </c:catAx>
      <c:valAx>
        <c:axId val="59841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Estimated iodine intake (µg)</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4680"/>
        <c:crosses val="autoZero"/>
        <c:crossBetween val="between"/>
      </c:valAx>
      <c:spPr>
        <a:noFill/>
        <a:ln>
          <a:noFill/>
        </a:ln>
        <a:effectLst/>
      </c:spPr>
    </c:plotArea>
    <c:legend>
      <c:legendPos val="b"/>
      <c:layout>
        <c:manualLayout>
          <c:xMode val="edge"/>
          <c:yMode val="edge"/>
          <c:x val="3.7827236639203753E-2"/>
          <c:y val="0.90469720080801419"/>
          <c:w val="0.9529637166443522"/>
          <c:h val="8.7795852743537947E-2"/>
        </c:manualLayout>
      </c:layout>
      <c:overlay val="0"/>
      <c:spPr>
        <a:noFill/>
        <a:ln>
          <a:solidFill>
            <a:schemeClr val="bg2">
              <a:lumMod val="25000"/>
            </a:schemeClr>
          </a:solidFill>
        </a:ln>
        <a:effectLst/>
      </c:spPr>
      <c:txPr>
        <a:bodyPr rot="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64306054766345E-2"/>
          <c:y val="8.1466133487240799E-2"/>
          <c:w val="0.91270152591962672"/>
          <c:h val="0.71258754174052852"/>
        </c:manualLayout>
      </c:layout>
      <c:barChart>
        <c:barDir val="col"/>
        <c:grouping val="stacked"/>
        <c:varyColors val="0"/>
        <c:ser>
          <c:idx val="0"/>
          <c:order val="0"/>
          <c:tx>
            <c:strRef>
              <c:f>'OPTION 1 - Data for Figures'!$A$33</c:f>
              <c:strCache>
                <c:ptCount val="1"/>
                <c:pt idx="0">
                  <c:v>For HH salt</c:v>
                </c:pt>
              </c:strCache>
            </c:strRef>
          </c:tx>
          <c:spPr>
            <a:solidFill>
              <a:schemeClr val="accent1">
                <a:lumMod val="75000"/>
              </a:schemeClr>
            </a:solidFill>
            <a:ln>
              <a:noFill/>
            </a:ln>
            <a:effectLst/>
          </c:spPr>
          <c:invertIfNegative val="0"/>
          <c:cat>
            <c:strRef>
              <c:extLst>
                <c:ext xmlns:c15="http://schemas.microsoft.com/office/drawing/2012/chart" uri="{02D57815-91ED-43cb-92C2-25804820EDAC}">
                  <c15:fullRef>
                    <c15:sqref>'OPTION 1 - Data for Figures'!$B$7:$G$7</c15:sqref>
                  </c15:fullRef>
                </c:ext>
              </c:extLst>
              <c:f>('OPTION 1 - Data for Figures'!$B$7:$D$7,'OPTION 1 - Data for Figures'!$G$7)</c:f>
              <c:strCache>
                <c:ptCount val="3"/>
                <c:pt idx="1">
                  <c:v>Potential iodine intake (µg)</c:v>
                </c:pt>
                <c:pt idx="2">
                  <c:v>Estimated current iodine intake (µg)</c:v>
                </c:pt>
              </c:strCache>
            </c:strRef>
          </c:cat>
          <c:val>
            <c:numRef>
              <c:extLst>
                <c:ext xmlns:c15="http://schemas.microsoft.com/office/drawing/2012/chart" uri="{02D57815-91ED-43cb-92C2-25804820EDAC}">
                  <c15:fullRef>
                    <c15:sqref>'OPTION 1 - Data for Figures'!$B$33:$G$33</c15:sqref>
                  </c15:fullRef>
                </c:ext>
              </c:extLst>
              <c:f>('OPTION 1 - Data for Figures'!$B$33:$D$33,'OPTION 1 - Data for Figures'!$G$33)</c:f>
              <c:numCache>
                <c:formatCode>0.0</c:formatCode>
                <c:ptCount val="4"/>
                <c:pt idx="1">
                  <c:v>250.24999999999997</c:v>
                </c:pt>
                <c:pt idx="2">
                  <c:v>175.17499999999998</c:v>
                </c:pt>
              </c:numCache>
            </c:numRef>
          </c:val>
          <c:extLst>
            <c:ext xmlns:c16="http://schemas.microsoft.com/office/drawing/2014/chart" uri="{C3380CC4-5D6E-409C-BE32-E72D297353CC}">
              <c16:uniqueId val="{00000000-C15B-4F73-8852-270486BDB09A}"/>
            </c:ext>
          </c:extLst>
        </c:ser>
        <c:ser>
          <c:idx val="1"/>
          <c:order val="1"/>
          <c:tx>
            <c:strRef>
              <c:f>'OPTION 1 - Data for Figures'!$A$34</c:f>
              <c:strCache>
                <c:ptCount val="1"/>
                <c:pt idx="0">
                  <c:v>For all selected processed foods excluding HH salt</c:v>
                </c:pt>
              </c:strCache>
            </c:strRef>
          </c:tx>
          <c:spPr>
            <a:solidFill>
              <a:schemeClr val="bg1">
                <a:lumMod val="65000"/>
              </a:schemeClr>
            </a:solidFill>
            <a:ln>
              <a:noFill/>
            </a:ln>
            <a:effectLst/>
          </c:spPr>
          <c:invertIfNegative val="0"/>
          <c:cat>
            <c:strRef>
              <c:extLst>
                <c:ext xmlns:c15="http://schemas.microsoft.com/office/drawing/2012/chart" uri="{02D57815-91ED-43cb-92C2-25804820EDAC}">
                  <c15:fullRef>
                    <c15:sqref>'OPTION 1 - Data for Figures'!$B$7:$G$7</c15:sqref>
                  </c15:fullRef>
                </c:ext>
              </c:extLst>
              <c:f>('OPTION 1 - Data for Figures'!$B$7:$D$7,'OPTION 1 - Data for Figures'!$G$7)</c:f>
              <c:strCache>
                <c:ptCount val="3"/>
                <c:pt idx="1">
                  <c:v>Potential iodine intake (µg)</c:v>
                </c:pt>
                <c:pt idx="2">
                  <c:v>Estimated current iodine intake (µg)</c:v>
                </c:pt>
              </c:strCache>
            </c:strRef>
          </c:cat>
          <c:val>
            <c:numRef>
              <c:extLst>
                <c:ext xmlns:c15="http://schemas.microsoft.com/office/drawing/2012/chart" uri="{02D57815-91ED-43cb-92C2-25804820EDAC}">
                  <c15:fullRef>
                    <c15:sqref>'OPTION 1 - Data for Figures'!$B$34:$G$34</c15:sqref>
                  </c15:fullRef>
                </c:ext>
              </c:extLst>
              <c:f>('OPTION 1 - Data for Figures'!$B$34:$D$34,'OPTION 1 - Data for Figures'!$G$34)</c:f>
              <c:numCache>
                <c:formatCode>0.0</c:formatCode>
                <c:ptCount val="4"/>
                <c:pt idx="1">
                  <c:v>163.76956050000001</c:v>
                </c:pt>
                <c:pt idx="2">
                  <c:v>121.7473712</c:v>
                </c:pt>
              </c:numCache>
            </c:numRef>
          </c:val>
          <c:extLst>
            <c:ext xmlns:c16="http://schemas.microsoft.com/office/drawing/2014/chart" uri="{C3380CC4-5D6E-409C-BE32-E72D297353CC}">
              <c16:uniqueId val="{00000001-C15B-4F73-8852-270486BDB09A}"/>
            </c:ext>
          </c:extLst>
        </c:ser>
        <c:dLbls>
          <c:showLegendKey val="0"/>
          <c:showVal val="0"/>
          <c:showCatName val="0"/>
          <c:showSerName val="0"/>
          <c:showPercent val="0"/>
          <c:showBubbleSize val="0"/>
        </c:dLbls>
        <c:gapWidth val="219"/>
        <c:overlap val="100"/>
        <c:axId val="598414680"/>
        <c:axId val="598419600"/>
      </c:barChart>
      <c:lineChart>
        <c:grouping val="standard"/>
        <c:varyColors val="0"/>
        <c:ser>
          <c:idx val="2"/>
          <c:order val="2"/>
          <c:tx>
            <c:strRef>
              <c:f>'OPTION 1 - Data for Figures'!$A$35</c:f>
              <c:strCache>
                <c:ptCount val="1"/>
                <c:pt idx="0">
                  <c:v>Estimated Average Requirement (µg)</c:v>
                </c:pt>
              </c:strCache>
            </c:strRef>
          </c:tx>
          <c:spPr>
            <a:ln w="28575" cap="rnd">
              <a:solidFill>
                <a:srgbClr val="C00000"/>
              </a:solidFill>
              <a:round/>
            </a:ln>
            <a:effectLst/>
          </c:spPr>
          <c:marker>
            <c:symbol val="none"/>
          </c:marker>
          <c:cat>
            <c:strRef>
              <c:extLst>
                <c:ext xmlns:c15="http://schemas.microsoft.com/office/drawing/2012/chart" uri="{02D57815-91ED-43cb-92C2-25804820EDAC}">
                  <c15:fullRef>
                    <c15:sqref>'OPTION 1 - Data for Figures'!$B$7:$G$7</c15:sqref>
                  </c15:fullRef>
                </c:ext>
              </c:extLst>
              <c:f>('OPTION 1 - Data for Figures'!$B$7:$D$7,'OPTION 1 - Data for Figures'!$G$7)</c:f>
              <c:strCache>
                <c:ptCount val="3"/>
                <c:pt idx="1">
                  <c:v>Potential iodine intake (µg)</c:v>
                </c:pt>
                <c:pt idx="2">
                  <c:v>Estimated current iodine intake (µg)</c:v>
                </c:pt>
              </c:strCache>
            </c:strRef>
          </c:cat>
          <c:val>
            <c:numRef>
              <c:extLst>
                <c:ext xmlns:c15="http://schemas.microsoft.com/office/drawing/2012/chart" uri="{02D57815-91ED-43cb-92C2-25804820EDAC}">
                  <c15:fullRef>
                    <c15:sqref>'OPTION 1 - Data for Figures'!$B$35:$G$35</c15:sqref>
                  </c15:fullRef>
                </c:ext>
              </c:extLst>
              <c:f>('OPTION 1 - Data for Figures'!$B$35:$D$35,'OPTION 1 - Data for Figures'!$G$35)</c:f>
              <c:numCache>
                <c:formatCode>General</c:formatCode>
                <c:ptCount val="4"/>
                <c:pt idx="0">
                  <c:v>95</c:v>
                </c:pt>
                <c:pt idx="1">
                  <c:v>95</c:v>
                </c:pt>
                <c:pt idx="2">
                  <c:v>95</c:v>
                </c:pt>
                <c:pt idx="3">
                  <c:v>95</c:v>
                </c:pt>
              </c:numCache>
            </c:numRef>
          </c:val>
          <c:smooth val="0"/>
          <c:extLst>
            <c:ext xmlns:c16="http://schemas.microsoft.com/office/drawing/2014/chart" uri="{C3380CC4-5D6E-409C-BE32-E72D297353CC}">
              <c16:uniqueId val="{00000002-C15B-4F73-8852-270486BDB09A}"/>
            </c:ext>
          </c:extLst>
        </c:ser>
        <c:ser>
          <c:idx val="3"/>
          <c:order val="3"/>
          <c:tx>
            <c:strRef>
              <c:f>'OPTION 1 - Data for Figures'!$A$36</c:f>
              <c:strCache>
                <c:ptCount val="1"/>
                <c:pt idx="0">
                  <c:v>Recommended Nutrient Intake (µg)</c:v>
                </c:pt>
              </c:strCache>
            </c:strRef>
          </c:tx>
          <c:spPr>
            <a:ln w="28575" cap="rnd">
              <a:solidFill>
                <a:schemeClr val="accent6">
                  <a:lumMod val="75000"/>
                </a:schemeClr>
              </a:solidFill>
              <a:round/>
            </a:ln>
            <a:effectLst/>
          </c:spPr>
          <c:marker>
            <c:symbol val="none"/>
          </c:marker>
          <c:cat>
            <c:strRef>
              <c:extLst>
                <c:ext xmlns:c15="http://schemas.microsoft.com/office/drawing/2012/chart" uri="{02D57815-91ED-43cb-92C2-25804820EDAC}">
                  <c15:fullRef>
                    <c15:sqref>'OPTION 1 - Data for Figures'!$B$7:$G$7</c15:sqref>
                  </c15:fullRef>
                </c:ext>
              </c:extLst>
              <c:f>('OPTION 1 - Data for Figures'!$B$7:$D$7,'OPTION 1 - Data for Figures'!$G$7)</c:f>
              <c:strCache>
                <c:ptCount val="3"/>
                <c:pt idx="1">
                  <c:v>Potential iodine intake (µg)</c:v>
                </c:pt>
                <c:pt idx="2">
                  <c:v>Estimated current iodine intake (µg)</c:v>
                </c:pt>
              </c:strCache>
            </c:strRef>
          </c:cat>
          <c:val>
            <c:numRef>
              <c:extLst>
                <c:ext xmlns:c15="http://schemas.microsoft.com/office/drawing/2012/chart" uri="{02D57815-91ED-43cb-92C2-25804820EDAC}">
                  <c15:fullRef>
                    <c15:sqref>'OPTION 1 - Data for Figures'!$B$36:$G$36</c15:sqref>
                  </c15:fullRef>
                </c:ext>
              </c:extLst>
              <c:f>('OPTION 1 - Data for Figures'!$B$36:$D$36,'OPTION 1 - Data for Figures'!$G$36)</c:f>
              <c:numCache>
                <c:formatCode>General</c:formatCode>
                <c:ptCount val="4"/>
                <c:pt idx="0">
                  <c:v>150</c:v>
                </c:pt>
                <c:pt idx="1">
                  <c:v>150</c:v>
                </c:pt>
                <c:pt idx="2">
                  <c:v>150</c:v>
                </c:pt>
                <c:pt idx="3">
                  <c:v>150</c:v>
                </c:pt>
              </c:numCache>
            </c:numRef>
          </c:val>
          <c:smooth val="0"/>
          <c:extLst>
            <c:ext xmlns:c16="http://schemas.microsoft.com/office/drawing/2014/chart" uri="{C3380CC4-5D6E-409C-BE32-E72D297353CC}">
              <c16:uniqueId val="{00000003-C15B-4F73-8852-270486BDB09A}"/>
            </c:ext>
          </c:extLst>
        </c:ser>
        <c:dLbls>
          <c:showLegendKey val="0"/>
          <c:showVal val="0"/>
          <c:showCatName val="0"/>
          <c:showSerName val="0"/>
          <c:showPercent val="0"/>
          <c:showBubbleSize val="0"/>
        </c:dLbls>
        <c:marker val="1"/>
        <c:smooth val="0"/>
        <c:axId val="598414680"/>
        <c:axId val="598419600"/>
      </c:lineChart>
      <c:catAx>
        <c:axId val="598414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9600"/>
        <c:crosses val="autoZero"/>
        <c:auto val="1"/>
        <c:lblAlgn val="ctr"/>
        <c:lblOffset val="100"/>
        <c:noMultiLvlLbl val="0"/>
      </c:catAx>
      <c:valAx>
        <c:axId val="598419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r>
                  <a:rPr lang="en-US"/>
                  <a:t>Estimated iodine intake (µg)</a:t>
                </a:r>
              </a:p>
            </c:rich>
          </c:tx>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98414680"/>
        <c:crosses val="autoZero"/>
        <c:crossBetween val="between"/>
      </c:valAx>
      <c:spPr>
        <a:noFill/>
        <a:ln>
          <a:noFill/>
        </a:ln>
        <a:effectLst/>
      </c:spPr>
    </c:plotArea>
    <c:legend>
      <c:legendPos val="b"/>
      <c:layout>
        <c:manualLayout>
          <c:xMode val="edge"/>
          <c:yMode val="edge"/>
          <c:x val="1.8692840970249456E-2"/>
          <c:y val="0.90469720080801419"/>
          <c:w val="0.96253091447882932"/>
          <c:h val="8.7795852743537947E-2"/>
        </c:manualLayout>
      </c:layout>
      <c:overlay val="0"/>
      <c:spPr>
        <a:noFill/>
        <a:ln>
          <a:solidFill>
            <a:schemeClr val="bg2">
              <a:lumMod val="25000"/>
            </a:schemeClr>
          </a:solidFill>
        </a:ln>
        <a:effectLst/>
      </c:spPr>
      <c:txPr>
        <a:bodyPr rot="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ysClr val="windowText" lastClr="000000"/>
          </a:solidFill>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D4A5782-AAAF-46F9-8E8B-7048998FC304}">
  <sheetPr codeName="Chart3"/>
  <sheetViews>
    <sheetView tabSelected="1" zoomScale="81"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9BE8B82-DFAD-4190-9FF8-E22B662E3D62}">
  <sheetPr codeName="Chart4"/>
  <sheetViews>
    <sheetView zoomScale="81"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C392857-7C4C-4935-9E20-082742000151}">
  <sheetPr codeName="Chart5"/>
  <sheetViews>
    <sheetView zoomScale="81"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ED31F6E-ADFB-4B65-A046-BBB7C3FEA2B7}">
  <sheetPr codeName="Chart6"/>
  <sheetViews>
    <sheetView zoomScale="8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13958241" cy="9113426"/>
    <xdr:graphicFrame macro="">
      <xdr:nvGraphicFramePr>
        <xdr:cNvPr id="2" name="Chart 1">
          <a:extLst>
            <a:ext uri="{FF2B5EF4-FFF2-40B4-BE49-F238E27FC236}">
              <a16:creationId xmlns:a16="http://schemas.microsoft.com/office/drawing/2014/main" id="{622E9CFC-1711-4C43-BA19-33CBEE562DF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13958241" cy="9113426"/>
    <xdr:graphicFrame macro="">
      <xdr:nvGraphicFramePr>
        <xdr:cNvPr id="2" name="Chart 1">
          <a:extLst>
            <a:ext uri="{FF2B5EF4-FFF2-40B4-BE49-F238E27FC236}">
              <a16:creationId xmlns:a16="http://schemas.microsoft.com/office/drawing/2014/main" id="{73FE1551-562F-4E9E-9130-981D6C76998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13958241" cy="9113426"/>
    <xdr:graphicFrame macro="">
      <xdr:nvGraphicFramePr>
        <xdr:cNvPr id="2" name="Chart 1">
          <a:extLst>
            <a:ext uri="{FF2B5EF4-FFF2-40B4-BE49-F238E27FC236}">
              <a16:creationId xmlns:a16="http://schemas.microsoft.com/office/drawing/2014/main" id="{D4FB5C84-B762-406A-B454-D72921F571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13958241" cy="9113426"/>
    <xdr:graphicFrame macro="">
      <xdr:nvGraphicFramePr>
        <xdr:cNvPr id="2" name="Chart 1">
          <a:extLst>
            <a:ext uri="{FF2B5EF4-FFF2-40B4-BE49-F238E27FC236}">
              <a16:creationId xmlns:a16="http://schemas.microsoft.com/office/drawing/2014/main" id="{BDBFB4E6-80FA-4990-BB38-718B566F047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F8292-AFC5-4FBB-BE5B-E4B5988FB1E3}">
  <dimension ref="A1:R27"/>
  <sheetViews>
    <sheetView topLeftCell="A12" workbookViewId="0">
      <selection activeCell="B10" sqref="B10:R10"/>
    </sheetView>
  </sheetViews>
  <sheetFormatPr defaultColWidth="8.81640625" defaultRowHeight="14.5" x14ac:dyDescent="0.35"/>
  <sheetData>
    <row r="1" spans="1:18" s="1" customFormat="1" ht="25" customHeight="1" x14ac:dyDescent="0.35">
      <c r="A1" s="134" t="s">
        <v>119</v>
      </c>
      <c r="M1" s="1" t="s">
        <v>133</v>
      </c>
    </row>
    <row r="2" spans="1:18" s="1" customFormat="1" ht="12" customHeight="1" x14ac:dyDescent="0.35">
      <c r="A2" s="126"/>
    </row>
    <row r="3" spans="1:18" s="1" customFormat="1" ht="32.25" customHeight="1" x14ac:dyDescent="0.35">
      <c r="A3" s="140" t="s">
        <v>121</v>
      </c>
      <c r="B3" s="140"/>
      <c r="C3" s="140"/>
      <c r="D3" s="140"/>
      <c r="E3" s="140"/>
      <c r="F3" s="140"/>
      <c r="G3" s="140"/>
      <c r="H3" s="140"/>
      <c r="I3" s="140"/>
      <c r="J3" s="140"/>
      <c r="K3" s="140"/>
      <c r="L3" s="140"/>
      <c r="M3" s="140"/>
      <c r="N3" s="140"/>
      <c r="O3" s="140"/>
      <c r="P3" s="140"/>
      <c r="Q3" s="140"/>
      <c r="R3" s="140"/>
    </row>
    <row r="4" spans="1:18" s="1" customFormat="1" ht="51.75" customHeight="1" x14ac:dyDescent="0.35">
      <c r="A4" s="139" t="s">
        <v>130</v>
      </c>
      <c r="B4" s="139"/>
      <c r="C4" s="139"/>
      <c r="D4" s="139"/>
      <c r="E4" s="139"/>
      <c r="F4" s="139"/>
      <c r="G4" s="139"/>
      <c r="H4" s="139"/>
      <c r="I4" s="139"/>
      <c r="J4" s="139"/>
      <c r="K4" s="139"/>
      <c r="L4" s="139"/>
      <c r="M4" s="139"/>
      <c r="N4" s="139"/>
      <c r="O4" s="139"/>
      <c r="P4" s="139"/>
      <c r="Q4" s="139"/>
      <c r="R4" s="139"/>
    </row>
    <row r="5" spans="1:18" s="1" customFormat="1" ht="12" customHeight="1" x14ac:dyDescent="0.35"/>
    <row r="6" spans="1:18" s="1" customFormat="1" ht="40" customHeight="1" x14ac:dyDescent="0.35">
      <c r="A6" s="136" t="s">
        <v>107</v>
      </c>
      <c r="B6" s="136"/>
      <c r="C6" s="136"/>
      <c r="D6" s="136"/>
      <c r="E6" s="136"/>
      <c r="F6" s="136"/>
      <c r="G6" s="136"/>
      <c r="H6" s="136"/>
      <c r="I6" s="136"/>
      <c r="J6" s="136"/>
      <c r="K6" s="136"/>
      <c r="L6" s="136"/>
      <c r="M6" s="136"/>
      <c r="N6" s="136"/>
      <c r="O6" s="136"/>
      <c r="P6" s="136"/>
      <c r="Q6" s="136"/>
      <c r="R6" s="136"/>
    </row>
    <row r="7" spans="1:18" s="1" customFormat="1" ht="51" customHeight="1" x14ac:dyDescent="0.35">
      <c r="B7" s="138" t="s">
        <v>128</v>
      </c>
      <c r="C7" s="138"/>
      <c r="D7" s="138"/>
      <c r="E7" s="138"/>
      <c r="F7" s="138"/>
      <c r="G7" s="138"/>
      <c r="H7" s="138"/>
      <c r="I7" s="138"/>
      <c r="J7" s="138"/>
      <c r="K7" s="138"/>
      <c r="L7" s="138"/>
      <c r="M7" s="138"/>
      <c r="N7" s="138"/>
      <c r="O7" s="138"/>
      <c r="P7" s="138"/>
      <c r="Q7" s="138"/>
      <c r="R7" s="138"/>
    </row>
    <row r="8" spans="1:18" s="1" customFormat="1" ht="40" customHeight="1" x14ac:dyDescent="0.35">
      <c r="B8" s="138" t="s">
        <v>125</v>
      </c>
      <c r="C8" s="138"/>
      <c r="D8" s="138"/>
      <c r="E8" s="138"/>
      <c r="F8" s="138"/>
      <c r="G8" s="138"/>
      <c r="H8" s="138"/>
      <c r="I8" s="138"/>
      <c r="J8" s="138"/>
      <c r="K8" s="138"/>
      <c r="L8" s="138"/>
      <c r="M8" s="138"/>
      <c r="N8" s="138"/>
      <c r="O8" s="138"/>
      <c r="P8" s="138"/>
      <c r="Q8" s="138"/>
      <c r="R8" s="138"/>
    </row>
    <row r="9" spans="1:18" s="1" customFormat="1" ht="40" customHeight="1" x14ac:dyDescent="0.35">
      <c r="B9" s="138" t="s">
        <v>124</v>
      </c>
      <c r="C9" s="138"/>
      <c r="D9" s="138"/>
      <c r="E9" s="138"/>
      <c r="F9" s="138"/>
      <c r="G9" s="138"/>
      <c r="H9" s="138"/>
      <c r="I9" s="138"/>
      <c r="J9" s="138"/>
      <c r="K9" s="138"/>
      <c r="L9" s="138"/>
      <c r="M9" s="138"/>
      <c r="N9" s="138"/>
      <c r="O9" s="138"/>
      <c r="P9" s="138"/>
      <c r="Q9" s="138"/>
      <c r="R9" s="138"/>
    </row>
    <row r="10" spans="1:18" s="1" customFormat="1" ht="53.25" customHeight="1" x14ac:dyDescent="0.35">
      <c r="B10" s="138" t="s">
        <v>129</v>
      </c>
      <c r="C10" s="138"/>
      <c r="D10" s="138"/>
      <c r="E10" s="138"/>
      <c r="F10" s="138"/>
      <c r="G10" s="138"/>
      <c r="H10" s="138"/>
      <c r="I10" s="138"/>
      <c r="J10" s="138"/>
      <c r="K10" s="138"/>
      <c r="L10" s="138"/>
      <c r="M10" s="138"/>
      <c r="N10" s="138"/>
      <c r="O10" s="138"/>
      <c r="P10" s="138"/>
      <c r="Q10" s="138"/>
      <c r="R10" s="138"/>
    </row>
    <row r="11" spans="1:18" s="1" customFormat="1" ht="88.5" customHeight="1" x14ac:dyDescent="0.35">
      <c r="B11" s="138" t="s">
        <v>123</v>
      </c>
      <c r="C11" s="138"/>
      <c r="D11" s="138"/>
      <c r="E11" s="138"/>
      <c r="F11" s="138"/>
      <c r="G11" s="138"/>
      <c r="H11" s="138"/>
      <c r="I11" s="138"/>
      <c r="J11" s="138"/>
      <c r="K11" s="138"/>
      <c r="L11" s="138"/>
      <c r="M11" s="138"/>
      <c r="N11" s="138"/>
      <c r="O11" s="138"/>
      <c r="P11" s="138"/>
      <c r="Q11" s="138"/>
      <c r="R11" s="138"/>
    </row>
    <row r="12" spans="1:18" s="1" customFormat="1" ht="54.75" customHeight="1" x14ac:dyDescent="0.35">
      <c r="B12" s="138" t="s">
        <v>120</v>
      </c>
      <c r="C12" s="138"/>
      <c r="D12" s="138"/>
      <c r="E12" s="138"/>
      <c r="F12" s="138"/>
      <c r="G12" s="138"/>
      <c r="H12" s="138"/>
      <c r="I12" s="138"/>
      <c r="J12" s="138"/>
      <c r="K12" s="138"/>
      <c r="L12" s="138"/>
      <c r="M12" s="138"/>
      <c r="N12" s="138"/>
      <c r="O12" s="138"/>
      <c r="P12" s="138"/>
      <c r="Q12" s="138"/>
      <c r="R12" s="138"/>
    </row>
    <row r="13" spans="1:18" s="1" customFormat="1" ht="51" customHeight="1" x14ac:dyDescent="0.35">
      <c r="B13" s="138" t="s">
        <v>126</v>
      </c>
      <c r="C13" s="138"/>
      <c r="D13" s="138"/>
      <c r="E13" s="138"/>
      <c r="F13" s="138"/>
      <c r="G13" s="138"/>
      <c r="H13" s="138"/>
      <c r="I13" s="138"/>
      <c r="J13" s="138"/>
      <c r="K13" s="138"/>
      <c r="L13" s="138"/>
      <c r="M13" s="138"/>
      <c r="N13" s="138"/>
      <c r="O13" s="138"/>
      <c r="P13" s="138"/>
      <c r="Q13" s="138"/>
      <c r="R13" s="138"/>
    </row>
    <row r="14" spans="1:18" s="1" customFormat="1" ht="25" customHeight="1" x14ac:dyDescent="0.35">
      <c r="A14" s="137" t="s">
        <v>109</v>
      </c>
      <c r="B14" s="137"/>
      <c r="C14" s="137"/>
      <c r="D14" s="137"/>
      <c r="E14" s="137"/>
      <c r="F14" s="137"/>
      <c r="G14" s="137"/>
      <c r="H14" s="137"/>
      <c r="I14" s="137"/>
      <c r="J14" s="137"/>
      <c r="K14" s="137"/>
      <c r="L14" s="137"/>
      <c r="M14" s="137"/>
      <c r="N14" s="137"/>
      <c r="O14" s="137"/>
      <c r="P14" s="137"/>
      <c r="Q14" s="137"/>
      <c r="R14" s="137"/>
    </row>
    <row r="15" spans="1:18" s="1" customFormat="1" ht="25" customHeight="1" x14ac:dyDescent="0.35">
      <c r="B15" s="138" t="s">
        <v>108</v>
      </c>
      <c r="C15" s="138"/>
      <c r="D15" s="138"/>
      <c r="E15" s="138"/>
      <c r="F15" s="138"/>
      <c r="G15" s="138"/>
      <c r="H15" s="138"/>
      <c r="I15" s="138"/>
      <c r="J15" s="138"/>
      <c r="K15" s="138"/>
      <c r="L15" s="138"/>
      <c r="M15" s="138"/>
      <c r="N15" s="138"/>
      <c r="O15" s="138"/>
      <c r="P15" s="138"/>
      <c r="Q15" s="138"/>
      <c r="R15" s="138"/>
    </row>
    <row r="16" spans="1:18" s="1" customFormat="1" ht="25" customHeight="1" x14ac:dyDescent="0.35">
      <c r="B16" s="138" t="s">
        <v>110</v>
      </c>
      <c r="C16" s="138"/>
      <c r="D16" s="138"/>
      <c r="E16" s="138"/>
      <c r="F16" s="138"/>
      <c r="G16" s="138"/>
      <c r="H16" s="138"/>
      <c r="I16" s="138"/>
      <c r="J16" s="138"/>
      <c r="K16" s="138"/>
      <c r="L16" s="138"/>
      <c r="M16" s="138"/>
      <c r="N16" s="138"/>
      <c r="O16" s="138"/>
      <c r="P16" s="138"/>
      <c r="Q16" s="138"/>
      <c r="R16" s="138"/>
    </row>
    <row r="17" spans="1:18" s="1" customFormat="1" ht="49.5" customHeight="1" x14ac:dyDescent="0.35">
      <c r="B17" s="138" t="s">
        <v>127</v>
      </c>
      <c r="C17" s="138"/>
      <c r="D17" s="138"/>
      <c r="E17" s="138"/>
      <c r="F17" s="138"/>
      <c r="G17" s="138"/>
      <c r="H17" s="138"/>
      <c r="I17" s="138"/>
      <c r="J17" s="138"/>
      <c r="K17" s="138"/>
      <c r="L17" s="138"/>
      <c r="M17" s="138"/>
      <c r="N17" s="138"/>
      <c r="O17" s="138"/>
      <c r="P17" s="138"/>
      <c r="Q17" s="138"/>
      <c r="R17" s="138"/>
    </row>
    <row r="18" spans="1:18" s="1" customFormat="1" ht="25" customHeight="1" x14ac:dyDescent="0.35">
      <c r="A18" s="136" t="s">
        <v>111</v>
      </c>
      <c r="B18" s="136"/>
      <c r="C18" s="136"/>
      <c r="D18" s="136"/>
      <c r="E18" s="136"/>
      <c r="F18" s="136"/>
      <c r="G18" s="136"/>
      <c r="H18" s="136"/>
      <c r="I18" s="136"/>
      <c r="J18" s="136"/>
      <c r="K18" s="136"/>
      <c r="L18" s="136"/>
      <c r="M18" s="136"/>
      <c r="N18" s="136"/>
      <c r="O18" s="136"/>
      <c r="P18" s="136"/>
      <c r="Q18" s="136"/>
      <c r="R18" s="136"/>
    </row>
    <row r="19" spans="1:18" s="1" customFormat="1" ht="40" customHeight="1" x14ac:dyDescent="0.35">
      <c r="B19" s="138" t="s">
        <v>113</v>
      </c>
      <c r="C19" s="138"/>
      <c r="D19" s="138"/>
      <c r="E19" s="138"/>
      <c r="F19" s="138"/>
      <c r="G19" s="138"/>
      <c r="H19" s="138"/>
      <c r="I19" s="138"/>
      <c r="J19" s="138"/>
      <c r="K19" s="138"/>
      <c r="L19" s="138"/>
      <c r="M19" s="138"/>
      <c r="N19" s="138"/>
      <c r="O19" s="138"/>
      <c r="P19" s="138"/>
      <c r="Q19" s="138"/>
      <c r="R19" s="138"/>
    </row>
    <row r="20" spans="1:18" s="1" customFormat="1" ht="40" customHeight="1" x14ac:dyDescent="0.35">
      <c r="B20" s="138" t="s">
        <v>112</v>
      </c>
      <c r="C20" s="138"/>
      <c r="D20" s="138"/>
      <c r="E20" s="138"/>
      <c r="F20" s="138"/>
      <c r="G20" s="138"/>
      <c r="H20" s="138"/>
      <c r="I20" s="138"/>
      <c r="J20" s="138"/>
      <c r="K20" s="138"/>
      <c r="L20" s="138"/>
      <c r="M20" s="138"/>
      <c r="N20" s="138"/>
      <c r="O20" s="138"/>
      <c r="P20" s="138"/>
      <c r="Q20" s="138"/>
      <c r="R20" s="138"/>
    </row>
    <row r="21" spans="1:18" s="1" customFormat="1" ht="40" customHeight="1" x14ac:dyDescent="0.35">
      <c r="B21" s="138" t="s">
        <v>132</v>
      </c>
      <c r="C21" s="138"/>
      <c r="D21" s="138"/>
      <c r="E21" s="138"/>
      <c r="F21" s="138"/>
      <c r="G21" s="138"/>
      <c r="H21" s="138"/>
      <c r="I21" s="138"/>
      <c r="J21" s="138"/>
      <c r="K21" s="138"/>
      <c r="L21" s="138"/>
      <c r="M21" s="138"/>
      <c r="N21" s="138"/>
      <c r="O21" s="138"/>
      <c r="P21" s="138"/>
      <c r="Q21" s="138"/>
      <c r="R21" s="138"/>
    </row>
    <row r="22" spans="1:18" s="1" customFormat="1" ht="40" customHeight="1" x14ac:dyDescent="0.35">
      <c r="B22" s="127"/>
      <c r="C22" s="137" t="s">
        <v>114</v>
      </c>
      <c r="D22" s="137"/>
      <c r="E22" s="137"/>
      <c r="F22" s="137"/>
      <c r="G22" s="137"/>
      <c r="H22" s="137"/>
      <c r="I22" s="137"/>
      <c r="J22" s="137"/>
      <c r="K22" s="137"/>
      <c r="L22" s="137"/>
      <c r="M22" s="137"/>
      <c r="N22" s="137"/>
      <c r="O22" s="137"/>
      <c r="P22" s="137"/>
      <c r="Q22" s="137"/>
      <c r="R22" s="137"/>
    </row>
    <row r="23" spans="1:18" s="1" customFormat="1" ht="51.75" customHeight="1" x14ac:dyDescent="0.35">
      <c r="B23" s="138" t="s">
        <v>122</v>
      </c>
      <c r="C23" s="138"/>
      <c r="D23" s="138"/>
      <c r="E23" s="138"/>
      <c r="F23" s="138"/>
      <c r="G23" s="138"/>
      <c r="H23" s="138"/>
      <c r="I23" s="138"/>
      <c r="J23" s="138"/>
      <c r="K23" s="138"/>
      <c r="L23" s="138"/>
      <c r="M23" s="138"/>
      <c r="N23" s="138"/>
      <c r="O23" s="138"/>
      <c r="P23" s="138"/>
      <c r="Q23" s="138"/>
      <c r="R23" s="138"/>
    </row>
    <row r="24" spans="1:18" s="1" customFormat="1" ht="35.25" customHeight="1" x14ac:dyDescent="0.35">
      <c r="B24" s="138" t="s">
        <v>131</v>
      </c>
      <c r="C24" s="138"/>
      <c r="D24" s="138"/>
      <c r="E24" s="138"/>
      <c r="F24" s="138"/>
      <c r="G24" s="138"/>
      <c r="H24" s="138"/>
      <c r="I24" s="138"/>
      <c r="J24" s="138"/>
      <c r="K24" s="138"/>
      <c r="L24" s="138"/>
      <c r="M24" s="138"/>
      <c r="N24" s="138"/>
      <c r="O24" s="138"/>
      <c r="P24" s="138"/>
      <c r="Q24" s="138"/>
      <c r="R24" s="138"/>
    </row>
    <row r="25" spans="1:18" x14ac:dyDescent="0.35">
      <c r="A25" s="1"/>
    </row>
    <row r="26" spans="1:18" s="1" customFormat="1" ht="40" customHeight="1" x14ac:dyDescent="0.35">
      <c r="A26" s="136" t="s">
        <v>115</v>
      </c>
      <c r="B26" s="136"/>
      <c r="C26" s="136"/>
      <c r="D26" s="136"/>
      <c r="E26" s="136"/>
      <c r="F26" s="136"/>
      <c r="G26" s="136"/>
      <c r="H26" s="136"/>
      <c r="I26" s="136"/>
      <c r="J26" s="136"/>
      <c r="K26" s="136"/>
      <c r="L26" s="136"/>
      <c r="M26" s="136"/>
      <c r="N26" s="136"/>
      <c r="O26" s="136"/>
      <c r="P26" s="136"/>
      <c r="Q26" s="136"/>
      <c r="R26" s="136"/>
    </row>
    <row r="27" spans="1:18" s="1" customFormat="1" ht="40" customHeight="1" x14ac:dyDescent="0.35">
      <c r="B27" s="127"/>
      <c r="C27" s="137" t="s">
        <v>116</v>
      </c>
      <c r="D27" s="137"/>
      <c r="E27" s="137"/>
      <c r="F27" s="137"/>
      <c r="G27" s="137"/>
      <c r="H27" s="137"/>
      <c r="I27" s="137"/>
      <c r="J27" s="137"/>
      <c r="K27" s="137"/>
      <c r="L27" s="137"/>
      <c r="M27" s="137"/>
      <c r="N27" s="137"/>
      <c r="O27" s="137"/>
      <c r="P27" s="137"/>
      <c r="Q27" s="137"/>
      <c r="R27" s="137"/>
    </row>
  </sheetData>
  <mergeCells count="23">
    <mergeCell ref="A4:R4"/>
    <mergeCell ref="A3:R3"/>
    <mergeCell ref="C22:R22"/>
    <mergeCell ref="B23:R23"/>
    <mergeCell ref="B16:R16"/>
    <mergeCell ref="B11:R11"/>
    <mergeCell ref="B12:R12"/>
    <mergeCell ref="A6:R6"/>
    <mergeCell ref="B7:R7"/>
    <mergeCell ref="B10:R10"/>
    <mergeCell ref="A14:R14"/>
    <mergeCell ref="B15:R15"/>
    <mergeCell ref="B9:R9"/>
    <mergeCell ref="B8:R8"/>
    <mergeCell ref="B13:R13"/>
    <mergeCell ref="B17:R17"/>
    <mergeCell ref="A26:R26"/>
    <mergeCell ref="C27:R27"/>
    <mergeCell ref="A18:R18"/>
    <mergeCell ref="B19:R19"/>
    <mergeCell ref="B20:R20"/>
    <mergeCell ref="B21:R21"/>
    <mergeCell ref="B24:R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7B872-FF7F-4243-802C-EEF0F530F9ED}">
  <sheetPr>
    <tabColor rgb="FF00B0F0"/>
    <pageSetUpPr fitToPage="1"/>
  </sheetPr>
  <dimension ref="A1:T51"/>
  <sheetViews>
    <sheetView zoomScale="70" zoomScaleNormal="70" workbookViewId="0">
      <selection activeCell="F8" sqref="F8"/>
    </sheetView>
  </sheetViews>
  <sheetFormatPr defaultColWidth="8.81640625" defaultRowHeight="14.5" x14ac:dyDescent="0.35"/>
  <cols>
    <col min="1" max="1" width="29" customWidth="1"/>
    <col min="2" max="2" width="21.81640625" customWidth="1"/>
    <col min="3" max="3" width="15.6328125" customWidth="1"/>
    <col min="4" max="4" width="19.6328125" customWidth="1"/>
    <col min="5" max="5" width="19.453125" customWidth="1"/>
    <col min="6" max="6" width="20.1796875" customWidth="1"/>
    <col min="7" max="7" width="23.36328125" customWidth="1"/>
    <col min="8" max="8" width="21.1796875" customWidth="1"/>
    <col min="9" max="9" width="17.81640625" customWidth="1"/>
    <col min="10" max="10" width="18.1796875" customWidth="1"/>
    <col min="11" max="11" width="21.6328125" customWidth="1"/>
    <col min="12" max="12" width="24.6328125" style="4" customWidth="1"/>
    <col min="13" max="13" width="23.453125" style="4" customWidth="1"/>
    <col min="14" max="14" width="23.453125" customWidth="1"/>
    <col min="15" max="15" width="22.6328125" customWidth="1"/>
    <col min="16" max="16" width="24" customWidth="1"/>
    <col min="17" max="17" width="26.1796875" customWidth="1"/>
    <col min="18" max="18" width="25.81640625" customWidth="1"/>
    <col min="19" max="19" width="23.81640625" customWidth="1"/>
    <col min="20" max="20" width="24.453125" customWidth="1"/>
    <col min="21" max="21" width="37.36328125" customWidth="1"/>
  </cols>
  <sheetData>
    <row r="1" spans="1:19" s="1" customFormat="1" ht="54" customHeight="1" x14ac:dyDescent="0.35">
      <c r="A1" s="143" t="s">
        <v>33</v>
      </c>
      <c r="B1" s="143"/>
      <c r="C1" s="143"/>
      <c r="D1" s="143"/>
      <c r="E1" s="143"/>
      <c r="F1" s="144"/>
      <c r="G1" s="145" t="s">
        <v>134</v>
      </c>
      <c r="H1" s="146"/>
      <c r="I1" s="146"/>
      <c r="J1" s="146"/>
      <c r="K1" s="147"/>
      <c r="L1" s="132" t="s">
        <v>37</v>
      </c>
      <c r="M1" s="31"/>
    </row>
    <row r="2" spans="1:19" s="1" customFormat="1" ht="38.25" customHeight="1" x14ac:dyDescent="0.35">
      <c r="A2" s="148" t="s">
        <v>7</v>
      </c>
      <c r="B2" s="148"/>
      <c r="C2" s="148"/>
      <c r="D2" s="148"/>
      <c r="E2" s="148"/>
      <c r="F2" s="148"/>
      <c r="G2" s="149" t="s">
        <v>87</v>
      </c>
      <c r="H2" s="150"/>
      <c r="I2" s="150"/>
      <c r="J2" s="150"/>
      <c r="K2" s="151"/>
      <c r="L2" s="133"/>
      <c r="M2" s="4"/>
    </row>
    <row r="3" spans="1:19" s="1" customFormat="1" ht="38.25" customHeight="1" x14ac:dyDescent="0.35">
      <c r="A3" s="152" t="s">
        <v>135</v>
      </c>
      <c r="B3" s="152"/>
      <c r="C3" s="152"/>
      <c r="D3" s="152"/>
      <c r="E3" s="152"/>
      <c r="F3" s="152"/>
      <c r="G3" s="152"/>
      <c r="H3" s="152"/>
      <c r="I3" s="152"/>
      <c r="J3" s="152"/>
      <c r="K3" s="152"/>
      <c r="L3" s="152"/>
      <c r="M3" s="152"/>
      <c r="N3" s="10"/>
      <c r="O3" s="10"/>
    </row>
    <row r="4" spans="1:19" ht="50.25" customHeight="1" x14ac:dyDescent="0.35">
      <c r="A4" s="153" t="s">
        <v>86</v>
      </c>
      <c r="B4" s="153"/>
      <c r="C4" s="153"/>
      <c r="D4" s="153"/>
      <c r="E4" s="153"/>
      <c r="F4" s="153"/>
      <c r="G4" s="153"/>
      <c r="H4" s="153"/>
      <c r="J4" s="141"/>
      <c r="K4" s="141"/>
      <c r="L4" s="141"/>
      <c r="M4" s="141"/>
      <c r="N4" s="142"/>
      <c r="O4" s="54" t="s">
        <v>36</v>
      </c>
    </row>
    <row r="5" spans="1:19" s="1" customFormat="1" ht="45" customHeight="1" x14ac:dyDescent="0.35">
      <c r="A5" s="12" t="s">
        <v>6</v>
      </c>
      <c r="B5" s="58" t="s">
        <v>3</v>
      </c>
      <c r="C5" s="3"/>
      <c r="D5" s="5"/>
      <c r="E5" s="57" t="s">
        <v>0</v>
      </c>
      <c r="F5" s="57" t="s">
        <v>1</v>
      </c>
      <c r="G5" s="57" t="s">
        <v>2</v>
      </c>
      <c r="H5" s="43"/>
      <c r="J5" s="45" t="s">
        <v>18</v>
      </c>
      <c r="K5" s="46" t="s">
        <v>32</v>
      </c>
      <c r="L5" s="46" t="s">
        <v>3</v>
      </c>
      <c r="M5" s="46" t="s">
        <v>4</v>
      </c>
      <c r="N5" s="46" t="s">
        <v>5</v>
      </c>
      <c r="O5" s="53" t="s">
        <v>11</v>
      </c>
    </row>
    <row r="6" spans="1:19" s="1" customFormat="1" ht="62.25" customHeight="1" x14ac:dyDescent="0.35">
      <c r="A6" s="9" t="s">
        <v>20</v>
      </c>
      <c r="B6" s="50">
        <f>_xlfn.IFS($B$5=$J$5,J6, $B$5=$K$5,K6, $B$5=$L$5,L6, $B$5=$M$5,M6, $B$5=$N$5,N6, $B$5=$O$5,O6)</f>
        <v>95</v>
      </c>
      <c r="D6" s="15" t="s">
        <v>10</v>
      </c>
      <c r="E6" s="55">
        <v>50</v>
      </c>
      <c r="F6" s="55">
        <v>80</v>
      </c>
      <c r="G6" s="56">
        <f>IF(AND(E6&gt;0,F6&gt;0),(E6+F6)/2, E6)</f>
        <v>65</v>
      </c>
      <c r="H6" s="42"/>
      <c r="I6" s="40" t="s">
        <v>34</v>
      </c>
      <c r="J6" s="37">
        <v>160</v>
      </c>
      <c r="K6" s="38" t="s">
        <v>35</v>
      </c>
      <c r="L6" s="39">
        <v>95</v>
      </c>
      <c r="M6" s="39">
        <v>65</v>
      </c>
      <c r="N6" s="39">
        <v>65</v>
      </c>
      <c r="O6" s="122">
        <v>95</v>
      </c>
    </row>
    <row r="7" spans="1:19" s="1" customFormat="1" ht="62.25" customHeight="1" x14ac:dyDescent="0.35">
      <c r="A7" s="9" t="s">
        <v>13</v>
      </c>
      <c r="B7" s="50">
        <f>_xlfn.IFS($B$5=$J$5,J7, $B$5=$K$5,K7, $B$5=$L$5,L7, $B$5=$M$5,M7, $B$5=$N$5,N7, $B$5=$O$5,O7)</f>
        <v>150</v>
      </c>
      <c r="E7" s="41"/>
      <c r="F7" s="41"/>
      <c r="G7" s="42"/>
      <c r="H7" s="42"/>
      <c r="I7" s="70" t="s">
        <v>52</v>
      </c>
      <c r="J7" s="37">
        <v>250</v>
      </c>
      <c r="K7" s="39">
        <v>250</v>
      </c>
      <c r="L7" s="39">
        <v>150</v>
      </c>
      <c r="M7" s="39">
        <v>120</v>
      </c>
      <c r="N7" s="39">
        <v>90</v>
      </c>
      <c r="O7" s="122">
        <v>150</v>
      </c>
    </row>
    <row r="8" spans="1:19" ht="36.75" customHeight="1" x14ac:dyDescent="0.35">
      <c r="A8" s="9" t="s">
        <v>27</v>
      </c>
      <c r="B8" s="50">
        <f>_xlfn.IFS($B$5=$J$5,J8, $B$5=$K$5,K8, $B$5=$L$5,L8, $B$5=$M$5,M8, $B$5=$N$5,N8, $B$5=$O$5,O8)</f>
        <v>600</v>
      </c>
      <c r="C8" s="30"/>
      <c r="I8" s="40" t="s">
        <v>31</v>
      </c>
      <c r="J8" s="47">
        <v>600</v>
      </c>
      <c r="K8" s="48">
        <v>600</v>
      </c>
      <c r="L8" s="48">
        <v>600</v>
      </c>
      <c r="M8" s="49">
        <v>300</v>
      </c>
      <c r="N8" s="52" t="s">
        <v>35</v>
      </c>
      <c r="O8" s="123">
        <v>600</v>
      </c>
    </row>
    <row r="9" spans="1:19" x14ac:dyDescent="0.35">
      <c r="A9" s="28"/>
      <c r="B9" s="29"/>
      <c r="J9" s="44"/>
      <c r="K9" s="44"/>
      <c r="L9" s="44"/>
      <c r="M9" s="44"/>
      <c r="N9" s="51"/>
    </row>
    <row r="10" spans="1:19" ht="36.75" customHeight="1" x14ac:dyDescent="0.35">
      <c r="A10" s="154" t="s">
        <v>12</v>
      </c>
      <c r="B10" s="155"/>
      <c r="I10" s="72" t="s">
        <v>29</v>
      </c>
      <c r="J10" s="156" t="s">
        <v>55</v>
      </c>
      <c r="K10" s="157"/>
    </row>
    <row r="11" spans="1:19" ht="36.75" customHeight="1" x14ac:dyDescent="0.35">
      <c r="A11" s="14" t="s">
        <v>8</v>
      </c>
      <c r="B11" s="11" t="s">
        <v>19</v>
      </c>
      <c r="I11" s="73" t="s">
        <v>58</v>
      </c>
      <c r="J11" s="156" t="s">
        <v>56</v>
      </c>
      <c r="K11" s="157"/>
    </row>
    <row r="12" spans="1:19" ht="29.25" customHeight="1" x14ac:dyDescent="0.35">
      <c r="A12" s="13" t="s">
        <v>9</v>
      </c>
      <c r="B12" s="6"/>
      <c r="I12" s="72" t="s">
        <v>31</v>
      </c>
      <c r="J12" s="156" t="s">
        <v>57</v>
      </c>
      <c r="K12" s="157"/>
    </row>
    <row r="13" spans="1:19" s="1" customFormat="1" ht="34.5" customHeight="1" x14ac:dyDescent="0.35"/>
    <row r="14" spans="1:19" s="16" customFormat="1" ht="109.5" customHeight="1" x14ac:dyDescent="0.35">
      <c r="A14" s="170" t="s">
        <v>118</v>
      </c>
      <c r="B14" s="170"/>
      <c r="C14" s="170"/>
      <c r="D14" s="170"/>
      <c r="E14" s="170"/>
      <c r="F14" s="131"/>
      <c r="G14" s="158" t="s">
        <v>100</v>
      </c>
      <c r="H14" s="159"/>
      <c r="I14" s="159"/>
      <c r="J14" s="160"/>
      <c r="K14" s="161" t="s">
        <v>102</v>
      </c>
      <c r="L14" s="162"/>
      <c r="M14" s="162"/>
      <c r="N14" s="162"/>
      <c r="O14" s="163"/>
      <c r="P14" s="167" t="s">
        <v>101</v>
      </c>
      <c r="Q14" s="168"/>
      <c r="R14" s="169"/>
      <c r="S14" s="124"/>
    </row>
    <row r="15" spans="1:19" s="16" customFormat="1" ht="59.25" customHeight="1" x14ac:dyDescent="0.35">
      <c r="A15" s="67" t="s">
        <v>41</v>
      </c>
      <c r="B15" s="68"/>
      <c r="C15" s="69" t="s">
        <v>40</v>
      </c>
      <c r="D15" s="17" t="s">
        <v>43</v>
      </c>
      <c r="E15" s="69" t="s">
        <v>44</v>
      </c>
      <c r="F15" s="69" t="s">
        <v>76</v>
      </c>
      <c r="G15" s="69" t="s">
        <v>77</v>
      </c>
      <c r="H15" s="69" t="s">
        <v>78</v>
      </c>
      <c r="I15" s="69" t="s">
        <v>79</v>
      </c>
      <c r="J15" s="69" t="s">
        <v>80</v>
      </c>
      <c r="K15" s="69" t="s">
        <v>81</v>
      </c>
      <c r="L15" s="69" t="s">
        <v>82</v>
      </c>
      <c r="M15" s="69" t="s">
        <v>83</v>
      </c>
      <c r="N15" s="69" t="s">
        <v>84</v>
      </c>
      <c r="O15" s="69" t="s">
        <v>85</v>
      </c>
      <c r="P15" s="121" t="s">
        <v>45</v>
      </c>
      <c r="Q15" s="121" t="s">
        <v>46</v>
      </c>
      <c r="R15" s="69" t="s">
        <v>47</v>
      </c>
    </row>
    <row r="16" spans="1:19" s="18" customFormat="1" ht="141" customHeight="1" x14ac:dyDescent="0.35">
      <c r="A16" s="117" t="s">
        <v>68</v>
      </c>
      <c r="B16" s="17" t="s">
        <v>16</v>
      </c>
      <c r="C16" s="17" t="s">
        <v>42</v>
      </c>
      <c r="D16" s="17" t="s">
        <v>53</v>
      </c>
      <c r="E16" s="17" t="s">
        <v>48</v>
      </c>
      <c r="F16" s="17" t="s">
        <v>105</v>
      </c>
      <c r="G16" s="118" t="s">
        <v>49</v>
      </c>
      <c r="H16" s="35" t="s">
        <v>59</v>
      </c>
      <c r="I16" s="35" t="s">
        <v>61</v>
      </c>
      <c r="J16" s="119" t="s">
        <v>60</v>
      </c>
      <c r="K16" s="59" t="s">
        <v>50</v>
      </c>
      <c r="L16" s="60" t="s">
        <v>63</v>
      </c>
      <c r="M16" s="60" t="s">
        <v>64</v>
      </c>
      <c r="N16" s="60" t="s">
        <v>65</v>
      </c>
      <c r="O16" s="59" t="s">
        <v>62</v>
      </c>
      <c r="P16" s="63" t="s">
        <v>51</v>
      </c>
      <c r="Q16" s="64" t="s">
        <v>99</v>
      </c>
      <c r="R16" s="64" t="s">
        <v>106</v>
      </c>
    </row>
    <row r="17" spans="1:18" s="18" customFormat="1" ht="57" customHeight="1" x14ac:dyDescent="0.35">
      <c r="A17" s="67" t="s">
        <v>38</v>
      </c>
      <c r="B17" s="17"/>
      <c r="C17" s="17"/>
      <c r="D17" s="17"/>
      <c r="E17" s="32" t="s">
        <v>30</v>
      </c>
      <c r="F17" s="32"/>
      <c r="G17" s="34" t="s">
        <v>88</v>
      </c>
      <c r="H17" s="36" t="s">
        <v>89</v>
      </c>
      <c r="I17" s="36" t="s">
        <v>90</v>
      </c>
      <c r="J17" s="36" t="s">
        <v>91</v>
      </c>
      <c r="K17" s="59"/>
      <c r="L17" s="61" t="s">
        <v>92</v>
      </c>
      <c r="M17" s="61" t="s">
        <v>93</v>
      </c>
      <c r="N17" s="61" t="s">
        <v>94</v>
      </c>
      <c r="O17" s="61" t="s">
        <v>95</v>
      </c>
      <c r="P17" s="63"/>
      <c r="Q17" s="65" t="s">
        <v>97</v>
      </c>
      <c r="R17" s="120" t="s">
        <v>96</v>
      </c>
    </row>
    <row r="18" spans="1:18" s="22" customFormat="1" ht="56.25" customHeight="1" x14ac:dyDescent="0.35">
      <c r="A18" s="20" t="s">
        <v>25</v>
      </c>
      <c r="B18" s="20"/>
      <c r="C18" s="21"/>
      <c r="D18" s="21"/>
      <c r="E18" s="19"/>
      <c r="F18" s="19"/>
      <c r="G18" s="71" t="s">
        <v>54</v>
      </c>
      <c r="H18" s="19" t="s">
        <v>22</v>
      </c>
      <c r="I18" s="19" t="s">
        <v>21</v>
      </c>
      <c r="J18" s="19" t="s">
        <v>26</v>
      </c>
      <c r="K18" s="62"/>
      <c r="L18" s="62" t="s">
        <v>103</v>
      </c>
      <c r="M18" s="62" t="s">
        <v>24</v>
      </c>
      <c r="N18" s="62" t="s">
        <v>23</v>
      </c>
      <c r="O18" s="62" t="s">
        <v>28</v>
      </c>
      <c r="P18" s="66"/>
      <c r="Q18" s="66" t="s">
        <v>98</v>
      </c>
      <c r="R18" s="66" t="s">
        <v>104</v>
      </c>
    </row>
    <row r="19" spans="1:18" ht="25" customHeight="1" x14ac:dyDescent="0.35">
      <c r="A19" s="6" t="s">
        <v>66</v>
      </c>
      <c r="B19" s="135">
        <v>1</v>
      </c>
      <c r="C19" s="77">
        <v>5.5</v>
      </c>
      <c r="D19" s="78">
        <v>1</v>
      </c>
      <c r="E19" s="79">
        <f t="shared" ref="E19:E32" si="0">C19*D19</f>
        <v>5.5</v>
      </c>
      <c r="F19" s="125">
        <f>$G$6</f>
        <v>65</v>
      </c>
      <c r="G19" s="80">
        <f t="shared" ref="G19:G26" si="1">E19*F19*0.7</f>
        <v>250.24999999999997</v>
      </c>
      <c r="H19" s="81">
        <f>G19/$B$6</f>
        <v>2.6342105263157891</v>
      </c>
      <c r="I19" s="81">
        <f>G19/$B$7</f>
        <v>1.6683333333333332</v>
      </c>
      <c r="J19" s="81">
        <f>G19/$B$8</f>
        <v>0.41708333333333331</v>
      </c>
      <c r="K19" s="82">
        <v>0.7</v>
      </c>
      <c r="L19" s="75">
        <f>G19*K19</f>
        <v>175.17499999999998</v>
      </c>
      <c r="M19" s="76">
        <f>L19/$B$6</f>
        <v>1.8439473684210526</v>
      </c>
      <c r="N19" s="76">
        <f>L19/$B$7</f>
        <v>1.1678333333333333</v>
      </c>
      <c r="O19" s="76">
        <f>L19/$B$8</f>
        <v>0.29195833333333332</v>
      </c>
      <c r="P19" s="83">
        <v>0.05</v>
      </c>
      <c r="Q19" s="74">
        <f>G19*(1-P19)</f>
        <v>237.73749999999995</v>
      </c>
      <c r="R19" s="74">
        <f t="shared" ref="R19:R32" si="2">L19*(1-P19)</f>
        <v>166.41624999999996</v>
      </c>
    </row>
    <row r="20" spans="1:18" ht="25" customHeight="1" x14ac:dyDescent="0.35">
      <c r="A20" s="6" t="s">
        <v>137</v>
      </c>
      <c r="B20" s="6" t="s">
        <v>138</v>
      </c>
      <c r="C20" s="77">
        <f>166.67+0.41</f>
        <v>167.07999999999998</v>
      </c>
      <c r="D20" s="78">
        <v>1.6E-2</v>
      </c>
      <c r="E20" s="79">
        <f t="shared" si="0"/>
        <v>2.6732799999999997</v>
      </c>
      <c r="F20" s="125">
        <f t="shared" ref="F20:F38" si="3">$G$6</f>
        <v>65</v>
      </c>
      <c r="G20" s="80">
        <f t="shared" si="1"/>
        <v>121.63423999999998</v>
      </c>
      <c r="H20" s="81">
        <f t="shared" ref="H20:H32" si="4">G20/$B$6</f>
        <v>1.2803604210526314</v>
      </c>
      <c r="I20" s="81">
        <f t="shared" ref="I20:I32" si="5">G20/$B$7</f>
        <v>0.81089493333333318</v>
      </c>
      <c r="J20" s="81">
        <f t="shared" ref="J20:J32" si="6">G20/$B$8</f>
        <v>0.20272373333333329</v>
      </c>
      <c r="K20" s="82">
        <v>0.8</v>
      </c>
      <c r="L20" s="75">
        <f t="shared" ref="L20:L32" si="7">G20*K20</f>
        <v>97.307391999999993</v>
      </c>
      <c r="M20" s="76">
        <f t="shared" ref="M20:M32" si="8">L20/$B$6</f>
        <v>1.0242883368421052</v>
      </c>
      <c r="N20" s="76">
        <f t="shared" ref="N20:N32" si="9">L20/$B$7</f>
        <v>0.64871594666666665</v>
      </c>
      <c r="O20" s="76">
        <f t="shared" ref="O20:O32" si="10">L20/$B$8</f>
        <v>0.16217898666666666</v>
      </c>
      <c r="P20" s="83">
        <v>0.15</v>
      </c>
      <c r="Q20" s="74">
        <f t="shared" ref="Q20:Q32" si="11">G20*(1-P20)</f>
        <v>103.38910399999997</v>
      </c>
      <c r="R20" s="74">
        <f t="shared" si="2"/>
        <v>82.711283199999997</v>
      </c>
    </row>
    <row r="21" spans="1:18" ht="25" customHeight="1" x14ac:dyDescent="0.35">
      <c r="A21" s="6" t="s">
        <v>139</v>
      </c>
      <c r="B21" s="6" t="s">
        <v>138</v>
      </c>
      <c r="C21" s="77">
        <v>2.64</v>
      </c>
      <c r="D21" s="78">
        <v>0.13900000000000001</v>
      </c>
      <c r="E21" s="79">
        <f t="shared" si="0"/>
        <v>0.36696000000000006</v>
      </c>
      <c r="F21" s="125">
        <f t="shared" si="3"/>
        <v>65</v>
      </c>
      <c r="G21" s="80">
        <f t="shared" si="1"/>
        <v>16.696680000000001</v>
      </c>
      <c r="H21" s="81">
        <f t="shared" si="4"/>
        <v>0.17575452631578947</v>
      </c>
      <c r="I21" s="81">
        <f t="shared" si="5"/>
        <v>0.1113112</v>
      </c>
      <c r="J21" s="81">
        <f t="shared" si="6"/>
        <v>2.78278E-2</v>
      </c>
      <c r="K21" s="82">
        <v>0.5</v>
      </c>
      <c r="L21" s="75">
        <f t="shared" si="7"/>
        <v>8.3483400000000003</v>
      </c>
      <c r="M21" s="76">
        <f t="shared" si="8"/>
        <v>8.7877263157894736E-2</v>
      </c>
      <c r="N21" s="76">
        <f t="shared" si="9"/>
        <v>5.56556E-2</v>
      </c>
      <c r="O21" s="76">
        <f t="shared" si="10"/>
        <v>1.39139E-2</v>
      </c>
      <c r="P21" s="83">
        <v>0.03</v>
      </c>
      <c r="Q21" s="74">
        <f t="shared" si="11"/>
        <v>16.195779600000002</v>
      </c>
      <c r="R21" s="74">
        <f t="shared" si="2"/>
        <v>8.0978898000000008</v>
      </c>
    </row>
    <row r="22" spans="1:18" ht="25" customHeight="1" x14ac:dyDescent="0.35">
      <c r="A22" s="6" t="s">
        <v>140</v>
      </c>
      <c r="B22" s="6" t="s">
        <v>138</v>
      </c>
      <c r="C22" s="77">
        <v>1.0900000000000001</v>
      </c>
      <c r="D22" s="84">
        <v>0.1366</v>
      </c>
      <c r="E22" s="79">
        <f t="shared" si="0"/>
        <v>0.148894</v>
      </c>
      <c r="F22" s="125">
        <f t="shared" si="3"/>
        <v>65</v>
      </c>
      <c r="G22" s="80">
        <f t="shared" si="1"/>
        <v>6.7746769999999996</v>
      </c>
      <c r="H22" s="81">
        <f t="shared" si="4"/>
        <v>7.1312389473684207E-2</v>
      </c>
      <c r="I22" s="81">
        <f t="shared" si="5"/>
        <v>4.516451333333333E-2</v>
      </c>
      <c r="J22" s="81">
        <f t="shared" si="6"/>
        <v>1.1291128333333332E-2</v>
      </c>
      <c r="K22" s="82">
        <v>1</v>
      </c>
      <c r="L22" s="75">
        <f t="shared" si="7"/>
        <v>6.7746769999999996</v>
      </c>
      <c r="M22" s="76">
        <f t="shared" si="8"/>
        <v>7.1312389473684207E-2</v>
      </c>
      <c r="N22" s="76">
        <f t="shared" si="9"/>
        <v>4.516451333333333E-2</v>
      </c>
      <c r="O22" s="76">
        <f t="shared" si="10"/>
        <v>1.1291128333333332E-2</v>
      </c>
      <c r="P22" s="83">
        <v>0.15</v>
      </c>
      <c r="Q22" s="74">
        <f t="shared" si="11"/>
        <v>5.7584754499999997</v>
      </c>
      <c r="R22" s="74">
        <f t="shared" si="2"/>
        <v>5.7584754499999997</v>
      </c>
    </row>
    <row r="23" spans="1:18" ht="25" customHeight="1" x14ac:dyDescent="0.35">
      <c r="A23" s="6" t="s">
        <v>141</v>
      </c>
      <c r="B23" s="6" t="s">
        <v>138</v>
      </c>
      <c r="C23" s="77">
        <v>3.63</v>
      </c>
      <c r="D23" s="78">
        <v>3.2399999999999998E-2</v>
      </c>
      <c r="E23" s="79">
        <f t="shared" si="0"/>
        <v>0.11761199999999999</v>
      </c>
      <c r="F23" s="125">
        <f t="shared" si="3"/>
        <v>65</v>
      </c>
      <c r="G23" s="80">
        <f t="shared" si="1"/>
        <v>5.3513459999999995</v>
      </c>
      <c r="H23" s="81">
        <f t="shared" si="4"/>
        <v>5.632995789473684E-2</v>
      </c>
      <c r="I23" s="81">
        <f t="shared" si="5"/>
        <v>3.5675639999999995E-2</v>
      </c>
      <c r="J23" s="81">
        <f t="shared" si="6"/>
        <v>8.9189099999999986E-3</v>
      </c>
      <c r="K23" s="82">
        <v>0.7</v>
      </c>
      <c r="L23" s="75">
        <f t="shared" si="7"/>
        <v>3.7459421999999996</v>
      </c>
      <c r="M23" s="76">
        <f t="shared" si="8"/>
        <v>3.9430970526315785E-2</v>
      </c>
      <c r="N23" s="76">
        <f t="shared" si="9"/>
        <v>2.4972947999999998E-2</v>
      </c>
      <c r="O23" s="76">
        <f t="shared" si="10"/>
        <v>6.2432369999999996E-3</v>
      </c>
      <c r="P23" s="83">
        <v>0</v>
      </c>
      <c r="Q23" s="74">
        <f t="shared" si="11"/>
        <v>5.3513459999999995</v>
      </c>
      <c r="R23" s="74">
        <f t="shared" si="2"/>
        <v>3.7459421999999996</v>
      </c>
    </row>
    <row r="24" spans="1:18" ht="25" customHeight="1" x14ac:dyDescent="0.35">
      <c r="A24" s="6" t="s">
        <v>142</v>
      </c>
      <c r="B24" s="6" t="s">
        <v>138</v>
      </c>
      <c r="C24" s="77">
        <v>0.19</v>
      </c>
      <c r="D24" s="78">
        <v>0.3</v>
      </c>
      <c r="E24" s="79">
        <f t="shared" si="0"/>
        <v>5.6999999999999995E-2</v>
      </c>
      <c r="F24" s="125">
        <f t="shared" si="3"/>
        <v>65</v>
      </c>
      <c r="G24" s="80">
        <f t="shared" si="1"/>
        <v>2.5934999999999997</v>
      </c>
      <c r="H24" s="81">
        <f t="shared" si="4"/>
        <v>2.7299999999999998E-2</v>
      </c>
      <c r="I24" s="81">
        <f t="shared" si="5"/>
        <v>1.7289999999999996E-2</v>
      </c>
      <c r="J24" s="81">
        <f t="shared" si="6"/>
        <v>4.3224999999999991E-3</v>
      </c>
      <c r="K24" s="82">
        <v>1</v>
      </c>
      <c r="L24" s="75">
        <f t="shared" si="7"/>
        <v>2.5934999999999997</v>
      </c>
      <c r="M24" s="76">
        <f t="shared" si="8"/>
        <v>2.7299999999999998E-2</v>
      </c>
      <c r="N24" s="76">
        <f t="shared" si="9"/>
        <v>1.7289999999999996E-2</v>
      </c>
      <c r="O24" s="76">
        <f t="shared" si="10"/>
        <v>4.3224999999999991E-3</v>
      </c>
      <c r="P24" s="83">
        <v>0.1</v>
      </c>
      <c r="Q24" s="74">
        <f t="shared" si="11"/>
        <v>2.3341499999999997</v>
      </c>
      <c r="R24" s="74">
        <f t="shared" si="2"/>
        <v>2.3341499999999997</v>
      </c>
    </row>
    <row r="25" spans="1:18" ht="25" customHeight="1" x14ac:dyDescent="0.35">
      <c r="A25" s="6" t="s">
        <v>143</v>
      </c>
      <c r="B25" s="6" t="s">
        <v>138</v>
      </c>
      <c r="C25" s="77">
        <v>4.09</v>
      </c>
      <c r="D25" s="78">
        <v>1.6E-2</v>
      </c>
      <c r="E25" s="79">
        <f t="shared" si="0"/>
        <v>6.5439999999999998E-2</v>
      </c>
      <c r="F25" s="125">
        <f t="shared" si="3"/>
        <v>65</v>
      </c>
      <c r="G25" s="80">
        <f t="shared" si="1"/>
        <v>2.9775199999999997</v>
      </c>
      <c r="H25" s="81">
        <f t="shared" si="4"/>
        <v>3.1342315789473683E-2</v>
      </c>
      <c r="I25" s="81">
        <f t="shared" si="5"/>
        <v>1.9850133333333332E-2</v>
      </c>
      <c r="J25" s="81">
        <f t="shared" si="6"/>
        <v>4.962533333333333E-3</v>
      </c>
      <c r="K25" s="82">
        <v>1</v>
      </c>
      <c r="L25" s="75">
        <f t="shared" si="7"/>
        <v>2.9775199999999997</v>
      </c>
      <c r="M25" s="76">
        <f t="shared" si="8"/>
        <v>3.1342315789473683E-2</v>
      </c>
      <c r="N25" s="76">
        <f t="shared" si="9"/>
        <v>1.9850133333333332E-2</v>
      </c>
      <c r="O25" s="76">
        <f t="shared" si="10"/>
        <v>4.962533333333333E-3</v>
      </c>
      <c r="P25" s="83">
        <v>0.05</v>
      </c>
      <c r="Q25" s="74">
        <f t="shared" si="11"/>
        <v>2.8286439999999997</v>
      </c>
      <c r="R25" s="74">
        <f t="shared" si="2"/>
        <v>2.8286439999999997</v>
      </c>
    </row>
    <row r="26" spans="1:18" ht="25" customHeight="1" x14ac:dyDescent="0.35">
      <c r="A26" s="6" t="s">
        <v>144</v>
      </c>
      <c r="B26" s="6" t="s">
        <v>138</v>
      </c>
      <c r="C26" s="77">
        <v>2.2000000000000002</v>
      </c>
      <c r="D26" s="78">
        <v>2.5000000000000001E-2</v>
      </c>
      <c r="E26" s="79">
        <f t="shared" si="0"/>
        <v>5.5000000000000007E-2</v>
      </c>
      <c r="F26" s="125">
        <f t="shared" si="3"/>
        <v>65</v>
      </c>
      <c r="G26" s="80">
        <f t="shared" si="1"/>
        <v>2.5025000000000004</v>
      </c>
      <c r="H26" s="81">
        <f t="shared" si="4"/>
        <v>2.6342105263157899E-2</v>
      </c>
      <c r="I26" s="81">
        <f t="shared" si="5"/>
        <v>1.6683333333333335E-2</v>
      </c>
      <c r="J26" s="81">
        <f t="shared" si="6"/>
        <v>4.1708333333333337E-3</v>
      </c>
      <c r="K26" s="82"/>
      <c r="L26" s="75">
        <f t="shared" si="7"/>
        <v>0</v>
      </c>
      <c r="M26" s="76">
        <f t="shared" si="8"/>
        <v>0</v>
      </c>
      <c r="N26" s="76">
        <f t="shared" si="9"/>
        <v>0</v>
      </c>
      <c r="O26" s="76">
        <f t="shared" si="10"/>
        <v>0</v>
      </c>
      <c r="P26" s="83"/>
      <c r="Q26" s="74">
        <f t="shared" si="11"/>
        <v>2.5025000000000004</v>
      </c>
      <c r="R26" s="74">
        <f t="shared" si="2"/>
        <v>0</v>
      </c>
    </row>
    <row r="27" spans="1:18" ht="25" customHeight="1" x14ac:dyDescent="0.35">
      <c r="A27" s="6" t="s">
        <v>145</v>
      </c>
      <c r="B27" s="6" t="s">
        <v>138</v>
      </c>
      <c r="C27" s="77">
        <v>0.12</v>
      </c>
      <c r="D27" s="78">
        <v>1.7000000000000001E-2</v>
      </c>
      <c r="E27" s="79">
        <f t="shared" si="0"/>
        <v>2.0400000000000001E-3</v>
      </c>
      <c r="F27" s="125">
        <f t="shared" si="3"/>
        <v>65</v>
      </c>
      <c r="G27" s="80">
        <f t="shared" ref="G27:G32" si="12">E27*F27*0.7</f>
        <v>9.2819999999999986E-2</v>
      </c>
      <c r="H27" s="81">
        <f t="shared" si="4"/>
        <v>9.770526315789473E-4</v>
      </c>
      <c r="I27" s="81">
        <f t="shared" si="5"/>
        <v>6.1879999999999986E-4</v>
      </c>
      <c r="J27" s="81">
        <f t="shared" si="6"/>
        <v>1.5469999999999997E-4</v>
      </c>
      <c r="K27" s="82"/>
      <c r="L27" s="75">
        <f t="shared" si="7"/>
        <v>0</v>
      </c>
      <c r="M27" s="76">
        <f t="shared" si="8"/>
        <v>0</v>
      </c>
      <c r="N27" s="76">
        <f t="shared" si="9"/>
        <v>0</v>
      </c>
      <c r="O27" s="76">
        <f t="shared" si="10"/>
        <v>0</v>
      </c>
      <c r="P27" s="83"/>
      <c r="Q27" s="74">
        <f t="shared" si="11"/>
        <v>9.2819999999999986E-2</v>
      </c>
      <c r="R27" s="74">
        <f t="shared" si="2"/>
        <v>0</v>
      </c>
    </row>
    <row r="28" spans="1:18" ht="25" customHeight="1" x14ac:dyDescent="0.35">
      <c r="A28" s="6" t="s">
        <v>146</v>
      </c>
      <c r="B28" s="6" t="s">
        <v>138</v>
      </c>
      <c r="C28" s="77">
        <v>1.1299999999999999</v>
      </c>
      <c r="D28" s="78">
        <v>2.5999999999999999E-2</v>
      </c>
      <c r="E28" s="79">
        <f t="shared" si="0"/>
        <v>2.9379999999999996E-2</v>
      </c>
      <c r="F28" s="125">
        <f t="shared" si="3"/>
        <v>65</v>
      </c>
      <c r="G28" s="80">
        <f t="shared" si="12"/>
        <v>1.3367899999999997</v>
      </c>
      <c r="H28" s="81">
        <f t="shared" si="4"/>
        <v>1.4071473684210523E-2</v>
      </c>
      <c r="I28" s="81">
        <f t="shared" si="5"/>
        <v>8.9119333333333318E-3</v>
      </c>
      <c r="J28" s="81">
        <f t="shared" si="6"/>
        <v>2.2279833333333329E-3</v>
      </c>
      <c r="K28" s="82"/>
      <c r="L28" s="75">
        <f t="shared" si="7"/>
        <v>0</v>
      </c>
      <c r="M28" s="76">
        <f t="shared" si="8"/>
        <v>0</v>
      </c>
      <c r="N28" s="76">
        <f t="shared" si="9"/>
        <v>0</v>
      </c>
      <c r="O28" s="76">
        <f t="shared" si="10"/>
        <v>0</v>
      </c>
      <c r="P28" s="83"/>
      <c r="Q28" s="74">
        <f t="shared" si="11"/>
        <v>1.3367899999999997</v>
      </c>
      <c r="R28" s="74">
        <f t="shared" si="2"/>
        <v>0</v>
      </c>
    </row>
    <row r="29" spans="1:18" ht="25" customHeight="1" x14ac:dyDescent="0.35">
      <c r="A29" s="6" t="s">
        <v>147</v>
      </c>
      <c r="B29" s="6" t="s">
        <v>138</v>
      </c>
      <c r="C29" s="77">
        <v>0.87</v>
      </c>
      <c r="D29" s="78">
        <v>0.02</v>
      </c>
      <c r="E29" s="79">
        <f t="shared" si="0"/>
        <v>1.7399999999999999E-2</v>
      </c>
      <c r="F29" s="125">
        <f t="shared" si="3"/>
        <v>65</v>
      </c>
      <c r="G29" s="80">
        <f t="shared" si="12"/>
        <v>0.79169999999999996</v>
      </c>
      <c r="H29" s="81">
        <f t="shared" si="4"/>
        <v>8.3336842105263161E-3</v>
      </c>
      <c r="I29" s="81">
        <f t="shared" si="5"/>
        <v>5.2779999999999997E-3</v>
      </c>
      <c r="J29" s="81">
        <f t="shared" si="6"/>
        <v>1.3194999999999999E-3</v>
      </c>
      <c r="K29" s="82"/>
      <c r="L29" s="75">
        <f t="shared" si="7"/>
        <v>0</v>
      </c>
      <c r="M29" s="76">
        <f t="shared" si="8"/>
        <v>0</v>
      </c>
      <c r="N29" s="76">
        <f t="shared" si="9"/>
        <v>0</v>
      </c>
      <c r="O29" s="76">
        <f t="shared" si="10"/>
        <v>0</v>
      </c>
      <c r="P29" s="83"/>
      <c r="Q29" s="74">
        <f t="shared" si="11"/>
        <v>0.79169999999999996</v>
      </c>
      <c r="R29" s="74">
        <f t="shared" si="2"/>
        <v>0</v>
      </c>
    </row>
    <row r="30" spans="1:18" ht="25" customHeight="1" x14ac:dyDescent="0.35">
      <c r="A30" s="6" t="s">
        <v>148</v>
      </c>
      <c r="B30" s="6" t="s">
        <v>138</v>
      </c>
      <c r="C30" s="77">
        <v>0.59</v>
      </c>
      <c r="D30" s="78">
        <v>2.5000000000000001E-2</v>
      </c>
      <c r="E30" s="79">
        <f t="shared" si="0"/>
        <v>1.4749999999999999E-2</v>
      </c>
      <c r="F30" s="125">
        <f t="shared" si="3"/>
        <v>65</v>
      </c>
      <c r="G30" s="80">
        <f t="shared" si="12"/>
        <v>0.67112499999999997</v>
      </c>
      <c r="H30" s="81">
        <f t="shared" si="4"/>
        <v>7.0644736842105258E-3</v>
      </c>
      <c r="I30" s="81">
        <f t="shared" si="5"/>
        <v>4.4741666666666662E-3</v>
      </c>
      <c r="J30" s="81">
        <f t="shared" si="6"/>
        <v>1.1185416666666666E-3</v>
      </c>
      <c r="K30" s="82"/>
      <c r="L30" s="75">
        <f t="shared" si="7"/>
        <v>0</v>
      </c>
      <c r="M30" s="76">
        <f t="shared" si="8"/>
        <v>0</v>
      </c>
      <c r="N30" s="76">
        <f t="shared" si="9"/>
        <v>0</v>
      </c>
      <c r="O30" s="76">
        <f t="shared" si="10"/>
        <v>0</v>
      </c>
      <c r="P30" s="83"/>
      <c r="Q30" s="74">
        <f t="shared" si="11"/>
        <v>0.67112499999999997</v>
      </c>
      <c r="R30" s="74">
        <f t="shared" si="2"/>
        <v>0</v>
      </c>
    </row>
    <row r="31" spans="1:18" ht="25" customHeight="1" x14ac:dyDescent="0.35">
      <c r="A31" s="6" t="s">
        <v>149</v>
      </c>
      <c r="B31" s="6" t="s">
        <v>138</v>
      </c>
      <c r="C31" s="77">
        <v>0.24</v>
      </c>
      <c r="D31" s="78">
        <v>5.5300000000000002E-2</v>
      </c>
      <c r="E31" s="79">
        <f t="shared" si="0"/>
        <v>1.3272000000000001E-2</v>
      </c>
      <c r="F31" s="125">
        <f t="shared" si="3"/>
        <v>65</v>
      </c>
      <c r="G31" s="80">
        <f t="shared" si="12"/>
        <v>0.60387599999999997</v>
      </c>
      <c r="H31" s="81">
        <f t="shared" si="4"/>
        <v>6.3565894736842101E-3</v>
      </c>
      <c r="I31" s="81">
        <f t="shared" si="5"/>
        <v>4.0258400000000001E-3</v>
      </c>
      <c r="J31" s="81">
        <f t="shared" si="6"/>
        <v>1.00646E-3</v>
      </c>
      <c r="K31" s="82"/>
      <c r="L31" s="75">
        <f t="shared" si="7"/>
        <v>0</v>
      </c>
      <c r="M31" s="76">
        <f t="shared" si="8"/>
        <v>0</v>
      </c>
      <c r="N31" s="76">
        <f t="shared" si="9"/>
        <v>0</v>
      </c>
      <c r="O31" s="76">
        <f t="shared" si="10"/>
        <v>0</v>
      </c>
      <c r="P31" s="83"/>
      <c r="Q31" s="74">
        <f t="shared" si="11"/>
        <v>0.60387599999999997</v>
      </c>
      <c r="R31" s="74">
        <f t="shared" si="2"/>
        <v>0</v>
      </c>
    </row>
    <row r="32" spans="1:18" ht="25" customHeight="1" x14ac:dyDescent="0.35">
      <c r="A32" s="6" t="s">
        <v>150</v>
      </c>
      <c r="B32" s="6" t="s">
        <v>138</v>
      </c>
      <c r="C32" s="77">
        <v>0.41</v>
      </c>
      <c r="D32" s="78">
        <v>2.4E-2</v>
      </c>
      <c r="E32" s="79">
        <f t="shared" si="0"/>
        <v>9.8399999999999998E-3</v>
      </c>
      <c r="F32" s="125">
        <f t="shared" si="3"/>
        <v>65</v>
      </c>
      <c r="G32" s="80">
        <f t="shared" si="12"/>
        <v>0.44771999999999995</v>
      </c>
      <c r="H32" s="81">
        <f t="shared" si="4"/>
        <v>4.7128421052631576E-3</v>
      </c>
      <c r="I32" s="81">
        <f t="shared" si="5"/>
        <v>2.9847999999999997E-3</v>
      </c>
      <c r="J32" s="81">
        <f t="shared" si="6"/>
        <v>7.4619999999999992E-4</v>
      </c>
      <c r="K32" s="82"/>
      <c r="L32" s="75">
        <f t="shared" si="7"/>
        <v>0</v>
      </c>
      <c r="M32" s="76">
        <f t="shared" si="8"/>
        <v>0</v>
      </c>
      <c r="N32" s="76">
        <f t="shared" si="9"/>
        <v>0</v>
      </c>
      <c r="O32" s="76">
        <f t="shared" si="10"/>
        <v>0</v>
      </c>
      <c r="P32" s="83"/>
      <c r="Q32" s="74">
        <f t="shared" si="11"/>
        <v>0.44771999999999995</v>
      </c>
      <c r="R32" s="74">
        <f t="shared" si="2"/>
        <v>0</v>
      </c>
    </row>
    <row r="33" spans="1:20" ht="25" customHeight="1" x14ac:dyDescent="0.35">
      <c r="A33" s="6" t="s">
        <v>151</v>
      </c>
      <c r="B33" s="6" t="s">
        <v>138</v>
      </c>
      <c r="C33" s="77">
        <v>0.53</v>
      </c>
      <c r="D33" s="78">
        <v>1.4E-2</v>
      </c>
      <c r="E33" s="79">
        <f t="shared" ref="E33:E38" si="13">C33*D33</f>
        <v>7.4200000000000004E-3</v>
      </c>
      <c r="F33" s="125">
        <f t="shared" si="3"/>
        <v>65</v>
      </c>
      <c r="G33" s="80">
        <f t="shared" ref="G33:G38" si="14">E33*F33*0.7</f>
        <v>0.33760999999999997</v>
      </c>
      <c r="H33" s="81">
        <f t="shared" ref="H33:H38" si="15">G33/$B$6</f>
        <v>3.5537894736842103E-3</v>
      </c>
      <c r="I33" s="81">
        <f t="shared" ref="I33:I38" si="16">G33/$B$7</f>
        <v>2.2507333333333331E-3</v>
      </c>
      <c r="J33" s="81">
        <f t="shared" ref="J33:J38" si="17">G33/$B$8</f>
        <v>5.6268333333333329E-4</v>
      </c>
      <c r="K33" s="82"/>
      <c r="L33" s="75">
        <f t="shared" ref="L33:L38" si="18">G33*K33</f>
        <v>0</v>
      </c>
      <c r="M33" s="76">
        <f t="shared" ref="M33:M38" si="19">L33/$B$6</f>
        <v>0</v>
      </c>
      <c r="N33" s="76">
        <f t="shared" ref="N33:N38" si="20">L33/$B$7</f>
        <v>0</v>
      </c>
      <c r="O33" s="76">
        <f t="shared" ref="O33:O38" si="21">L33/$B$8</f>
        <v>0</v>
      </c>
      <c r="P33" s="83"/>
      <c r="Q33" s="74">
        <f t="shared" ref="Q33:Q38" si="22">G33*(1-P33)</f>
        <v>0.33760999999999997</v>
      </c>
      <c r="R33" s="74">
        <f t="shared" ref="R33:R38" si="23">L33*(1-P33)</f>
        <v>0</v>
      </c>
    </row>
    <row r="34" spans="1:20" ht="25" customHeight="1" x14ac:dyDescent="0.35">
      <c r="A34" s="6" t="s">
        <v>152</v>
      </c>
      <c r="B34" s="6" t="s">
        <v>138</v>
      </c>
      <c r="C34" s="77">
        <v>0.27</v>
      </c>
      <c r="D34" s="78">
        <v>3.9899999999999998E-2</v>
      </c>
      <c r="E34" s="79">
        <f t="shared" si="13"/>
        <v>1.0773E-2</v>
      </c>
      <c r="F34" s="125">
        <f t="shared" si="3"/>
        <v>65</v>
      </c>
      <c r="G34" s="80">
        <f t="shared" si="14"/>
        <v>0.49017149999999998</v>
      </c>
      <c r="H34" s="81">
        <f t="shared" si="15"/>
        <v>5.1596999999999997E-3</v>
      </c>
      <c r="I34" s="81">
        <f t="shared" si="16"/>
        <v>3.2678099999999999E-3</v>
      </c>
      <c r="J34" s="81">
        <f t="shared" si="17"/>
        <v>8.1695249999999997E-4</v>
      </c>
      <c r="K34" s="82"/>
      <c r="L34" s="75">
        <f t="shared" si="18"/>
        <v>0</v>
      </c>
      <c r="M34" s="76">
        <f t="shared" si="19"/>
        <v>0</v>
      </c>
      <c r="N34" s="76">
        <f t="shared" si="20"/>
        <v>0</v>
      </c>
      <c r="O34" s="76">
        <f t="shared" si="21"/>
        <v>0</v>
      </c>
      <c r="P34" s="83"/>
      <c r="Q34" s="74">
        <f t="shared" si="22"/>
        <v>0.49017149999999998</v>
      </c>
      <c r="R34" s="74">
        <f t="shared" si="23"/>
        <v>0</v>
      </c>
    </row>
    <row r="35" spans="1:20" ht="25" customHeight="1" x14ac:dyDescent="0.35">
      <c r="A35" s="6" t="s">
        <v>153</v>
      </c>
      <c r="B35" s="6" t="s">
        <v>138</v>
      </c>
      <c r="C35" s="77">
        <v>0.12</v>
      </c>
      <c r="D35" s="78">
        <v>3.3000000000000002E-2</v>
      </c>
      <c r="E35" s="79">
        <f t="shared" si="13"/>
        <v>3.96E-3</v>
      </c>
      <c r="F35" s="125">
        <f t="shared" si="3"/>
        <v>65</v>
      </c>
      <c r="G35" s="80">
        <f t="shared" si="14"/>
        <v>0.18018000000000001</v>
      </c>
      <c r="H35" s="81">
        <f t="shared" si="15"/>
        <v>1.8966315789473685E-3</v>
      </c>
      <c r="I35" s="81">
        <f t="shared" si="16"/>
        <v>1.2012000000000001E-3</v>
      </c>
      <c r="J35" s="81">
        <f t="shared" si="17"/>
        <v>3.0030000000000004E-4</v>
      </c>
      <c r="K35" s="82"/>
      <c r="L35" s="75">
        <f t="shared" si="18"/>
        <v>0</v>
      </c>
      <c r="M35" s="76">
        <f t="shared" si="19"/>
        <v>0</v>
      </c>
      <c r="N35" s="76">
        <f t="shared" si="20"/>
        <v>0</v>
      </c>
      <c r="O35" s="76">
        <f t="shared" si="21"/>
        <v>0</v>
      </c>
      <c r="P35" s="83"/>
      <c r="Q35" s="74">
        <f t="shared" si="22"/>
        <v>0.18018000000000001</v>
      </c>
      <c r="R35" s="74">
        <f t="shared" si="23"/>
        <v>0</v>
      </c>
    </row>
    <row r="36" spans="1:20" ht="25" customHeight="1" x14ac:dyDescent="0.35">
      <c r="A36" s="6" t="s">
        <v>154</v>
      </c>
      <c r="B36" s="6" t="s">
        <v>138</v>
      </c>
      <c r="C36" s="77">
        <v>0.28000000000000003</v>
      </c>
      <c r="D36" s="78">
        <v>0.01</v>
      </c>
      <c r="E36" s="79">
        <f t="shared" si="13"/>
        <v>2.8000000000000004E-3</v>
      </c>
      <c r="F36" s="125">
        <f t="shared" si="3"/>
        <v>65</v>
      </c>
      <c r="G36" s="80">
        <f t="shared" si="14"/>
        <v>0.12740000000000001</v>
      </c>
      <c r="H36" s="81">
        <f t="shared" si="15"/>
        <v>1.3410526315789475E-3</v>
      </c>
      <c r="I36" s="81">
        <f t="shared" si="16"/>
        <v>8.4933333333333345E-4</v>
      </c>
      <c r="J36" s="81">
        <f t="shared" si="17"/>
        <v>2.1233333333333336E-4</v>
      </c>
      <c r="K36" s="82"/>
      <c r="L36" s="75">
        <f t="shared" si="18"/>
        <v>0</v>
      </c>
      <c r="M36" s="76">
        <f t="shared" si="19"/>
        <v>0</v>
      </c>
      <c r="N36" s="76">
        <f t="shared" si="20"/>
        <v>0</v>
      </c>
      <c r="O36" s="76">
        <f t="shared" si="21"/>
        <v>0</v>
      </c>
      <c r="P36" s="83"/>
      <c r="Q36" s="74">
        <f t="shared" si="22"/>
        <v>0.12740000000000001</v>
      </c>
      <c r="R36" s="74">
        <f t="shared" si="23"/>
        <v>0</v>
      </c>
    </row>
    <row r="37" spans="1:20" ht="25" customHeight="1" x14ac:dyDescent="0.35">
      <c r="A37" s="6" t="s">
        <v>155</v>
      </c>
      <c r="B37" s="6" t="s">
        <v>138</v>
      </c>
      <c r="C37" s="77">
        <v>0.66</v>
      </c>
      <c r="D37" s="78">
        <v>3.0000000000000001E-3</v>
      </c>
      <c r="E37" s="79">
        <f t="shared" si="13"/>
        <v>1.98E-3</v>
      </c>
      <c r="F37" s="125">
        <f t="shared" si="3"/>
        <v>65</v>
      </c>
      <c r="G37" s="80">
        <f t="shared" si="14"/>
        <v>9.0090000000000003E-2</v>
      </c>
      <c r="H37" s="81">
        <f t="shared" si="15"/>
        <v>9.4831578947368426E-4</v>
      </c>
      <c r="I37" s="81">
        <f t="shared" si="16"/>
        <v>6.0060000000000007E-4</v>
      </c>
      <c r="J37" s="81">
        <f t="shared" si="17"/>
        <v>1.5015000000000002E-4</v>
      </c>
      <c r="K37" s="82"/>
      <c r="L37" s="75">
        <f t="shared" si="18"/>
        <v>0</v>
      </c>
      <c r="M37" s="76">
        <f t="shared" si="19"/>
        <v>0</v>
      </c>
      <c r="N37" s="76">
        <f t="shared" si="20"/>
        <v>0</v>
      </c>
      <c r="O37" s="76">
        <f t="shared" si="21"/>
        <v>0</v>
      </c>
      <c r="P37" s="83"/>
      <c r="Q37" s="74">
        <f t="shared" si="22"/>
        <v>9.0090000000000003E-2</v>
      </c>
      <c r="R37" s="74">
        <f t="shared" si="23"/>
        <v>0</v>
      </c>
    </row>
    <row r="38" spans="1:20" ht="25" customHeight="1" x14ac:dyDescent="0.35">
      <c r="A38" s="6" t="s">
        <v>156</v>
      </c>
      <c r="B38" s="6" t="s">
        <v>138</v>
      </c>
      <c r="C38" s="77">
        <v>0.17</v>
      </c>
      <c r="D38" s="78">
        <v>8.9999999999999993E-3</v>
      </c>
      <c r="E38" s="79">
        <f t="shared" si="13"/>
        <v>1.5299999999999999E-3</v>
      </c>
      <c r="F38" s="125">
        <f t="shared" si="3"/>
        <v>65</v>
      </c>
      <c r="G38" s="80">
        <f t="shared" si="14"/>
        <v>6.9614999999999996E-2</v>
      </c>
      <c r="H38" s="81">
        <f t="shared" si="15"/>
        <v>7.3278947368421053E-4</v>
      </c>
      <c r="I38" s="81">
        <f t="shared" si="16"/>
        <v>4.6409999999999995E-4</v>
      </c>
      <c r="J38" s="81">
        <f t="shared" si="17"/>
        <v>1.1602499999999999E-4</v>
      </c>
      <c r="K38" s="82"/>
      <c r="L38" s="75">
        <f t="shared" si="18"/>
        <v>0</v>
      </c>
      <c r="M38" s="76">
        <f t="shared" si="19"/>
        <v>0</v>
      </c>
      <c r="N38" s="76">
        <f t="shared" si="20"/>
        <v>0</v>
      </c>
      <c r="O38" s="76">
        <f t="shared" si="21"/>
        <v>0</v>
      </c>
      <c r="P38" s="83"/>
      <c r="Q38" s="74">
        <f t="shared" si="22"/>
        <v>6.9614999999999996E-2</v>
      </c>
      <c r="R38" s="74">
        <f t="shared" si="23"/>
        <v>0</v>
      </c>
    </row>
    <row r="39" spans="1:20" s="8" customFormat="1" ht="24.75" customHeight="1" x14ac:dyDescent="0.35">
      <c r="A39" s="7" t="s">
        <v>39</v>
      </c>
      <c r="B39" s="7"/>
      <c r="C39" s="85">
        <f>SUM(C19:C38)</f>
        <v>191.80999999999997</v>
      </c>
      <c r="D39" s="86"/>
      <c r="E39" s="85">
        <f>SUM(E19:E38)</f>
        <v>9.0993310000000012</v>
      </c>
      <c r="F39" s="85"/>
      <c r="G39" s="85">
        <f>SUM(G19:G38)</f>
        <v>414.01956050000001</v>
      </c>
      <c r="H39" s="86">
        <f>G39/$B$6</f>
        <v>4.3581006368421056</v>
      </c>
      <c r="I39" s="86">
        <f>G39/$B$7</f>
        <v>2.7601304033333336</v>
      </c>
      <c r="J39" s="86">
        <f>G39/$B$8</f>
        <v>0.6900326008333334</v>
      </c>
      <c r="K39" s="87"/>
      <c r="L39" s="88">
        <f>SUM(L19:L38)</f>
        <v>296.92237120000004</v>
      </c>
      <c r="M39" s="87">
        <f>L39/$B$6</f>
        <v>3.1254986442105266</v>
      </c>
      <c r="N39" s="87">
        <f>L39/$B$7</f>
        <v>1.979482474666667</v>
      </c>
      <c r="O39" s="87">
        <f>L39/$B$8</f>
        <v>0.49487061866666676</v>
      </c>
      <c r="P39" s="89"/>
      <c r="Q39" s="90">
        <f>SUM(Q19:Q38)</f>
        <v>381.33659654999991</v>
      </c>
      <c r="R39" s="90">
        <f>SUM(R19:R38)</f>
        <v>271.89263464999999</v>
      </c>
    </row>
    <row r="40" spans="1:20" s="8" customFormat="1" ht="24.75" customHeight="1" x14ac:dyDescent="0.35">
      <c r="A40" s="7" t="s">
        <v>67</v>
      </c>
      <c r="B40" s="7"/>
      <c r="C40" s="85">
        <f>SUM(C19:C38) - SUMIF($A$19:$A$38, "Household salt", C19:C38)</f>
        <v>186.30999999999997</v>
      </c>
      <c r="D40" s="86"/>
      <c r="E40" s="85">
        <f>SUM(E19:E38) - SUMIF($A$19:$A$38, "Household salt", E19:E38)</f>
        <v>3.5993310000000012</v>
      </c>
      <c r="F40" s="85"/>
      <c r="G40" s="85">
        <f>SUM(G19:G38) - SUMIF($A$19:$A$38, "Household salt", G19:G38)</f>
        <v>163.76956050000004</v>
      </c>
      <c r="H40" s="86">
        <f>G40/$B$6</f>
        <v>1.7238901105263162</v>
      </c>
      <c r="I40" s="86">
        <f>G40/$B$7</f>
        <v>1.0917970700000004</v>
      </c>
      <c r="J40" s="86">
        <f>G40/$B$8</f>
        <v>0.27294926750000009</v>
      </c>
      <c r="K40" s="87"/>
      <c r="L40" s="88">
        <f>SUM(L19:L38) - SUMIF($A$19:$A$38, "Household salt", L19:L38)</f>
        <v>121.74737120000006</v>
      </c>
      <c r="M40" s="87">
        <f>L40/$B$6</f>
        <v>1.2815512757894743</v>
      </c>
      <c r="N40" s="87">
        <f>L40/$B$7</f>
        <v>0.81164914133333377</v>
      </c>
      <c r="O40" s="87">
        <f>L40/$B$8</f>
        <v>0.20291228533333344</v>
      </c>
      <c r="P40" s="89"/>
      <c r="Q40" s="90">
        <f>SUM(Q19:Q38) - SUMIF($A$19:$A$38, "Household salt", Q19:Q38)</f>
        <v>143.59909654999996</v>
      </c>
      <c r="R40" s="90">
        <f>SUM(R19:R38) - SUMIF($A$19:$A$38, "Household salt", R19:R38)</f>
        <v>105.47638465000003</v>
      </c>
    </row>
    <row r="41" spans="1:20" x14ac:dyDescent="0.35">
      <c r="A41" s="33"/>
    </row>
    <row r="42" spans="1:20" x14ac:dyDescent="0.35">
      <c r="A42" s="23" t="s">
        <v>14</v>
      </c>
    </row>
    <row r="43" spans="1:20" x14ac:dyDescent="0.35">
      <c r="A43" s="24" t="s">
        <v>15</v>
      </c>
      <c r="B43" s="171" t="s">
        <v>17</v>
      </c>
      <c r="C43" s="171"/>
      <c r="D43" s="171"/>
      <c r="E43" s="171"/>
      <c r="F43" s="171"/>
      <c r="G43" s="171"/>
      <c r="H43" s="171"/>
      <c r="I43" s="171"/>
      <c r="J43" s="171"/>
      <c r="K43" s="171"/>
    </row>
    <row r="44" spans="1:20" ht="20" customHeight="1" x14ac:dyDescent="0.35">
      <c r="A44" s="25"/>
      <c r="B44" s="164"/>
      <c r="C44" s="165"/>
      <c r="D44" s="165"/>
      <c r="E44" s="165"/>
      <c r="F44" s="165"/>
      <c r="G44" s="165"/>
      <c r="H44" s="165"/>
      <c r="I44" s="165"/>
      <c r="J44" s="165"/>
      <c r="K44" s="166"/>
    </row>
    <row r="45" spans="1:20" s="4" customFormat="1" ht="20" customHeight="1" x14ac:dyDescent="0.35">
      <c r="A45" s="26"/>
      <c r="B45" s="164"/>
      <c r="C45" s="165"/>
      <c r="D45" s="165"/>
      <c r="E45" s="165"/>
      <c r="F45" s="165"/>
      <c r="G45" s="165"/>
      <c r="H45" s="165"/>
      <c r="I45" s="165"/>
      <c r="J45" s="165"/>
      <c r="K45" s="166"/>
      <c r="N45"/>
      <c r="O45"/>
      <c r="P45"/>
      <c r="Q45"/>
      <c r="R45"/>
      <c r="T45"/>
    </row>
    <row r="46" spans="1:20" s="4" customFormat="1" ht="20" customHeight="1" x14ac:dyDescent="0.35">
      <c r="A46" s="25"/>
      <c r="B46" s="164"/>
      <c r="C46" s="165"/>
      <c r="D46" s="165"/>
      <c r="E46" s="165"/>
      <c r="F46" s="165"/>
      <c r="G46" s="165"/>
      <c r="H46" s="165"/>
      <c r="I46" s="165"/>
      <c r="J46" s="165"/>
      <c r="K46" s="166"/>
      <c r="N46"/>
      <c r="O46"/>
      <c r="P46"/>
      <c r="Q46"/>
      <c r="R46"/>
      <c r="T46"/>
    </row>
    <row r="47" spans="1:20" s="4" customFormat="1" ht="20" customHeight="1" x14ac:dyDescent="0.35">
      <c r="A47" s="27"/>
      <c r="B47" s="164"/>
      <c r="C47" s="165"/>
      <c r="D47" s="165"/>
      <c r="E47" s="165"/>
      <c r="F47" s="165"/>
      <c r="G47" s="165"/>
      <c r="H47" s="165"/>
      <c r="I47" s="165"/>
      <c r="J47" s="165"/>
      <c r="K47" s="166"/>
      <c r="N47"/>
      <c r="O47"/>
      <c r="P47"/>
      <c r="Q47"/>
      <c r="R47"/>
      <c r="T47"/>
    </row>
    <row r="48" spans="1:20" s="4" customFormat="1" ht="20" customHeight="1" x14ac:dyDescent="0.35">
      <c r="A48" s="25"/>
      <c r="B48" s="164"/>
      <c r="C48" s="165"/>
      <c r="D48" s="165"/>
      <c r="E48" s="165"/>
      <c r="F48" s="165"/>
      <c r="G48" s="165"/>
      <c r="H48" s="165"/>
      <c r="I48" s="165"/>
      <c r="J48" s="165"/>
      <c r="K48" s="166"/>
      <c r="N48"/>
      <c r="O48"/>
      <c r="P48"/>
      <c r="Q48"/>
      <c r="R48"/>
      <c r="T48"/>
    </row>
    <row r="49" spans="1:20" s="4" customFormat="1" ht="20" customHeight="1" x14ac:dyDescent="0.35">
      <c r="A49" s="25"/>
      <c r="B49" s="164"/>
      <c r="C49" s="165"/>
      <c r="D49" s="165"/>
      <c r="E49" s="165"/>
      <c r="F49" s="165"/>
      <c r="G49" s="165"/>
      <c r="H49" s="165"/>
      <c r="I49" s="165"/>
      <c r="J49" s="165"/>
      <c r="K49" s="166"/>
      <c r="N49"/>
      <c r="O49"/>
      <c r="P49"/>
      <c r="Q49"/>
      <c r="R49"/>
      <c r="T49"/>
    </row>
    <row r="50" spans="1:20" s="4" customFormat="1" ht="20" customHeight="1" x14ac:dyDescent="0.35">
      <c r="A50" s="25"/>
      <c r="B50" s="164"/>
      <c r="C50" s="165"/>
      <c r="D50" s="165"/>
      <c r="E50" s="165"/>
      <c r="F50" s="165"/>
      <c r="G50" s="165"/>
      <c r="H50" s="165"/>
      <c r="I50" s="165"/>
      <c r="J50" s="165"/>
      <c r="K50" s="166"/>
      <c r="N50"/>
      <c r="O50"/>
      <c r="P50"/>
      <c r="Q50"/>
      <c r="R50"/>
      <c r="T50"/>
    </row>
    <row r="51" spans="1:20" s="4" customFormat="1" ht="20" customHeight="1" x14ac:dyDescent="0.35">
      <c r="A51" s="25"/>
      <c r="B51" s="164"/>
      <c r="C51" s="165"/>
      <c r="D51" s="165"/>
      <c r="E51" s="165"/>
      <c r="F51" s="165"/>
      <c r="G51" s="165"/>
      <c r="H51" s="165"/>
      <c r="I51" s="165"/>
      <c r="J51" s="165"/>
      <c r="K51" s="166"/>
      <c r="N51"/>
      <c r="O51"/>
      <c r="P51"/>
      <c r="Q51"/>
      <c r="R51"/>
      <c r="T51"/>
    </row>
  </sheetData>
  <sheetProtection selectLockedCells="1"/>
  <mergeCells count="24">
    <mergeCell ref="B48:K48"/>
    <mergeCell ref="B49:K49"/>
    <mergeCell ref="B50:K50"/>
    <mergeCell ref="B51:K51"/>
    <mergeCell ref="P14:R14"/>
    <mergeCell ref="A14:E14"/>
    <mergeCell ref="B43:K43"/>
    <mergeCell ref="B44:K44"/>
    <mergeCell ref="B45:K45"/>
    <mergeCell ref="B46:K46"/>
    <mergeCell ref="B47:K47"/>
    <mergeCell ref="A10:B10"/>
    <mergeCell ref="J10:K10"/>
    <mergeCell ref="J11:K11"/>
    <mergeCell ref="J12:K12"/>
    <mergeCell ref="G14:J14"/>
    <mergeCell ref="K14:O14"/>
    <mergeCell ref="J4:N4"/>
    <mergeCell ref="A1:F1"/>
    <mergeCell ref="G1:K1"/>
    <mergeCell ref="A2:F2"/>
    <mergeCell ref="G2:K2"/>
    <mergeCell ref="A3:M3"/>
    <mergeCell ref="A4:H4"/>
  </mergeCells>
  <dataValidations count="36">
    <dataValidation allowBlank="1" showInputMessage="1" showErrorMessage="1" promptTitle="Values excluding household salt" prompt="For the current formulae in this row to work,  &quot;Household salt&quot; as a food type above needs to be written in exactly this form_x000a_" sqref="A40" xr:uid="{53C55BBD-15D5-4C62-BDE9-13640AEBA377}"/>
    <dataValidation allowBlank="1" showInputMessage="1" showErrorMessage="1" promptTitle="Estimated current % UL iodine " prompt="Auto calculates using UL for the selected population group._x000a_ _x000a_Calculated based on:_x000a_Estimated current iodine intake Column J / UL for population group_x000a_" sqref="O16" xr:uid="{D8C60F72-DFFA-4C7D-A2FE-3E8D06A71E10}"/>
    <dataValidation allowBlank="1" showInputMessage="1" showErrorMessage="1" promptTitle="Estimated current % EAR iodine" prompt="Auto calculates using EAR  for the selected population group _x000a__x000a_Calculated based on:_x000a_Estimated current iodine intake Column J / EAR for population group" sqref="M16" xr:uid="{4AC0D3C8-C3B2-41E0-BC10-422391031203}"/>
    <dataValidation allowBlank="1" showInputMessage="1" showErrorMessage="1" promptTitle="Estimated current % EAR iodine" prompt="Auto calculates using EAR for the selected population group. _x000a__x000a_Calculated based on:_x000a_Estimated current iodine intake Column I / EAR for population group" sqref="M16" xr:uid="{FC999987-92DD-4099-AC0F-5F3BDFB56766}"/>
    <dataValidation allowBlank="1" showInputMessage="1" showErrorMessage="1" promptTitle="Estimated current % RNI iodine" prompt="Auto calculates using RNI for the selected population group. _x000a__x000a_Calculated based on:_x000a_Estimated current iodine intake Column J / RNI for population group" sqref="N16" xr:uid="{68F16828-0086-42A6-86D3-8958A86F126A}"/>
    <dataValidation allowBlank="1" showInputMessage="1" showErrorMessage="1" promptTitle="Current iodine intake after SR" prompt="Based on:_x000a_Current estimated iodine intake Column J * salt reduction target for the product Column N" sqref="R16" xr:uid="{3613E795-0C78-40A8-92DA-FC054860E89F}"/>
    <dataValidation allowBlank="1" showInputMessage="1" showErrorMessage="1" promptTitle="Current estimated iodine intake" prompt="Based on:_x000a_Potential iodine intake Column E * Current level iodisation Column I_x000a_" sqref="L16" xr:uid="{B51333C6-0192-49AD-93A4-199F5AE48143}"/>
    <dataValidation allowBlank="1" showInputMessage="1" showErrorMessage="1" promptTitle="Potential iodine intake" prompt="Calculated based on:_x000a_Value for salt intake in column C * D *70% to account for potential 30% loss in final product" sqref="G16" xr:uid="{EC33CA99-9EBD-4959-AFFE-1266662DA89F}"/>
    <dataValidation allowBlank="1" showErrorMessage="1" promptTitle="Data source" prompt="Insert a number by each food product to indicate the source of data for per capita intake and salt content (insert more than one code where a variety of data sources used). List the actual reference name and year in the space below this table" sqref="B17" xr:uid="{C7E7D0A2-9541-44CF-8C25-3D7A993F4B98}"/>
    <dataValidation allowBlank="1" showErrorMessage="1" promptTitle="Food product" prompt="Insert the name of (at least 4 to 8) food products identified as contributiing signficantly to salt intake across population groups. _x000a_Not all rows need to be completed." sqref="A17 A15" xr:uid="{5D78D05E-6465-419E-8665-B6A3BB618595}"/>
    <dataValidation allowBlank="1" showInputMessage="1" showErrorMessage="1" promptTitle="% salt reduction target" prompt="Where known, enter planned % salt reduction (from product reformulation or reduced intake) for each product" sqref="P16" xr:uid="{B7E30D7B-3EAC-45A2-8B7E-585F13244004}"/>
    <dataValidation allowBlank="1" showInputMessage="1" showErrorMessage="1" promptTitle="Geographic area" prompt="Insert a description in the light blue shaded cell. _x000a_National or a description of the geographic area the data represent" sqref="A11:A12" xr:uid="{ECACD332-BA54-452F-BCAB-84FA55E72D04}"/>
    <dataValidation allowBlank="1" showInputMessage="1" showErrorMessage="1" promptTitle="Data source" prompt="Insert a number by each food product to indicate the source of data for per capita intake and salt content (insert more than one code where a variety of data sources used). List the actual reference name and year in the space below this table" sqref="B16" xr:uid="{8EFDCDAF-340E-414F-AC9F-5317CADC645D}"/>
    <dataValidation allowBlank="1" showInputMessage="1" showErrorMessage="1" promptTitle="Population group" prompt="Change the population group using the picklist options in the next cell_x000a_" sqref="A5 A9" xr:uid="{1CDC7222-9D81-4733-9828-F0AC12B1D4CB}"/>
    <dataValidation allowBlank="1" showInputMessage="1" showErrorMessage="1" promptTitle="SES Group" prompt="Insert a description in the light blue shaded cell. _x000a_National or a description of the SES group that the data represent in terms of high/low, tertiles, quintiles, etc.)" sqref="A12" xr:uid="{BF0AA7B0-58A1-4BFC-B64D-224EF35ACE7E}"/>
    <dataValidation allowBlank="1" showInputMessage="1" showErrorMessage="1" promptTitle="% salt currently iodised" prompt="Where data are available, enter the current estimated percent of total salt used for manufacture of each food product that's iodised." sqref="K16" xr:uid="{7FC4273D-9861-46EA-83BE-789DF80D2FBD}"/>
    <dataValidation allowBlank="1" showInputMessage="1" showErrorMessage="1" promptTitle="Salt content" prompt="Insert product where known. Where unknown but sodium content is known - from the label or other - convert to g salt by multiplying by 2.54. Note that an assumption is made that all sodium from salt" sqref="D16" xr:uid="{8E4E7B90-2165-4D64-804B-82FD49E46B56}"/>
    <dataValidation allowBlank="1" showInputMessage="1" showErrorMessage="1" promptTitle="Daily per capita consumption" prompt="Insert the estimated daily per capita consumption (g) of the identified food product for the population group defined above" sqref="C16" xr:uid="{CBEF8427-AECA-4F87-B741-815B3B005C06}"/>
    <dataValidation allowBlank="1" showInputMessage="1" showErrorMessage="1" promptTitle="Salt iodine standards" prompt="Insert salt iodine based on the national standard. e.g. _x000a_If the standard if 30-50 mg/kg, the min. would be 30 mg/kg, max 50 mg/kg_x000a_If the standard if 30 +/- 15mg/kg, the min would be 15 mg/kg, max 45 mg/kg_x000a_The mean will be calculated automatically " sqref="D6" xr:uid="{B7923742-C51A-4B9E-96B8-3911B7D7F331}"/>
    <dataValidation allowBlank="1" showInputMessage="1" showErrorMessage="1" promptTitle="Upper Level iodine intake" prompt="This value will change automatically based on the selected population group and accepted iodine UL, as detailed in the reference table on the right" sqref="A8" xr:uid="{BC9DE075-906A-4FFB-B99E-39B32E4B5B0F}"/>
    <dataValidation allowBlank="1" showInputMessage="1" showErrorMessage="1" promptTitle="Mean salt iodine content" prompt="Mean salt iodine will calculate automatially based on national standard min and max. Where only a minimum standard is specified, the mean will equal this minimum value" sqref="G6:H7" xr:uid="{9D99D0C3-DEB8-4996-B5A9-8AA5E1FA1391}"/>
    <dataValidation allowBlank="1" showErrorMessage="1" promptTitle="Maximum salt iodine content" prompt="Insert highest acceptable salt iodine content based on the national standard. e.g. _x000a_If the standard if 30-50 mg/kg, the maximum would be 50 mg/kg._x000a_If the standard if 30 +/- 15mg/kg, the maximum would be 45 mg/kg." sqref="F6:F7" xr:uid="{A9AB7E2F-6FDB-4DEF-B42D-46BB72085258}"/>
    <dataValidation allowBlank="1" showErrorMessage="1" promptTitle="Minimum salt iodine content" prompt="Insert lowest acceptable salt iodine content based on the national standard. e.g. _x000a_If the standard if 30-50 mg/kg, the minimum would be 30 mg/kg._x000a_If the standard if 30 +/- 15mg/kg, the minimum would be 15 mg/kg." sqref="E6:E7 B11:B12" xr:uid="{1D5A2B2C-BB55-4EC0-BABA-3A17BA1E62A3}"/>
    <dataValidation allowBlank="1" showInputMessage="1" showErrorMessage="1" promptTitle="Food product" prompt="Insert the name of (at least 4 to 8) food products identified as contributiing signficantly to salt intake across population groups. _x000a_Not all rows need to be completed." sqref="A16" xr:uid="{5C861F82-B082-412D-A949-9AD29D1DF354}"/>
    <dataValidation allowBlank="1" showInputMessage="1" showErrorMessage="1" promptTitle="Potential % EAR iodine" prompt="Auto calculates using EAR for the selected population group. _x000a__x000a_Calculated based on:_x000a_Potential iodine intake Column E / EAR for population group" sqref="H16" xr:uid="{963D0890-553B-4E55-98FC-4004405A6280}"/>
    <dataValidation allowBlank="1" showInputMessage="1" showErrorMessage="1" promptTitle="Estimated salt intake" prompt="Calculated based on:_x000a_Column A * Column B_x000a_Or Column A * Column C*2.54" sqref="E16" xr:uid="{0DF9F10A-7EED-40AD-ADA4-72C5AB2B5314}"/>
    <dataValidation allowBlank="1" showInputMessage="1" showErrorMessage="1" promptTitle="Potential % RNI iodine" prompt="Auto calculates using RNI for the selected population group. _x000a__x000a_Calculated based on:_x000a_Potential iodine intake Column E / RNI for population group" sqref="I16" xr:uid="{F1B2B0E1-CFAD-4189-BD9F-9B6480D35BCE}"/>
    <dataValidation allowBlank="1" showInputMessage="1" showErrorMessage="1" promptTitle="Potential % EAR iodine" prompt="Auto calculates using EAR  for the selected population group _x000a__x000a_Calculated based on:_x000a_Potential iodine intake Column D / EAR for population group" sqref="H16" xr:uid="{C6852F66-6319-43A1-942F-B93329D1A445}"/>
    <dataValidation allowBlank="1" showInputMessage="1" showErrorMessage="1" promptTitle="Potential % UL iodine " prompt="Auto calculates using UL for the selected population group._x000a_ _x000a_Calculated based on:_x000a_Potential iodine intake Column E / UL for population group_x000a_" sqref="J16" xr:uid="{5DBA2AEB-C9F4-4132-A5A9-3ABFE47C0DF2}"/>
    <dataValidation allowBlank="1" showInputMessage="1" showErrorMessage="1" promptTitle="Recommended iodine intake RNI" prompt="This value will change automatically based on the selected population group and accepted iodine RNI, as detailed in the reference table on the right" sqref="A7" xr:uid="{2D27AF0D-B157-45F7-A83F-6A9E36B3F2C6}"/>
    <dataValidation allowBlank="1" showInputMessage="1" showErrorMessage="1" promptTitle="Estimated Average Requirement" prompt="Estimated Average Requirement (EAR) for iodine_x000a_This value will change automatically based on the selected population group and accepted iodine EAR, as detailed in the reference table on the right" sqref="A6" xr:uid="{88BC1772-2B78-49DA-A92F-733304778BEC}"/>
    <dataValidation allowBlank="1" showErrorMessage="1" sqref="C17:R17" xr:uid="{54501E84-F7AA-41BF-9BB7-1A5E97A3FC9F}"/>
    <dataValidation allowBlank="1" showInputMessage="1" showErrorMessage="1" promptTitle="Potential iodine intake after SR" prompt="Based on:_x000a_Potential iodine intake Column E * salt reduction target for the product Column N" sqref="Q16" xr:uid="{B08784AB-5013-45B0-8EB2-04273E3279DF}"/>
    <dataValidation allowBlank="1" showInputMessage="1" showErrorMessage="1" promptTitle="Salt iodine standard" prompt="This autofills as the mean of national standards (cell G6 above). Where food products are imported and different iodine standards apply, it is possible to overwrite the auto fill formula with the relevant standard salt iodine level. " sqref="F16" xr:uid="{834CF40A-4051-4A92-97C0-B582DBB8AAF2}"/>
    <dataValidation allowBlank="1" showInputMessage="1" showErrorMessage="1" promptTitle="Salt iodine standard" prompt="The cells autofill based on mean of national standard (cell G above). Where a food is imported and is known to contain salt iodised to a different standard, then overwrite the formula in the cell with the known iodine level." sqref="F16" xr:uid="{86EDC66C-B811-4FF5-A888-D22C584A739B}"/>
    <dataValidation allowBlank="1" showInputMessage="1" showErrorMessage="1" promptTitle="Estimated Average Requirement " prompt="Estimated Average requirement (EAR)_x000a_This value will change automatically based on the selected population group and accepted iodine EAR, as detailed in the reference table on the right" sqref="A6" xr:uid="{E9BD59FB-04D3-42B8-90DB-32A35C0036B0}"/>
  </dataValidations>
  <pageMargins left="0.70866141732283472" right="0.70866141732283472" top="0.74803149606299213" bottom="0.74803149606299213" header="0.31496062992125984" footer="0.31496062992125984"/>
  <pageSetup paperSize="9" scale="56" fitToHeight="2" orientation="landscape" r:id="rId1"/>
  <extLst>
    <ext xmlns:x14="http://schemas.microsoft.com/office/spreadsheetml/2009/9/main" uri="{CCE6A557-97BC-4b89-ADB6-D9C93CAAB3DF}">
      <x14:dataValidations xmlns:xm="http://schemas.microsoft.com/office/excel/2006/main" count="2">
        <x14:dataValidation type="list" allowBlank="1" showErrorMessage="1" promptTitle="Population group" prompt="Change the population group using the picklist options" xr:uid="{AC1AD755-2845-4792-AD6E-C9A75F6D7089}">
          <x14:formula1>
            <xm:f>Lists!$A$5:$A$10</xm:f>
          </x14:formula1>
          <xm:sqref>B5</xm:sqref>
        </x14:dataValidation>
        <x14:dataValidation type="list" allowBlank="1" showErrorMessage="1" promptTitle="Population group" prompt="Change the population group using the picklist options" xr:uid="{9FD8C6BC-2207-4A27-8494-77491E1C9615}">
          <x14:formula1>
            <xm:f>Lists!$A$3:$A$9</xm:f>
          </x14:formula1>
          <xm:sqref>B9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835A1-E9B8-4C89-BE9C-003307908962}">
  <sheetPr codeName="Sheet2"/>
  <dimension ref="A1:G37"/>
  <sheetViews>
    <sheetView topLeftCell="A4" workbookViewId="0">
      <selection activeCell="E27" sqref="E27"/>
    </sheetView>
  </sheetViews>
  <sheetFormatPr defaultColWidth="8.81640625" defaultRowHeight="14.5" x14ac:dyDescent="0.35"/>
  <cols>
    <col min="1" max="1" width="35.453125" style="2" customWidth="1"/>
    <col min="2" max="2" width="7.36328125" style="2" customWidth="1"/>
    <col min="3" max="3" width="20.453125" style="2" customWidth="1"/>
    <col min="4" max="5" width="21.453125" style="2" customWidth="1"/>
    <col min="6" max="6" width="22" style="2" customWidth="1"/>
  </cols>
  <sheetData>
    <row r="1" spans="1:7" ht="33.75" customHeight="1" x14ac:dyDescent="0.35">
      <c r="A1" s="99" t="s">
        <v>70</v>
      </c>
      <c r="B1" s="99"/>
    </row>
    <row r="2" spans="1:7" x14ac:dyDescent="0.35">
      <c r="A2" s="93" t="s">
        <v>71</v>
      </c>
      <c r="B2" s="93"/>
    </row>
    <row r="3" spans="1:7" x14ac:dyDescent="0.35">
      <c r="A3" s="128" t="s">
        <v>75</v>
      </c>
      <c r="B3" s="93"/>
      <c r="D3" s="130" t="s">
        <v>117</v>
      </c>
    </row>
    <row r="4" spans="1:7" x14ac:dyDescent="0.35">
      <c r="A4" s="129" t="s">
        <v>74</v>
      </c>
      <c r="B4" s="100"/>
    </row>
    <row r="5" spans="1:7" ht="21" customHeight="1" x14ac:dyDescent="0.35">
      <c r="A5" s="99"/>
      <c r="B5" s="99"/>
    </row>
    <row r="6" spans="1:7" ht="90.75" customHeight="1" x14ac:dyDescent="0.35">
      <c r="A6" s="97"/>
      <c r="B6" s="102"/>
      <c r="C6" s="98" t="str">
        <f>'OPTION 1 - Working Tab'!G16</f>
        <v xml:space="preserve">Potential iodine intake (µg) from daily intake (g) of the product </v>
      </c>
      <c r="D6" s="98" t="str">
        <f>'OPTION 1 - Working Tab'!L16</f>
        <v>Estimated current iodine intake (µg) from daily intake of the product (g)</v>
      </c>
      <c r="E6" s="98" t="str">
        <f>'OPTION 1 - Working Tab'!Q16</f>
        <v>Potential iodine intake (µg) from daily intake of the product (g) based on ALL salt iodised and after SR</v>
      </c>
      <c r="F6" s="98" t="str">
        <f>'OPTION 1 - Working Tab'!R16</f>
        <v>Estimated iodine intake (µg) from daily intake of the product (g) based on estimated current levels iodisation and after SR</v>
      </c>
      <c r="G6" s="102"/>
    </row>
    <row r="7" spans="1:7" ht="52.5" customHeight="1" x14ac:dyDescent="0.35">
      <c r="A7" s="95" t="str">
        <f>'OPTION 1 - Working Tab'!A18</f>
        <v>Food type</v>
      </c>
      <c r="B7" s="103"/>
      <c r="C7" s="94" t="str">
        <f>'OPTION 1 - Working Tab'!G18</f>
        <v>Potential iodine intake (µg)</v>
      </c>
      <c r="D7" s="94" t="str">
        <f>'OPTION 1 - Working Tab'!L18</f>
        <v>Estimated current iodine intake (µg)</v>
      </c>
      <c r="E7" s="94" t="str">
        <f>'OPTION 1 - Working Tab'!Q18</f>
        <v>Potential iodine intake (µg) after SR</v>
      </c>
      <c r="F7" s="94" t="str">
        <f>'OPTION 1 - Working Tab'!R18</f>
        <v>Estimated current iodine intake (µg) after SR</v>
      </c>
      <c r="G7" s="103"/>
    </row>
    <row r="8" spans="1:7" x14ac:dyDescent="0.35">
      <c r="A8" s="96" t="str">
        <f>'OPTION 1 - Working Tab'!A19</f>
        <v>Household salt</v>
      </c>
      <c r="B8" s="104"/>
      <c r="C8" s="91">
        <f>'OPTION 1 - Working Tab'!G19</f>
        <v>250.24999999999997</v>
      </c>
      <c r="D8" s="91">
        <f>'OPTION 1 - Working Tab'!L19</f>
        <v>175.17499999999998</v>
      </c>
      <c r="E8" s="91">
        <f>'OPTION 1 - Working Tab'!Q19</f>
        <v>237.73749999999995</v>
      </c>
      <c r="F8" s="91">
        <f>'OPTION 1 - Working Tab'!R19</f>
        <v>166.41624999999996</v>
      </c>
      <c r="G8" s="104"/>
    </row>
    <row r="9" spans="1:7" x14ac:dyDescent="0.35">
      <c r="A9" s="96" t="str">
        <f>'OPTION 1 - Working Tab'!A20</f>
        <v>Bread &amp; brotchen</v>
      </c>
      <c r="B9" s="104"/>
      <c r="C9" s="91">
        <f>'OPTION 1 - Working Tab'!G20</f>
        <v>121.63423999999998</v>
      </c>
      <c r="D9" s="91">
        <f>'OPTION 1 - Working Tab'!L20</f>
        <v>97.307391999999993</v>
      </c>
      <c r="E9" s="91">
        <f>'OPTION 1 - Working Tab'!Q20</f>
        <v>103.38910399999997</v>
      </c>
      <c r="F9" s="91">
        <f>'OPTION 1 - Working Tab'!R20</f>
        <v>82.711283199999997</v>
      </c>
      <c r="G9" s="104"/>
    </row>
    <row r="10" spans="1:7" x14ac:dyDescent="0.35">
      <c r="A10" s="96" t="str">
        <f>'OPTION 1 - Working Tab'!A21</f>
        <v>Dried fish</v>
      </c>
      <c r="B10" s="104"/>
      <c r="C10" s="91">
        <f>'OPTION 1 - Working Tab'!G21</f>
        <v>16.696680000000001</v>
      </c>
      <c r="D10" s="91">
        <f>'OPTION 1 - Working Tab'!L21</f>
        <v>8.3483400000000003</v>
      </c>
      <c r="E10" s="91">
        <f>'OPTION 1 - Working Tab'!Q21</f>
        <v>16.195779600000002</v>
      </c>
      <c r="F10" s="91">
        <f>'OPTION 1 - Working Tab'!R21</f>
        <v>8.0978898000000008</v>
      </c>
      <c r="G10" s="104"/>
    </row>
    <row r="11" spans="1:7" x14ac:dyDescent="0.35">
      <c r="A11" s="96" t="str">
        <f>'OPTION 1 - Working Tab'!A22</f>
        <v>Powdered soup</v>
      </c>
      <c r="B11" s="104"/>
      <c r="C11" s="91">
        <f>'OPTION 1 - Working Tab'!G22</f>
        <v>6.7746769999999996</v>
      </c>
      <c r="D11" s="91">
        <f>'OPTION 1 - Working Tab'!L22</f>
        <v>6.7746769999999996</v>
      </c>
      <c r="E11" s="91">
        <f>'OPTION 1 - Working Tab'!Q22</f>
        <v>5.7584754499999997</v>
      </c>
      <c r="F11" s="91">
        <f>'OPTION 1 - Working Tab'!R22</f>
        <v>5.7584754499999997</v>
      </c>
      <c r="G11" s="104"/>
    </row>
    <row r="12" spans="1:7" x14ac:dyDescent="0.35">
      <c r="A12" s="96" t="str">
        <f>'OPTION 1 - Working Tab'!A23</f>
        <v>Sausages, other than polony</v>
      </c>
      <c r="B12" s="104"/>
      <c r="C12" s="91">
        <f>'OPTION 1 - Working Tab'!G23</f>
        <v>5.3513459999999995</v>
      </c>
      <c r="D12" s="91">
        <f>'OPTION 1 - Working Tab'!L23</f>
        <v>3.7459421999999996</v>
      </c>
      <c r="E12" s="91">
        <f>'OPTION 1 - Working Tab'!Q23</f>
        <v>5.3513459999999995</v>
      </c>
      <c r="F12" s="91">
        <f>'OPTION 1 - Working Tab'!R23</f>
        <v>3.7459421999999996</v>
      </c>
      <c r="G12" s="104"/>
    </row>
    <row r="13" spans="1:7" x14ac:dyDescent="0.35">
      <c r="A13" s="96" t="str">
        <f>'OPTION 1 - Working Tab'!A24</f>
        <v>Spices &amp; condiments</v>
      </c>
      <c r="B13" s="104"/>
      <c r="C13" s="91">
        <f>'OPTION 1 - Working Tab'!G24</f>
        <v>2.5934999999999997</v>
      </c>
      <c r="D13" s="91">
        <f>'OPTION 1 - Working Tab'!L24</f>
        <v>2.5934999999999997</v>
      </c>
      <c r="E13" s="91">
        <f>'OPTION 1 - Working Tab'!Q24</f>
        <v>2.3341499999999997</v>
      </c>
      <c r="F13" s="91">
        <f>'OPTION 1 - Working Tab'!R24</f>
        <v>2.3341499999999997</v>
      </c>
      <c r="G13" s="104"/>
    </row>
    <row r="14" spans="1:7" x14ac:dyDescent="0.35">
      <c r="A14" s="96" t="str">
        <f>'OPTION 1 - Working Tab'!A25</f>
        <v>Traditional bread</v>
      </c>
      <c r="B14" s="104"/>
      <c r="C14" s="91">
        <f>'OPTION 1 - Working Tab'!G25</f>
        <v>2.9775199999999997</v>
      </c>
      <c r="D14" s="91">
        <f>'OPTION 1 - Working Tab'!L25</f>
        <v>2.9775199999999997</v>
      </c>
      <c r="E14" s="91">
        <f>'OPTION 1 - Working Tab'!Q25</f>
        <v>2.8286439999999997</v>
      </c>
      <c r="F14" s="91">
        <f>'OPTION 1 - Working Tab'!R25</f>
        <v>2.8286439999999997</v>
      </c>
      <c r="G14" s="104"/>
    </row>
    <row r="15" spans="1:7" x14ac:dyDescent="0.35">
      <c r="A15" s="96" t="str">
        <f>'OPTION 1 - Working Tab'!A26</f>
        <v>Chips &amp; crisps</v>
      </c>
      <c r="B15" s="104"/>
      <c r="C15" s="91">
        <f>'OPTION 1 - Working Tab'!G26</f>
        <v>2.5025000000000004</v>
      </c>
      <c r="D15" s="91">
        <f>'OPTION 1 - Working Tab'!L26</f>
        <v>0</v>
      </c>
      <c r="E15" s="91">
        <f>'OPTION 1 - Working Tab'!Q26</f>
        <v>2.5025000000000004</v>
      </c>
      <c r="F15" s="91">
        <f>'OPTION 1 - Working Tab'!R26</f>
        <v>0</v>
      </c>
      <c r="G15" s="104"/>
    </row>
    <row r="16" spans="1:7" x14ac:dyDescent="0.35">
      <c r="A16" s="96" t="str">
        <f>'OPTION 1 - Working Tab'!A27</f>
        <v>Smoked fish</v>
      </c>
      <c r="B16" s="104"/>
      <c r="C16" s="91">
        <f>'OPTION 1 - Working Tab'!G27</f>
        <v>9.2819999999999986E-2</v>
      </c>
      <c r="D16" s="91">
        <f>'OPTION 1 - Working Tab'!L27</f>
        <v>0</v>
      </c>
      <c r="E16" s="91">
        <f>'OPTION 1 - Working Tab'!Q27</f>
        <v>9.2819999999999986E-2</v>
      </c>
      <c r="F16" s="91">
        <f>'OPTION 1 - Working Tab'!R27</f>
        <v>0</v>
      </c>
      <c r="G16" s="104"/>
    </row>
    <row r="17" spans="1:7" x14ac:dyDescent="0.35">
      <c r="A17" s="96" t="str">
        <f>'OPTION 1 - Working Tab'!A28</f>
        <v>Polony</v>
      </c>
      <c r="B17" s="104"/>
      <c r="C17" s="91">
        <f>'OPTION 1 - Working Tab'!G28</f>
        <v>1.3367899999999997</v>
      </c>
      <c r="D17" s="91">
        <f>'OPTION 1 - Working Tab'!L28</f>
        <v>0</v>
      </c>
      <c r="E17" s="91">
        <f>'OPTION 1 - Working Tab'!Q28</f>
        <v>1.3367899999999997</v>
      </c>
      <c r="F17" s="91">
        <f>'OPTION 1 - Working Tab'!R28</f>
        <v>0</v>
      </c>
      <c r="G17" s="104"/>
    </row>
    <row r="18" spans="1:7" x14ac:dyDescent="0.35">
      <c r="A18" s="96" t="str">
        <f>'OPTION 1 - Working Tab'!A29</f>
        <v>Cheese, all types</v>
      </c>
      <c r="B18" s="104"/>
      <c r="C18" s="91">
        <f>'OPTION 1 - Working Tab'!G29</f>
        <v>0.79169999999999996</v>
      </c>
      <c r="D18" s="91">
        <f>'OPTION 1 - Working Tab'!L29</f>
        <v>0</v>
      </c>
      <c r="E18" s="91">
        <f>'OPTION 1 - Working Tab'!Q29</f>
        <v>0.79169999999999996</v>
      </c>
      <c r="F18" s="91">
        <f>'OPTION 1 - Working Tab'!R29</f>
        <v>0</v>
      </c>
      <c r="G18" s="104"/>
    </row>
    <row r="19" spans="1:7" x14ac:dyDescent="0.35">
      <c r="A19" s="96" t="str">
        <f>'OPTION 1 - Working Tab'!A30</f>
        <v>Canned meat</v>
      </c>
      <c r="B19" s="104"/>
      <c r="C19" s="91">
        <f>'OPTION 1 - Working Tab'!G30</f>
        <v>0.67112499999999997</v>
      </c>
      <c r="D19" s="91">
        <f>'OPTION 1 - Working Tab'!L30</f>
        <v>0</v>
      </c>
      <c r="E19" s="91">
        <f>'OPTION 1 - Working Tab'!Q30</f>
        <v>0.67112499999999997</v>
      </c>
      <c r="F19" s="91">
        <f>'OPTION 1 - Working Tab'!R30</f>
        <v>0</v>
      </c>
      <c r="G19" s="104"/>
    </row>
    <row r="20" spans="1:7" x14ac:dyDescent="0.35">
      <c r="A20" s="96" t="str">
        <f>'OPTION 1 - Working Tab'!A31</f>
        <v>Biltong</v>
      </c>
      <c r="B20" s="104"/>
      <c r="C20" s="91">
        <f>'OPTION 1 - Working Tab'!G31</f>
        <v>0.60387599999999997</v>
      </c>
      <c r="D20" s="91">
        <f>'OPTION 1 - Working Tab'!L31</f>
        <v>0</v>
      </c>
      <c r="E20" s="91">
        <f>'OPTION 1 - Working Tab'!Q31</f>
        <v>0.60387599999999997</v>
      </c>
      <c r="F20" s="91">
        <f>'OPTION 1 - Working Tab'!R31</f>
        <v>0</v>
      </c>
      <c r="G20" s="104"/>
    </row>
    <row r="21" spans="1:7" x14ac:dyDescent="0.35">
      <c r="A21" s="96" t="str">
        <f>'OPTION 1 - Working Tab'!A32</f>
        <v>Smoked meat, other than bacon &amp; ham</v>
      </c>
      <c r="B21" s="104"/>
      <c r="C21" s="91">
        <f>'OPTION 1 - Working Tab'!G32</f>
        <v>0.44771999999999995</v>
      </c>
      <c r="D21" s="91">
        <f>'OPTION 1 - Working Tab'!L32</f>
        <v>0</v>
      </c>
      <c r="E21" s="91">
        <f>'OPTION 1 - Working Tab'!Q32</f>
        <v>0.44771999999999995</v>
      </c>
      <c r="F21" s="91">
        <f>'OPTION 1 - Working Tab'!R32</f>
        <v>0</v>
      </c>
      <c r="G21" s="104"/>
    </row>
    <row r="22" spans="1:7" x14ac:dyDescent="0.35">
      <c r="A22" s="96" t="str">
        <f>'OPTION 1 - Working Tab'!A33</f>
        <v>Tomato sauce</v>
      </c>
      <c r="B22" s="104"/>
      <c r="C22" s="91">
        <f>'OPTION 1 - Working Tab'!G33</f>
        <v>0.33760999999999997</v>
      </c>
      <c r="D22" s="91">
        <f>'OPTION 1 - Working Tab'!L33</f>
        <v>0</v>
      </c>
      <c r="E22" s="91">
        <f>'OPTION 1 - Working Tab'!Q33</f>
        <v>0.33760999999999997</v>
      </c>
      <c r="F22" s="91">
        <f>'OPTION 1 - Working Tab'!R33</f>
        <v>0</v>
      </c>
      <c r="G22" s="104"/>
    </row>
    <row r="23" spans="1:7" x14ac:dyDescent="0.35">
      <c r="A23" s="96" t="str">
        <f>'OPTION 1 - Working Tab'!A34</f>
        <v>Bacon</v>
      </c>
      <c r="B23" s="104"/>
      <c r="C23" s="91">
        <f>'OPTION 1 - Working Tab'!G34</f>
        <v>0.49017149999999998</v>
      </c>
      <c r="D23" s="91">
        <f>'OPTION 1 - Working Tab'!L34</f>
        <v>0</v>
      </c>
      <c r="E23" s="91">
        <f>'OPTION 1 - Working Tab'!Q34</f>
        <v>0.49017149999999998</v>
      </c>
      <c r="F23" s="91">
        <f>'OPTION 1 - Working Tab'!R34</f>
        <v>0</v>
      </c>
      <c r="G23" s="104"/>
    </row>
    <row r="24" spans="1:7" x14ac:dyDescent="0.35">
      <c r="A24" s="96" t="str">
        <f>'OPTION 1 - Working Tab'!A35</f>
        <v>Ham</v>
      </c>
      <c r="B24" s="104"/>
      <c r="C24" s="91">
        <f>'OPTION 1 - Working Tab'!G35</f>
        <v>0.18018000000000001</v>
      </c>
      <c r="D24" s="91">
        <f>'OPTION 1 - Working Tab'!L35</f>
        <v>0</v>
      </c>
      <c r="E24" s="91">
        <f>'OPTION 1 - Working Tab'!Q35</f>
        <v>0.18018000000000001</v>
      </c>
      <c r="F24" s="91">
        <f>'OPTION 1 - Working Tab'!R35</f>
        <v>0</v>
      </c>
      <c r="G24" s="104"/>
    </row>
    <row r="25" spans="1:7" x14ac:dyDescent="0.35">
      <c r="A25" s="96" t="str">
        <f>'OPTION 1 - Working Tab'!A36</f>
        <v>Pies &amp; pizza</v>
      </c>
      <c r="B25" s="104"/>
      <c r="C25" s="91">
        <f>'OPTION 1 - Working Tab'!G36</f>
        <v>0.12740000000000001</v>
      </c>
      <c r="D25" s="91">
        <f>'OPTION 1 - Working Tab'!L36</f>
        <v>0</v>
      </c>
      <c r="E25" s="91">
        <f>'OPTION 1 - Working Tab'!Q36</f>
        <v>0.12740000000000001</v>
      </c>
      <c r="F25" s="91">
        <f>'OPTION 1 - Working Tab'!R36</f>
        <v>0</v>
      </c>
      <c r="G25" s="104"/>
    </row>
    <row r="26" spans="1:7" x14ac:dyDescent="0.35">
      <c r="A26" s="96" t="str">
        <f>'OPTION 1 - Working Tab'!A37</f>
        <v>Biscuits, rusks</v>
      </c>
      <c r="B26" s="104"/>
      <c r="C26" s="91">
        <f>'OPTION 1 - Working Tab'!G37</f>
        <v>9.0090000000000003E-2</v>
      </c>
      <c r="D26" s="91">
        <f>'OPTION 1 - Working Tab'!L37</f>
        <v>0</v>
      </c>
      <c r="E26" s="91">
        <f>'OPTION 1 - Working Tab'!Q37</f>
        <v>9.0090000000000003E-2</v>
      </c>
      <c r="F26" s="91">
        <f>'OPTION 1 - Working Tab'!R37</f>
        <v>0</v>
      </c>
      <c r="G26" s="104"/>
    </row>
    <row r="27" spans="1:7" x14ac:dyDescent="0.35">
      <c r="A27" s="96" t="str">
        <f>'OPTION 1 - Working Tab'!A38</f>
        <v>Ready made soup</v>
      </c>
      <c r="B27" s="104"/>
      <c r="C27" s="91">
        <f>'OPTION 1 - Working Tab'!G38</f>
        <v>6.9614999999999996E-2</v>
      </c>
      <c r="D27" s="91">
        <f>'OPTION 1 - Working Tab'!L38</f>
        <v>0</v>
      </c>
      <c r="E27" s="91">
        <f>'OPTION 1 - Working Tab'!Q38</f>
        <v>6.9614999999999996E-2</v>
      </c>
      <c r="F27" s="91">
        <f>'OPTION 1 - Working Tab'!R38</f>
        <v>0</v>
      </c>
      <c r="G27" s="104"/>
    </row>
    <row r="28" spans="1:7" x14ac:dyDescent="0.35">
      <c r="A28" s="96"/>
      <c r="B28" s="104"/>
      <c r="C28" s="91"/>
      <c r="D28" s="91"/>
      <c r="E28" s="91"/>
      <c r="F28" s="91"/>
      <c r="G28" s="104"/>
    </row>
    <row r="29" spans="1:7" x14ac:dyDescent="0.35">
      <c r="A29" s="96"/>
      <c r="B29" s="104"/>
      <c r="C29" s="91"/>
      <c r="D29" s="91"/>
      <c r="E29" s="91"/>
      <c r="F29" s="91"/>
      <c r="G29" s="104"/>
    </row>
    <row r="30" spans="1:7" x14ac:dyDescent="0.35">
      <c r="A30" s="96"/>
      <c r="B30" s="104"/>
      <c r="C30" s="91"/>
      <c r="D30" s="91"/>
      <c r="E30" s="91"/>
      <c r="F30" s="91"/>
      <c r="G30" s="104"/>
    </row>
    <row r="31" spans="1:7" x14ac:dyDescent="0.35">
      <c r="A31" s="96"/>
      <c r="B31" s="104"/>
      <c r="C31" s="91"/>
      <c r="D31" s="91"/>
      <c r="E31" s="91"/>
      <c r="F31" s="91"/>
      <c r="G31" s="104"/>
    </row>
    <row r="32" spans="1:7" x14ac:dyDescent="0.35">
      <c r="A32" s="96"/>
      <c r="B32" s="104"/>
      <c r="C32" s="91"/>
      <c r="D32" s="91"/>
      <c r="E32" s="91"/>
      <c r="F32" s="91"/>
      <c r="G32" s="104"/>
    </row>
    <row r="33" spans="1:7" x14ac:dyDescent="0.35">
      <c r="A33" s="92" t="s">
        <v>69</v>
      </c>
      <c r="B33" s="92"/>
      <c r="C33" s="106">
        <f>C8</f>
        <v>250.24999999999997</v>
      </c>
      <c r="D33" s="106">
        <f t="shared" ref="D33:F33" si="0">D8</f>
        <v>175.17499999999998</v>
      </c>
      <c r="E33" s="106">
        <f t="shared" si="0"/>
        <v>237.73749999999995</v>
      </c>
      <c r="F33" s="107">
        <f t="shared" si="0"/>
        <v>166.41624999999996</v>
      </c>
      <c r="G33" s="92"/>
    </row>
    <row r="34" spans="1:7" ht="29" x14ac:dyDescent="0.35">
      <c r="A34" s="92" t="s">
        <v>136</v>
      </c>
      <c r="B34" s="101"/>
      <c r="C34" s="108">
        <f>SUM(C9:C32)</f>
        <v>163.76956050000001</v>
      </c>
      <c r="D34" s="106">
        <f>SUM(D9:D32)</f>
        <v>121.7473712</v>
      </c>
      <c r="E34" s="106">
        <f>SUM(E9:E32)</f>
        <v>143.59909654999998</v>
      </c>
      <c r="F34" s="107">
        <f>SUM(F9:F32)</f>
        <v>105.47638465</v>
      </c>
      <c r="G34" s="92"/>
    </row>
    <row r="35" spans="1:7" ht="16.5" customHeight="1" x14ac:dyDescent="0.35">
      <c r="A35" s="97" t="s">
        <v>72</v>
      </c>
      <c r="B35" s="111">
        <f>'OPTION 1 - Working Tab'!B6</f>
        <v>95</v>
      </c>
      <c r="C35" s="112">
        <f t="shared" ref="C35:G36" si="1">+B35</f>
        <v>95</v>
      </c>
      <c r="D35" s="113">
        <f t="shared" si="1"/>
        <v>95</v>
      </c>
      <c r="E35" s="113">
        <f t="shared" si="1"/>
        <v>95</v>
      </c>
      <c r="F35" s="109">
        <f>+D35</f>
        <v>95</v>
      </c>
      <c r="G35" s="109">
        <f t="shared" si="1"/>
        <v>95</v>
      </c>
    </row>
    <row r="36" spans="1:7" ht="18" customHeight="1" x14ac:dyDescent="0.35">
      <c r="A36" s="105" t="s">
        <v>73</v>
      </c>
      <c r="B36" s="114">
        <f>'OPTION 1 - Working Tab'!B7</f>
        <v>150</v>
      </c>
      <c r="C36" s="115">
        <f t="shared" si="1"/>
        <v>150</v>
      </c>
      <c r="D36" s="116">
        <f t="shared" si="1"/>
        <v>150</v>
      </c>
      <c r="E36" s="116">
        <f t="shared" si="1"/>
        <v>150</v>
      </c>
      <c r="F36" s="110">
        <f>+D36</f>
        <v>150</v>
      </c>
      <c r="G36" s="110">
        <f t="shared" si="1"/>
        <v>150</v>
      </c>
    </row>
    <row r="37" spans="1:7" ht="33.75" customHeight="1" x14ac:dyDescent="0.35">
      <c r="A37" s="99"/>
      <c r="B37" s="99"/>
    </row>
  </sheetData>
  <dataValidations count="1">
    <dataValidation allowBlank="1" showErrorMessage="1" promptTitle="Values excluding household salt" prompt="For the current formulae in this row to work,  &quot;Household salt&quot; as a food type above needs to be written in exactly this form_x000a_" sqref="A34:B34 G34" xr:uid="{6CA0235D-759D-4221-80D0-C1A2F0E1FECD}"/>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8113E-A94B-47CD-9DE8-2D290EBEB5FE}">
  <sheetPr codeName="Sheet11"/>
  <dimension ref="A3:A10"/>
  <sheetViews>
    <sheetView workbookViewId="0">
      <selection activeCell="D7" sqref="D7"/>
    </sheetView>
  </sheetViews>
  <sheetFormatPr defaultColWidth="8.81640625" defaultRowHeight="14.5" x14ac:dyDescent="0.35"/>
  <cols>
    <col min="1" max="1" width="14" customWidth="1"/>
  </cols>
  <sheetData>
    <row r="3" spans="1:1" x14ac:dyDescent="0.35">
      <c r="A3" s="2"/>
    </row>
    <row r="5" spans="1:1" ht="29" x14ac:dyDescent="0.35">
      <c r="A5" s="2" t="s">
        <v>18</v>
      </c>
    </row>
    <row r="6" spans="1:1" ht="29" x14ac:dyDescent="0.35">
      <c r="A6" s="2" t="s">
        <v>32</v>
      </c>
    </row>
    <row r="7" spans="1:1" ht="29" x14ac:dyDescent="0.35">
      <c r="A7" s="2" t="s">
        <v>3</v>
      </c>
    </row>
    <row r="8" spans="1:1" ht="29" x14ac:dyDescent="0.35">
      <c r="A8" s="2" t="s">
        <v>4</v>
      </c>
    </row>
    <row r="9" spans="1:1" ht="29" x14ac:dyDescent="0.35">
      <c r="A9" s="2" t="s">
        <v>5</v>
      </c>
    </row>
    <row r="10" spans="1:1" ht="21" customHeight="1" x14ac:dyDescent="0.35">
      <c r="A10" s="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4</vt:i4>
      </vt:variant>
    </vt:vector>
  </HeadingPairs>
  <TitlesOfParts>
    <vt:vector size="8" baseType="lpstr">
      <vt:lpstr>EXPLAIN</vt:lpstr>
      <vt:lpstr>OPTION 1 - Working Tab</vt:lpstr>
      <vt:lpstr>OPTION 1 - Data for Figures</vt:lpstr>
      <vt:lpstr>Lists</vt:lpstr>
      <vt:lpstr>Fig1a Iodine intake by product</vt:lpstr>
      <vt:lpstr>Fig1b Intake by product no SR</vt:lpstr>
      <vt:lpstr>Fig 2a Iodine intake HH v PF</vt:lpstr>
      <vt:lpstr>Fig 2b Intake HH v PF no SR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Jacky</dc:creator>
  <cp:lastModifiedBy>Aaron Wise</cp:lastModifiedBy>
  <cp:lastPrinted>2020-07-03T16:39:24Z</cp:lastPrinted>
  <dcterms:created xsi:type="dcterms:W3CDTF">2019-04-01T13:17:36Z</dcterms:created>
  <dcterms:modified xsi:type="dcterms:W3CDTF">2020-12-09T09:17:07Z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96 96 1440 900</vt:lpwstr>
  </property>
</Properties>
</file>