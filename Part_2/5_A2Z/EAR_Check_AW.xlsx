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cuments\02_Karen_Codling\Part_2\5_A2Z\"/>
    </mc:Choice>
  </mc:AlternateContent>
  <xr:revisionPtr revIDLastSave="0" documentId="13_ncr:1_{83B9533B-9E87-4697-A210-C591D1E5C8EB}" xr6:coauthVersionLast="45" xr6:coauthVersionMax="45" xr10:uidLastSave="{00000000-0000-0000-0000-000000000000}"/>
  <bookViews>
    <workbookView xWindow="32370" yWindow="3435" windowWidth="6405" windowHeight="3270" activeTab="1" xr2:uid="{80B8714A-6398-44B4-B87A-C54309403C48}"/>
  </bookViews>
  <sheets>
    <sheet name="NAMIBIA_CST" sheetId="1" r:id="rId1"/>
    <sheet name="NAMIBIA_AW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O22" i="1" l="1"/>
  <c r="N22" i="1"/>
  <c r="M22" i="1"/>
  <c r="L22" i="1"/>
  <c r="K22" i="1"/>
  <c r="J22" i="1"/>
  <c r="I22" i="1"/>
  <c r="H22" i="1"/>
  <c r="G22" i="1"/>
  <c r="F22" i="1"/>
  <c r="E22" i="1"/>
  <c r="D22" i="1"/>
  <c r="O21" i="1"/>
  <c r="N21" i="1"/>
  <c r="M21" i="1"/>
  <c r="L21" i="1"/>
  <c r="K21" i="1"/>
  <c r="J21" i="1"/>
  <c r="I21" i="1"/>
  <c r="H21" i="1"/>
  <c r="G21" i="1"/>
  <c r="F21" i="1"/>
  <c r="E21" i="1"/>
  <c r="D21" i="1"/>
  <c r="O20" i="1"/>
  <c r="N20" i="1"/>
  <c r="M20" i="1"/>
  <c r="L20" i="1"/>
  <c r="K20" i="1"/>
  <c r="J20" i="1"/>
  <c r="I20" i="1"/>
  <c r="H20" i="1"/>
  <c r="G20" i="1"/>
  <c r="E20" i="1"/>
  <c r="D20" i="1"/>
</calcChain>
</file>

<file path=xl/sharedStrings.xml><?xml version="1.0" encoding="utf-8"?>
<sst xmlns="http://schemas.openxmlformats.org/spreadsheetml/2006/main" count="123" uniqueCount="42">
  <si>
    <t>Vit A EAR</t>
  </si>
  <si>
    <t>Vit A, UTL%</t>
  </si>
  <si>
    <t>Folic Acid EAR%</t>
  </si>
  <si>
    <t>Folic Acid UTL%</t>
  </si>
  <si>
    <t>Iron  EAR</t>
  </si>
  <si>
    <t>Iron  UTL%</t>
  </si>
  <si>
    <t>Zinc EAR</t>
  </si>
  <si>
    <t>Zinc UTL%</t>
  </si>
  <si>
    <t>B12 EAR</t>
  </si>
  <si>
    <t>B12 UTL%</t>
  </si>
  <si>
    <t>IODINE EAR</t>
  </si>
  <si>
    <t>IODINE UTL%</t>
  </si>
  <si>
    <t>Sugar, 10mg/kg</t>
  </si>
  <si>
    <t>Women</t>
  </si>
  <si>
    <t>Pe Capita: 54</t>
  </si>
  <si>
    <t>Men</t>
  </si>
  <si>
    <t>Children</t>
  </si>
  <si>
    <t>Oil, 25mg/kg</t>
  </si>
  <si>
    <t>Pe Capita: 18</t>
  </si>
  <si>
    <t>Wheat Flour, 10mg/kg</t>
  </si>
  <si>
    <t>N/A</t>
  </si>
  <si>
    <t>Pe Capita: 99</t>
  </si>
  <si>
    <t>Maize Flour, 10mg/kg</t>
  </si>
  <si>
    <t>Pe Capita: 119</t>
  </si>
  <si>
    <t>Salt, 30mg/kg</t>
  </si>
  <si>
    <t>Pe Capita: 7</t>
  </si>
  <si>
    <t>Sugar</t>
  </si>
  <si>
    <t>Oil</t>
  </si>
  <si>
    <t>Wheat Flour</t>
  </si>
  <si>
    <t>Maize Flour</t>
  </si>
  <si>
    <t>Salt</t>
  </si>
  <si>
    <t>CST</t>
  </si>
  <si>
    <t>VITAMIN A</t>
  </si>
  <si>
    <t>Namibia (Actual)</t>
  </si>
  <si>
    <t>Average Daily Consumption (g/c/d)</t>
  </si>
  <si>
    <t>Target (mg/kg)</t>
  </si>
  <si>
    <t>SADC</t>
  </si>
  <si>
    <t>Group</t>
  </si>
  <si>
    <t>Folic Acid</t>
  </si>
  <si>
    <t>Age</t>
  </si>
  <si>
    <t>???</t>
  </si>
  <si>
    <t>Formulator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</si>
</sst>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2" xfId="0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4" xfId="0" applyFont="1" applyBorder="1"/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2" borderId="10" xfId="0" applyFill="1" applyBorder="1"/>
    <xf numFmtId="0" fontId="0" fillId="3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2" borderId="15" xfId="0" applyFill="1" applyBorder="1"/>
    <xf numFmtId="0" fontId="0" fillId="3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9" xfId="0" applyFont="1" applyBorder="1"/>
    <xf numFmtId="0" fontId="0" fillId="0" borderId="20" xfId="0" applyBorder="1"/>
    <xf numFmtId="0" fontId="0" fillId="2" borderId="20" xfId="0" applyFill="1" applyBorder="1"/>
    <xf numFmtId="0" fontId="0" fillId="3" borderId="20" xfId="0" applyFill="1" applyBorder="1"/>
    <xf numFmtId="0" fontId="0" fillId="4" borderId="20" xfId="0" applyFill="1" applyBorder="1"/>
    <xf numFmtId="0" fontId="0" fillId="4" borderId="21" xfId="0" applyFill="1" applyBorder="1"/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4" borderId="10" xfId="0" applyFill="1" applyBorder="1"/>
    <xf numFmtId="0" fontId="0" fillId="0" borderId="23" xfId="0" applyBorder="1"/>
    <xf numFmtId="0" fontId="0" fillId="0" borderId="24" xfId="0" applyBorder="1"/>
    <xf numFmtId="0" fontId="0" fillId="2" borderId="24" xfId="0" applyFill="1" applyBorder="1"/>
    <xf numFmtId="0" fontId="0" fillId="3" borderId="24" xfId="0" applyFill="1" applyBorder="1"/>
    <xf numFmtId="0" fontId="0" fillId="4" borderId="24" xfId="0" applyFill="1" applyBorder="1"/>
    <xf numFmtId="0" fontId="0" fillId="4" borderId="25" xfId="0" applyFill="1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Fill="1"/>
    <xf numFmtId="0" fontId="1" fillId="0" borderId="1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left"/>
    </xf>
    <xf numFmtId="0" fontId="0" fillId="0" borderId="10" xfId="0" applyFill="1" applyBorder="1"/>
    <xf numFmtId="0" fontId="1" fillId="0" borderId="10" xfId="0" applyFont="1" applyBorder="1"/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/>
    <xf numFmtId="0" fontId="1" fillId="0" borderId="10" xfId="0" applyFont="1" applyFill="1" applyBorder="1"/>
    <xf numFmtId="0" fontId="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10" xfId="0" applyFont="1" applyFill="1" applyBorder="1"/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" fillId="5" borderId="10" xfId="0" applyFont="1" applyFill="1" applyBorder="1"/>
    <xf numFmtId="0" fontId="1" fillId="5" borderId="10" xfId="0" applyFont="1" applyFill="1" applyBorder="1" applyAlignment="1">
      <alignment horizontal="center"/>
    </xf>
    <xf numFmtId="0" fontId="0" fillId="5" borderId="10" xfId="0" applyFill="1" applyBorder="1"/>
    <xf numFmtId="0" fontId="0" fillId="5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NAMIBIA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NAMIBIA_CST!$C$20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NAMIBIA_CST!$D$19:$O$19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NAMIBIA_CST!$D$20:$O$20</c:f>
              <c:numCache>
                <c:formatCode>General</c:formatCode>
                <c:ptCount val="12"/>
                <c:pt idx="0">
                  <c:v>208</c:v>
                </c:pt>
                <c:pt idx="1">
                  <c:v>64</c:v>
                </c:pt>
                <c:pt idx="2">
                  <c:v>98</c:v>
                </c:pt>
                <c:pt idx="3">
                  <c:v>37</c:v>
                </c:pt>
                <c:pt idx="4">
                  <c:v>37</c:v>
                </c:pt>
                <c:pt idx="5">
                  <c:v>43</c:v>
                </c:pt>
                <c:pt idx="6">
                  <c:v>99</c:v>
                </c:pt>
                <c:pt idx="7">
                  <c:v>36</c:v>
                </c:pt>
                <c:pt idx="8">
                  <c:v>73</c:v>
                </c:pt>
                <c:pt idx="9">
                  <c:v>0</c:v>
                </c:pt>
                <c:pt idx="10">
                  <c:v>167</c:v>
                </c:pt>
                <c:pt idx="1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9-4DCB-B676-BE2A793D5993}"/>
            </c:ext>
          </c:extLst>
        </c:ser>
        <c:ser>
          <c:idx val="1"/>
          <c:order val="1"/>
          <c:tx>
            <c:strRef>
              <c:f>NAMIBIA_CST!$C$21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NAMIBIA_CST!$D$19:$O$19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NAMIBIA_CST!$D$21:$O$21</c:f>
              <c:numCache>
                <c:formatCode>General</c:formatCode>
                <c:ptCount val="12"/>
                <c:pt idx="0">
                  <c:v>211</c:v>
                </c:pt>
                <c:pt idx="1">
                  <c:v>66</c:v>
                </c:pt>
                <c:pt idx="2">
                  <c:v>124</c:v>
                </c:pt>
                <c:pt idx="3">
                  <c:v>46</c:v>
                </c:pt>
                <c:pt idx="4">
                  <c:v>61</c:v>
                </c:pt>
                <c:pt idx="5">
                  <c:v>49</c:v>
                </c:pt>
                <c:pt idx="6">
                  <c:v>88</c:v>
                </c:pt>
                <c:pt idx="7">
                  <c:v>45</c:v>
                </c:pt>
                <c:pt idx="8">
                  <c:v>93</c:v>
                </c:pt>
                <c:pt idx="9">
                  <c:v>0</c:v>
                </c:pt>
                <c:pt idx="10">
                  <c:v>143</c:v>
                </c:pt>
                <c:pt idx="1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99-4DCB-B676-BE2A793D5993}"/>
            </c:ext>
          </c:extLst>
        </c:ser>
        <c:ser>
          <c:idx val="2"/>
          <c:order val="2"/>
          <c:tx>
            <c:strRef>
              <c:f>NAMIBIA_CST!$C$22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NAMIBIA_CST!$D$19:$O$19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NAMIBIA_CST!$D$22:$O$22</c:f>
              <c:numCache>
                <c:formatCode>General</c:formatCode>
                <c:ptCount val="12"/>
                <c:pt idx="0">
                  <c:v>131</c:v>
                </c:pt>
                <c:pt idx="1">
                  <c:v>112</c:v>
                </c:pt>
                <c:pt idx="2">
                  <c:v>118</c:v>
                </c:pt>
                <c:pt idx="3">
                  <c:v>55</c:v>
                </c:pt>
                <c:pt idx="4">
                  <c:v>115</c:v>
                </c:pt>
                <c:pt idx="5">
                  <c:v>60</c:v>
                </c:pt>
                <c:pt idx="6">
                  <c:v>60</c:v>
                </c:pt>
                <c:pt idx="7">
                  <c:v>50</c:v>
                </c:pt>
                <c:pt idx="8">
                  <c:v>88</c:v>
                </c:pt>
                <c:pt idx="9">
                  <c:v>0</c:v>
                </c:pt>
                <c:pt idx="10">
                  <c:v>119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99-4DCB-B676-BE2A793D5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78080"/>
        <c:axId val="-1018576992"/>
      </c:barChart>
      <c:catAx>
        <c:axId val="-10185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6992"/>
        <c:crosses val="autoZero"/>
        <c:auto val="1"/>
        <c:lblAlgn val="ctr"/>
        <c:lblOffset val="100"/>
        <c:noMultiLvlLbl val="0"/>
      </c:catAx>
      <c:valAx>
        <c:axId val="-101857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NAMIBIA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NAMIBIA_CST!$C$20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NAMIBIA_CST!$D$19:$O$19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NAMIBIA_CST!$D$20:$O$20</c:f>
              <c:numCache>
                <c:formatCode>General</c:formatCode>
                <c:ptCount val="12"/>
                <c:pt idx="0">
                  <c:v>208</c:v>
                </c:pt>
                <c:pt idx="1">
                  <c:v>64</c:v>
                </c:pt>
                <c:pt idx="2">
                  <c:v>98</c:v>
                </c:pt>
                <c:pt idx="3">
                  <c:v>37</c:v>
                </c:pt>
                <c:pt idx="4">
                  <c:v>37</c:v>
                </c:pt>
                <c:pt idx="5">
                  <c:v>43</c:v>
                </c:pt>
                <c:pt idx="6">
                  <c:v>99</c:v>
                </c:pt>
                <c:pt idx="7">
                  <c:v>36</c:v>
                </c:pt>
                <c:pt idx="8">
                  <c:v>73</c:v>
                </c:pt>
                <c:pt idx="9">
                  <c:v>0</c:v>
                </c:pt>
                <c:pt idx="10">
                  <c:v>167</c:v>
                </c:pt>
                <c:pt idx="1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B-4EEC-A724-C09E4E8FDDF9}"/>
            </c:ext>
          </c:extLst>
        </c:ser>
        <c:ser>
          <c:idx val="1"/>
          <c:order val="1"/>
          <c:tx>
            <c:strRef>
              <c:f>NAMIBIA_CST!$C$21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NAMIBIA_CST!$D$19:$O$19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NAMIBIA_CST!$D$21:$O$21</c:f>
              <c:numCache>
                <c:formatCode>General</c:formatCode>
                <c:ptCount val="12"/>
                <c:pt idx="0">
                  <c:v>211</c:v>
                </c:pt>
                <c:pt idx="1">
                  <c:v>66</c:v>
                </c:pt>
                <c:pt idx="2">
                  <c:v>124</c:v>
                </c:pt>
                <c:pt idx="3">
                  <c:v>46</c:v>
                </c:pt>
                <c:pt idx="4">
                  <c:v>61</c:v>
                </c:pt>
                <c:pt idx="5">
                  <c:v>49</c:v>
                </c:pt>
                <c:pt idx="6">
                  <c:v>88</c:v>
                </c:pt>
                <c:pt idx="7">
                  <c:v>45</c:v>
                </c:pt>
                <c:pt idx="8">
                  <c:v>93</c:v>
                </c:pt>
                <c:pt idx="9">
                  <c:v>0</c:v>
                </c:pt>
                <c:pt idx="10">
                  <c:v>143</c:v>
                </c:pt>
                <c:pt idx="1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1B-4EEC-A724-C09E4E8FDDF9}"/>
            </c:ext>
          </c:extLst>
        </c:ser>
        <c:ser>
          <c:idx val="2"/>
          <c:order val="2"/>
          <c:tx>
            <c:strRef>
              <c:f>NAMIBIA_CST!$C$22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NAMIBIA_CST!$D$19:$O$19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NAMIBIA_CST!$D$22:$O$22</c:f>
              <c:numCache>
                <c:formatCode>General</c:formatCode>
                <c:ptCount val="12"/>
                <c:pt idx="0">
                  <c:v>131</c:v>
                </c:pt>
                <c:pt idx="1">
                  <c:v>112</c:v>
                </c:pt>
                <c:pt idx="2">
                  <c:v>118</c:v>
                </c:pt>
                <c:pt idx="3">
                  <c:v>55</c:v>
                </c:pt>
                <c:pt idx="4">
                  <c:v>115</c:v>
                </c:pt>
                <c:pt idx="5">
                  <c:v>60</c:v>
                </c:pt>
                <c:pt idx="6">
                  <c:v>60</c:v>
                </c:pt>
                <c:pt idx="7">
                  <c:v>50</c:v>
                </c:pt>
                <c:pt idx="8">
                  <c:v>88</c:v>
                </c:pt>
                <c:pt idx="9">
                  <c:v>0</c:v>
                </c:pt>
                <c:pt idx="10">
                  <c:v>119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1B-4EEC-A724-C09E4E8FD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78080"/>
        <c:axId val="-1018576992"/>
      </c:barChart>
      <c:catAx>
        <c:axId val="-10185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6992"/>
        <c:crosses val="autoZero"/>
        <c:auto val="1"/>
        <c:lblAlgn val="ctr"/>
        <c:lblOffset val="100"/>
        <c:noMultiLvlLbl val="0"/>
      </c:catAx>
      <c:valAx>
        <c:axId val="-101857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130175</xdr:colOff>
      <xdr:row>24</xdr:row>
      <xdr:rowOff>136525</xdr:rowOff>
    </xdr:from>
    <xdr:to>
      <xdr:col>10</xdr:col>
      <xdr:colOff>263525</xdr:colOff>
      <xdr:row>39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DEFA09-F297-4D38-A658-05D357609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151343</xdr:colOff>
      <xdr:row>41</xdr:row>
      <xdr:rowOff>97367</xdr:rowOff>
    </xdr:from>
    <xdr:to>
      <xdr:col>6</xdr:col>
      <xdr:colOff>475192</xdr:colOff>
      <xdr:row>56</xdr:row>
      <xdr:rowOff>11642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DFDBE-BF93-439B-BA80-47ED44AF2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AR%20SUMMARIES%20FOR%20ALL%20FOODS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GOLA"/>
      <sheetName val="BOTSWANA"/>
      <sheetName val="COMOROS"/>
      <sheetName val="DRC"/>
      <sheetName val="ESWATINI"/>
      <sheetName val="LESOTHO"/>
      <sheetName val="MADAGASCAR"/>
      <sheetName val="MALAWI"/>
      <sheetName val="MAURITIUS"/>
      <sheetName val="MOZAMBIQUE"/>
      <sheetName val="NAMIBIA"/>
      <sheetName val="SEYCHELLES"/>
      <sheetName val="SOUTH AFRICA"/>
      <sheetName val="ZAMBIA"/>
      <sheetName val="TANZANIA"/>
      <sheetName val="ZIMBABW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9">
          <cell r="D19" t="str">
            <v>Vit A EAR</v>
          </cell>
          <cell r="E19" t="str">
            <v>Vit A, UTL%</v>
          </cell>
          <cell r="F19" t="str">
            <v>Folic Acid EAR%</v>
          </cell>
          <cell r="G19" t="str">
            <v>Folic Acid UTL%</v>
          </cell>
          <cell r="H19" t="str">
            <v>Iron  EAR</v>
          </cell>
          <cell r="I19" t="str">
            <v>Iron  UTL%</v>
          </cell>
          <cell r="J19" t="str">
            <v>Zinc EAR</v>
          </cell>
          <cell r="K19" t="str">
            <v>Zinc UTL%</v>
          </cell>
          <cell r="L19" t="str">
            <v>B12 EAR</v>
          </cell>
          <cell r="M19" t="str">
            <v>B12 UTL%</v>
          </cell>
          <cell r="N19" t="str">
            <v>IODINE EAR</v>
          </cell>
          <cell r="O19" t="str">
            <v>IODINE UTL%</v>
          </cell>
        </row>
        <row r="20">
          <cell r="C20" t="str">
            <v>Women</v>
          </cell>
          <cell r="D20">
            <v>208</v>
          </cell>
          <cell r="E20">
            <v>64</v>
          </cell>
          <cell r="F20">
            <v>98</v>
          </cell>
          <cell r="G20">
            <v>37</v>
          </cell>
          <cell r="H20">
            <v>37</v>
          </cell>
          <cell r="I20">
            <v>43</v>
          </cell>
          <cell r="J20">
            <v>99</v>
          </cell>
          <cell r="K20">
            <v>36</v>
          </cell>
          <cell r="L20">
            <v>73</v>
          </cell>
          <cell r="M20">
            <v>0</v>
          </cell>
          <cell r="N20">
            <v>167</v>
          </cell>
          <cell r="O20">
            <v>32</v>
          </cell>
        </row>
        <row r="21">
          <cell r="C21" t="str">
            <v>Men</v>
          </cell>
          <cell r="D21">
            <v>211</v>
          </cell>
          <cell r="E21">
            <v>66</v>
          </cell>
          <cell r="F21">
            <v>124</v>
          </cell>
          <cell r="G21">
            <v>46</v>
          </cell>
          <cell r="H21">
            <v>61</v>
          </cell>
          <cell r="I21">
            <v>49</v>
          </cell>
          <cell r="J21">
            <v>88</v>
          </cell>
          <cell r="K21">
            <v>45</v>
          </cell>
          <cell r="L21">
            <v>93</v>
          </cell>
          <cell r="M21">
            <v>0</v>
          </cell>
          <cell r="N21">
            <v>143</v>
          </cell>
          <cell r="O21">
            <v>26</v>
          </cell>
        </row>
        <row r="22">
          <cell r="C22" t="str">
            <v>Children</v>
          </cell>
          <cell r="D22">
            <v>131</v>
          </cell>
          <cell r="E22">
            <v>112</v>
          </cell>
          <cell r="F22">
            <v>118</v>
          </cell>
          <cell r="G22">
            <v>55</v>
          </cell>
          <cell r="H22">
            <v>115</v>
          </cell>
          <cell r="I22">
            <v>60</v>
          </cell>
          <cell r="J22">
            <v>60</v>
          </cell>
          <cell r="K22">
            <v>50</v>
          </cell>
          <cell r="L22">
            <v>88</v>
          </cell>
          <cell r="M22">
            <v>0</v>
          </cell>
          <cell r="N22">
            <v>119</v>
          </cell>
          <cell r="O22">
            <v>60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C218-9F7B-45D4-B873-DC05EEE20B40}">
  <sheetPr>
    <pageSetUpPr fitToPage="1"/>
  </sheetPr>
  <dimension ref="B1:O22"/>
  <sheetViews>
    <sheetView zoomScale="80" zoomScaleNormal="80" workbookViewId="0">
      <selection activeCell="D9" sqref="D9"/>
    </sheetView>
  </sheetViews>
  <sheetFormatPr defaultRowHeight="14.5" x14ac:dyDescent="0.35"/>
  <cols>
    <col min="2" max="2" width="19.6328125" bestFit="1" customWidth="1"/>
    <col min="4" max="4" width="8.36328125" bestFit="1" customWidth="1"/>
    <col min="5" max="5" width="10.08984375" bestFit="1" customWidth="1"/>
    <col min="6" max="6" width="13.81640625" bestFit="1" customWidth="1"/>
    <col min="7" max="7" width="13.6328125" bestFit="1" customWidth="1"/>
    <col min="8" max="8" width="8.453125" bestFit="1" customWidth="1"/>
    <col min="9" max="9" width="9.7265625" bestFit="1" customWidth="1"/>
    <col min="10" max="10" width="7.81640625" bestFit="1" customWidth="1"/>
    <col min="11" max="11" width="9.08984375" bestFit="1" customWidth="1"/>
    <col min="12" max="12" width="7.6328125" bestFit="1" customWidth="1"/>
    <col min="13" max="13" width="8.90625" bestFit="1" customWidth="1"/>
    <col min="14" max="14" width="10.54296875" bestFit="1" customWidth="1"/>
    <col min="15" max="15" width="11.81640625" bestFit="1" customWidth="1"/>
  </cols>
  <sheetData>
    <row r="1" spans="2:15" ht="15" thickBot="1" x14ac:dyDescent="0.4"/>
    <row r="2" spans="2:15" ht="15" thickBot="1" x14ac:dyDescent="0.4">
      <c r="B2" s="1"/>
      <c r="C2" s="2"/>
      <c r="D2" s="3" t="s">
        <v>0</v>
      </c>
      <c r="E2" s="3" t="s">
        <v>1</v>
      </c>
      <c r="F2" s="4" t="s">
        <v>2</v>
      </c>
      <c r="G2" s="4" t="s">
        <v>3</v>
      </c>
      <c r="H2" s="5" t="s">
        <v>4</v>
      </c>
      <c r="I2" s="5" t="s">
        <v>5</v>
      </c>
      <c r="J2" s="4" t="s">
        <v>6</v>
      </c>
      <c r="K2" s="4" t="s">
        <v>7</v>
      </c>
      <c r="L2" s="6" t="s">
        <v>8</v>
      </c>
      <c r="M2" s="7" t="s">
        <v>9</v>
      </c>
      <c r="N2" s="8" t="s">
        <v>10</v>
      </c>
      <c r="O2" s="9" t="s">
        <v>11</v>
      </c>
    </row>
    <row r="3" spans="2:15" x14ac:dyDescent="0.35">
      <c r="B3" s="10" t="s">
        <v>12</v>
      </c>
      <c r="C3" s="11" t="s">
        <v>13</v>
      </c>
      <c r="D3" s="12">
        <v>88</v>
      </c>
      <c r="E3" s="12">
        <v>28</v>
      </c>
      <c r="F3" s="11"/>
      <c r="G3" s="11"/>
      <c r="H3" s="13"/>
      <c r="I3" s="13"/>
      <c r="J3" s="11"/>
      <c r="K3" s="11"/>
      <c r="L3" s="14"/>
      <c r="M3" s="15"/>
      <c r="N3" s="16"/>
      <c r="O3" s="17"/>
    </row>
    <row r="4" spans="2:15" x14ac:dyDescent="0.35">
      <c r="B4" s="18" t="s">
        <v>14</v>
      </c>
      <c r="C4" s="19" t="s">
        <v>15</v>
      </c>
      <c r="D4" s="20">
        <v>84</v>
      </c>
      <c r="E4" s="20">
        <v>20</v>
      </c>
      <c r="F4" s="19"/>
      <c r="G4" s="19"/>
      <c r="H4" s="21"/>
      <c r="I4" s="21"/>
      <c r="J4" s="19"/>
      <c r="K4" s="19"/>
      <c r="L4" s="22"/>
      <c r="M4" s="23"/>
      <c r="N4" s="24"/>
      <c r="O4" s="25"/>
    </row>
    <row r="5" spans="2:15" ht="15" thickBot="1" x14ac:dyDescent="0.4">
      <c r="B5" s="26"/>
      <c r="C5" s="27" t="s">
        <v>16</v>
      </c>
      <c r="D5" s="28">
        <v>54</v>
      </c>
      <c r="E5" s="28">
        <v>40</v>
      </c>
      <c r="F5" s="27"/>
      <c r="G5" s="27"/>
      <c r="H5" s="29"/>
      <c r="I5" s="29"/>
      <c r="J5" s="27"/>
      <c r="K5" s="27"/>
      <c r="L5" s="30"/>
      <c r="M5" s="31"/>
      <c r="N5" s="32"/>
      <c r="O5" s="33"/>
    </row>
    <row r="6" spans="2:15" x14ac:dyDescent="0.35">
      <c r="B6" s="34" t="s">
        <v>17</v>
      </c>
      <c r="C6" s="35" t="s">
        <v>13</v>
      </c>
      <c r="D6" s="36">
        <v>64</v>
      </c>
      <c r="E6" s="36">
        <v>23</v>
      </c>
      <c r="F6" s="35"/>
      <c r="G6" s="35"/>
      <c r="H6" s="37"/>
      <c r="I6" s="37"/>
      <c r="J6" s="35"/>
      <c r="K6" s="35"/>
      <c r="L6" s="38"/>
      <c r="M6" s="39"/>
      <c r="N6" s="40"/>
      <c r="O6" s="41"/>
    </row>
    <row r="7" spans="2:15" x14ac:dyDescent="0.35">
      <c r="B7" s="18" t="s">
        <v>18</v>
      </c>
      <c r="C7" s="19" t="s">
        <v>15</v>
      </c>
      <c r="D7" s="20">
        <v>68</v>
      </c>
      <c r="E7" s="20">
        <v>29</v>
      </c>
      <c r="F7" s="19"/>
      <c r="G7" s="19"/>
      <c r="H7" s="21"/>
      <c r="I7" s="21"/>
      <c r="J7" s="19"/>
      <c r="K7" s="19"/>
      <c r="L7" s="42"/>
      <c r="M7" s="22"/>
      <c r="N7" s="24"/>
      <c r="O7" s="25"/>
    </row>
    <row r="8" spans="2:15" ht="15" thickBot="1" x14ac:dyDescent="0.4">
      <c r="B8" s="43"/>
      <c r="C8" s="44" t="s">
        <v>16</v>
      </c>
      <c r="D8" s="45">
        <v>40</v>
      </c>
      <c r="E8" s="45">
        <v>45</v>
      </c>
      <c r="F8" s="44"/>
      <c r="G8" s="44"/>
      <c r="H8" s="46"/>
      <c r="I8" s="46"/>
      <c r="J8" s="44"/>
      <c r="K8" s="44"/>
      <c r="L8" s="47"/>
      <c r="M8" s="48"/>
      <c r="N8" s="49"/>
      <c r="O8" s="50"/>
    </row>
    <row r="9" spans="2:15" ht="15" thickBot="1" x14ac:dyDescent="0.4">
      <c r="B9" s="10" t="s">
        <v>19</v>
      </c>
      <c r="C9" s="11" t="s">
        <v>13</v>
      </c>
      <c r="D9" s="12">
        <v>25</v>
      </c>
      <c r="E9" s="12">
        <v>6</v>
      </c>
      <c r="F9" s="11">
        <v>44</v>
      </c>
      <c r="G9" s="11">
        <v>17</v>
      </c>
      <c r="H9" s="13">
        <v>16</v>
      </c>
      <c r="I9" s="13">
        <v>19</v>
      </c>
      <c r="J9" s="11">
        <v>53</v>
      </c>
      <c r="K9" s="11">
        <v>19</v>
      </c>
      <c r="L9" s="14">
        <v>33</v>
      </c>
      <c r="M9" s="14" t="s">
        <v>20</v>
      </c>
      <c r="N9" s="16"/>
      <c r="O9" s="17"/>
    </row>
    <row r="10" spans="2:15" ht="15" thickBot="1" x14ac:dyDescent="0.4">
      <c r="B10" s="18" t="s">
        <v>21</v>
      </c>
      <c r="C10" s="19" t="s">
        <v>15</v>
      </c>
      <c r="D10" s="20">
        <v>27</v>
      </c>
      <c r="E10" s="20">
        <v>8</v>
      </c>
      <c r="F10" s="19">
        <v>56</v>
      </c>
      <c r="G10" s="19">
        <v>21</v>
      </c>
      <c r="H10" s="21">
        <v>26</v>
      </c>
      <c r="I10" s="21">
        <v>24</v>
      </c>
      <c r="J10" s="19">
        <v>47</v>
      </c>
      <c r="K10" s="19">
        <v>24</v>
      </c>
      <c r="L10" s="14">
        <v>42</v>
      </c>
      <c r="M10" s="14" t="s">
        <v>20</v>
      </c>
      <c r="N10" s="24"/>
      <c r="O10" s="25"/>
    </row>
    <row r="11" spans="2:15" ht="15" thickBot="1" x14ac:dyDescent="0.4">
      <c r="B11" s="26"/>
      <c r="C11" s="27" t="s">
        <v>16</v>
      </c>
      <c r="D11" s="28">
        <v>17</v>
      </c>
      <c r="E11" s="28">
        <v>12</v>
      </c>
      <c r="F11" s="27">
        <v>54</v>
      </c>
      <c r="G11" s="27">
        <v>25</v>
      </c>
      <c r="H11" s="29">
        <v>50</v>
      </c>
      <c r="I11" s="29">
        <v>13</v>
      </c>
      <c r="J11" s="27">
        <v>32</v>
      </c>
      <c r="K11" s="27">
        <v>13</v>
      </c>
      <c r="L11" s="14">
        <v>40</v>
      </c>
      <c r="M11" s="14" t="s">
        <v>20</v>
      </c>
      <c r="N11" s="32"/>
      <c r="O11" s="33"/>
    </row>
    <row r="12" spans="2:15" ht="15" thickBot="1" x14ac:dyDescent="0.4">
      <c r="B12" s="34" t="s">
        <v>22</v>
      </c>
      <c r="C12" s="35" t="s">
        <v>13</v>
      </c>
      <c r="D12" s="36">
        <v>31</v>
      </c>
      <c r="E12" s="36">
        <v>7</v>
      </c>
      <c r="F12" s="35">
        <v>54</v>
      </c>
      <c r="G12" s="35">
        <v>20</v>
      </c>
      <c r="H12" s="37">
        <v>21</v>
      </c>
      <c r="I12" s="37">
        <v>24</v>
      </c>
      <c r="J12" s="35">
        <v>46</v>
      </c>
      <c r="K12" s="35">
        <v>17</v>
      </c>
      <c r="L12" s="14">
        <v>40</v>
      </c>
      <c r="M12" s="14" t="s">
        <v>20</v>
      </c>
      <c r="N12" s="40"/>
      <c r="O12" s="41"/>
    </row>
    <row r="13" spans="2:15" ht="15" thickBot="1" x14ac:dyDescent="0.4">
      <c r="B13" s="18" t="s">
        <v>23</v>
      </c>
      <c r="C13" s="19" t="s">
        <v>15</v>
      </c>
      <c r="D13" s="20">
        <v>32</v>
      </c>
      <c r="E13" s="20">
        <v>9</v>
      </c>
      <c r="F13" s="19">
        <v>68</v>
      </c>
      <c r="G13" s="19">
        <v>25</v>
      </c>
      <c r="H13" s="21">
        <v>35</v>
      </c>
      <c r="I13" s="21">
        <v>25</v>
      </c>
      <c r="J13" s="19">
        <v>41</v>
      </c>
      <c r="K13" s="19">
        <v>21</v>
      </c>
      <c r="L13" s="14">
        <v>51</v>
      </c>
      <c r="M13" s="14" t="s">
        <v>20</v>
      </c>
      <c r="N13" s="24"/>
      <c r="O13" s="25"/>
    </row>
    <row r="14" spans="2:15" ht="15" thickBot="1" x14ac:dyDescent="0.4">
      <c r="B14" s="43"/>
      <c r="C14" s="44" t="s">
        <v>16</v>
      </c>
      <c r="D14" s="45">
        <v>20</v>
      </c>
      <c r="E14" s="45">
        <v>15</v>
      </c>
      <c r="F14" s="44">
        <v>64</v>
      </c>
      <c r="G14" s="44">
        <v>30</v>
      </c>
      <c r="H14" s="46">
        <v>65</v>
      </c>
      <c r="I14" s="46">
        <v>47</v>
      </c>
      <c r="J14" s="44">
        <v>28</v>
      </c>
      <c r="K14" s="44">
        <v>37</v>
      </c>
      <c r="L14" s="14">
        <v>48</v>
      </c>
      <c r="M14" s="14" t="s">
        <v>20</v>
      </c>
      <c r="N14" s="49"/>
      <c r="O14" s="50"/>
    </row>
    <row r="15" spans="2:15" x14ac:dyDescent="0.35">
      <c r="B15" s="10" t="s">
        <v>24</v>
      </c>
      <c r="C15" s="11" t="s">
        <v>13</v>
      </c>
      <c r="D15" s="12"/>
      <c r="E15" s="12"/>
      <c r="F15" s="11"/>
      <c r="G15" s="11"/>
      <c r="H15" s="13"/>
      <c r="I15" s="13"/>
      <c r="J15" s="11"/>
      <c r="K15" s="11"/>
      <c r="L15" s="14"/>
      <c r="M15" s="15"/>
      <c r="N15" s="16">
        <v>167</v>
      </c>
      <c r="O15" s="17">
        <v>32</v>
      </c>
    </row>
    <row r="16" spans="2:15" x14ac:dyDescent="0.35">
      <c r="B16" s="18" t="s">
        <v>25</v>
      </c>
      <c r="C16" s="19" t="s">
        <v>15</v>
      </c>
      <c r="D16" s="20"/>
      <c r="E16" s="20"/>
      <c r="F16" s="19"/>
      <c r="G16" s="19"/>
      <c r="H16" s="21"/>
      <c r="I16" s="21"/>
      <c r="J16" s="19"/>
      <c r="K16" s="19"/>
      <c r="L16" s="22"/>
      <c r="M16" s="23"/>
      <c r="N16" s="24">
        <v>143</v>
      </c>
      <c r="O16" s="25">
        <v>26</v>
      </c>
    </row>
    <row r="17" spans="2:15" ht="15" thickBot="1" x14ac:dyDescent="0.4">
      <c r="B17" s="26"/>
      <c r="C17" s="27" t="s">
        <v>16</v>
      </c>
      <c r="D17" s="28"/>
      <c r="E17" s="28"/>
      <c r="F17" s="27"/>
      <c r="G17" s="27"/>
      <c r="H17" s="29"/>
      <c r="I17" s="29"/>
      <c r="J17" s="27"/>
      <c r="K17" s="27"/>
      <c r="L17" s="30"/>
      <c r="M17" s="31"/>
      <c r="N17" s="32">
        <v>119</v>
      </c>
      <c r="O17" s="33">
        <v>60</v>
      </c>
    </row>
    <row r="18" spans="2:15" ht="15" thickBot="1" x14ac:dyDescent="0.4"/>
    <row r="19" spans="2:15" x14ac:dyDescent="0.35">
      <c r="C19" s="11"/>
      <c r="D19" t="s">
        <v>0</v>
      </c>
      <c r="E19" t="s">
        <v>1</v>
      </c>
      <c r="F19" t="s">
        <v>2</v>
      </c>
      <c r="G19" t="s">
        <v>3</v>
      </c>
      <c r="H19" t="s">
        <v>4</v>
      </c>
      <c r="I19" t="s">
        <v>5</v>
      </c>
      <c r="J19" t="s">
        <v>6</v>
      </c>
      <c r="K19" t="s">
        <v>7</v>
      </c>
      <c r="L19" t="s">
        <v>8</v>
      </c>
      <c r="M19" s="51" t="s">
        <v>9</v>
      </c>
      <c r="N19" t="s">
        <v>10</v>
      </c>
      <c r="O19" t="s">
        <v>11</v>
      </c>
    </row>
    <row r="20" spans="2:15" x14ac:dyDescent="0.35">
      <c r="C20" s="19" t="s">
        <v>13</v>
      </c>
      <c r="D20">
        <f>SUM(D3,D6,D9,D12,D15)</f>
        <v>208</v>
      </c>
      <c r="E20">
        <f>SUM(E3,E6,E9,E12,E15)</f>
        <v>64</v>
      </c>
      <c r="F20">
        <f>SUM(F3,F6,F9,F12,F15)</f>
        <v>98</v>
      </c>
      <c r="G20">
        <f t="shared" ref="F20:O20" si="0">SUM(G3,G6,G9,G12,G15)</f>
        <v>37</v>
      </c>
      <c r="H20">
        <f t="shared" si="0"/>
        <v>37</v>
      </c>
      <c r="I20">
        <f t="shared" si="0"/>
        <v>43</v>
      </c>
      <c r="J20">
        <f t="shared" si="0"/>
        <v>99</v>
      </c>
      <c r="K20">
        <f t="shared" si="0"/>
        <v>36</v>
      </c>
      <c r="L20">
        <f t="shared" si="0"/>
        <v>73</v>
      </c>
      <c r="M20">
        <f t="shared" si="0"/>
        <v>0</v>
      </c>
      <c r="N20">
        <f t="shared" si="0"/>
        <v>167</v>
      </c>
      <c r="O20">
        <f t="shared" si="0"/>
        <v>32</v>
      </c>
    </row>
    <row r="21" spans="2:15" ht="15" thickBot="1" x14ac:dyDescent="0.4">
      <c r="C21" s="27" t="s">
        <v>15</v>
      </c>
      <c r="D21">
        <f t="shared" ref="D21:O22" si="1">SUM(D4,D7,D10,D13,D16)</f>
        <v>211</v>
      </c>
      <c r="E21">
        <f t="shared" si="1"/>
        <v>66</v>
      </c>
      <c r="F21">
        <f t="shared" si="1"/>
        <v>124</v>
      </c>
      <c r="G21">
        <f t="shared" si="1"/>
        <v>46</v>
      </c>
      <c r="H21">
        <f t="shared" si="1"/>
        <v>61</v>
      </c>
      <c r="I21">
        <f t="shared" si="1"/>
        <v>49</v>
      </c>
      <c r="J21">
        <f t="shared" si="1"/>
        <v>88</v>
      </c>
      <c r="K21">
        <f t="shared" si="1"/>
        <v>45</v>
      </c>
      <c r="L21">
        <f t="shared" si="1"/>
        <v>93</v>
      </c>
      <c r="M21">
        <f t="shared" si="1"/>
        <v>0</v>
      </c>
      <c r="N21">
        <f t="shared" si="1"/>
        <v>143</v>
      </c>
      <c r="O21">
        <f t="shared" si="1"/>
        <v>26</v>
      </c>
    </row>
    <row r="22" spans="2:15" x14ac:dyDescent="0.35">
      <c r="C22" t="s">
        <v>16</v>
      </c>
      <c r="D22">
        <f t="shared" si="1"/>
        <v>131</v>
      </c>
      <c r="E22">
        <f t="shared" si="1"/>
        <v>112</v>
      </c>
      <c r="F22">
        <f t="shared" si="1"/>
        <v>118</v>
      </c>
      <c r="G22">
        <f t="shared" si="1"/>
        <v>55</v>
      </c>
      <c r="H22">
        <f t="shared" si="1"/>
        <v>115</v>
      </c>
      <c r="I22">
        <f t="shared" si="1"/>
        <v>60</v>
      </c>
      <c r="J22">
        <f t="shared" si="1"/>
        <v>60</v>
      </c>
      <c r="K22">
        <f t="shared" si="1"/>
        <v>50</v>
      </c>
      <c r="L22">
        <f t="shared" si="1"/>
        <v>88</v>
      </c>
      <c r="M22">
        <f t="shared" si="1"/>
        <v>0</v>
      </c>
      <c r="N22">
        <f t="shared" si="1"/>
        <v>119</v>
      </c>
      <c r="O22">
        <f t="shared" si="1"/>
        <v>60</v>
      </c>
    </row>
  </sheetData>
  <pageMargins left="0.7" right="0.7" top="0.75" bottom="0.75" header="0.3" footer="0.3"/>
  <pageSetup paperSize="9" scale="83" fitToHeight="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BD9E-EFE2-4B43-81DA-719863016C94}">
  <sheetPr>
    <tabColor theme="5" tint="0.59999389629810485"/>
  </sheetPr>
  <dimension ref="B2:L41"/>
  <sheetViews>
    <sheetView tabSelected="1" zoomScale="90" zoomScaleNormal="90" workbookViewId="0">
      <selection activeCell="K15" sqref="K15"/>
    </sheetView>
  </sheetViews>
  <sheetFormatPr defaultRowHeight="14.5" x14ac:dyDescent="0.35"/>
  <cols>
    <col min="2" max="2" width="30.90625" customWidth="1"/>
    <col min="3" max="3" width="15.26953125" customWidth="1"/>
    <col min="4" max="4" width="16.36328125" customWidth="1"/>
    <col min="5" max="6" width="14.7265625" customWidth="1"/>
    <col min="7" max="7" width="19" customWidth="1"/>
    <col min="8" max="8" width="13.6328125" bestFit="1" customWidth="1"/>
    <col min="9" max="9" width="11.453125" customWidth="1"/>
    <col min="10" max="10" width="9.7265625" bestFit="1" customWidth="1"/>
    <col min="11" max="11" width="7.81640625" bestFit="1" customWidth="1"/>
    <col min="12" max="12" width="9.08984375" bestFit="1" customWidth="1"/>
  </cols>
  <sheetData>
    <row r="2" spans="2:9" x14ac:dyDescent="0.35">
      <c r="B2" s="55" t="s">
        <v>34</v>
      </c>
      <c r="C2" s="55" t="s">
        <v>31</v>
      </c>
      <c r="D2" s="55" t="s">
        <v>33</v>
      </c>
      <c r="G2" s="57"/>
    </row>
    <row r="3" spans="2:9" x14ac:dyDescent="0.35">
      <c r="B3" s="55" t="s">
        <v>26</v>
      </c>
      <c r="C3" s="60">
        <v>54</v>
      </c>
      <c r="D3" s="60"/>
    </row>
    <row r="4" spans="2:9" x14ac:dyDescent="0.35">
      <c r="B4" s="55" t="s">
        <v>27</v>
      </c>
      <c r="C4" s="60">
        <v>18</v>
      </c>
      <c r="D4" s="60"/>
    </row>
    <row r="5" spans="2:9" x14ac:dyDescent="0.35">
      <c r="B5" s="55" t="s">
        <v>28</v>
      </c>
      <c r="C5" s="60">
        <v>99</v>
      </c>
      <c r="D5" s="60"/>
    </row>
    <row r="6" spans="2:9" x14ac:dyDescent="0.35">
      <c r="B6" s="55" t="s">
        <v>29</v>
      </c>
      <c r="C6" s="60">
        <v>119</v>
      </c>
      <c r="D6" s="60"/>
    </row>
    <row r="7" spans="2:9" x14ac:dyDescent="0.35">
      <c r="B7" s="55" t="s">
        <v>30</v>
      </c>
      <c r="C7" s="60">
        <v>7</v>
      </c>
      <c r="D7" s="60"/>
    </row>
    <row r="8" spans="2:9" x14ac:dyDescent="0.35">
      <c r="B8" s="56"/>
      <c r="C8" s="52"/>
      <c r="D8" s="52"/>
    </row>
    <row r="9" spans="2:9" x14ac:dyDescent="0.35">
      <c r="B9" s="19"/>
      <c r="C9" s="62" t="s">
        <v>35</v>
      </c>
      <c r="D9" s="62"/>
      <c r="E9" s="19"/>
      <c r="F9" s="19"/>
      <c r="G9" s="69" t="s">
        <v>31</v>
      </c>
      <c r="H9" s="70"/>
      <c r="I9" s="66" t="s">
        <v>41</v>
      </c>
    </row>
    <row r="10" spans="2:9" x14ac:dyDescent="0.35">
      <c r="B10" s="58" t="s">
        <v>32</v>
      </c>
      <c r="C10" s="61" t="s">
        <v>31</v>
      </c>
      <c r="D10" s="61" t="s">
        <v>36</v>
      </c>
      <c r="E10" s="60" t="s">
        <v>37</v>
      </c>
      <c r="F10" s="60" t="s">
        <v>39</v>
      </c>
      <c r="G10" s="71" t="s">
        <v>0</v>
      </c>
      <c r="H10" s="71" t="s">
        <v>1</v>
      </c>
      <c r="I10" s="67"/>
    </row>
    <row r="11" spans="2:9" x14ac:dyDescent="0.35">
      <c r="B11" s="60" t="s">
        <v>26</v>
      </c>
      <c r="C11" s="66">
        <v>10</v>
      </c>
      <c r="D11" s="66">
        <v>10</v>
      </c>
      <c r="E11" s="19" t="s">
        <v>13</v>
      </c>
      <c r="F11" s="19"/>
      <c r="G11" s="72">
        <v>88</v>
      </c>
      <c r="H11" s="72">
        <v>28</v>
      </c>
      <c r="I11" s="67"/>
    </row>
    <row r="12" spans="2:9" x14ac:dyDescent="0.35">
      <c r="B12" s="19"/>
      <c r="C12" s="67"/>
      <c r="D12" s="67"/>
      <c r="E12" s="19" t="s">
        <v>15</v>
      </c>
      <c r="F12" s="19"/>
      <c r="G12" s="72">
        <v>84</v>
      </c>
      <c r="H12" s="72">
        <v>20</v>
      </c>
      <c r="I12" s="67"/>
    </row>
    <row r="13" spans="2:9" x14ac:dyDescent="0.35">
      <c r="B13" s="19"/>
      <c r="C13" s="67"/>
      <c r="D13" s="67"/>
      <c r="E13" s="19" t="s">
        <v>16</v>
      </c>
      <c r="F13" s="19"/>
      <c r="G13" s="72">
        <v>54</v>
      </c>
      <c r="H13" s="72">
        <v>40</v>
      </c>
      <c r="I13" s="67"/>
    </row>
    <row r="14" spans="2:9" x14ac:dyDescent="0.35">
      <c r="B14" s="60" t="s">
        <v>27</v>
      </c>
      <c r="C14" s="66">
        <v>25</v>
      </c>
      <c r="D14" s="66">
        <v>25</v>
      </c>
      <c r="E14" s="19" t="s">
        <v>13</v>
      </c>
      <c r="F14" s="19"/>
      <c r="G14" s="72">
        <v>64</v>
      </c>
      <c r="H14" s="72">
        <v>23</v>
      </c>
      <c r="I14" s="67"/>
    </row>
    <row r="15" spans="2:9" x14ac:dyDescent="0.35">
      <c r="B15" s="19"/>
      <c r="C15" s="67"/>
      <c r="D15" s="67"/>
      <c r="E15" s="19" t="s">
        <v>15</v>
      </c>
      <c r="F15" s="19"/>
      <c r="G15" s="72">
        <v>68</v>
      </c>
      <c r="H15" s="72">
        <v>29</v>
      </c>
      <c r="I15" s="67"/>
    </row>
    <row r="16" spans="2:9" x14ac:dyDescent="0.35">
      <c r="B16" s="19"/>
      <c r="C16" s="67"/>
      <c r="D16" s="67"/>
      <c r="E16" s="19" t="s">
        <v>16</v>
      </c>
      <c r="F16" s="19"/>
      <c r="G16" s="72">
        <v>40</v>
      </c>
      <c r="H16" s="72">
        <v>45</v>
      </c>
      <c r="I16" s="67"/>
    </row>
    <row r="17" spans="2:12" x14ac:dyDescent="0.35">
      <c r="B17" s="73" t="s">
        <v>28</v>
      </c>
      <c r="C17" s="74">
        <v>10</v>
      </c>
      <c r="D17" s="74">
        <v>1.5</v>
      </c>
      <c r="E17" s="75" t="s">
        <v>13</v>
      </c>
      <c r="F17" s="75"/>
      <c r="G17" s="76">
        <v>25</v>
      </c>
      <c r="H17" s="76">
        <v>6</v>
      </c>
      <c r="I17" s="76">
        <v>28</v>
      </c>
    </row>
    <row r="18" spans="2:12" x14ac:dyDescent="0.35">
      <c r="B18" s="75"/>
      <c r="C18" s="76"/>
      <c r="D18" s="76"/>
      <c r="E18" s="75" t="s">
        <v>15</v>
      </c>
      <c r="F18" s="75"/>
      <c r="G18" s="76">
        <v>27</v>
      </c>
      <c r="H18" s="76">
        <v>8</v>
      </c>
      <c r="I18" s="76">
        <v>24</v>
      </c>
    </row>
    <row r="19" spans="2:12" x14ac:dyDescent="0.35">
      <c r="B19" s="75"/>
      <c r="C19" s="76"/>
      <c r="D19" s="76"/>
      <c r="E19" s="75" t="s">
        <v>16</v>
      </c>
      <c r="F19" s="75"/>
      <c r="G19" s="76">
        <v>17</v>
      </c>
      <c r="H19" s="76">
        <v>12</v>
      </c>
      <c r="I19" s="76"/>
    </row>
    <row r="20" spans="2:12" x14ac:dyDescent="0.35">
      <c r="B20" s="60" t="s">
        <v>29</v>
      </c>
      <c r="C20" s="66">
        <v>10</v>
      </c>
      <c r="D20" s="66">
        <v>1.5</v>
      </c>
      <c r="E20" s="19" t="s">
        <v>13</v>
      </c>
      <c r="F20" s="19"/>
      <c r="G20" s="72">
        <v>31</v>
      </c>
      <c r="H20" s="72">
        <v>7</v>
      </c>
      <c r="I20" s="67"/>
    </row>
    <row r="21" spans="2:12" x14ac:dyDescent="0.35">
      <c r="B21" s="19"/>
      <c r="C21" s="67"/>
      <c r="D21" s="67"/>
      <c r="E21" s="19" t="s">
        <v>15</v>
      </c>
      <c r="F21" s="19"/>
      <c r="G21" s="72">
        <v>32</v>
      </c>
      <c r="H21" s="72">
        <v>9</v>
      </c>
      <c r="I21" s="67"/>
    </row>
    <row r="22" spans="2:12" x14ac:dyDescent="0.35">
      <c r="B22" s="19"/>
      <c r="C22" s="67"/>
      <c r="D22" s="67"/>
      <c r="E22" s="19" t="s">
        <v>16</v>
      </c>
      <c r="F22" s="19"/>
      <c r="G22" s="72">
        <v>20</v>
      </c>
      <c r="H22" s="72">
        <v>15</v>
      </c>
      <c r="I22" s="67"/>
    </row>
    <row r="23" spans="2:12" x14ac:dyDescent="0.35">
      <c r="B23" s="52"/>
      <c r="C23" s="52"/>
      <c r="D23" s="53"/>
      <c r="E23" s="53"/>
      <c r="F23" s="53"/>
      <c r="K23" s="52"/>
      <c r="L23" s="52"/>
    </row>
    <row r="24" spans="2:12" s="54" customFormat="1" x14ac:dyDescent="0.35">
      <c r="B24" s="59"/>
      <c r="C24" s="62" t="s">
        <v>35</v>
      </c>
      <c r="D24" s="62"/>
      <c r="E24" s="59"/>
      <c r="F24" s="59"/>
      <c r="G24" s="59"/>
      <c r="H24" s="59"/>
      <c r="I24" s="53"/>
      <c r="J24" s="53"/>
      <c r="K24" s="53"/>
      <c r="L24" s="53"/>
    </row>
    <row r="25" spans="2:12" s="54" customFormat="1" x14ac:dyDescent="0.35">
      <c r="B25" s="68" t="s">
        <v>38</v>
      </c>
      <c r="C25" s="61" t="s">
        <v>31</v>
      </c>
      <c r="D25" s="61" t="s">
        <v>36</v>
      </c>
      <c r="E25" s="19"/>
      <c r="F25" s="60" t="s">
        <v>39</v>
      </c>
      <c r="G25" s="60" t="s">
        <v>2</v>
      </c>
      <c r="H25" s="60" t="s">
        <v>3</v>
      </c>
      <c r="I25" s="63"/>
      <c r="J25" s="53"/>
      <c r="K25" s="53"/>
      <c r="L25" s="53"/>
    </row>
    <row r="26" spans="2:12" s="54" customFormat="1" x14ac:dyDescent="0.35">
      <c r="B26" s="60" t="s">
        <v>28</v>
      </c>
      <c r="C26" s="66" t="s">
        <v>40</v>
      </c>
      <c r="D26" s="60">
        <v>1.3</v>
      </c>
      <c r="E26" s="19" t="s">
        <v>13</v>
      </c>
      <c r="F26" s="19"/>
      <c r="G26" s="19">
        <v>44</v>
      </c>
      <c r="H26" s="19">
        <v>17</v>
      </c>
      <c r="I26" s="52"/>
      <c r="J26" s="53"/>
      <c r="K26" s="53"/>
      <c r="L26" s="53"/>
    </row>
    <row r="27" spans="2:12" s="54" customFormat="1" x14ac:dyDescent="0.35">
      <c r="B27" s="19"/>
      <c r="C27" s="19"/>
      <c r="D27" s="19"/>
      <c r="E27" s="19" t="s">
        <v>15</v>
      </c>
      <c r="F27" s="19"/>
      <c r="G27" s="19">
        <v>56</v>
      </c>
      <c r="H27" s="19">
        <v>21</v>
      </c>
      <c r="I27" s="52"/>
      <c r="J27" s="53"/>
      <c r="K27" s="53"/>
      <c r="L27" s="53"/>
    </row>
    <row r="28" spans="2:12" s="54" customFormat="1" x14ac:dyDescent="0.35">
      <c r="B28" s="19"/>
      <c r="C28" s="19"/>
      <c r="D28" s="19"/>
      <c r="E28" s="19" t="s">
        <v>16</v>
      </c>
      <c r="F28" s="19"/>
      <c r="G28" s="19">
        <v>54</v>
      </c>
      <c r="H28" s="19">
        <v>25</v>
      </c>
      <c r="I28" s="52"/>
      <c r="J28" s="53"/>
      <c r="K28" s="53"/>
      <c r="L28" s="53"/>
    </row>
    <row r="29" spans="2:12" s="54" customFormat="1" x14ac:dyDescent="0.35">
      <c r="B29" s="60" t="s">
        <v>29</v>
      </c>
      <c r="C29" s="66" t="s">
        <v>40</v>
      </c>
      <c r="D29" s="60">
        <v>1.3</v>
      </c>
      <c r="E29" s="19" t="s">
        <v>13</v>
      </c>
      <c r="F29" s="19"/>
      <c r="G29" s="19">
        <v>54</v>
      </c>
      <c r="H29" s="19">
        <v>20</v>
      </c>
      <c r="I29" s="52"/>
      <c r="J29" s="53"/>
      <c r="K29" s="53"/>
      <c r="L29" s="53"/>
    </row>
    <row r="30" spans="2:12" s="54" customFormat="1" x14ac:dyDescent="0.35">
      <c r="B30" s="19"/>
      <c r="C30" s="19"/>
      <c r="D30" s="19"/>
      <c r="E30" s="19" t="s">
        <v>15</v>
      </c>
      <c r="F30" s="19"/>
      <c r="G30" s="19">
        <v>68</v>
      </c>
      <c r="H30" s="19">
        <v>25</v>
      </c>
      <c r="I30" s="52"/>
      <c r="J30" s="53"/>
      <c r="K30" s="53"/>
      <c r="L30" s="53"/>
    </row>
    <row r="31" spans="2:12" s="54" customFormat="1" x14ac:dyDescent="0.35">
      <c r="B31" s="19"/>
      <c r="C31" s="19"/>
      <c r="D31" s="19"/>
      <c r="E31" s="19" t="s">
        <v>16</v>
      </c>
      <c r="F31" s="19"/>
      <c r="G31" s="19">
        <v>64</v>
      </c>
      <c r="H31" s="19">
        <v>30</v>
      </c>
      <c r="I31" s="52"/>
      <c r="J31" s="53"/>
      <c r="K31" s="53"/>
      <c r="L31" s="53"/>
    </row>
    <row r="32" spans="2:12" s="54" customFormat="1" x14ac:dyDescent="0.35"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</row>
    <row r="33" spans="2:12" s="54" customFormat="1" x14ac:dyDescent="0.35">
      <c r="B33" s="59"/>
      <c r="C33" s="62" t="s">
        <v>35</v>
      </c>
      <c r="D33" s="62"/>
      <c r="E33" s="59"/>
      <c r="F33" s="59"/>
      <c r="G33" s="59"/>
      <c r="H33" s="59"/>
      <c r="I33" s="53"/>
      <c r="J33" s="53"/>
      <c r="K33" s="53"/>
      <c r="L33" s="53"/>
    </row>
    <row r="34" spans="2:12" s="54" customFormat="1" x14ac:dyDescent="0.35">
      <c r="B34" s="68" t="s">
        <v>38</v>
      </c>
      <c r="C34" s="61" t="s">
        <v>31</v>
      </c>
      <c r="D34" s="61" t="s">
        <v>36</v>
      </c>
      <c r="E34" s="59"/>
      <c r="F34" s="59"/>
      <c r="G34" s="65" t="s">
        <v>4</v>
      </c>
      <c r="H34" s="65" t="s">
        <v>5</v>
      </c>
      <c r="I34" s="64"/>
      <c r="J34" s="53"/>
      <c r="K34" s="53"/>
      <c r="L34" s="53"/>
    </row>
    <row r="35" spans="2:12" s="54" customFormat="1" x14ac:dyDescent="0.35">
      <c r="B35" s="60" t="s">
        <v>28</v>
      </c>
      <c r="C35" s="66" t="s">
        <v>40</v>
      </c>
      <c r="D35" s="60">
        <v>1.3</v>
      </c>
      <c r="E35" s="59" t="s">
        <v>15</v>
      </c>
      <c r="F35" s="59"/>
      <c r="G35" s="59">
        <v>26</v>
      </c>
      <c r="H35" s="59">
        <v>24</v>
      </c>
      <c r="I35" s="53"/>
    </row>
    <row r="36" spans="2:12" s="54" customFormat="1" x14ac:dyDescent="0.35">
      <c r="B36" s="59"/>
      <c r="C36" s="59"/>
      <c r="D36" s="59"/>
      <c r="E36" s="59" t="s">
        <v>16</v>
      </c>
      <c r="F36" s="59"/>
      <c r="G36" s="59">
        <v>50</v>
      </c>
      <c r="H36" s="59">
        <v>13</v>
      </c>
      <c r="I36" s="53"/>
    </row>
    <row r="37" spans="2:12" s="54" customFormat="1" x14ac:dyDescent="0.35">
      <c r="B37" s="65" t="s">
        <v>29</v>
      </c>
      <c r="C37" s="65"/>
      <c r="D37" s="65"/>
      <c r="E37" s="59" t="s">
        <v>13</v>
      </c>
      <c r="F37" s="59"/>
      <c r="G37" s="59">
        <v>21</v>
      </c>
      <c r="H37" s="59">
        <v>24</v>
      </c>
      <c r="I37" s="53"/>
    </row>
    <row r="38" spans="2:12" s="54" customFormat="1" x14ac:dyDescent="0.35">
      <c r="B38" s="59"/>
      <c r="C38" s="59"/>
      <c r="D38" s="59"/>
      <c r="E38" s="59" t="s">
        <v>15</v>
      </c>
      <c r="F38" s="59"/>
      <c r="G38" s="59">
        <v>35</v>
      </c>
      <c r="H38" s="59">
        <v>25</v>
      </c>
      <c r="I38" s="53"/>
    </row>
    <row r="39" spans="2:12" s="54" customFormat="1" x14ac:dyDescent="0.35">
      <c r="B39" s="59"/>
      <c r="C39" s="59"/>
      <c r="D39" s="59"/>
      <c r="E39" s="59" t="s">
        <v>16</v>
      </c>
      <c r="F39" s="59"/>
      <c r="G39" s="59">
        <v>65</v>
      </c>
      <c r="H39" s="59">
        <v>47</v>
      </c>
      <c r="I39" s="53"/>
    </row>
    <row r="40" spans="2:12" s="54" customFormat="1" x14ac:dyDescent="0.35">
      <c r="B40" s="53"/>
      <c r="C40" s="53"/>
      <c r="D40" s="53"/>
      <c r="E40" s="53"/>
      <c r="F40" s="53"/>
      <c r="G40" s="53"/>
    </row>
    <row r="41" spans="2:12" s="54" customFormat="1" x14ac:dyDescent="0.35">
      <c r="B41" s="53"/>
      <c r="C41" s="53"/>
      <c r="D41" s="53"/>
      <c r="E41" s="53"/>
      <c r="F41" s="53"/>
    </row>
  </sheetData>
  <mergeCells count="4">
    <mergeCell ref="C9:D9"/>
    <mergeCell ref="C24:D24"/>
    <mergeCell ref="C33:D33"/>
    <mergeCell ref="G9:H9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NAMIBIA_CST</vt:lpstr>
      <vt:lpstr>NAMIBIA_AW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Wise</dc:creator>
  <cp:lastModifiedBy>Aaron Wise</cp:lastModifiedBy>
  <dcterms:created xsi:type="dcterms:W3CDTF">2020-11-05T09:13:56Z</dcterms:created>
  <dcterms:modified xsi:type="dcterms:W3CDTF">2020-11-05T14:12:48Z</dcterms:modified>
</cp:coreProperties>
</file>