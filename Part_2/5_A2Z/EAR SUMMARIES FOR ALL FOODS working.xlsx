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makh\OneDrive\GAIN SUPERVISION 2018\Documents\SADC2020\comments folder\"/>
    </mc:Choice>
  </mc:AlternateContent>
  <bookViews>
    <workbookView xWindow="0" yWindow="0" windowWidth="19200" windowHeight="6970" tabRatio="940" activeTab="5"/>
  </bookViews>
  <sheets>
    <sheet name="ANGOLA" sheetId="2" r:id="rId1"/>
    <sheet name="BOTSWANA" sheetId="14" r:id="rId2"/>
    <sheet name="COMOROS" sheetId="3" r:id="rId3"/>
    <sheet name="DRC" sheetId="4" r:id="rId4"/>
    <sheet name="ESWATINI" sheetId="5" r:id="rId5"/>
    <sheet name="LESOTHO" sheetId="13" r:id="rId6"/>
    <sheet name="MADAGASCAR" sheetId="6" r:id="rId7"/>
    <sheet name="MALAWI" sheetId="7" r:id="rId8"/>
    <sheet name="MAURITIUS" sheetId="8" r:id="rId9"/>
    <sheet name="MOZAMBIQUE" sheetId="9" r:id="rId10"/>
    <sheet name="NAMIBIA" sheetId="10" r:id="rId11"/>
    <sheet name="SEYCHELLES" sheetId="11" r:id="rId12"/>
    <sheet name="SOUTH AFRICA" sheetId="12" r:id="rId13"/>
    <sheet name="ZAMBIA" sheetId="15" r:id="rId14"/>
    <sheet name="TANZANIA" sheetId="17" r:id="rId15"/>
    <sheet name="ZIMBABWE" sheetId="16" r:id="rId16"/>
    <sheet name="Sheet1" sheetId="1" r:id="rId1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2" i="16" l="1"/>
  <c r="N22" i="16"/>
  <c r="M22" i="16"/>
  <c r="L22" i="16"/>
  <c r="K22" i="16"/>
  <c r="J22" i="16"/>
  <c r="I22" i="16"/>
  <c r="H22" i="16"/>
  <c r="G22" i="16"/>
  <c r="F22" i="16"/>
  <c r="E22" i="16"/>
  <c r="D22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P21" i="8"/>
  <c r="P20" i="8"/>
  <c r="O20" i="8"/>
  <c r="P22" i="8"/>
  <c r="O22" i="8"/>
  <c r="N22" i="8"/>
  <c r="M22" i="8"/>
  <c r="L22" i="8"/>
  <c r="K22" i="8"/>
  <c r="J22" i="8"/>
  <c r="I22" i="8"/>
  <c r="H22" i="8"/>
  <c r="G22" i="8"/>
  <c r="F22" i="8"/>
  <c r="E22" i="8"/>
  <c r="O21" i="8"/>
  <c r="N21" i="8"/>
  <c r="M21" i="8"/>
  <c r="L21" i="8"/>
  <c r="K21" i="8"/>
  <c r="J21" i="8"/>
  <c r="I21" i="8"/>
  <c r="H21" i="8"/>
  <c r="G21" i="8"/>
  <c r="F21" i="8"/>
  <c r="E21" i="8"/>
  <c r="N20" i="8"/>
  <c r="M20" i="8"/>
  <c r="L20" i="8"/>
  <c r="K20" i="8"/>
  <c r="J20" i="8"/>
  <c r="I20" i="8"/>
  <c r="H20" i="8"/>
  <c r="G20" i="8"/>
  <c r="F20" i="8"/>
  <c r="E20" i="8"/>
  <c r="O22" i="6"/>
  <c r="N22" i="6"/>
  <c r="M22" i="6"/>
  <c r="L22" i="6"/>
  <c r="K22" i="6"/>
  <c r="J22" i="6"/>
  <c r="I22" i="6"/>
  <c r="H22" i="6"/>
  <c r="G22" i="6"/>
  <c r="F22" i="6"/>
  <c r="E22" i="6"/>
  <c r="D22" i="6"/>
  <c r="O21" i="6"/>
  <c r="N21" i="6"/>
  <c r="M21" i="6"/>
  <c r="L21" i="6"/>
  <c r="K21" i="6"/>
  <c r="J21" i="6"/>
  <c r="I21" i="6"/>
  <c r="H21" i="6"/>
  <c r="G21" i="6"/>
  <c r="F21" i="6"/>
  <c r="E21" i="6"/>
  <c r="D21" i="6"/>
  <c r="O20" i="6"/>
  <c r="N20" i="6"/>
  <c r="M20" i="6"/>
  <c r="L20" i="6"/>
  <c r="K20" i="6"/>
  <c r="J20" i="6"/>
  <c r="I20" i="6"/>
  <c r="H20" i="6"/>
  <c r="G20" i="6"/>
  <c r="F20" i="6"/>
  <c r="E20" i="6"/>
  <c r="D20" i="6"/>
  <c r="O23" i="17" l="1"/>
  <c r="N23" i="17"/>
  <c r="M23" i="17"/>
  <c r="L23" i="17"/>
  <c r="K23" i="17"/>
  <c r="J23" i="17"/>
  <c r="I23" i="17"/>
  <c r="H23" i="17"/>
  <c r="G23" i="17"/>
  <c r="F23" i="17"/>
  <c r="E23" i="17"/>
  <c r="D23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O22" i="15"/>
  <c r="N22" i="15"/>
  <c r="M22" i="15"/>
  <c r="L22" i="15"/>
  <c r="K22" i="15"/>
  <c r="J22" i="15"/>
  <c r="I22" i="15"/>
  <c r="H22" i="15"/>
  <c r="G22" i="15"/>
  <c r="F22" i="15"/>
  <c r="E22" i="15"/>
  <c r="D22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O22" i="12"/>
  <c r="N22" i="12"/>
  <c r="M22" i="12"/>
  <c r="L22" i="12"/>
  <c r="K22" i="12"/>
  <c r="J22" i="12"/>
  <c r="I22" i="12"/>
  <c r="H22" i="12"/>
  <c r="G22" i="12"/>
  <c r="F22" i="12"/>
  <c r="E22" i="12"/>
  <c r="D22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O22" i="10"/>
  <c r="N22" i="10"/>
  <c r="M22" i="10"/>
  <c r="L22" i="10"/>
  <c r="K22" i="10"/>
  <c r="J22" i="10"/>
  <c r="I22" i="10"/>
  <c r="H22" i="10"/>
  <c r="G22" i="10"/>
  <c r="F22" i="10"/>
  <c r="E22" i="10"/>
  <c r="D22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O22" i="9"/>
  <c r="N22" i="9"/>
  <c r="M22" i="9"/>
  <c r="L22" i="9"/>
  <c r="K22" i="9"/>
  <c r="J22" i="9"/>
  <c r="I22" i="9"/>
  <c r="H22" i="9"/>
  <c r="G22" i="9"/>
  <c r="F22" i="9"/>
  <c r="E22" i="9"/>
  <c r="D22" i="9"/>
  <c r="O21" i="9"/>
  <c r="N21" i="9"/>
  <c r="M21" i="9"/>
  <c r="L21" i="9"/>
  <c r="K21" i="9"/>
  <c r="J21" i="9"/>
  <c r="I21" i="9"/>
  <c r="H21" i="9"/>
  <c r="G21" i="9"/>
  <c r="F21" i="9"/>
  <c r="E21" i="9"/>
  <c r="D21" i="9"/>
  <c r="O20" i="9"/>
  <c r="N20" i="9"/>
  <c r="M20" i="9"/>
  <c r="L20" i="9"/>
  <c r="K20" i="9"/>
  <c r="J20" i="9"/>
  <c r="I20" i="9"/>
  <c r="H20" i="9"/>
  <c r="G20" i="9"/>
  <c r="F20" i="9"/>
  <c r="E20" i="9"/>
  <c r="D20" i="9"/>
  <c r="O22" i="7"/>
  <c r="N22" i="7"/>
  <c r="M22" i="7"/>
  <c r="L22" i="7"/>
  <c r="K22" i="7"/>
  <c r="J22" i="7"/>
  <c r="I22" i="7"/>
  <c r="H22" i="7"/>
  <c r="G22" i="7"/>
  <c r="F22" i="7"/>
  <c r="E22" i="7"/>
  <c r="D22" i="7"/>
  <c r="O21" i="7"/>
  <c r="N21" i="7"/>
  <c r="M21" i="7"/>
  <c r="L21" i="7"/>
  <c r="K21" i="7"/>
  <c r="J21" i="7"/>
  <c r="I21" i="7"/>
  <c r="H21" i="7"/>
  <c r="G21" i="7"/>
  <c r="F21" i="7"/>
  <c r="E21" i="7"/>
  <c r="D21" i="7"/>
  <c r="O20" i="7"/>
  <c r="N20" i="7"/>
  <c r="M20" i="7"/>
  <c r="L20" i="7"/>
  <c r="K20" i="7"/>
  <c r="J20" i="7"/>
  <c r="I20" i="7"/>
  <c r="H20" i="7"/>
  <c r="G20" i="7"/>
  <c r="F20" i="7"/>
  <c r="E20" i="7"/>
  <c r="D20" i="7"/>
  <c r="O22" i="13"/>
  <c r="N22" i="13"/>
  <c r="M22" i="13"/>
  <c r="L22" i="13"/>
  <c r="K22" i="13"/>
  <c r="J22" i="13"/>
  <c r="I22" i="13"/>
  <c r="H22" i="13"/>
  <c r="G22" i="13"/>
  <c r="F22" i="13"/>
  <c r="E22" i="13"/>
  <c r="D22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O22" i="5"/>
  <c r="N22" i="5"/>
  <c r="M22" i="5"/>
  <c r="L22" i="5"/>
  <c r="K22" i="5"/>
  <c r="J22" i="5"/>
  <c r="I22" i="5"/>
  <c r="H22" i="5"/>
  <c r="G22" i="5"/>
  <c r="F22" i="5"/>
  <c r="E22" i="5"/>
  <c r="D22" i="5"/>
  <c r="O21" i="5"/>
  <c r="N21" i="5"/>
  <c r="M21" i="5"/>
  <c r="L21" i="5"/>
  <c r="K21" i="5"/>
  <c r="J21" i="5"/>
  <c r="I21" i="5"/>
  <c r="H21" i="5"/>
  <c r="G21" i="5"/>
  <c r="F21" i="5"/>
  <c r="E21" i="5"/>
  <c r="D21" i="5"/>
  <c r="O20" i="5"/>
  <c r="N20" i="5"/>
  <c r="M20" i="5"/>
  <c r="L20" i="5"/>
  <c r="K20" i="5"/>
  <c r="J20" i="5"/>
  <c r="I20" i="5"/>
  <c r="H20" i="5"/>
  <c r="G20" i="5"/>
  <c r="F20" i="5"/>
  <c r="E20" i="5"/>
  <c r="D20" i="5"/>
  <c r="O22" i="4"/>
  <c r="N22" i="4"/>
  <c r="M22" i="4"/>
  <c r="L22" i="4"/>
  <c r="K22" i="4"/>
  <c r="J22" i="4"/>
  <c r="I22" i="4"/>
  <c r="H22" i="4"/>
  <c r="G22" i="4"/>
  <c r="F22" i="4"/>
  <c r="E22" i="4"/>
  <c r="D22" i="4"/>
  <c r="O21" i="4"/>
  <c r="N21" i="4"/>
  <c r="M21" i="4"/>
  <c r="L21" i="4"/>
  <c r="K21" i="4"/>
  <c r="J21" i="4"/>
  <c r="I21" i="4"/>
  <c r="H21" i="4"/>
  <c r="G21" i="4"/>
  <c r="F21" i="4"/>
  <c r="E21" i="4"/>
  <c r="D21" i="4"/>
  <c r="O20" i="4"/>
  <c r="N20" i="4"/>
  <c r="M20" i="4"/>
  <c r="L20" i="4"/>
  <c r="K20" i="4"/>
  <c r="J20" i="4"/>
  <c r="I20" i="4"/>
  <c r="H20" i="4"/>
  <c r="G20" i="4"/>
  <c r="F20" i="4"/>
  <c r="E20" i="4"/>
  <c r="D20" i="4"/>
  <c r="O22" i="3"/>
  <c r="N22" i="3"/>
  <c r="M22" i="3"/>
  <c r="L22" i="3"/>
  <c r="K22" i="3"/>
  <c r="J22" i="3"/>
  <c r="I22" i="3"/>
  <c r="H22" i="3"/>
  <c r="G22" i="3"/>
  <c r="F22" i="3"/>
  <c r="E22" i="3"/>
  <c r="D22" i="3"/>
  <c r="O21" i="3"/>
  <c r="N21" i="3"/>
  <c r="M21" i="3"/>
  <c r="L21" i="3"/>
  <c r="K21" i="3"/>
  <c r="J21" i="3"/>
  <c r="I21" i="3"/>
  <c r="H21" i="3"/>
  <c r="G21" i="3"/>
  <c r="F21" i="3"/>
  <c r="E21" i="3"/>
  <c r="D21" i="3"/>
  <c r="O20" i="3"/>
  <c r="N20" i="3"/>
  <c r="M20" i="3"/>
  <c r="L20" i="3"/>
  <c r="K20" i="3"/>
  <c r="J20" i="3"/>
  <c r="I20" i="3"/>
  <c r="H20" i="3"/>
  <c r="G20" i="3"/>
  <c r="F20" i="3"/>
  <c r="E20" i="3"/>
  <c r="D20" i="3"/>
  <c r="E20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O20" i="14"/>
  <c r="N20" i="14"/>
  <c r="M20" i="14"/>
  <c r="L20" i="14"/>
  <c r="K20" i="14"/>
  <c r="J20" i="14"/>
  <c r="I20" i="14"/>
  <c r="H20" i="14"/>
  <c r="G20" i="14"/>
  <c r="F20" i="14"/>
  <c r="D20" i="14"/>
  <c r="E21" i="2"/>
  <c r="F21" i="2"/>
  <c r="G21" i="2"/>
  <c r="H21" i="2"/>
  <c r="I21" i="2"/>
  <c r="J21" i="2"/>
  <c r="K21" i="2"/>
  <c r="L21" i="2"/>
  <c r="M21" i="2"/>
  <c r="N21" i="2"/>
  <c r="O21" i="2"/>
  <c r="P21" i="2"/>
  <c r="E22" i="2"/>
  <c r="F22" i="2"/>
  <c r="G22" i="2"/>
  <c r="H22" i="2"/>
  <c r="I22" i="2"/>
  <c r="J22" i="2"/>
  <c r="K22" i="2"/>
  <c r="L22" i="2"/>
  <c r="M22" i="2"/>
  <c r="N22" i="2"/>
  <c r="O22" i="2"/>
  <c r="P22" i="2"/>
  <c r="G20" i="2"/>
  <c r="H20" i="2"/>
  <c r="I20" i="2"/>
  <c r="J20" i="2"/>
  <c r="K20" i="2"/>
  <c r="L20" i="2"/>
  <c r="M20" i="2"/>
  <c r="N20" i="2"/>
  <c r="O20" i="2"/>
  <c r="P20" i="2"/>
  <c r="F20" i="2"/>
  <c r="E20" i="2"/>
  <c r="F24" i="1" l="1"/>
  <c r="F25" i="1"/>
  <c r="F26" i="1"/>
  <c r="H29" i="1" l="1"/>
  <c r="H30" i="1"/>
  <c r="H31" i="1"/>
  <c r="F31" i="1"/>
  <c r="F30" i="1"/>
  <c r="F29" i="1"/>
  <c r="E30" i="1"/>
  <c r="E31" i="1"/>
  <c r="G30" i="1"/>
  <c r="I30" i="1"/>
  <c r="J30" i="1"/>
  <c r="K30" i="1"/>
  <c r="L30" i="1"/>
  <c r="M30" i="1"/>
  <c r="G31" i="1"/>
  <c r="I31" i="1"/>
  <c r="J31" i="1"/>
  <c r="K31" i="1"/>
  <c r="L31" i="1"/>
  <c r="M31" i="1"/>
  <c r="G29" i="1"/>
  <c r="I29" i="1"/>
  <c r="J29" i="1"/>
  <c r="K29" i="1"/>
  <c r="L29" i="1"/>
  <c r="M29" i="1"/>
  <c r="E29" i="1"/>
  <c r="E25" i="1"/>
  <c r="E26" i="1"/>
  <c r="E24" i="1"/>
</calcChain>
</file>

<file path=xl/sharedStrings.xml><?xml version="1.0" encoding="utf-8"?>
<sst xmlns="http://schemas.openxmlformats.org/spreadsheetml/2006/main" count="980" uniqueCount="122">
  <si>
    <t>ANG</t>
  </si>
  <si>
    <t>VIT. A</t>
  </si>
  <si>
    <t>FOLIC ACID</t>
  </si>
  <si>
    <t>IRON</t>
  </si>
  <si>
    <t>ZINC</t>
  </si>
  <si>
    <t>B12</t>
  </si>
  <si>
    <t>SUGAR [Vit A 10mg/kg]</t>
  </si>
  <si>
    <r>
      <t xml:space="preserve">Per Capita:       </t>
    </r>
    <r>
      <rPr>
        <sz val="11"/>
        <color theme="1"/>
        <rFont val="Calibri"/>
        <family val="2"/>
        <scheme val="minor"/>
      </rPr>
      <t>grams</t>
    </r>
    <r>
      <rPr>
        <b/>
        <sz val="11"/>
        <color theme="1"/>
        <rFont val="Calibri"/>
        <family val="2"/>
        <scheme val="minor"/>
      </rPr>
      <t>/day/person</t>
    </r>
  </si>
  <si>
    <r>
      <t xml:space="preserve">Per capita range: </t>
    </r>
    <r>
      <rPr>
        <sz val="11"/>
        <color theme="1"/>
        <rFont val="Calibri"/>
        <family val="2"/>
        <scheme val="minor"/>
      </rPr>
      <t>(20,101</t>
    </r>
    <r>
      <rPr>
        <b/>
        <sz val="11"/>
        <color theme="1"/>
        <rFont val="Calibri"/>
        <family val="2"/>
        <scheme val="minor"/>
      </rPr>
      <t>)</t>
    </r>
  </si>
  <si>
    <t>Women</t>
  </si>
  <si>
    <t>Men</t>
  </si>
  <si>
    <t>Children</t>
  </si>
  <si>
    <t>OIL  [25mg/kg]</t>
  </si>
  <si>
    <r>
      <t xml:space="preserve">Per capita range: </t>
    </r>
    <r>
      <rPr>
        <sz val="11"/>
        <color theme="1"/>
        <rFont val="Calibri"/>
        <family val="2"/>
        <scheme val="minor"/>
      </rPr>
      <t>(2,54</t>
    </r>
    <r>
      <rPr>
        <b/>
        <sz val="11"/>
        <color theme="1"/>
        <rFont val="Calibri"/>
        <family val="2"/>
        <scheme val="minor"/>
      </rPr>
      <t>)</t>
    </r>
  </si>
  <si>
    <t>WHEAT FLOUR                                     [Vit A (1.5mg/kg), Zinc (55), Fe Fumarate (55). Folic Acid (1.3),B12(0.01)]</t>
  </si>
  <si>
    <r>
      <t xml:space="preserve">Per Capita:        </t>
    </r>
    <r>
      <rPr>
        <sz val="11"/>
        <color theme="1"/>
        <rFont val="Calibri"/>
        <family val="2"/>
        <scheme val="minor"/>
      </rPr>
      <t>grams</t>
    </r>
    <r>
      <rPr>
        <b/>
        <sz val="11"/>
        <color theme="1"/>
        <rFont val="Calibri"/>
        <family val="2"/>
        <scheme val="minor"/>
      </rPr>
      <t>/day/person</t>
    </r>
  </si>
  <si>
    <r>
      <t xml:space="preserve">Per capita range: </t>
    </r>
    <r>
      <rPr>
        <sz val="11"/>
        <color theme="1"/>
        <rFont val="Calibri"/>
        <family val="2"/>
        <scheme val="minor"/>
      </rPr>
      <t>(25,312</t>
    </r>
    <r>
      <rPr>
        <b/>
        <sz val="11"/>
        <color theme="1"/>
        <rFont val="Calibri"/>
        <family val="2"/>
        <scheme val="minor"/>
      </rPr>
      <t>)</t>
    </r>
  </si>
  <si>
    <t xml:space="preserve">MAIZE FLOUR                                  </t>
  </si>
  <si>
    <t>[Vit A (1.5), Zinc (45), Fe EDTA (30). Folic Acid (1.5), B12(0.01)]</t>
  </si>
  <si>
    <r>
      <t xml:space="preserve">Per capita range: </t>
    </r>
    <r>
      <rPr>
        <sz val="11"/>
        <color theme="1"/>
        <rFont val="Calibri"/>
        <family val="2"/>
        <scheme val="minor"/>
      </rPr>
      <t>(8-354</t>
    </r>
    <r>
      <rPr>
        <b/>
        <sz val="11"/>
        <color theme="1"/>
        <rFont val="Calibri"/>
        <family val="2"/>
        <scheme val="minor"/>
      </rPr>
      <t>)</t>
    </r>
  </si>
  <si>
    <t>SALT [30mg/kg]</t>
  </si>
  <si>
    <r>
      <t xml:space="preserve">Per Capita   </t>
    </r>
    <r>
      <rPr>
        <sz val="11"/>
        <color theme="1"/>
        <rFont val="Calibri"/>
        <family val="2"/>
        <scheme val="minor"/>
      </rPr>
      <t>grams</t>
    </r>
    <r>
      <rPr>
        <b/>
        <sz val="11"/>
        <color theme="1"/>
        <rFont val="Calibri"/>
        <family val="2"/>
        <scheme val="minor"/>
      </rPr>
      <t>/day/person</t>
    </r>
  </si>
  <si>
    <r>
      <t xml:space="preserve">Per capita range: </t>
    </r>
    <r>
      <rPr>
        <sz val="11"/>
        <color theme="1"/>
        <rFont val="Calibri"/>
        <family val="2"/>
        <scheme val="minor"/>
      </rPr>
      <t>(4-14</t>
    </r>
    <r>
      <rPr>
        <b/>
        <sz val="11"/>
        <color theme="1"/>
        <rFont val="Calibri"/>
        <family val="2"/>
        <scheme val="minor"/>
      </rPr>
      <t>)</t>
    </r>
  </si>
  <si>
    <t xml:space="preserve">% EAR </t>
  </si>
  <si>
    <t>VIT A [%UTL]</t>
  </si>
  <si>
    <t>FOLIC ACID [%UTL]</t>
  </si>
  <si>
    <t xml:space="preserve">%EAR </t>
  </si>
  <si>
    <t>IRON UTL</t>
  </si>
  <si>
    <t>ZINC UTL</t>
  </si>
  <si>
    <r>
      <t>% EAR</t>
    </r>
    <r>
      <rPr>
        <b/>
        <i/>
        <sz val="11"/>
        <color theme="1"/>
        <rFont val="Calibri"/>
        <family val="2"/>
        <scheme val="minor"/>
      </rPr>
      <t>]</t>
    </r>
  </si>
  <si>
    <t>IODINE EAR</t>
  </si>
  <si>
    <t>IODINE UTL</t>
  </si>
  <si>
    <t>WOMEN</t>
  </si>
  <si>
    <t>MEN</t>
  </si>
  <si>
    <t>CHILDREN</t>
  </si>
  <si>
    <t>ALL</t>
  </si>
  <si>
    <t>FLOURS ONLY</t>
  </si>
  <si>
    <t>Sugar, 10mg/kg</t>
  </si>
  <si>
    <t xml:space="preserve">Pe Capita: </t>
  </si>
  <si>
    <t>Oil, 10mg/kg</t>
  </si>
  <si>
    <t>Wheat Flour, 10mg/kg</t>
  </si>
  <si>
    <t>Maize Flour, 10mg/kg</t>
  </si>
  <si>
    <t>Salt, 10mg/kg</t>
  </si>
  <si>
    <t>Vit A EAR</t>
  </si>
  <si>
    <t>Vit A, UTL%</t>
  </si>
  <si>
    <t>Folic Acid UTL%</t>
  </si>
  <si>
    <t>Folic Acid EAR%</t>
  </si>
  <si>
    <t>Iron  EAR</t>
  </si>
  <si>
    <t>Iron  UTL%</t>
  </si>
  <si>
    <t>Zinc EAR</t>
  </si>
  <si>
    <t>Zinc UTL%</t>
  </si>
  <si>
    <t>B12 EAR</t>
  </si>
  <si>
    <t>B12 UTL%</t>
  </si>
  <si>
    <t>IODINE UTL%</t>
  </si>
  <si>
    <t>Oil, 25mg/kg</t>
  </si>
  <si>
    <t>Pe Capita: 42</t>
  </si>
  <si>
    <t>Pe Capita: 25</t>
  </si>
  <si>
    <t>Pe Capita: 112</t>
  </si>
  <si>
    <t>Pe Capita: 106</t>
  </si>
  <si>
    <t>Pe Capita: 6</t>
  </si>
  <si>
    <t>NA</t>
  </si>
  <si>
    <t>N/A</t>
  </si>
  <si>
    <t>Pe Capita: 4</t>
  </si>
  <si>
    <t>Salt, 30mg/kg</t>
  </si>
  <si>
    <t>Pe Capita: 49</t>
  </si>
  <si>
    <t>Pe Capita: 26</t>
  </si>
  <si>
    <t>Pe Capita: 110</t>
  </si>
  <si>
    <t>Pe Capita: 10</t>
  </si>
  <si>
    <t>Pe Capita: 96</t>
  </si>
  <si>
    <t>Pe Capita: 12</t>
  </si>
  <si>
    <t>Pe Capita: 102</t>
  </si>
  <si>
    <t>Pe Capita: 191</t>
  </si>
  <si>
    <t>Pe Capita: 20</t>
  </si>
  <si>
    <t>Pe Capita: 5</t>
  </si>
  <si>
    <t>Pe Capita: 54</t>
  </si>
  <si>
    <t>Pe Capita: 312</t>
  </si>
  <si>
    <t>Pe Capita: 8</t>
  </si>
  <si>
    <t>Pe Capita: 13</t>
  </si>
  <si>
    <t>Pe Capita: 31</t>
  </si>
  <si>
    <t>Pe Capita: 24</t>
  </si>
  <si>
    <t>Pe Capita: 40</t>
  </si>
  <si>
    <t>Pe Capita: 150</t>
  </si>
  <si>
    <t>Pe Capita: 18</t>
  </si>
  <si>
    <t>Pe Capita: 99</t>
  </si>
  <si>
    <t>Pe Capita: 119</t>
  </si>
  <si>
    <t>Pe Capita: 7</t>
  </si>
  <si>
    <t>Pe Capita: 11</t>
  </si>
  <si>
    <t>Pe Capita: 85</t>
  </si>
  <si>
    <t>Pe Capita: 105</t>
  </si>
  <si>
    <t>Pe Capita:  6</t>
  </si>
  <si>
    <t>Pe Capita: 45</t>
  </si>
  <si>
    <t>Pe Capita: 23</t>
  </si>
  <si>
    <t>Pe Capita: 144</t>
  </si>
  <si>
    <t>Pe Capita: 255</t>
  </si>
  <si>
    <t>Pe Capita: 29</t>
  </si>
  <si>
    <t>Pe Capita: 34</t>
  </si>
  <si>
    <t>Pe Capita: 325</t>
  </si>
  <si>
    <t>Pe Capita: 81</t>
  </si>
  <si>
    <t>Pe Capita: 86</t>
  </si>
  <si>
    <t>Pe Capita: 256</t>
  </si>
  <si>
    <t>Pe Capita: 19</t>
  </si>
  <si>
    <t>Pe Capita: 44</t>
  </si>
  <si>
    <t>Pe Capita: 160</t>
  </si>
  <si>
    <t>Sugar</t>
  </si>
  <si>
    <t>Oil</t>
  </si>
  <si>
    <t>Wheat Flour</t>
  </si>
  <si>
    <t>Maize Flour</t>
  </si>
  <si>
    <t>Salt</t>
  </si>
  <si>
    <t>Total</t>
  </si>
  <si>
    <t>Pe Capita: 9</t>
  </si>
  <si>
    <t>Pe Capita: 32</t>
  </si>
  <si>
    <t>Pe Capita: 354</t>
  </si>
  <si>
    <t>Pe Capita: 101</t>
  </si>
  <si>
    <t>Pe Capita: 35</t>
  </si>
  <si>
    <t>Pe Capita: 1656</t>
  </si>
  <si>
    <t>Pe Capita: 274</t>
  </si>
  <si>
    <t>Pe Capita:  13</t>
  </si>
  <si>
    <t>Per capita: 42</t>
  </si>
  <si>
    <t>Per capita: 25</t>
  </si>
  <si>
    <t>Per capita:  106</t>
  </si>
  <si>
    <t>Per capita: 112</t>
  </si>
  <si>
    <t>Per capita: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</si>
</sst>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666666"/>
      </left>
      <right style="medium">
        <color rgb="FF666666"/>
      </right>
      <top/>
      <bottom style="medium">
        <color indexed="64"/>
      </bottom>
      <diagonal/>
    </border>
    <border>
      <left style="medium">
        <color rgb="FF666666"/>
      </left>
      <right style="medium">
        <color rgb="FF666666"/>
      </right>
      <top/>
      <bottom/>
      <diagonal/>
    </border>
    <border>
      <left/>
      <right style="medium">
        <color rgb="FF666666"/>
      </right>
      <top/>
      <bottom style="medium">
        <color indexed="64"/>
      </bottom>
      <diagonal/>
    </border>
    <border>
      <left/>
      <right style="medium">
        <color rgb="FF666666"/>
      </right>
      <top/>
      <bottom/>
      <diagonal/>
    </border>
    <border>
      <left style="medium">
        <color indexed="64"/>
      </left>
      <right style="medium">
        <color rgb="FF666666"/>
      </right>
      <top/>
      <bottom style="medium">
        <color indexed="64"/>
      </bottom>
      <diagonal/>
    </border>
    <border>
      <left style="medium">
        <color indexed="64"/>
      </left>
      <right style="medium">
        <color rgb="FF666666"/>
      </right>
      <top/>
      <bottom/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/>
      <right style="medium">
        <color indexed="64"/>
      </right>
      <top/>
      <bottom style="medium">
        <color rgb="FF666666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666666"/>
      </left>
      <right style="medium">
        <color rgb="FF666666"/>
      </right>
      <top style="medium">
        <color rgb="FF000000"/>
      </top>
      <bottom/>
      <diagonal/>
    </border>
    <border>
      <left style="medium">
        <color rgb="FF666666"/>
      </left>
      <right style="medium">
        <color rgb="FF666666"/>
      </right>
      <top style="medium">
        <color indexed="64"/>
      </top>
      <bottom/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/>
      <right/>
      <top/>
      <bottom style="medium">
        <color rgb="FF666666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3" borderId="0" xfId="0" applyFill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3" fillId="0" borderId="21" xfId="0" applyFont="1" applyBorder="1"/>
    <xf numFmtId="0" fontId="0" fillId="4" borderId="19" xfId="0" applyFill="1" applyBorder="1"/>
    <xf numFmtId="0" fontId="0" fillId="4" borderId="22" xfId="0" applyFill="1" applyBorder="1"/>
    <xf numFmtId="0" fontId="0" fillId="4" borderId="18" xfId="0" applyFill="1" applyBorder="1"/>
    <xf numFmtId="0" fontId="0" fillId="4" borderId="27" xfId="0" applyFill="1" applyBorder="1"/>
    <xf numFmtId="0" fontId="0" fillId="4" borderId="20" xfId="0" applyFill="1" applyBorder="1"/>
    <xf numFmtId="0" fontId="0" fillId="5" borderId="19" xfId="0" applyFill="1" applyBorder="1"/>
    <xf numFmtId="0" fontId="0" fillId="5" borderId="22" xfId="0" applyFill="1" applyBorder="1"/>
    <xf numFmtId="0" fontId="0" fillId="5" borderId="18" xfId="0" applyFill="1" applyBorder="1"/>
    <xf numFmtId="0" fontId="0" fillId="5" borderId="27" xfId="0" applyFill="1" applyBorder="1"/>
    <xf numFmtId="0" fontId="0" fillId="5" borderId="20" xfId="0" applyFill="1" applyBorder="1"/>
    <xf numFmtId="0" fontId="0" fillId="6" borderId="19" xfId="0" applyFill="1" applyBorder="1"/>
    <xf numFmtId="0" fontId="0" fillId="6" borderId="18" xfId="0" applyFill="1" applyBorder="1"/>
    <xf numFmtId="0" fontId="0" fillId="6" borderId="20" xfId="0" applyFill="1" applyBorder="1"/>
    <xf numFmtId="0" fontId="0" fillId="0" borderId="29" xfId="0" applyBorder="1"/>
    <xf numFmtId="0" fontId="0" fillId="0" borderId="30" xfId="0" applyBorder="1"/>
    <xf numFmtId="0" fontId="3" fillId="4" borderId="30" xfId="0" applyFont="1" applyFill="1" applyBorder="1"/>
    <xf numFmtId="0" fontId="3" fillId="0" borderId="30" xfId="0" applyFont="1" applyBorder="1"/>
    <xf numFmtId="0" fontId="3" fillId="5" borderId="30" xfId="0" applyFont="1" applyFill="1" applyBorder="1"/>
    <xf numFmtId="0" fontId="3" fillId="6" borderId="30" xfId="0" applyFont="1" applyFill="1" applyBorder="1"/>
    <xf numFmtId="0" fontId="3" fillId="0" borderId="31" xfId="0" applyFont="1" applyBorder="1"/>
    <xf numFmtId="0" fontId="0" fillId="0" borderId="33" xfId="0" applyBorder="1"/>
    <xf numFmtId="0" fontId="3" fillId="6" borderId="35" xfId="0" applyFont="1" applyFill="1" applyBorder="1"/>
    <xf numFmtId="0" fontId="0" fillId="6" borderId="36" xfId="0" applyFill="1" applyBorder="1"/>
    <xf numFmtId="0" fontId="0" fillId="6" borderId="37" xfId="0" applyFill="1" applyBorder="1"/>
    <xf numFmtId="0" fontId="0" fillId="6" borderId="38" xfId="0" applyFill="1" applyBorder="1"/>
    <xf numFmtId="0" fontId="0" fillId="6" borderId="39" xfId="0" applyFill="1" applyBorder="1"/>
    <xf numFmtId="0" fontId="0" fillId="6" borderId="40" xfId="0" applyFill="1" applyBorder="1"/>
    <xf numFmtId="0" fontId="3" fillId="6" borderId="30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0" fontId="0" fillId="6" borderId="41" xfId="0" applyFill="1" applyBorder="1"/>
    <xf numFmtId="0" fontId="0" fillId="0" borderId="23" xfId="0" applyBorder="1" applyAlignment="1">
      <alignment horizontal="center"/>
    </xf>
    <xf numFmtId="0" fontId="0" fillId="6" borderId="42" xfId="0" applyFill="1" applyBorder="1"/>
    <xf numFmtId="0" fontId="0" fillId="0" borderId="25" xfId="0" applyBorder="1" applyAlignment="1">
      <alignment horizontal="center"/>
    </xf>
    <xf numFmtId="0" fontId="0" fillId="6" borderId="43" xfId="0" applyFill="1" applyBorder="1"/>
    <xf numFmtId="0" fontId="0" fillId="0" borderId="2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41" xfId="0" applyFill="1" applyBorder="1" applyAlignment="1">
      <alignment horizontal="center"/>
    </xf>
    <xf numFmtId="0" fontId="0" fillId="6" borderId="42" xfId="0" applyFill="1" applyBorder="1" applyAlignment="1">
      <alignment horizontal="center"/>
    </xf>
    <xf numFmtId="0" fontId="0" fillId="6" borderId="43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7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0" borderId="44" xfId="0" applyBorder="1"/>
    <xf numFmtId="0" fontId="3" fillId="0" borderId="45" xfId="0" applyFont="1" applyBorder="1"/>
    <xf numFmtId="0" fontId="0" fillId="0" borderId="46" xfId="0" applyBorder="1"/>
    <xf numFmtId="0" fontId="0" fillId="0" borderId="47" xfId="0" applyBorder="1"/>
    <xf numFmtId="0" fontId="3" fillId="0" borderId="48" xfId="0" applyFont="1" applyBorder="1"/>
    <xf numFmtId="0" fontId="0" fillId="0" borderId="49" xfId="0" applyBorder="1"/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7" xfId="0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3" fillId="7" borderId="30" xfId="0" applyFont="1" applyFill="1" applyBorder="1" applyAlignment="1">
      <alignment horizontal="center"/>
    </xf>
    <xf numFmtId="0" fontId="3" fillId="7" borderId="35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ANGOLA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ANGOLA!$D$20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ANGOLA!$E$19:$P$19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ANGOLA!$E$20:$P$20</c:f>
              <c:numCache>
                <c:formatCode>General</c:formatCode>
                <c:ptCount val="12"/>
                <c:pt idx="0">
                  <c:v>212</c:v>
                </c:pt>
                <c:pt idx="1">
                  <c:v>61</c:v>
                </c:pt>
                <c:pt idx="2">
                  <c:v>98</c:v>
                </c:pt>
                <c:pt idx="3">
                  <c:v>37</c:v>
                </c:pt>
                <c:pt idx="4">
                  <c:v>37</c:v>
                </c:pt>
                <c:pt idx="5">
                  <c:v>44</c:v>
                </c:pt>
                <c:pt idx="6">
                  <c:v>100</c:v>
                </c:pt>
                <c:pt idx="7">
                  <c:v>37</c:v>
                </c:pt>
                <c:pt idx="8">
                  <c:v>73</c:v>
                </c:pt>
                <c:pt idx="9">
                  <c:v>0</c:v>
                </c:pt>
                <c:pt idx="10">
                  <c:v>119</c:v>
                </c:pt>
                <c:pt idx="11">
                  <c:v>21</c:v>
                </c:pt>
              </c:numCache>
            </c:numRef>
          </c:val>
        </c:ser>
        <c:ser>
          <c:idx val="1"/>
          <c:order val="1"/>
          <c:tx>
            <c:strRef>
              <c:f>ANGOLA!$D$21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ANGOLA!$E$19:$P$19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ANGOLA!$E$21:$P$21</c:f>
              <c:numCache>
                <c:formatCode>General</c:formatCode>
                <c:ptCount val="12"/>
                <c:pt idx="0">
                  <c:v>223</c:v>
                </c:pt>
                <c:pt idx="1">
                  <c:v>78</c:v>
                </c:pt>
                <c:pt idx="2">
                  <c:v>124</c:v>
                </c:pt>
                <c:pt idx="3">
                  <c:v>47</c:v>
                </c:pt>
                <c:pt idx="4">
                  <c:v>61</c:v>
                </c:pt>
                <c:pt idx="5">
                  <c:v>49</c:v>
                </c:pt>
                <c:pt idx="6">
                  <c:v>89</c:v>
                </c:pt>
                <c:pt idx="7">
                  <c:v>46</c:v>
                </c:pt>
                <c:pt idx="8">
                  <c:v>93</c:v>
                </c:pt>
                <c:pt idx="9">
                  <c:v>0</c:v>
                </c:pt>
                <c:pt idx="10">
                  <c:v>143</c:v>
                </c:pt>
                <c:pt idx="11">
                  <c:v>28</c:v>
                </c:pt>
              </c:numCache>
            </c:numRef>
          </c:val>
        </c:ser>
        <c:ser>
          <c:idx val="2"/>
          <c:order val="2"/>
          <c:tx>
            <c:strRef>
              <c:f>ANGOLA!$D$22</c:f>
              <c:strCache>
                <c:ptCount val="1"/>
                <c:pt idx="0">
                  <c:v>Children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ANGOLA!$E$19:$P$19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ANGOLA!$E$22:$P$22</c:f>
              <c:numCache>
                <c:formatCode>General</c:formatCode>
                <c:ptCount val="12"/>
                <c:pt idx="0">
                  <c:v>139</c:v>
                </c:pt>
                <c:pt idx="1">
                  <c:v>120</c:v>
                </c:pt>
                <c:pt idx="2">
                  <c:v>117</c:v>
                </c:pt>
                <c:pt idx="3">
                  <c:v>55</c:v>
                </c:pt>
                <c:pt idx="4">
                  <c:v>108</c:v>
                </c:pt>
                <c:pt idx="5">
                  <c:v>57</c:v>
                </c:pt>
                <c:pt idx="6">
                  <c:v>61</c:v>
                </c:pt>
                <c:pt idx="7">
                  <c:v>81</c:v>
                </c:pt>
                <c:pt idx="8">
                  <c:v>88</c:v>
                </c:pt>
                <c:pt idx="9">
                  <c:v>0</c:v>
                </c:pt>
                <c:pt idx="10">
                  <c:v>119</c:v>
                </c:pt>
                <c:pt idx="11">
                  <c:v>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18585152"/>
        <c:axId val="-1018583520"/>
      </c:barChart>
      <c:catAx>
        <c:axId val="-101858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83520"/>
        <c:crosses val="autoZero"/>
        <c:auto val="1"/>
        <c:lblAlgn val="ctr"/>
        <c:lblOffset val="100"/>
        <c:noMultiLvlLbl val="0"/>
      </c:catAx>
      <c:valAx>
        <c:axId val="-101858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8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BOTSWANA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BOTSWANA!$C$20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BOTSWANA!$D$19:$O$19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BOTSWANA!$D$20:$O$20</c:f>
              <c:numCache>
                <c:formatCode>General</c:formatCode>
                <c:ptCount val="12"/>
                <c:pt idx="0">
                  <c:v>330</c:v>
                </c:pt>
                <c:pt idx="1">
                  <c:v>94</c:v>
                </c:pt>
                <c:pt idx="2">
                  <c:v>94</c:v>
                </c:pt>
                <c:pt idx="3">
                  <c:v>36</c:v>
                </c:pt>
                <c:pt idx="4">
                  <c:v>36</c:v>
                </c:pt>
                <c:pt idx="5">
                  <c:v>41</c:v>
                </c:pt>
                <c:pt idx="6">
                  <c:v>97</c:v>
                </c:pt>
                <c:pt idx="7">
                  <c:v>35</c:v>
                </c:pt>
                <c:pt idx="8">
                  <c:v>70</c:v>
                </c:pt>
                <c:pt idx="9">
                  <c:v>0</c:v>
                </c:pt>
                <c:pt idx="10">
                  <c:v>99</c:v>
                </c:pt>
                <c:pt idx="11">
                  <c:v>17</c:v>
                </c:pt>
              </c:numCache>
            </c:numRef>
          </c:val>
        </c:ser>
        <c:ser>
          <c:idx val="1"/>
          <c:order val="1"/>
          <c:tx>
            <c:strRef>
              <c:f>BOTSWANA!$C$21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BOTSWANA!$D$19:$O$19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BOTSWANA!$D$21:$O$21</c:f>
              <c:numCache>
                <c:formatCode>General</c:formatCode>
                <c:ptCount val="12"/>
                <c:pt idx="0">
                  <c:v>313</c:v>
                </c:pt>
                <c:pt idx="1">
                  <c:v>179</c:v>
                </c:pt>
                <c:pt idx="2">
                  <c:v>120</c:v>
                </c:pt>
                <c:pt idx="3">
                  <c:v>46</c:v>
                </c:pt>
                <c:pt idx="4">
                  <c:v>59</c:v>
                </c:pt>
                <c:pt idx="5">
                  <c:v>48</c:v>
                </c:pt>
                <c:pt idx="6">
                  <c:v>86</c:v>
                </c:pt>
                <c:pt idx="7">
                  <c:v>45</c:v>
                </c:pt>
                <c:pt idx="8">
                  <c:v>90</c:v>
                </c:pt>
                <c:pt idx="9">
                  <c:v>0</c:v>
                </c:pt>
                <c:pt idx="10">
                  <c:v>119</c:v>
                </c:pt>
                <c:pt idx="11">
                  <c:v>23</c:v>
                </c:pt>
              </c:numCache>
            </c:numRef>
          </c:val>
        </c:ser>
        <c:ser>
          <c:idx val="2"/>
          <c:order val="2"/>
          <c:tx>
            <c:strRef>
              <c:f>BOTSWANA!$C$22</c:f>
              <c:strCache>
                <c:ptCount val="1"/>
                <c:pt idx="0">
                  <c:v>Children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BOTSWANA!$D$19:$O$19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BOTSWANA!$D$22:$O$22</c:f>
              <c:numCache>
                <c:formatCode>General</c:formatCode>
                <c:ptCount val="12"/>
                <c:pt idx="0">
                  <c:v>199</c:v>
                </c:pt>
                <c:pt idx="1">
                  <c:v>169</c:v>
                </c:pt>
                <c:pt idx="2">
                  <c:v>112</c:v>
                </c:pt>
                <c:pt idx="3">
                  <c:v>51</c:v>
                </c:pt>
                <c:pt idx="4">
                  <c:v>109</c:v>
                </c:pt>
                <c:pt idx="5">
                  <c:v>55</c:v>
                </c:pt>
                <c:pt idx="6">
                  <c:v>59</c:v>
                </c:pt>
                <c:pt idx="7">
                  <c:v>78</c:v>
                </c:pt>
                <c:pt idx="8">
                  <c:v>84</c:v>
                </c:pt>
                <c:pt idx="9">
                  <c:v>0</c:v>
                </c:pt>
                <c:pt idx="10">
                  <c:v>99</c:v>
                </c:pt>
                <c:pt idx="11">
                  <c:v>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18582432"/>
        <c:axId val="-1018581888"/>
      </c:barChart>
      <c:catAx>
        <c:axId val="-101858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81888"/>
        <c:crosses val="autoZero"/>
        <c:auto val="1"/>
        <c:lblAlgn val="ctr"/>
        <c:lblOffset val="100"/>
        <c:noMultiLvlLbl val="0"/>
      </c:catAx>
      <c:valAx>
        <c:axId val="-101858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8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COMOROS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COMOROS!$C$20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COMOROS!$D$19:$O$19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COMOROS!$D$20:$O$20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71</c:v>
                </c:pt>
                <c:pt idx="11">
                  <c:v>14</c:v>
                </c:pt>
              </c:numCache>
            </c:numRef>
          </c:val>
        </c:ser>
        <c:ser>
          <c:idx val="1"/>
          <c:order val="1"/>
          <c:tx>
            <c:strRef>
              <c:f>COMOROS!$C$21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COMOROS!$D$19:$O$19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COMOROS!$D$21:$O$21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99</c:v>
                </c:pt>
                <c:pt idx="11">
                  <c:v>18</c:v>
                </c:pt>
              </c:numCache>
            </c:numRef>
          </c:val>
        </c:ser>
        <c:ser>
          <c:idx val="2"/>
          <c:order val="2"/>
          <c:tx>
            <c:strRef>
              <c:f>COMOROS!$C$22</c:f>
              <c:strCache>
                <c:ptCount val="1"/>
                <c:pt idx="0">
                  <c:v>Children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COMOROS!$D$19:$O$19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COMOROS!$D$22:$O$22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79</c:v>
                </c:pt>
                <c:pt idx="11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18575360"/>
        <c:axId val="-1018574816"/>
      </c:barChart>
      <c:catAx>
        <c:axId val="-101857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74816"/>
        <c:crosses val="autoZero"/>
        <c:auto val="1"/>
        <c:lblAlgn val="ctr"/>
        <c:lblOffset val="100"/>
        <c:noMultiLvlLbl val="0"/>
      </c:catAx>
      <c:valAx>
        <c:axId val="-101857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7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DEMOCRATIC REPUBIC OF CONGO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DRC!$C$20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DRC!$D$19:$O$19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DRC!$D$20:$O$20</c:f>
              <c:numCache>
                <c:formatCode>General</c:formatCode>
                <c:ptCount val="12"/>
                <c:pt idx="0">
                  <c:v>225</c:v>
                </c:pt>
                <c:pt idx="1">
                  <c:v>64</c:v>
                </c:pt>
                <c:pt idx="2">
                  <c:v>94</c:v>
                </c:pt>
                <c:pt idx="3">
                  <c:v>36</c:v>
                </c:pt>
                <c:pt idx="4">
                  <c:v>36</c:v>
                </c:pt>
                <c:pt idx="5">
                  <c:v>41</c:v>
                </c:pt>
                <c:pt idx="6">
                  <c:v>97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  <c:pt idx="10">
                  <c:v>119</c:v>
                </c:pt>
                <c:pt idx="11">
                  <c:v>21</c:v>
                </c:pt>
              </c:numCache>
            </c:numRef>
          </c:val>
        </c:ser>
        <c:ser>
          <c:idx val="1"/>
          <c:order val="1"/>
          <c:tx>
            <c:strRef>
              <c:f>DRC!$C$21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DRC!$D$19:$O$19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DRC!$D$21:$O$21</c:f>
              <c:numCache>
                <c:formatCode>General</c:formatCode>
                <c:ptCount val="12"/>
                <c:pt idx="0">
                  <c:v>236</c:v>
                </c:pt>
                <c:pt idx="1">
                  <c:v>94</c:v>
                </c:pt>
                <c:pt idx="2">
                  <c:v>119</c:v>
                </c:pt>
                <c:pt idx="3">
                  <c:v>45</c:v>
                </c:pt>
                <c:pt idx="4">
                  <c:v>58</c:v>
                </c:pt>
                <c:pt idx="5">
                  <c:v>48</c:v>
                </c:pt>
                <c:pt idx="6">
                  <c:v>86</c:v>
                </c:pt>
                <c:pt idx="7">
                  <c:v>45</c:v>
                </c:pt>
                <c:pt idx="8">
                  <c:v>0</c:v>
                </c:pt>
                <c:pt idx="9">
                  <c:v>0</c:v>
                </c:pt>
                <c:pt idx="10">
                  <c:v>143</c:v>
                </c:pt>
                <c:pt idx="11">
                  <c:v>28</c:v>
                </c:pt>
              </c:numCache>
            </c:numRef>
          </c:val>
        </c:ser>
        <c:ser>
          <c:idx val="2"/>
          <c:order val="2"/>
          <c:tx>
            <c:strRef>
              <c:f>DRC!$C$22</c:f>
              <c:strCache>
                <c:ptCount val="1"/>
                <c:pt idx="0">
                  <c:v>Children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DRC!$D$19:$O$19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DRC!$D$22:$O$22</c:f>
              <c:numCache>
                <c:formatCode>General</c:formatCode>
                <c:ptCount val="12"/>
                <c:pt idx="0">
                  <c:v>147</c:v>
                </c:pt>
                <c:pt idx="1">
                  <c:v>128</c:v>
                </c:pt>
                <c:pt idx="2">
                  <c:v>113</c:v>
                </c:pt>
                <c:pt idx="3">
                  <c:v>53</c:v>
                </c:pt>
                <c:pt idx="4">
                  <c:v>109</c:v>
                </c:pt>
                <c:pt idx="5">
                  <c:v>54</c:v>
                </c:pt>
                <c:pt idx="6">
                  <c:v>60</c:v>
                </c:pt>
                <c:pt idx="7">
                  <c:v>78</c:v>
                </c:pt>
                <c:pt idx="8">
                  <c:v>0</c:v>
                </c:pt>
                <c:pt idx="9">
                  <c:v>0</c:v>
                </c:pt>
                <c:pt idx="10">
                  <c:v>119</c:v>
                </c:pt>
                <c:pt idx="11">
                  <c:v>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18581344"/>
        <c:axId val="-1018586240"/>
      </c:barChart>
      <c:catAx>
        <c:axId val="-101858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86240"/>
        <c:crosses val="autoZero"/>
        <c:auto val="1"/>
        <c:lblAlgn val="ctr"/>
        <c:lblOffset val="100"/>
        <c:noMultiLvlLbl val="0"/>
      </c:catAx>
      <c:valAx>
        <c:axId val="-10185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8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ESWATINI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ESWATINI!$C$20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ESWATINI!$D$19:$O$19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ESWATINI!$D$20:$O$20</c:f>
              <c:numCache>
                <c:formatCode>General</c:formatCode>
                <c:ptCount val="12"/>
                <c:pt idx="0">
                  <c:v>265</c:v>
                </c:pt>
                <c:pt idx="1">
                  <c:v>69</c:v>
                </c:pt>
                <c:pt idx="2">
                  <c:v>132</c:v>
                </c:pt>
                <c:pt idx="3">
                  <c:v>49</c:v>
                </c:pt>
                <c:pt idx="4">
                  <c:v>54</c:v>
                </c:pt>
                <c:pt idx="5">
                  <c:v>59</c:v>
                </c:pt>
                <c:pt idx="6">
                  <c:v>129</c:v>
                </c:pt>
                <c:pt idx="7">
                  <c:v>47</c:v>
                </c:pt>
                <c:pt idx="8">
                  <c:v>98</c:v>
                </c:pt>
                <c:pt idx="9">
                  <c:v>0</c:v>
                </c:pt>
                <c:pt idx="10">
                  <c:v>119</c:v>
                </c:pt>
                <c:pt idx="11">
                  <c:v>21</c:v>
                </c:pt>
              </c:numCache>
            </c:numRef>
          </c:val>
        </c:ser>
        <c:ser>
          <c:idx val="1"/>
          <c:order val="1"/>
          <c:tx>
            <c:strRef>
              <c:f>ESWATINI!$C$21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ESWATINI!$D$19:$O$19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ESWATINI!$D$21:$O$21</c:f>
              <c:numCache>
                <c:formatCode>General</c:formatCode>
                <c:ptCount val="12"/>
                <c:pt idx="0">
                  <c:v>283</c:v>
                </c:pt>
                <c:pt idx="1">
                  <c:v>88</c:v>
                </c:pt>
                <c:pt idx="2">
                  <c:v>167</c:v>
                </c:pt>
                <c:pt idx="3">
                  <c:v>63</c:v>
                </c:pt>
                <c:pt idx="4">
                  <c:v>83</c:v>
                </c:pt>
                <c:pt idx="5">
                  <c:v>65</c:v>
                </c:pt>
                <c:pt idx="6">
                  <c:v>113</c:v>
                </c:pt>
                <c:pt idx="7">
                  <c:v>59</c:v>
                </c:pt>
                <c:pt idx="8">
                  <c:v>124</c:v>
                </c:pt>
                <c:pt idx="9">
                  <c:v>0</c:v>
                </c:pt>
                <c:pt idx="10">
                  <c:v>143</c:v>
                </c:pt>
                <c:pt idx="11">
                  <c:v>28</c:v>
                </c:pt>
              </c:numCache>
            </c:numRef>
          </c:val>
        </c:ser>
        <c:ser>
          <c:idx val="2"/>
          <c:order val="2"/>
          <c:tx>
            <c:strRef>
              <c:f>ESWATINI!$C$22</c:f>
              <c:strCache>
                <c:ptCount val="1"/>
                <c:pt idx="0">
                  <c:v>Children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ESWATINI!$D$19:$O$19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ESWATINI!$D$22:$O$22</c:f>
              <c:numCache>
                <c:formatCode>General</c:formatCode>
                <c:ptCount val="12"/>
                <c:pt idx="0">
                  <c:v>178</c:v>
                </c:pt>
                <c:pt idx="1">
                  <c:v>136</c:v>
                </c:pt>
                <c:pt idx="2">
                  <c:v>158</c:v>
                </c:pt>
                <c:pt idx="3">
                  <c:v>74</c:v>
                </c:pt>
                <c:pt idx="4">
                  <c:v>155</c:v>
                </c:pt>
                <c:pt idx="5">
                  <c:v>88</c:v>
                </c:pt>
                <c:pt idx="6">
                  <c:v>78</c:v>
                </c:pt>
                <c:pt idx="7">
                  <c:v>104</c:v>
                </c:pt>
                <c:pt idx="8">
                  <c:v>118</c:v>
                </c:pt>
                <c:pt idx="9">
                  <c:v>0</c:v>
                </c:pt>
                <c:pt idx="10">
                  <c:v>119</c:v>
                </c:pt>
                <c:pt idx="11">
                  <c:v>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18580800"/>
        <c:axId val="-1018584608"/>
      </c:barChart>
      <c:catAx>
        <c:axId val="-101858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84608"/>
        <c:crosses val="autoZero"/>
        <c:auto val="1"/>
        <c:lblAlgn val="ctr"/>
        <c:lblOffset val="100"/>
        <c:noMultiLvlLbl val="0"/>
      </c:catAx>
      <c:valAx>
        <c:axId val="-101858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8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LESOTHO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LESOTHO!$C$20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LESOTHO!$D$19:$O$19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LESOTHO!$D$20:$O$20</c:f>
              <c:numCache>
                <c:formatCode>General</c:formatCode>
                <c:ptCount val="12"/>
                <c:pt idx="0">
                  <c:v>255</c:v>
                </c:pt>
                <c:pt idx="1">
                  <c:v>73</c:v>
                </c:pt>
                <c:pt idx="2">
                  <c:v>180</c:v>
                </c:pt>
                <c:pt idx="3">
                  <c:v>68</c:v>
                </c:pt>
                <c:pt idx="4">
                  <c:v>70</c:v>
                </c:pt>
                <c:pt idx="5">
                  <c:v>80</c:v>
                </c:pt>
                <c:pt idx="6">
                  <c:v>175</c:v>
                </c:pt>
                <c:pt idx="7">
                  <c:v>64</c:v>
                </c:pt>
                <c:pt idx="8">
                  <c:v>133</c:v>
                </c:pt>
                <c:pt idx="9">
                  <c:v>0</c:v>
                </c:pt>
                <c:pt idx="10">
                  <c:v>119</c:v>
                </c:pt>
                <c:pt idx="11">
                  <c:v>21</c:v>
                </c:pt>
              </c:numCache>
            </c:numRef>
          </c:val>
        </c:ser>
        <c:ser>
          <c:idx val="1"/>
          <c:order val="1"/>
          <c:tx>
            <c:strRef>
              <c:f>LESOTHO!$C$21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LESOTHO!$D$19:$O$19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LESOTHO!$D$21:$O$21</c:f>
              <c:numCache>
                <c:formatCode>General</c:formatCode>
                <c:ptCount val="12"/>
                <c:pt idx="0">
                  <c:v>269</c:v>
                </c:pt>
                <c:pt idx="1">
                  <c:v>89</c:v>
                </c:pt>
                <c:pt idx="2">
                  <c:v>227</c:v>
                </c:pt>
                <c:pt idx="3">
                  <c:v>86</c:v>
                </c:pt>
                <c:pt idx="4">
                  <c:v>112</c:v>
                </c:pt>
                <c:pt idx="5">
                  <c:v>88</c:v>
                </c:pt>
                <c:pt idx="6">
                  <c:v>155</c:v>
                </c:pt>
                <c:pt idx="7">
                  <c:v>80</c:v>
                </c:pt>
                <c:pt idx="8">
                  <c:v>169</c:v>
                </c:pt>
                <c:pt idx="9">
                  <c:v>0</c:v>
                </c:pt>
                <c:pt idx="10">
                  <c:v>143</c:v>
                </c:pt>
                <c:pt idx="11">
                  <c:v>28</c:v>
                </c:pt>
              </c:numCache>
            </c:numRef>
          </c:val>
        </c:ser>
        <c:ser>
          <c:idx val="2"/>
          <c:order val="2"/>
          <c:tx>
            <c:strRef>
              <c:f>LESOTHO!$C$22</c:f>
              <c:strCache>
                <c:ptCount val="1"/>
                <c:pt idx="0">
                  <c:v>Children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LESOTHO!$D$19:$O$19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LESOTHO!$D$22:$O$22</c:f>
              <c:numCache>
                <c:formatCode>General</c:formatCode>
                <c:ptCount val="12"/>
                <c:pt idx="0">
                  <c:v>170</c:v>
                </c:pt>
                <c:pt idx="1">
                  <c:v>139</c:v>
                </c:pt>
                <c:pt idx="2">
                  <c:v>214</c:v>
                </c:pt>
                <c:pt idx="3">
                  <c:v>100</c:v>
                </c:pt>
                <c:pt idx="4">
                  <c:v>211</c:v>
                </c:pt>
                <c:pt idx="5">
                  <c:v>119</c:v>
                </c:pt>
                <c:pt idx="6">
                  <c:v>107</c:v>
                </c:pt>
                <c:pt idx="7">
                  <c:v>69</c:v>
                </c:pt>
                <c:pt idx="8">
                  <c:v>160</c:v>
                </c:pt>
                <c:pt idx="9">
                  <c:v>0</c:v>
                </c:pt>
                <c:pt idx="10">
                  <c:v>119</c:v>
                </c:pt>
                <c:pt idx="11">
                  <c:v>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18579168"/>
        <c:axId val="-1018580256"/>
      </c:barChart>
      <c:catAx>
        <c:axId val="-101857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80256"/>
        <c:crosses val="autoZero"/>
        <c:auto val="1"/>
        <c:lblAlgn val="ctr"/>
        <c:lblOffset val="100"/>
        <c:noMultiLvlLbl val="0"/>
      </c:catAx>
      <c:valAx>
        <c:axId val="-101858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7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MADAGASCAR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MADAGASCAR!$C$20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MADAGASCAR!$D$19:$O$19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MADAGASCAR!$D$20:$O$20</c:f>
              <c:numCache>
                <c:formatCode>General</c:formatCode>
                <c:ptCount val="12"/>
                <c:pt idx="0">
                  <c:v>74</c:v>
                </c:pt>
                <c:pt idx="1">
                  <c:v>21</c:v>
                </c:pt>
                <c:pt idx="2">
                  <c:v>33</c:v>
                </c:pt>
                <c:pt idx="3">
                  <c:v>12</c:v>
                </c:pt>
                <c:pt idx="4">
                  <c:v>13</c:v>
                </c:pt>
                <c:pt idx="5">
                  <c:v>15</c:v>
                </c:pt>
                <c:pt idx="6">
                  <c:v>32</c:v>
                </c:pt>
                <c:pt idx="7">
                  <c:v>12</c:v>
                </c:pt>
                <c:pt idx="8">
                  <c:v>26</c:v>
                </c:pt>
                <c:pt idx="9">
                  <c:v>0</c:v>
                </c:pt>
                <c:pt idx="10">
                  <c:v>95</c:v>
                </c:pt>
                <c:pt idx="11">
                  <c:v>50</c:v>
                </c:pt>
              </c:numCache>
            </c:numRef>
          </c:val>
        </c:ser>
        <c:ser>
          <c:idx val="1"/>
          <c:order val="1"/>
          <c:tx>
            <c:strRef>
              <c:f>MADAGASCAR!$C$21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MADAGASCAR!$D$19:$O$19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MADAGASCAR!$D$21:$O$21</c:f>
              <c:numCache>
                <c:formatCode>General</c:formatCode>
                <c:ptCount val="12"/>
                <c:pt idx="0">
                  <c:v>76</c:v>
                </c:pt>
                <c:pt idx="1">
                  <c:v>21</c:v>
                </c:pt>
                <c:pt idx="2">
                  <c:v>42</c:v>
                </c:pt>
                <c:pt idx="3">
                  <c:v>15</c:v>
                </c:pt>
                <c:pt idx="4">
                  <c:v>21</c:v>
                </c:pt>
                <c:pt idx="5">
                  <c:v>16</c:v>
                </c:pt>
                <c:pt idx="6">
                  <c:v>29</c:v>
                </c:pt>
                <c:pt idx="7">
                  <c:v>15</c:v>
                </c:pt>
                <c:pt idx="8">
                  <c:v>32</c:v>
                </c:pt>
                <c:pt idx="9">
                  <c:v>0</c:v>
                </c:pt>
                <c:pt idx="10">
                  <c:v>119</c:v>
                </c:pt>
                <c:pt idx="11">
                  <c:v>23</c:v>
                </c:pt>
              </c:numCache>
            </c:numRef>
          </c:val>
        </c:ser>
        <c:ser>
          <c:idx val="2"/>
          <c:order val="2"/>
          <c:tx>
            <c:strRef>
              <c:f>MADAGASCAR!$C$22</c:f>
              <c:strCache>
                <c:ptCount val="1"/>
                <c:pt idx="0">
                  <c:v>Children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MADAGASCAR!$D$19:$O$19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MADAGASCAR!$D$22:$O$22</c:f>
              <c:numCache>
                <c:formatCode>General</c:formatCode>
                <c:ptCount val="12"/>
                <c:pt idx="0">
                  <c:v>47</c:v>
                </c:pt>
                <c:pt idx="1">
                  <c:v>31</c:v>
                </c:pt>
                <c:pt idx="2">
                  <c:v>40</c:v>
                </c:pt>
                <c:pt idx="3">
                  <c:v>19</c:v>
                </c:pt>
                <c:pt idx="4">
                  <c:v>40</c:v>
                </c:pt>
                <c:pt idx="5">
                  <c:v>22</c:v>
                </c:pt>
                <c:pt idx="6">
                  <c:v>20</c:v>
                </c:pt>
                <c:pt idx="7">
                  <c:v>26</c:v>
                </c:pt>
                <c:pt idx="8">
                  <c:v>30</c:v>
                </c:pt>
                <c:pt idx="9">
                  <c:v>0</c:v>
                </c:pt>
                <c:pt idx="10">
                  <c:v>79</c:v>
                </c:pt>
                <c:pt idx="11">
                  <c:v>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18578624"/>
        <c:axId val="-1018588960"/>
      </c:barChart>
      <c:catAx>
        <c:axId val="-101857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88960"/>
        <c:crosses val="autoZero"/>
        <c:auto val="1"/>
        <c:lblAlgn val="ctr"/>
        <c:lblOffset val="100"/>
        <c:noMultiLvlLbl val="0"/>
      </c:catAx>
      <c:valAx>
        <c:axId val="-101858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7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MALAWI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MALAWI!$C$20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MALAWI!$D$19:$O$19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MALAWI!$D$20:$O$20</c:f>
              <c:numCache>
                <c:formatCode>General</c:formatCode>
                <c:ptCount val="12"/>
                <c:pt idx="0">
                  <c:v>166</c:v>
                </c:pt>
                <c:pt idx="1">
                  <c:v>43</c:v>
                </c:pt>
                <c:pt idx="2">
                  <c:v>174</c:v>
                </c:pt>
                <c:pt idx="3">
                  <c:v>65</c:v>
                </c:pt>
                <c:pt idx="4">
                  <c:v>68</c:v>
                </c:pt>
                <c:pt idx="5">
                  <c:v>78</c:v>
                </c:pt>
                <c:pt idx="6">
                  <c:v>154</c:v>
                </c:pt>
                <c:pt idx="7">
                  <c:v>56</c:v>
                </c:pt>
                <c:pt idx="8">
                  <c:v>130</c:v>
                </c:pt>
                <c:pt idx="9">
                  <c:v>0</c:v>
                </c:pt>
                <c:pt idx="10">
                  <c:v>71</c:v>
                </c:pt>
                <c:pt idx="11">
                  <c:v>14</c:v>
                </c:pt>
              </c:numCache>
            </c:numRef>
          </c:val>
        </c:ser>
        <c:ser>
          <c:idx val="1"/>
          <c:order val="1"/>
          <c:tx>
            <c:strRef>
              <c:f>MALAWI!$C$21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MALAWI!$D$19:$O$19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MALAWI!$D$21:$O$21</c:f>
              <c:numCache>
                <c:formatCode>General</c:formatCode>
                <c:ptCount val="12"/>
                <c:pt idx="0">
                  <c:v>177</c:v>
                </c:pt>
                <c:pt idx="1">
                  <c:v>78</c:v>
                </c:pt>
                <c:pt idx="2">
                  <c:v>220</c:v>
                </c:pt>
                <c:pt idx="3">
                  <c:v>83</c:v>
                </c:pt>
                <c:pt idx="4">
                  <c:v>112</c:v>
                </c:pt>
                <c:pt idx="5">
                  <c:v>82</c:v>
                </c:pt>
                <c:pt idx="6">
                  <c:v>136</c:v>
                </c:pt>
                <c:pt idx="7">
                  <c:v>71</c:v>
                </c:pt>
                <c:pt idx="8">
                  <c:v>164</c:v>
                </c:pt>
                <c:pt idx="9">
                  <c:v>0</c:v>
                </c:pt>
                <c:pt idx="10">
                  <c:v>99</c:v>
                </c:pt>
                <c:pt idx="11">
                  <c:v>18</c:v>
                </c:pt>
              </c:numCache>
            </c:numRef>
          </c:val>
        </c:ser>
        <c:ser>
          <c:idx val="2"/>
          <c:order val="2"/>
          <c:tx>
            <c:strRef>
              <c:f>MALAWI!$C$22</c:f>
              <c:strCache>
                <c:ptCount val="1"/>
                <c:pt idx="0">
                  <c:v>Children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MALAWI!$D$19:$O$19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MALAWI!$D$22:$O$22</c:f>
              <c:numCache>
                <c:formatCode>General</c:formatCode>
                <c:ptCount val="12"/>
                <c:pt idx="0">
                  <c:v>109</c:v>
                </c:pt>
                <c:pt idx="1">
                  <c:v>95</c:v>
                </c:pt>
                <c:pt idx="2">
                  <c:v>206</c:v>
                </c:pt>
                <c:pt idx="3">
                  <c:v>98</c:v>
                </c:pt>
                <c:pt idx="4">
                  <c:v>208</c:v>
                </c:pt>
                <c:pt idx="5">
                  <c:v>143</c:v>
                </c:pt>
                <c:pt idx="6">
                  <c:v>93</c:v>
                </c:pt>
                <c:pt idx="7">
                  <c:v>125</c:v>
                </c:pt>
                <c:pt idx="8">
                  <c:v>154</c:v>
                </c:pt>
                <c:pt idx="9">
                  <c:v>0</c:v>
                </c:pt>
                <c:pt idx="10">
                  <c:v>79</c:v>
                </c:pt>
                <c:pt idx="11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18575904"/>
        <c:axId val="-1018587328"/>
      </c:barChart>
      <c:catAx>
        <c:axId val="-101857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87328"/>
        <c:crosses val="autoZero"/>
        <c:auto val="1"/>
        <c:lblAlgn val="ctr"/>
        <c:lblOffset val="100"/>
        <c:noMultiLvlLbl val="0"/>
      </c:catAx>
      <c:valAx>
        <c:axId val="-101858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7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3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MAURITIUS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MAURITIUS!$E$20</c:f>
              <c:strCache>
                <c:ptCount val="1"/>
                <c:pt idx="0">
                  <c:v>390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MAURITIUS!$F$19:$Q$19</c:f>
              <c:strCache>
                <c:ptCount val="11"/>
                <c:pt idx="0">
                  <c:v>Vit A, UTL%</c:v>
                </c:pt>
                <c:pt idx="1">
                  <c:v>Folic Acid EAR%</c:v>
                </c:pt>
                <c:pt idx="2">
                  <c:v>Folic Acid UTL%</c:v>
                </c:pt>
                <c:pt idx="3">
                  <c:v>Iron  EAR</c:v>
                </c:pt>
                <c:pt idx="4">
                  <c:v>Iron  UTL%</c:v>
                </c:pt>
                <c:pt idx="5">
                  <c:v>Zinc EAR</c:v>
                </c:pt>
                <c:pt idx="6">
                  <c:v>Zinc UTL%</c:v>
                </c:pt>
                <c:pt idx="7">
                  <c:v>B12 EAR</c:v>
                </c:pt>
                <c:pt idx="8">
                  <c:v>B12 UTL%</c:v>
                </c:pt>
                <c:pt idx="9">
                  <c:v>IODINE EAR</c:v>
                </c:pt>
                <c:pt idx="10">
                  <c:v>IODINE UTL%</c:v>
                </c:pt>
              </c:strCache>
            </c:strRef>
          </c:cat>
          <c:val>
            <c:numRef>
              <c:f>MAURITIUS!$F$20:$Q$20</c:f>
              <c:numCache>
                <c:formatCode>General</c:formatCode>
                <c:ptCount val="12"/>
                <c:pt idx="0">
                  <c:v>145.5</c:v>
                </c:pt>
                <c:pt idx="1">
                  <c:v>143</c:v>
                </c:pt>
                <c:pt idx="2">
                  <c:v>54.4</c:v>
                </c:pt>
                <c:pt idx="3">
                  <c:v>52</c:v>
                </c:pt>
                <c:pt idx="4">
                  <c:v>61.7</c:v>
                </c:pt>
                <c:pt idx="5">
                  <c:v>169</c:v>
                </c:pt>
                <c:pt idx="6">
                  <c:v>61.2</c:v>
                </c:pt>
                <c:pt idx="7">
                  <c:v>108</c:v>
                </c:pt>
                <c:pt idx="8">
                  <c:v>0</c:v>
                </c:pt>
                <c:pt idx="9">
                  <c:v>238</c:v>
                </c:pt>
                <c:pt idx="10">
                  <c:v>49</c:v>
                </c:pt>
              </c:numCache>
            </c:numRef>
          </c:val>
        </c:ser>
        <c:ser>
          <c:idx val="1"/>
          <c:order val="1"/>
          <c:tx>
            <c:strRef>
              <c:f>MAURITIUS!$E$21</c:f>
              <c:strCache>
                <c:ptCount val="1"/>
                <c:pt idx="0">
                  <c:v>449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MAURITIUS!$F$19:$Q$19</c:f>
              <c:strCache>
                <c:ptCount val="11"/>
                <c:pt idx="0">
                  <c:v>Vit A, UTL%</c:v>
                </c:pt>
                <c:pt idx="1">
                  <c:v>Folic Acid EAR%</c:v>
                </c:pt>
                <c:pt idx="2">
                  <c:v>Folic Acid UTL%</c:v>
                </c:pt>
                <c:pt idx="3">
                  <c:v>Iron  EAR</c:v>
                </c:pt>
                <c:pt idx="4">
                  <c:v>Iron  UTL%</c:v>
                </c:pt>
                <c:pt idx="5">
                  <c:v>Zinc EAR</c:v>
                </c:pt>
                <c:pt idx="6">
                  <c:v>Zinc UTL%</c:v>
                </c:pt>
                <c:pt idx="7">
                  <c:v>B12 EAR</c:v>
                </c:pt>
                <c:pt idx="8">
                  <c:v>B12 UTL%</c:v>
                </c:pt>
                <c:pt idx="9">
                  <c:v>IODINE EAR</c:v>
                </c:pt>
                <c:pt idx="10">
                  <c:v>IODINE UTL%</c:v>
                </c:pt>
              </c:strCache>
            </c:strRef>
          </c:cat>
          <c:val>
            <c:numRef>
              <c:f>MAURITIUS!$F$21:$Q$21</c:f>
              <c:numCache>
                <c:formatCode>General</c:formatCode>
                <c:ptCount val="12"/>
                <c:pt idx="0">
                  <c:v>157.69999999999999</c:v>
                </c:pt>
                <c:pt idx="1">
                  <c:v>183</c:v>
                </c:pt>
                <c:pt idx="2">
                  <c:v>68.7</c:v>
                </c:pt>
                <c:pt idx="3">
                  <c:v>85</c:v>
                </c:pt>
                <c:pt idx="4">
                  <c:v>77.7</c:v>
                </c:pt>
                <c:pt idx="5">
                  <c:v>150</c:v>
                </c:pt>
                <c:pt idx="6">
                  <c:v>77.5</c:v>
                </c:pt>
                <c:pt idx="7">
                  <c:v>136</c:v>
                </c:pt>
                <c:pt idx="8">
                  <c:v>0</c:v>
                </c:pt>
                <c:pt idx="9">
                  <c:v>309</c:v>
                </c:pt>
                <c:pt idx="10">
                  <c:v>60</c:v>
                </c:pt>
              </c:numCache>
            </c:numRef>
          </c:val>
        </c:ser>
        <c:ser>
          <c:idx val="2"/>
          <c:order val="2"/>
          <c:tx>
            <c:strRef>
              <c:f>MAURITIUS!$E$22</c:f>
              <c:strCache>
                <c:ptCount val="1"/>
                <c:pt idx="0">
                  <c:v>278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MAURITIUS!$F$19:$Q$19</c:f>
              <c:strCache>
                <c:ptCount val="11"/>
                <c:pt idx="0">
                  <c:v>Vit A, UTL%</c:v>
                </c:pt>
                <c:pt idx="1">
                  <c:v>Folic Acid EAR%</c:v>
                </c:pt>
                <c:pt idx="2">
                  <c:v>Folic Acid UTL%</c:v>
                </c:pt>
                <c:pt idx="3">
                  <c:v>Iron  EAR</c:v>
                </c:pt>
                <c:pt idx="4">
                  <c:v>Iron  UTL%</c:v>
                </c:pt>
                <c:pt idx="5">
                  <c:v>Zinc EAR</c:v>
                </c:pt>
                <c:pt idx="6">
                  <c:v>Zinc UTL%</c:v>
                </c:pt>
                <c:pt idx="7">
                  <c:v>B12 EAR</c:v>
                </c:pt>
                <c:pt idx="8">
                  <c:v>B12 UTL%</c:v>
                </c:pt>
                <c:pt idx="9">
                  <c:v>IODINE EAR</c:v>
                </c:pt>
                <c:pt idx="10">
                  <c:v>IODINE UTL%</c:v>
                </c:pt>
              </c:strCache>
            </c:strRef>
          </c:cat>
          <c:val>
            <c:numRef>
              <c:f>MAURITIUS!$F$22:$Q$22</c:f>
              <c:numCache>
                <c:formatCode>General</c:formatCode>
                <c:ptCount val="12"/>
                <c:pt idx="0">
                  <c:v>246</c:v>
                </c:pt>
                <c:pt idx="1">
                  <c:v>173</c:v>
                </c:pt>
                <c:pt idx="2">
                  <c:v>80.3</c:v>
                </c:pt>
                <c:pt idx="3">
                  <c:v>161</c:v>
                </c:pt>
                <c:pt idx="4">
                  <c:v>43.4</c:v>
                </c:pt>
                <c:pt idx="5">
                  <c:v>103</c:v>
                </c:pt>
                <c:pt idx="6">
                  <c:v>136.69999999999999</c:v>
                </c:pt>
                <c:pt idx="7">
                  <c:v>128</c:v>
                </c:pt>
                <c:pt idx="8">
                  <c:v>0</c:v>
                </c:pt>
                <c:pt idx="9">
                  <c:v>258</c:v>
                </c:pt>
                <c:pt idx="10">
                  <c:v>102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18576448"/>
        <c:axId val="-1018579712"/>
      </c:barChart>
      <c:catAx>
        <c:axId val="-101857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79712"/>
        <c:crosses val="autoZero"/>
        <c:auto val="1"/>
        <c:lblAlgn val="ctr"/>
        <c:lblOffset val="100"/>
        <c:noMultiLvlLbl val="0"/>
      </c:catAx>
      <c:valAx>
        <c:axId val="-101857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7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MOZAMBIQUE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MOZAMBIQUE!$C$20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MOZAMBIQUE!$D$19:$O$19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MOZAMBIQUE!$D$20:$O$20</c:f>
              <c:numCache>
                <c:formatCode>General</c:formatCode>
                <c:ptCount val="12"/>
                <c:pt idx="0">
                  <c:v>182</c:v>
                </c:pt>
                <c:pt idx="1">
                  <c:v>55</c:v>
                </c:pt>
                <c:pt idx="2">
                  <c:v>86</c:v>
                </c:pt>
                <c:pt idx="3">
                  <c:v>32</c:v>
                </c:pt>
                <c:pt idx="4">
                  <c:v>34</c:v>
                </c:pt>
                <c:pt idx="5">
                  <c:v>38</c:v>
                </c:pt>
                <c:pt idx="6">
                  <c:v>80</c:v>
                </c:pt>
                <c:pt idx="7">
                  <c:v>29</c:v>
                </c:pt>
                <c:pt idx="8">
                  <c:v>65</c:v>
                </c:pt>
                <c:pt idx="9">
                  <c:v>0</c:v>
                </c:pt>
                <c:pt idx="10">
                  <c:v>119</c:v>
                </c:pt>
                <c:pt idx="11">
                  <c:v>21</c:v>
                </c:pt>
              </c:numCache>
            </c:numRef>
          </c:val>
        </c:ser>
        <c:ser>
          <c:idx val="1"/>
          <c:order val="1"/>
          <c:tx>
            <c:strRef>
              <c:f>MOZAMBIQUE!$C$21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MOZAMBIQUE!$D$19:$O$19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MOZAMBIQUE!$D$21:$O$21</c:f>
              <c:numCache>
                <c:formatCode>General</c:formatCode>
                <c:ptCount val="12"/>
                <c:pt idx="0">
                  <c:v>194</c:v>
                </c:pt>
                <c:pt idx="1">
                  <c:v>69</c:v>
                </c:pt>
                <c:pt idx="2">
                  <c:v>108</c:v>
                </c:pt>
                <c:pt idx="3">
                  <c:v>41</c:v>
                </c:pt>
                <c:pt idx="4">
                  <c:v>55</c:v>
                </c:pt>
                <c:pt idx="5">
                  <c:v>41</c:v>
                </c:pt>
                <c:pt idx="6">
                  <c:v>70</c:v>
                </c:pt>
                <c:pt idx="7">
                  <c:v>37</c:v>
                </c:pt>
                <c:pt idx="8">
                  <c:v>81</c:v>
                </c:pt>
                <c:pt idx="9">
                  <c:v>0</c:v>
                </c:pt>
                <c:pt idx="10">
                  <c:v>143</c:v>
                </c:pt>
                <c:pt idx="11">
                  <c:v>28</c:v>
                </c:pt>
              </c:numCache>
            </c:numRef>
          </c:val>
        </c:ser>
        <c:ser>
          <c:idx val="2"/>
          <c:order val="2"/>
          <c:tx>
            <c:strRef>
              <c:f>MOZAMBIQUE!$C$22</c:f>
              <c:strCache>
                <c:ptCount val="1"/>
                <c:pt idx="0">
                  <c:v>Children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MOZAMBIQUE!$D$19:$O$19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MOZAMBIQUE!$D$22:$O$22</c:f>
              <c:numCache>
                <c:formatCode>General</c:formatCode>
                <c:ptCount val="12"/>
                <c:pt idx="0">
                  <c:v>122</c:v>
                </c:pt>
                <c:pt idx="1">
                  <c:v>108</c:v>
                </c:pt>
                <c:pt idx="2">
                  <c:v>103</c:v>
                </c:pt>
                <c:pt idx="3">
                  <c:v>48</c:v>
                </c:pt>
                <c:pt idx="4">
                  <c:v>102</c:v>
                </c:pt>
                <c:pt idx="5">
                  <c:v>64</c:v>
                </c:pt>
                <c:pt idx="6">
                  <c:v>49</c:v>
                </c:pt>
                <c:pt idx="7">
                  <c:v>65</c:v>
                </c:pt>
                <c:pt idx="8">
                  <c:v>76</c:v>
                </c:pt>
                <c:pt idx="9">
                  <c:v>0</c:v>
                </c:pt>
                <c:pt idx="10">
                  <c:v>119</c:v>
                </c:pt>
                <c:pt idx="11">
                  <c:v>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18574272"/>
        <c:axId val="-1018573728"/>
      </c:barChart>
      <c:catAx>
        <c:axId val="-101857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73728"/>
        <c:crosses val="autoZero"/>
        <c:auto val="1"/>
        <c:lblAlgn val="ctr"/>
        <c:lblOffset val="100"/>
        <c:noMultiLvlLbl val="0"/>
      </c:catAx>
      <c:valAx>
        <c:axId val="-101857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7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NAMIBIA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NAMIBIA!$C$20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NAMIBIA!$D$19:$O$19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NAMIBIA!$D$20:$O$20</c:f>
              <c:numCache>
                <c:formatCode>General</c:formatCode>
                <c:ptCount val="12"/>
                <c:pt idx="0">
                  <c:v>208</c:v>
                </c:pt>
                <c:pt idx="1">
                  <c:v>64</c:v>
                </c:pt>
                <c:pt idx="2">
                  <c:v>98</c:v>
                </c:pt>
                <c:pt idx="3">
                  <c:v>37</c:v>
                </c:pt>
                <c:pt idx="4">
                  <c:v>37</c:v>
                </c:pt>
                <c:pt idx="5">
                  <c:v>43</c:v>
                </c:pt>
                <c:pt idx="6">
                  <c:v>99</c:v>
                </c:pt>
                <c:pt idx="7">
                  <c:v>36</c:v>
                </c:pt>
                <c:pt idx="8">
                  <c:v>73</c:v>
                </c:pt>
                <c:pt idx="9">
                  <c:v>0</c:v>
                </c:pt>
                <c:pt idx="10">
                  <c:v>167</c:v>
                </c:pt>
                <c:pt idx="11">
                  <c:v>32</c:v>
                </c:pt>
              </c:numCache>
            </c:numRef>
          </c:val>
        </c:ser>
        <c:ser>
          <c:idx val="1"/>
          <c:order val="1"/>
          <c:tx>
            <c:strRef>
              <c:f>NAMIBIA!$C$21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NAMIBIA!$D$19:$O$19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NAMIBIA!$D$21:$O$21</c:f>
              <c:numCache>
                <c:formatCode>General</c:formatCode>
                <c:ptCount val="12"/>
                <c:pt idx="0">
                  <c:v>211</c:v>
                </c:pt>
                <c:pt idx="1">
                  <c:v>66</c:v>
                </c:pt>
                <c:pt idx="2">
                  <c:v>124</c:v>
                </c:pt>
                <c:pt idx="3">
                  <c:v>46</c:v>
                </c:pt>
                <c:pt idx="4">
                  <c:v>61</c:v>
                </c:pt>
                <c:pt idx="5">
                  <c:v>49</c:v>
                </c:pt>
                <c:pt idx="6">
                  <c:v>88</c:v>
                </c:pt>
                <c:pt idx="7">
                  <c:v>45</c:v>
                </c:pt>
                <c:pt idx="8">
                  <c:v>93</c:v>
                </c:pt>
                <c:pt idx="9">
                  <c:v>0</c:v>
                </c:pt>
                <c:pt idx="10">
                  <c:v>143</c:v>
                </c:pt>
                <c:pt idx="11">
                  <c:v>26</c:v>
                </c:pt>
              </c:numCache>
            </c:numRef>
          </c:val>
        </c:ser>
        <c:ser>
          <c:idx val="2"/>
          <c:order val="2"/>
          <c:tx>
            <c:strRef>
              <c:f>NAMIBIA!$C$22</c:f>
              <c:strCache>
                <c:ptCount val="1"/>
                <c:pt idx="0">
                  <c:v>Children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NAMIBIA!$D$19:$O$19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NAMIBIA!$D$22:$O$22</c:f>
              <c:numCache>
                <c:formatCode>General</c:formatCode>
                <c:ptCount val="12"/>
                <c:pt idx="0">
                  <c:v>131</c:v>
                </c:pt>
                <c:pt idx="1">
                  <c:v>112</c:v>
                </c:pt>
                <c:pt idx="2">
                  <c:v>118</c:v>
                </c:pt>
                <c:pt idx="3">
                  <c:v>55</c:v>
                </c:pt>
                <c:pt idx="4">
                  <c:v>115</c:v>
                </c:pt>
                <c:pt idx="5">
                  <c:v>60</c:v>
                </c:pt>
                <c:pt idx="6">
                  <c:v>60</c:v>
                </c:pt>
                <c:pt idx="7">
                  <c:v>50</c:v>
                </c:pt>
                <c:pt idx="8">
                  <c:v>88</c:v>
                </c:pt>
                <c:pt idx="9">
                  <c:v>0</c:v>
                </c:pt>
                <c:pt idx="10">
                  <c:v>119</c:v>
                </c:pt>
                <c:pt idx="11">
                  <c:v>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18578080"/>
        <c:axId val="-1018576992"/>
      </c:barChart>
      <c:catAx>
        <c:axId val="-10185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76992"/>
        <c:crosses val="autoZero"/>
        <c:auto val="1"/>
        <c:lblAlgn val="ctr"/>
        <c:lblOffset val="100"/>
        <c:noMultiLvlLbl val="0"/>
      </c:catAx>
      <c:valAx>
        <c:axId val="-101857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SEYCHELLES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SEYCHELLES!$C$20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SEYCHELLES!$D$19:$O$19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SEYCHELLES!$D$20:$O$20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71</c:v>
                </c:pt>
                <c:pt idx="11">
                  <c:v>14</c:v>
                </c:pt>
              </c:numCache>
            </c:numRef>
          </c:val>
        </c:ser>
        <c:ser>
          <c:idx val="1"/>
          <c:order val="1"/>
          <c:tx>
            <c:strRef>
              <c:f>SEYCHELLES!$C$21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SEYCHELLES!$D$19:$O$19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SEYCHELLES!$D$21:$O$21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99</c:v>
                </c:pt>
                <c:pt idx="11">
                  <c:v>18</c:v>
                </c:pt>
              </c:numCache>
            </c:numRef>
          </c:val>
        </c:ser>
        <c:ser>
          <c:idx val="2"/>
          <c:order val="2"/>
          <c:tx>
            <c:strRef>
              <c:f>SEYCHELLES!$C$22</c:f>
              <c:strCache>
                <c:ptCount val="1"/>
                <c:pt idx="0">
                  <c:v>Children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SEYCHELLES!$D$19:$O$19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SEYCHELLES!$D$22:$O$22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79</c:v>
                </c:pt>
                <c:pt idx="11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18588416"/>
        <c:axId val="-1018585696"/>
      </c:barChart>
      <c:catAx>
        <c:axId val="-101858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85696"/>
        <c:crosses val="autoZero"/>
        <c:auto val="1"/>
        <c:lblAlgn val="ctr"/>
        <c:lblOffset val="100"/>
        <c:noMultiLvlLbl val="0"/>
      </c:catAx>
      <c:valAx>
        <c:axId val="-101858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8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 AFRICA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'SOUTH AFRICA'!$C$20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'SOUTH AFRICA'!$D$19:$O$19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'SOUTH AFRICA'!$D$20:$O$20</c:f>
              <c:numCache>
                <c:formatCode>General</c:formatCode>
                <c:ptCount val="12"/>
                <c:pt idx="0">
                  <c:v>396</c:v>
                </c:pt>
                <c:pt idx="1">
                  <c:v>109</c:v>
                </c:pt>
                <c:pt idx="2">
                  <c:v>230</c:v>
                </c:pt>
                <c:pt idx="3">
                  <c:v>74</c:v>
                </c:pt>
                <c:pt idx="4">
                  <c:v>76</c:v>
                </c:pt>
                <c:pt idx="5">
                  <c:v>89</c:v>
                </c:pt>
                <c:pt idx="6">
                  <c:v>160</c:v>
                </c:pt>
                <c:pt idx="7">
                  <c:v>70</c:v>
                </c:pt>
                <c:pt idx="8">
                  <c:v>147</c:v>
                </c:pt>
                <c:pt idx="9">
                  <c:v>0</c:v>
                </c:pt>
                <c:pt idx="10">
                  <c:v>119</c:v>
                </c:pt>
                <c:pt idx="11">
                  <c:v>17</c:v>
                </c:pt>
              </c:numCache>
            </c:numRef>
          </c:val>
        </c:ser>
        <c:ser>
          <c:idx val="1"/>
          <c:order val="1"/>
          <c:tx>
            <c:strRef>
              <c:f>'SOUTH AFRICA'!$C$21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'SOUTH AFRICA'!$D$19:$O$19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'SOUTH AFRICA'!$D$21:$O$21</c:f>
              <c:numCache>
                <c:formatCode>General</c:formatCode>
                <c:ptCount val="12"/>
                <c:pt idx="0">
                  <c:v>417</c:v>
                </c:pt>
                <c:pt idx="1">
                  <c:v>74</c:v>
                </c:pt>
                <c:pt idx="2">
                  <c:v>217</c:v>
                </c:pt>
                <c:pt idx="3">
                  <c:v>94</c:v>
                </c:pt>
                <c:pt idx="4">
                  <c:v>124</c:v>
                </c:pt>
                <c:pt idx="5">
                  <c:v>96</c:v>
                </c:pt>
                <c:pt idx="6">
                  <c:v>172</c:v>
                </c:pt>
                <c:pt idx="7">
                  <c:v>89</c:v>
                </c:pt>
                <c:pt idx="8">
                  <c:v>186</c:v>
                </c:pt>
                <c:pt idx="9">
                  <c:v>0</c:v>
                </c:pt>
                <c:pt idx="10">
                  <c:v>143</c:v>
                </c:pt>
                <c:pt idx="11">
                  <c:v>28</c:v>
                </c:pt>
              </c:numCache>
            </c:numRef>
          </c:val>
        </c:ser>
        <c:ser>
          <c:idx val="2"/>
          <c:order val="2"/>
          <c:tx>
            <c:strRef>
              <c:f>'SOUTH AFRICA'!$C$22</c:f>
              <c:strCache>
                <c:ptCount val="1"/>
                <c:pt idx="0">
                  <c:v>Children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'SOUTH AFRICA'!$D$19:$O$19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'SOUTH AFRICA'!$D$22:$O$22</c:f>
              <c:numCache>
                <c:formatCode>General</c:formatCode>
                <c:ptCount val="12"/>
                <c:pt idx="0">
                  <c:v>258</c:v>
                </c:pt>
                <c:pt idx="1">
                  <c:v>127</c:v>
                </c:pt>
                <c:pt idx="2">
                  <c:v>236</c:v>
                </c:pt>
                <c:pt idx="3">
                  <c:v>110</c:v>
                </c:pt>
                <c:pt idx="4">
                  <c:v>232</c:v>
                </c:pt>
                <c:pt idx="5">
                  <c:v>127</c:v>
                </c:pt>
                <c:pt idx="6">
                  <c:v>119</c:v>
                </c:pt>
                <c:pt idx="7">
                  <c:v>107</c:v>
                </c:pt>
                <c:pt idx="8">
                  <c:v>176</c:v>
                </c:pt>
                <c:pt idx="9">
                  <c:v>0</c:v>
                </c:pt>
                <c:pt idx="10">
                  <c:v>119</c:v>
                </c:pt>
                <c:pt idx="11">
                  <c:v>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18586784"/>
        <c:axId val="-1202887616"/>
      </c:barChart>
      <c:catAx>
        <c:axId val="-101858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2887616"/>
        <c:crosses val="autoZero"/>
        <c:auto val="1"/>
        <c:lblAlgn val="ctr"/>
        <c:lblOffset val="100"/>
        <c:noMultiLvlLbl val="0"/>
      </c:catAx>
      <c:valAx>
        <c:axId val="-120288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858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ZAMBIA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ZAMBIA!$C$20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ZAMBIA!$D$19:$O$19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ZAMBIA!$D$20:$O$20</c:f>
              <c:numCache>
                <c:formatCode>General</c:formatCode>
                <c:ptCount val="12"/>
                <c:pt idx="0">
                  <c:v>184</c:v>
                </c:pt>
                <c:pt idx="1">
                  <c:v>49</c:v>
                </c:pt>
                <c:pt idx="2">
                  <c:v>184</c:v>
                </c:pt>
                <c:pt idx="3">
                  <c:v>70</c:v>
                </c:pt>
                <c:pt idx="4">
                  <c:v>69</c:v>
                </c:pt>
                <c:pt idx="5">
                  <c:v>73</c:v>
                </c:pt>
                <c:pt idx="6">
                  <c:v>132</c:v>
                </c:pt>
                <c:pt idx="7">
                  <c:v>53</c:v>
                </c:pt>
                <c:pt idx="8">
                  <c:v>127</c:v>
                </c:pt>
                <c:pt idx="9">
                  <c:v>0</c:v>
                </c:pt>
                <c:pt idx="10">
                  <c:v>119</c:v>
                </c:pt>
                <c:pt idx="11">
                  <c:v>21</c:v>
                </c:pt>
              </c:numCache>
            </c:numRef>
          </c:val>
        </c:ser>
        <c:ser>
          <c:idx val="1"/>
          <c:order val="1"/>
          <c:tx>
            <c:strRef>
              <c:f>ZAMBIA!$C$21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ZAMBIA!$D$19:$O$19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ZAMBIA!$D$21:$O$21</c:f>
              <c:numCache>
                <c:formatCode>General</c:formatCode>
                <c:ptCount val="12"/>
                <c:pt idx="0">
                  <c:v>193</c:v>
                </c:pt>
                <c:pt idx="1">
                  <c:v>63</c:v>
                </c:pt>
                <c:pt idx="2">
                  <c:v>233</c:v>
                </c:pt>
                <c:pt idx="3">
                  <c:v>87</c:v>
                </c:pt>
                <c:pt idx="4">
                  <c:v>104</c:v>
                </c:pt>
                <c:pt idx="5">
                  <c:v>76</c:v>
                </c:pt>
                <c:pt idx="6">
                  <c:v>127</c:v>
                </c:pt>
                <c:pt idx="7">
                  <c:v>66</c:v>
                </c:pt>
                <c:pt idx="8">
                  <c:v>152</c:v>
                </c:pt>
                <c:pt idx="9">
                  <c:v>0</c:v>
                </c:pt>
                <c:pt idx="10">
                  <c:v>143</c:v>
                </c:pt>
                <c:pt idx="11">
                  <c:v>28</c:v>
                </c:pt>
              </c:numCache>
            </c:numRef>
          </c:val>
        </c:ser>
        <c:ser>
          <c:idx val="2"/>
          <c:order val="2"/>
          <c:tx>
            <c:strRef>
              <c:f>ZAMBIA!$C$22</c:f>
              <c:strCache>
                <c:ptCount val="1"/>
                <c:pt idx="0">
                  <c:v>Children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ZAMBIA!$D$19:$O$19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ZAMBIA!$D$22:$O$22</c:f>
              <c:numCache>
                <c:formatCode>General</c:formatCode>
                <c:ptCount val="12"/>
                <c:pt idx="0">
                  <c:v>117</c:v>
                </c:pt>
                <c:pt idx="1">
                  <c:v>95</c:v>
                </c:pt>
                <c:pt idx="2">
                  <c:v>219</c:v>
                </c:pt>
                <c:pt idx="3">
                  <c:v>103</c:v>
                </c:pt>
                <c:pt idx="4">
                  <c:v>194</c:v>
                </c:pt>
                <c:pt idx="5">
                  <c:v>131</c:v>
                </c:pt>
                <c:pt idx="6">
                  <c:v>88</c:v>
                </c:pt>
                <c:pt idx="7">
                  <c:v>117</c:v>
                </c:pt>
                <c:pt idx="8">
                  <c:v>144</c:v>
                </c:pt>
                <c:pt idx="9">
                  <c:v>0</c:v>
                </c:pt>
                <c:pt idx="10">
                  <c:v>119</c:v>
                </c:pt>
                <c:pt idx="11">
                  <c:v>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202885440"/>
        <c:axId val="-1202887072"/>
      </c:barChart>
      <c:catAx>
        <c:axId val="-120288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2887072"/>
        <c:crosses val="autoZero"/>
        <c:auto val="1"/>
        <c:lblAlgn val="ctr"/>
        <c:lblOffset val="100"/>
        <c:noMultiLvlLbl val="0"/>
      </c:catAx>
      <c:valAx>
        <c:axId val="-120288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288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TANZANIA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TANZANIA!$C$21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TANZANIA!$D$20:$O$20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TANZANIA!$D$21:$O$21</c:f>
              <c:numCache>
                <c:formatCode>General</c:formatCode>
                <c:ptCount val="12"/>
                <c:pt idx="0">
                  <c:v>161</c:v>
                </c:pt>
                <c:pt idx="1">
                  <c:v>46</c:v>
                </c:pt>
                <c:pt idx="2">
                  <c:v>106</c:v>
                </c:pt>
                <c:pt idx="3">
                  <c:v>40</c:v>
                </c:pt>
                <c:pt idx="4">
                  <c:v>36</c:v>
                </c:pt>
                <c:pt idx="5">
                  <c:v>41</c:v>
                </c:pt>
                <c:pt idx="6">
                  <c:v>86</c:v>
                </c:pt>
                <c:pt idx="7">
                  <c:v>31</c:v>
                </c:pt>
                <c:pt idx="8">
                  <c:v>69</c:v>
                </c:pt>
                <c:pt idx="9">
                  <c:v>0</c:v>
                </c:pt>
                <c:pt idx="10">
                  <c:v>143</c:v>
                </c:pt>
                <c:pt idx="11">
                  <c:v>26</c:v>
                </c:pt>
              </c:numCache>
            </c:numRef>
          </c:val>
        </c:ser>
        <c:ser>
          <c:idx val="1"/>
          <c:order val="1"/>
          <c:tx>
            <c:strRef>
              <c:f>TANZANIA!$C$22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TANZANIA!$D$20:$O$20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TANZANIA!$D$22:$O$22</c:f>
              <c:numCache>
                <c:formatCode>General</c:formatCode>
                <c:ptCount val="12"/>
                <c:pt idx="0">
                  <c:v>169</c:v>
                </c:pt>
                <c:pt idx="1">
                  <c:v>58</c:v>
                </c:pt>
                <c:pt idx="2">
                  <c:v>130</c:v>
                </c:pt>
                <c:pt idx="3">
                  <c:v>49</c:v>
                </c:pt>
                <c:pt idx="4">
                  <c:v>59</c:v>
                </c:pt>
                <c:pt idx="5">
                  <c:v>44</c:v>
                </c:pt>
                <c:pt idx="6">
                  <c:v>76</c:v>
                </c:pt>
                <c:pt idx="7">
                  <c:v>39</c:v>
                </c:pt>
                <c:pt idx="8">
                  <c:v>87</c:v>
                </c:pt>
                <c:pt idx="9">
                  <c:v>0</c:v>
                </c:pt>
                <c:pt idx="10">
                  <c:v>167</c:v>
                </c:pt>
                <c:pt idx="11">
                  <c:v>32</c:v>
                </c:pt>
              </c:numCache>
            </c:numRef>
          </c:val>
        </c:ser>
        <c:ser>
          <c:idx val="2"/>
          <c:order val="2"/>
          <c:tx>
            <c:strRef>
              <c:f>TANZANIA!$C$23</c:f>
              <c:strCache>
                <c:ptCount val="1"/>
                <c:pt idx="0">
                  <c:v>Children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TANZANIA!$D$20:$O$20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TANZANIA!$D$23:$O$23</c:f>
              <c:numCache>
                <c:formatCode>General</c:formatCode>
                <c:ptCount val="12"/>
                <c:pt idx="0">
                  <c:v>107</c:v>
                </c:pt>
                <c:pt idx="1">
                  <c:v>92</c:v>
                </c:pt>
                <c:pt idx="2">
                  <c:v>123</c:v>
                </c:pt>
                <c:pt idx="3">
                  <c:v>57</c:v>
                </c:pt>
                <c:pt idx="4">
                  <c:v>109</c:v>
                </c:pt>
                <c:pt idx="5">
                  <c:v>159</c:v>
                </c:pt>
                <c:pt idx="6">
                  <c:v>52</c:v>
                </c:pt>
                <c:pt idx="7">
                  <c:v>69</c:v>
                </c:pt>
                <c:pt idx="8">
                  <c:v>82</c:v>
                </c:pt>
                <c:pt idx="9">
                  <c:v>0</c:v>
                </c:pt>
                <c:pt idx="10">
                  <c:v>119</c:v>
                </c:pt>
                <c:pt idx="11">
                  <c:v>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202888704"/>
        <c:axId val="-1202881632"/>
      </c:barChart>
      <c:catAx>
        <c:axId val="-120288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2881632"/>
        <c:crosses val="autoZero"/>
        <c:auto val="1"/>
        <c:lblAlgn val="ctr"/>
        <c:lblOffset val="100"/>
        <c:noMultiLvlLbl val="0"/>
      </c:catAx>
      <c:valAx>
        <c:axId val="-120288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288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ZIMBABWE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ZIMBABWE!$C$20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ZIMBABWE!$D$19:$O$19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ZIMBABWE!$D$20:$O$20</c:f>
              <c:numCache>
                <c:formatCode>General</c:formatCode>
                <c:ptCount val="12"/>
                <c:pt idx="0">
                  <c:v>322</c:v>
                </c:pt>
                <c:pt idx="1">
                  <c:v>91</c:v>
                </c:pt>
                <c:pt idx="2">
                  <c:v>172</c:v>
                </c:pt>
                <c:pt idx="3">
                  <c:v>65</c:v>
                </c:pt>
                <c:pt idx="4">
                  <c:v>60</c:v>
                </c:pt>
                <c:pt idx="5">
                  <c:v>69</c:v>
                </c:pt>
                <c:pt idx="6">
                  <c:v>145</c:v>
                </c:pt>
                <c:pt idx="7">
                  <c:v>53</c:v>
                </c:pt>
                <c:pt idx="8">
                  <c:v>57</c:v>
                </c:pt>
                <c:pt idx="9">
                  <c:v>0</c:v>
                </c:pt>
                <c:pt idx="10">
                  <c:v>143</c:v>
                </c:pt>
                <c:pt idx="11">
                  <c:v>30</c:v>
                </c:pt>
              </c:numCache>
            </c:numRef>
          </c:val>
        </c:ser>
        <c:ser>
          <c:idx val="1"/>
          <c:order val="1"/>
          <c:tx>
            <c:strRef>
              <c:f>ZIMBABWE!$C$21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ZIMBABWE!$D$19:$O$19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ZIMBABWE!$D$21:$O$21</c:f>
              <c:numCache>
                <c:formatCode>General</c:formatCode>
                <c:ptCount val="12"/>
                <c:pt idx="0">
                  <c:v>315</c:v>
                </c:pt>
                <c:pt idx="1">
                  <c:v>105</c:v>
                </c:pt>
                <c:pt idx="2">
                  <c:v>217</c:v>
                </c:pt>
                <c:pt idx="3">
                  <c:v>81</c:v>
                </c:pt>
                <c:pt idx="4">
                  <c:v>98</c:v>
                </c:pt>
                <c:pt idx="5">
                  <c:v>74</c:v>
                </c:pt>
                <c:pt idx="6">
                  <c:v>129</c:v>
                </c:pt>
                <c:pt idx="7">
                  <c:v>67</c:v>
                </c:pt>
                <c:pt idx="8">
                  <c:v>146</c:v>
                </c:pt>
                <c:pt idx="9">
                  <c:v>0</c:v>
                </c:pt>
                <c:pt idx="10">
                  <c:v>190</c:v>
                </c:pt>
                <c:pt idx="11">
                  <c:v>37</c:v>
                </c:pt>
              </c:numCache>
            </c:numRef>
          </c:val>
        </c:ser>
        <c:ser>
          <c:idx val="2"/>
          <c:order val="2"/>
          <c:tx>
            <c:strRef>
              <c:f>ZIMBABWE!$C$22</c:f>
              <c:strCache>
                <c:ptCount val="1"/>
                <c:pt idx="0">
                  <c:v>Children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ZIMBABWE!$D$19:$O$19</c:f>
              <c:strCache>
                <c:ptCount val="12"/>
                <c:pt idx="0">
                  <c:v>Vit A EAR</c:v>
                </c:pt>
                <c:pt idx="1">
                  <c:v>Vit A, UTL%</c:v>
                </c:pt>
                <c:pt idx="2">
                  <c:v>Folic Acid EAR%</c:v>
                </c:pt>
                <c:pt idx="3">
                  <c:v>Folic Acid UTL%</c:v>
                </c:pt>
                <c:pt idx="4">
                  <c:v>Iron  EAR</c:v>
                </c:pt>
                <c:pt idx="5">
                  <c:v>Iron  UTL%</c:v>
                </c:pt>
                <c:pt idx="6">
                  <c:v>Zinc EAR</c:v>
                </c:pt>
                <c:pt idx="7">
                  <c:v>Zinc UTL%</c:v>
                </c:pt>
                <c:pt idx="8">
                  <c:v>B12 EAR</c:v>
                </c:pt>
                <c:pt idx="9">
                  <c:v>B12 UTL%</c:v>
                </c:pt>
                <c:pt idx="10">
                  <c:v>IODINE EAR</c:v>
                </c:pt>
                <c:pt idx="11">
                  <c:v>IODINE UTL%</c:v>
                </c:pt>
              </c:strCache>
            </c:strRef>
          </c:cat>
          <c:val>
            <c:numRef>
              <c:f>ZIMBABWE!$D$22:$O$22</c:f>
              <c:numCache>
                <c:formatCode>General</c:formatCode>
                <c:ptCount val="12"/>
                <c:pt idx="0">
                  <c:v>216</c:v>
                </c:pt>
                <c:pt idx="1">
                  <c:v>180</c:v>
                </c:pt>
                <c:pt idx="2">
                  <c:v>204</c:v>
                </c:pt>
                <c:pt idx="3">
                  <c:v>97</c:v>
                </c:pt>
                <c:pt idx="4">
                  <c:v>181</c:v>
                </c:pt>
                <c:pt idx="5">
                  <c:v>111</c:v>
                </c:pt>
                <c:pt idx="6">
                  <c:v>88</c:v>
                </c:pt>
                <c:pt idx="7">
                  <c:v>91</c:v>
                </c:pt>
                <c:pt idx="8">
                  <c:v>136</c:v>
                </c:pt>
                <c:pt idx="9">
                  <c:v>0</c:v>
                </c:pt>
                <c:pt idx="10">
                  <c:v>159</c:v>
                </c:pt>
                <c:pt idx="11">
                  <c:v>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202895232"/>
        <c:axId val="-1202895776"/>
      </c:barChart>
      <c:catAx>
        <c:axId val="-120289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2895776"/>
        <c:crosses val="autoZero"/>
        <c:auto val="1"/>
        <c:lblAlgn val="ctr"/>
        <c:lblOffset val="100"/>
        <c:noMultiLvlLbl val="0"/>
      </c:catAx>
      <c:valAx>
        <c:axId val="-120289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289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Sheet1!$D$24:$D$31</c:f>
              <c:strCache>
                <c:ptCount val="8"/>
                <c:pt idx="0">
                  <c:v>WOMEN</c:v>
                </c:pt>
                <c:pt idx="1">
                  <c:v>MEN</c:v>
                </c:pt>
                <c:pt idx="2">
                  <c:v>CHILDREN</c:v>
                </c:pt>
                <c:pt idx="5">
                  <c:v>WOMEN</c:v>
                </c:pt>
                <c:pt idx="6">
                  <c:v>MEN</c:v>
                </c:pt>
                <c:pt idx="7">
                  <c:v>CHILDREN</c:v>
                </c:pt>
              </c:strCache>
            </c:strRef>
          </c:cat>
          <c:val>
            <c:numRef>
              <c:f>Sheet1!$E$24:$E$31</c:f>
              <c:numCache>
                <c:formatCode>General</c:formatCode>
                <c:ptCount val="8"/>
                <c:pt idx="0">
                  <c:v>185</c:v>
                </c:pt>
                <c:pt idx="1">
                  <c:v>194</c:v>
                </c:pt>
                <c:pt idx="2">
                  <c:v>121</c:v>
                </c:pt>
                <c:pt idx="5">
                  <c:v>28</c:v>
                </c:pt>
                <c:pt idx="6">
                  <c:v>30</c:v>
                </c:pt>
                <c:pt idx="7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5BE-4A7C-A389-5C7261CAFC7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Sheet1!$D$24:$D$31</c:f>
              <c:strCache>
                <c:ptCount val="8"/>
                <c:pt idx="0">
                  <c:v>WOMEN</c:v>
                </c:pt>
                <c:pt idx="1">
                  <c:v>MEN</c:v>
                </c:pt>
                <c:pt idx="2">
                  <c:v>CHILDREN</c:v>
                </c:pt>
                <c:pt idx="5">
                  <c:v>WOMEN</c:v>
                </c:pt>
                <c:pt idx="6">
                  <c:v>MEN</c:v>
                </c:pt>
                <c:pt idx="7">
                  <c:v>CHILDREN</c:v>
                </c:pt>
              </c:strCache>
            </c:strRef>
          </c:cat>
          <c:val>
            <c:numRef>
              <c:f>Sheet1!$F$24:$F$31</c:f>
              <c:numCache>
                <c:formatCode>General</c:formatCode>
                <c:ptCount val="8"/>
                <c:pt idx="0">
                  <c:v>54</c:v>
                </c:pt>
                <c:pt idx="1">
                  <c:v>70</c:v>
                </c:pt>
                <c:pt idx="2">
                  <c:v>107</c:v>
                </c:pt>
                <c:pt idx="5">
                  <c:v>7</c:v>
                </c:pt>
                <c:pt idx="6">
                  <c:v>8.5</c:v>
                </c:pt>
                <c:pt idx="7">
                  <c:v>13.5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5BE-4A7C-A389-5C7261CAF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202889792"/>
        <c:axId val="-1202894144"/>
      </c:barChart>
      <c:catAx>
        <c:axId val="-120288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2894144"/>
        <c:crosses val="autoZero"/>
        <c:auto val="1"/>
        <c:lblAlgn val="ctr"/>
        <c:lblOffset val="100"/>
        <c:noMultiLvlLbl val="0"/>
      </c:catAx>
      <c:valAx>
        <c:axId val="-120289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288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473075</xdr:colOff>
      <xdr:row>25</xdr:row>
      <xdr:rowOff>31750</xdr:rowOff>
    </xdr:from>
    <xdr:to>
      <xdr:col>11</xdr:col>
      <xdr:colOff>22225</xdr:colOff>
      <xdr:row>40</xdr:row>
      <xdr:rowOff>12700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231774</xdr:colOff>
      <xdr:row>23</xdr:row>
      <xdr:rowOff>31750</xdr:rowOff>
    </xdr:from>
    <xdr:to>
      <xdr:col>13</xdr:col>
      <xdr:colOff>103187</xdr:colOff>
      <xdr:row>42</xdr:row>
      <xdr:rowOff>87312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612069</xdr:colOff>
      <xdr:row>23</xdr:row>
      <xdr:rowOff>39159</xdr:rowOff>
    </xdr:from>
    <xdr:to>
      <xdr:col>11</xdr:col>
      <xdr:colOff>112535</xdr:colOff>
      <xdr:row>38</xdr:row>
      <xdr:rowOff>20109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421821</xdr:colOff>
      <xdr:row>24</xdr:row>
      <xdr:rowOff>11793</xdr:rowOff>
    </xdr:from>
    <xdr:to>
      <xdr:col>10</xdr:col>
      <xdr:colOff>557893</xdr:colOff>
      <xdr:row>39</xdr:row>
      <xdr:rowOff>33564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117475</xdr:colOff>
      <xdr:row>23</xdr:row>
      <xdr:rowOff>9525</xdr:rowOff>
    </xdr:from>
    <xdr:to>
      <xdr:col>10</xdr:col>
      <xdr:colOff>250825</xdr:colOff>
      <xdr:row>37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615950</xdr:colOff>
      <xdr:row>23</xdr:row>
      <xdr:rowOff>7938</xdr:rowOff>
    </xdr:from>
    <xdr:to>
      <xdr:col>11</xdr:col>
      <xdr:colOff>114300</xdr:colOff>
      <xdr:row>38</xdr:row>
      <xdr:rowOff>3175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518432</xdr:colOff>
      <xdr:row>23</xdr:row>
      <xdr:rowOff>15874</xdr:rowOff>
    </xdr:from>
    <xdr:to>
      <xdr:col>10</xdr:col>
      <xdr:colOff>71210</xdr:colOff>
      <xdr:row>37</xdr:row>
      <xdr:rowOff>136524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26</xdr:row>
      <xdr:rowOff>22225</xdr:rowOff>
    </xdr:from>
    <xdr:to>
      <xdr:col>9</xdr:col>
      <xdr:colOff>504825</xdr:colOff>
      <xdr:row>40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25</xdr:row>
      <xdr:rowOff>41275</xdr:rowOff>
    </xdr:from>
    <xdr:to>
      <xdr:col>10</xdr:col>
      <xdr:colOff>314325</xdr:colOff>
      <xdr:row>39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306388</xdr:colOff>
      <xdr:row>23</xdr:row>
      <xdr:rowOff>112713</xdr:rowOff>
    </xdr:from>
    <xdr:to>
      <xdr:col>10</xdr:col>
      <xdr:colOff>439738</xdr:colOff>
      <xdr:row>38</xdr:row>
      <xdr:rowOff>106363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130175</xdr:colOff>
      <xdr:row>24</xdr:row>
      <xdr:rowOff>136525</xdr:rowOff>
    </xdr:from>
    <xdr:to>
      <xdr:col>10</xdr:col>
      <xdr:colOff>263525</xdr:colOff>
      <xdr:row>39</xdr:row>
      <xdr:rowOff>53975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92075</xdr:colOff>
      <xdr:row>23</xdr:row>
      <xdr:rowOff>73025</xdr:rowOff>
    </xdr:from>
    <xdr:to>
      <xdr:col>10</xdr:col>
      <xdr:colOff>225425</xdr:colOff>
      <xdr:row>38</xdr:row>
      <xdr:rowOff>34925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26</xdr:row>
      <xdr:rowOff>3175</xdr:rowOff>
    </xdr:from>
    <xdr:to>
      <xdr:col>10</xdr:col>
      <xdr:colOff>485775</xdr:colOff>
      <xdr:row>40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23</xdr:row>
      <xdr:rowOff>79375</xdr:rowOff>
    </xdr:from>
    <xdr:to>
      <xdr:col>10</xdr:col>
      <xdr:colOff>314325</xdr:colOff>
      <xdr:row>37</xdr:row>
      <xdr:rowOff>187325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25</xdr:row>
      <xdr:rowOff>66675</xdr:rowOff>
    </xdr:from>
    <xdr:to>
      <xdr:col>10</xdr:col>
      <xdr:colOff>485775</xdr:colOff>
      <xdr:row>40</xdr:row>
      <xdr:rowOff>15875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454025</xdr:colOff>
      <xdr:row>23</xdr:row>
      <xdr:rowOff>111125</xdr:rowOff>
    </xdr:from>
    <xdr:to>
      <xdr:col>10</xdr:col>
      <xdr:colOff>587375</xdr:colOff>
      <xdr:row>38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565150</xdr:colOff>
      <xdr:row>10</xdr:row>
      <xdr:rowOff>6350</xdr:rowOff>
    </xdr:from>
    <xdr:to>
      <xdr:col>27</xdr:col>
      <xdr:colOff>368300</xdr:colOff>
      <xdr:row>17</xdr:row>
      <xdr:rowOff>177800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22"/>
  <sheetViews>
    <sheetView zoomScale="62" zoomScaleNormal="62" workbookViewId="0">
      <selection sqref="A1:R42"/>
    </sheetView>
  </sheetViews>
  <sheetFormatPr defaultRowHeight="14.5" x14ac:dyDescent="0.35"/>
  <cols>
    <col min="2" max="2" width="19.6328125" bestFit="1" customWidth="1"/>
    <col min="3" max="3" width="19.6328125" customWidth="1"/>
    <col min="5" max="5" width="8.36328125" bestFit="1" customWidth="1"/>
    <col min="6" max="6" width="10.08984375" bestFit="1" customWidth="1"/>
    <col min="7" max="7" width="13.81640625" bestFit="1" customWidth="1"/>
    <col min="8" max="8" width="13.6328125" bestFit="1" customWidth="1"/>
    <col min="9" max="9" width="8.453125" bestFit="1" customWidth="1"/>
    <col min="10" max="10" width="9.7265625" bestFit="1" customWidth="1"/>
    <col min="11" max="11" width="7.81640625" bestFit="1" customWidth="1"/>
    <col min="12" max="12" width="9.08984375" bestFit="1" customWidth="1"/>
    <col min="13" max="13" width="7.6328125" bestFit="1" customWidth="1"/>
    <col min="14" max="14" width="8.90625" style="78" bestFit="1" customWidth="1"/>
    <col min="15" max="15" width="10.54296875" bestFit="1" customWidth="1"/>
    <col min="16" max="16" width="11.81640625" bestFit="1" customWidth="1"/>
  </cols>
  <sheetData>
    <row r="1" spans="2:16" ht="15" thickBot="1" x14ac:dyDescent="0.4"/>
    <row r="2" spans="2:16" ht="15" thickBot="1" x14ac:dyDescent="0.4">
      <c r="B2" s="49"/>
      <c r="C2" s="85"/>
      <c r="D2" s="50"/>
      <c r="E2" s="51" t="s">
        <v>43</v>
      </c>
      <c r="F2" s="51" t="s">
        <v>44</v>
      </c>
      <c r="G2" s="52" t="s">
        <v>46</v>
      </c>
      <c r="H2" s="52" t="s">
        <v>45</v>
      </c>
      <c r="I2" s="53" t="s">
        <v>47</v>
      </c>
      <c r="J2" s="53" t="s">
        <v>48</v>
      </c>
      <c r="K2" s="52" t="s">
        <v>49</v>
      </c>
      <c r="L2" s="52" t="s">
        <v>50</v>
      </c>
      <c r="M2" s="54" t="s">
        <v>51</v>
      </c>
      <c r="N2" s="64" t="s">
        <v>52</v>
      </c>
      <c r="O2" s="63" t="s">
        <v>30</v>
      </c>
      <c r="P2" s="64" t="s">
        <v>53</v>
      </c>
    </row>
    <row r="3" spans="2:16" x14ac:dyDescent="0.35">
      <c r="B3" s="35" t="s">
        <v>37</v>
      </c>
      <c r="C3" s="86" t="s">
        <v>103</v>
      </c>
      <c r="D3" s="31" t="s">
        <v>9</v>
      </c>
      <c r="E3" s="37">
        <v>65</v>
      </c>
      <c r="F3" s="37">
        <v>15</v>
      </c>
      <c r="G3" s="31"/>
      <c r="H3" s="31"/>
      <c r="I3" s="42"/>
      <c r="J3" s="42"/>
      <c r="K3" s="31"/>
      <c r="L3" s="31"/>
      <c r="M3" s="58"/>
      <c r="N3" s="79"/>
      <c r="O3" s="71"/>
      <c r="P3" s="66"/>
    </row>
    <row r="4" spans="2:16" x14ac:dyDescent="0.35">
      <c r="B4" s="32" t="s">
        <v>55</v>
      </c>
      <c r="C4" s="87" t="s">
        <v>117</v>
      </c>
      <c r="D4" s="28" t="s">
        <v>10</v>
      </c>
      <c r="E4" s="38">
        <v>69</v>
      </c>
      <c r="F4" s="38">
        <v>20</v>
      </c>
      <c r="G4" s="28"/>
      <c r="H4" s="28"/>
      <c r="I4" s="43"/>
      <c r="J4" s="43"/>
      <c r="K4" s="28"/>
      <c r="L4" s="28"/>
      <c r="M4" s="59"/>
      <c r="N4" s="80"/>
      <c r="O4" s="72"/>
      <c r="P4" s="68"/>
    </row>
    <row r="5" spans="2:16" ht="15" thickBot="1" x14ac:dyDescent="0.4">
      <c r="B5" s="33"/>
      <c r="C5" s="88"/>
      <c r="D5" s="34" t="s">
        <v>11</v>
      </c>
      <c r="E5" s="39">
        <v>41</v>
      </c>
      <c r="F5" s="39">
        <v>30</v>
      </c>
      <c r="G5" s="34"/>
      <c r="H5" s="34"/>
      <c r="I5" s="44"/>
      <c r="J5" s="44"/>
      <c r="K5" s="34"/>
      <c r="L5" s="34"/>
      <c r="M5" s="60"/>
      <c r="N5" s="81"/>
      <c r="O5" s="73"/>
      <c r="P5" s="70"/>
    </row>
    <row r="6" spans="2:16" x14ac:dyDescent="0.35">
      <c r="B6" s="55" t="s">
        <v>54</v>
      </c>
      <c r="C6" s="89" t="s">
        <v>104</v>
      </c>
      <c r="D6" s="30" t="s">
        <v>9</v>
      </c>
      <c r="E6" s="40">
        <v>91</v>
      </c>
      <c r="F6" s="40">
        <v>32</v>
      </c>
      <c r="G6" s="30"/>
      <c r="H6" s="30"/>
      <c r="I6" s="45"/>
      <c r="J6" s="45"/>
      <c r="K6" s="30"/>
      <c r="L6" s="30"/>
      <c r="M6" s="48"/>
      <c r="N6" s="82"/>
      <c r="O6" s="74"/>
      <c r="P6" s="75"/>
    </row>
    <row r="7" spans="2:16" x14ac:dyDescent="0.35">
      <c r="B7" s="32" t="s">
        <v>56</v>
      </c>
      <c r="C7" s="87" t="s">
        <v>118</v>
      </c>
      <c r="D7" s="28" t="s">
        <v>10</v>
      </c>
      <c r="E7" s="38">
        <v>95</v>
      </c>
      <c r="F7" s="38">
        <v>41</v>
      </c>
      <c r="G7" s="28"/>
      <c r="H7" s="28"/>
      <c r="I7" s="43"/>
      <c r="J7" s="43"/>
      <c r="K7" s="28"/>
      <c r="L7" s="28"/>
      <c r="M7" s="47"/>
      <c r="N7" s="83"/>
      <c r="O7" s="72"/>
      <c r="P7" s="68"/>
    </row>
    <row r="8" spans="2:16" ht="15" thickBot="1" x14ac:dyDescent="0.4">
      <c r="B8" s="56"/>
      <c r="C8" s="90"/>
      <c r="D8" s="29" t="s">
        <v>11</v>
      </c>
      <c r="E8" s="36">
        <v>61</v>
      </c>
      <c r="F8" s="36">
        <v>63</v>
      </c>
      <c r="G8" s="29"/>
      <c r="H8" s="29"/>
      <c r="I8" s="41"/>
      <c r="J8" s="41"/>
      <c r="K8" s="29"/>
      <c r="L8" s="29"/>
      <c r="M8" s="46"/>
      <c r="N8" s="84"/>
      <c r="O8" s="76"/>
      <c r="P8" s="77"/>
    </row>
    <row r="9" spans="2:16" ht="15" thickBot="1" x14ac:dyDescent="0.4">
      <c r="B9" s="35" t="s">
        <v>40</v>
      </c>
      <c r="C9" s="86" t="s">
        <v>105</v>
      </c>
      <c r="D9" s="31" t="s">
        <v>9</v>
      </c>
      <c r="E9" s="37">
        <v>29</v>
      </c>
      <c r="F9" s="37">
        <v>7</v>
      </c>
      <c r="G9" s="31">
        <v>50</v>
      </c>
      <c r="H9" s="31">
        <v>19</v>
      </c>
      <c r="I9" s="42">
        <v>18</v>
      </c>
      <c r="J9" s="42">
        <v>22</v>
      </c>
      <c r="K9" s="31">
        <v>59</v>
      </c>
      <c r="L9" s="31">
        <v>22</v>
      </c>
      <c r="M9" s="58">
        <v>37</v>
      </c>
      <c r="N9" s="79" t="s">
        <v>60</v>
      </c>
      <c r="O9" s="71"/>
      <c r="P9" s="66"/>
    </row>
    <row r="10" spans="2:16" ht="15" thickBot="1" x14ac:dyDescent="0.4">
      <c r="B10" s="32" t="s">
        <v>57</v>
      </c>
      <c r="C10" s="87" t="s">
        <v>120</v>
      </c>
      <c r="D10" s="28" t="s">
        <v>10</v>
      </c>
      <c r="E10" s="38">
        <v>30</v>
      </c>
      <c r="F10" s="38">
        <v>9</v>
      </c>
      <c r="G10" s="28">
        <v>64</v>
      </c>
      <c r="H10" s="28">
        <v>24</v>
      </c>
      <c r="I10" s="43">
        <v>30</v>
      </c>
      <c r="J10" s="43">
        <v>27</v>
      </c>
      <c r="K10" s="28">
        <v>53</v>
      </c>
      <c r="L10" s="28">
        <v>27</v>
      </c>
      <c r="M10" s="58">
        <v>48</v>
      </c>
      <c r="N10" s="79" t="s">
        <v>60</v>
      </c>
      <c r="O10" s="72"/>
      <c r="P10" s="68"/>
    </row>
    <row r="11" spans="2:16" ht="15" thickBot="1" x14ac:dyDescent="0.4">
      <c r="B11" s="33"/>
      <c r="C11" s="88"/>
      <c r="D11" s="34" t="s">
        <v>11</v>
      </c>
      <c r="E11" s="39">
        <v>19</v>
      </c>
      <c r="F11" s="39">
        <v>14</v>
      </c>
      <c r="G11" s="34">
        <v>60</v>
      </c>
      <c r="H11" s="34">
        <v>28</v>
      </c>
      <c r="I11" s="44">
        <v>50</v>
      </c>
      <c r="J11" s="44">
        <v>15</v>
      </c>
      <c r="K11" s="34">
        <v>36</v>
      </c>
      <c r="L11" s="34">
        <v>48</v>
      </c>
      <c r="M11" s="58">
        <v>45</v>
      </c>
      <c r="N11" s="79" t="s">
        <v>60</v>
      </c>
      <c r="O11" s="73"/>
      <c r="P11" s="70"/>
    </row>
    <row r="12" spans="2:16" ht="15" thickBot="1" x14ac:dyDescent="0.4">
      <c r="B12" s="55" t="s">
        <v>41</v>
      </c>
      <c r="C12" s="89" t="s">
        <v>106</v>
      </c>
      <c r="D12" s="30" t="s">
        <v>9</v>
      </c>
      <c r="E12" s="40">
        <v>27</v>
      </c>
      <c r="F12" s="40">
        <v>7</v>
      </c>
      <c r="G12" s="30">
        <v>48</v>
      </c>
      <c r="H12" s="30">
        <v>18</v>
      </c>
      <c r="I12" s="45">
        <v>19</v>
      </c>
      <c r="J12" s="45">
        <v>22</v>
      </c>
      <c r="K12" s="30">
        <v>41</v>
      </c>
      <c r="L12" s="30">
        <v>15</v>
      </c>
      <c r="M12" s="58">
        <v>36</v>
      </c>
      <c r="N12" s="79" t="s">
        <v>60</v>
      </c>
      <c r="O12" s="74"/>
      <c r="P12" s="75"/>
    </row>
    <row r="13" spans="2:16" ht="15" thickBot="1" x14ac:dyDescent="0.4">
      <c r="B13" s="32" t="s">
        <v>58</v>
      </c>
      <c r="C13" s="87" t="s">
        <v>119</v>
      </c>
      <c r="D13" s="28" t="s">
        <v>10</v>
      </c>
      <c r="E13" s="38">
        <v>29</v>
      </c>
      <c r="F13" s="38">
        <v>8</v>
      </c>
      <c r="G13" s="28">
        <v>60</v>
      </c>
      <c r="H13" s="28">
        <v>23</v>
      </c>
      <c r="I13" s="43">
        <v>31</v>
      </c>
      <c r="J13" s="43">
        <v>22</v>
      </c>
      <c r="K13" s="28">
        <v>36</v>
      </c>
      <c r="L13" s="28">
        <v>19</v>
      </c>
      <c r="M13" s="58">
        <v>45</v>
      </c>
      <c r="N13" s="79" t="s">
        <v>60</v>
      </c>
      <c r="O13" s="72"/>
      <c r="P13" s="68"/>
    </row>
    <row r="14" spans="2:16" ht="15" thickBot="1" x14ac:dyDescent="0.4">
      <c r="B14" s="56"/>
      <c r="C14" s="90"/>
      <c r="D14" s="29" t="s">
        <v>11</v>
      </c>
      <c r="E14" s="36">
        <v>18</v>
      </c>
      <c r="F14" s="36">
        <v>13</v>
      </c>
      <c r="G14" s="29">
        <v>57</v>
      </c>
      <c r="H14" s="29">
        <v>27</v>
      </c>
      <c r="I14" s="41">
        <v>58</v>
      </c>
      <c r="J14" s="41">
        <v>42</v>
      </c>
      <c r="K14" s="29">
        <v>25</v>
      </c>
      <c r="L14" s="29">
        <v>33</v>
      </c>
      <c r="M14" s="58">
        <v>43</v>
      </c>
      <c r="N14" s="79" t="s">
        <v>60</v>
      </c>
      <c r="O14" s="76"/>
      <c r="P14" s="77"/>
    </row>
    <row r="15" spans="2:16" x14ac:dyDescent="0.35">
      <c r="B15" s="35" t="s">
        <v>42</v>
      </c>
      <c r="C15" s="86" t="s">
        <v>107</v>
      </c>
      <c r="D15" s="31" t="s">
        <v>9</v>
      </c>
      <c r="E15" s="37"/>
      <c r="F15" s="37"/>
      <c r="G15" s="31"/>
      <c r="H15" s="31"/>
      <c r="I15" s="42"/>
      <c r="J15" s="42"/>
      <c r="K15" s="31"/>
      <c r="L15" s="31"/>
      <c r="M15" s="58"/>
      <c r="N15" s="79"/>
      <c r="O15" s="71">
        <v>119</v>
      </c>
      <c r="P15" s="66">
        <v>21</v>
      </c>
    </row>
    <row r="16" spans="2:16" x14ac:dyDescent="0.35">
      <c r="B16" s="32" t="s">
        <v>59</v>
      </c>
      <c r="C16" s="87" t="s">
        <v>121</v>
      </c>
      <c r="D16" s="28" t="s">
        <v>10</v>
      </c>
      <c r="E16" s="38"/>
      <c r="F16" s="38"/>
      <c r="G16" s="28"/>
      <c r="H16" s="28"/>
      <c r="I16" s="43"/>
      <c r="J16" s="43"/>
      <c r="K16" s="28"/>
      <c r="L16" s="28"/>
      <c r="M16" s="59"/>
      <c r="N16" s="80"/>
      <c r="O16" s="72">
        <v>143</v>
      </c>
      <c r="P16" s="68">
        <v>28</v>
      </c>
    </row>
    <row r="17" spans="2:16" ht="15" thickBot="1" x14ac:dyDescent="0.4">
      <c r="B17" s="33"/>
      <c r="C17" s="88"/>
      <c r="D17" s="34" t="s">
        <v>11</v>
      </c>
      <c r="E17" s="39"/>
      <c r="F17" s="39"/>
      <c r="G17" s="34"/>
      <c r="H17" s="34"/>
      <c r="I17" s="44"/>
      <c r="J17" s="44"/>
      <c r="K17" s="34"/>
      <c r="L17" s="34"/>
      <c r="M17" s="60"/>
      <c r="N17" s="81"/>
      <c r="O17" s="73">
        <v>119</v>
      </c>
      <c r="P17" s="70">
        <v>51</v>
      </c>
    </row>
    <row r="18" spans="2:16" ht="15" thickBot="1" x14ac:dyDescent="0.4"/>
    <row r="19" spans="2:16" x14ac:dyDescent="0.35">
      <c r="D19" s="31"/>
      <c r="E19" t="s">
        <v>43</v>
      </c>
      <c r="F19" t="s">
        <v>44</v>
      </c>
      <c r="G19" t="s">
        <v>46</v>
      </c>
      <c r="H19" t="s">
        <v>45</v>
      </c>
      <c r="I19" t="s">
        <v>47</v>
      </c>
      <c r="J19" t="s">
        <v>48</v>
      </c>
      <c r="K19" t="s">
        <v>49</v>
      </c>
      <c r="L19" t="s">
        <v>50</v>
      </c>
      <c r="M19" t="s">
        <v>51</v>
      </c>
      <c r="N19" s="78" t="s">
        <v>52</v>
      </c>
      <c r="O19" t="s">
        <v>30</v>
      </c>
      <c r="P19" t="s">
        <v>53</v>
      </c>
    </row>
    <row r="20" spans="2:16" x14ac:dyDescent="0.35">
      <c r="C20" t="s">
        <v>108</v>
      </c>
      <c r="D20" s="28" t="s">
        <v>9</v>
      </c>
      <c r="E20">
        <f>SUM(E3,E6,E9,E12,E15)</f>
        <v>212</v>
      </c>
      <c r="F20">
        <f>SUM(F3,F6,F9,F12,F15)</f>
        <v>61</v>
      </c>
      <c r="G20">
        <f t="shared" ref="G20:P20" si="0">SUM(G3,G6,G9,G12,G15)</f>
        <v>98</v>
      </c>
      <c r="H20">
        <f t="shared" si="0"/>
        <v>37</v>
      </c>
      <c r="I20">
        <f t="shared" si="0"/>
        <v>37</v>
      </c>
      <c r="J20">
        <f t="shared" si="0"/>
        <v>44</v>
      </c>
      <c r="K20">
        <f t="shared" si="0"/>
        <v>100</v>
      </c>
      <c r="L20">
        <f t="shared" si="0"/>
        <v>37</v>
      </c>
      <c r="M20">
        <f t="shared" si="0"/>
        <v>73</v>
      </c>
      <c r="N20">
        <f t="shared" si="0"/>
        <v>0</v>
      </c>
      <c r="O20">
        <f t="shared" si="0"/>
        <v>119</v>
      </c>
      <c r="P20">
        <f t="shared" si="0"/>
        <v>21</v>
      </c>
    </row>
    <row r="21" spans="2:16" ht="15" thickBot="1" x14ac:dyDescent="0.4">
      <c r="D21" s="34" t="s">
        <v>10</v>
      </c>
      <c r="E21">
        <f t="shared" ref="E21:P21" si="1">SUM(E4,E7,E10,E13,E16)</f>
        <v>223</v>
      </c>
      <c r="F21">
        <f t="shared" si="1"/>
        <v>78</v>
      </c>
      <c r="G21">
        <f t="shared" si="1"/>
        <v>124</v>
      </c>
      <c r="H21">
        <f t="shared" si="1"/>
        <v>47</v>
      </c>
      <c r="I21">
        <f t="shared" si="1"/>
        <v>61</v>
      </c>
      <c r="J21">
        <f t="shared" si="1"/>
        <v>49</v>
      </c>
      <c r="K21">
        <f t="shared" si="1"/>
        <v>89</v>
      </c>
      <c r="L21">
        <f t="shared" si="1"/>
        <v>46</v>
      </c>
      <c r="M21">
        <f t="shared" si="1"/>
        <v>93</v>
      </c>
      <c r="N21">
        <f t="shared" si="1"/>
        <v>0</v>
      </c>
      <c r="O21">
        <f t="shared" si="1"/>
        <v>143</v>
      </c>
      <c r="P21">
        <f t="shared" si="1"/>
        <v>28</v>
      </c>
    </row>
    <row r="22" spans="2:16" x14ac:dyDescent="0.35">
      <c r="D22" t="s">
        <v>11</v>
      </c>
      <c r="E22">
        <f t="shared" ref="E22:P22" si="2">SUM(E5,E8,E11,E14,E17)</f>
        <v>139</v>
      </c>
      <c r="F22">
        <f t="shared" si="2"/>
        <v>120</v>
      </c>
      <c r="G22">
        <f t="shared" si="2"/>
        <v>117</v>
      </c>
      <c r="H22">
        <f t="shared" si="2"/>
        <v>55</v>
      </c>
      <c r="I22">
        <f t="shared" si="2"/>
        <v>108</v>
      </c>
      <c r="J22">
        <f t="shared" si="2"/>
        <v>57</v>
      </c>
      <c r="K22">
        <f t="shared" si="2"/>
        <v>61</v>
      </c>
      <c r="L22">
        <f t="shared" si="2"/>
        <v>81</v>
      </c>
      <c r="M22">
        <f t="shared" si="2"/>
        <v>88</v>
      </c>
      <c r="N22">
        <f t="shared" si="2"/>
        <v>0</v>
      </c>
      <c r="O22">
        <f t="shared" si="2"/>
        <v>119</v>
      </c>
      <c r="P22">
        <f t="shared" si="2"/>
        <v>51</v>
      </c>
    </row>
  </sheetData>
  <pageMargins left="0.7" right="0.7" top="0.75" bottom="0.75" header="0.3" footer="0.3"/>
  <pageSetup paperSize="9" scale="75" fitToHeight="0" orientation="landscape" horizont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topLeftCell="A20" zoomScale="80" zoomScaleNormal="80" workbookViewId="0">
      <selection sqref="A1:P44"/>
    </sheetView>
  </sheetViews>
  <sheetFormatPr defaultRowHeight="14.5" x14ac:dyDescent="0.35"/>
  <cols>
    <col min="2" max="2" width="19.6328125" bestFit="1" customWidth="1"/>
    <col min="4" max="4" width="8.36328125" bestFit="1" customWidth="1"/>
    <col min="5" max="5" width="10.08984375" bestFit="1" customWidth="1"/>
    <col min="6" max="6" width="13.81640625" bestFit="1" customWidth="1"/>
    <col min="7" max="7" width="13.6328125" bestFit="1" customWidth="1"/>
    <col min="8" max="8" width="8.453125" bestFit="1" customWidth="1"/>
    <col min="9" max="9" width="9.7265625" bestFit="1" customWidth="1"/>
    <col min="10" max="10" width="7.81640625" bestFit="1" customWidth="1"/>
    <col min="11" max="11" width="9.08984375" bestFit="1" customWidth="1"/>
    <col min="12" max="12" width="7.6328125" bestFit="1" customWidth="1"/>
    <col min="13" max="13" width="8.90625" bestFit="1" customWidth="1"/>
    <col min="14" max="14" width="10.54296875" bestFit="1" customWidth="1"/>
    <col min="15" max="15" width="11.81640625" bestFit="1" customWidth="1"/>
  </cols>
  <sheetData>
    <row r="1" spans="2:15" ht="15" thickBot="1" x14ac:dyDescent="0.4"/>
    <row r="2" spans="2:15" ht="15" thickBot="1" x14ac:dyDescent="0.4">
      <c r="B2" s="49"/>
      <c r="C2" s="50"/>
      <c r="D2" s="51" t="s">
        <v>43</v>
      </c>
      <c r="E2" s="51" t="s">
        <v>44</v>
      </c>
      <c r="F2" s="52" t="s">
        <v>46</v>
      </c>
      <c r="G2" s="52" t="s">
        <v>45</v>
      </c>
      <c r="H2" s="53" t="s">
        <v>47</v>
      </c>
      <c r="I2" s="53" t="s">
        <v>48</v>
      </c>
      <c r="J2" s="52" t="s">
        <v>49</v>
      </c>
      <c r="K2" s="52" t="s">
        <v>50</v>
      </c>
      <c r="L2" s="54" t="s">
        <v>51</v>
      </c>
      <c r="M2" s="57" t="s">
        <v>52</v>
      </c>
      <c r="N2" s="63" t="s">
        <v>30</v>
      </c>
      <c r="O2" s="64" t="s">
        <v>53</v>
      </c>
    </row>
    <row r="3" spans="2:15" x14ac:dyDescent="0.35">
      <c r="B3" s="35" t="s">
        <v>37</v>
      </c>
      <c r="C3" s="31" t="s">
        <v>9</v>
      </c>
      <c r="D3" s="37">
        <v>167</v>
      </c>
      <c r="E3" s="37">
        <v>40</v>
      </c>
      <c r="F3" s="31"/>
      <c r="G3" s="31"/>
      <c r="H3" s="42"/>
      <c r="I3" s="42"/>
      <c r="J3" s="31"/>
      <c r="K3" s="31"/>
      <c r="L3" s="58"/>
      <c r="M3" s="65"/>
      <c r="N3" s="71"/>
      <c r="O3" s="66"/>
    </row>
    <row r="4" spans="2:15" x14ac:dyDescent="0.35">
      <c r="B4" s="32" t="s">
        <v>87</v>
      </c>
      <c r="C4" s="28" t="s">
        <v>10</v>
      </c>
      <c r="D4" s="38">
        <v>139</v>
      </c>
      <c r="E4" s="38">
        <v>40</v>
      </c>
      <c r="F4" s="28"/>
      <c r="G4" s="28"/>
      <c r="H4" s="43"/>
      <c r="I4" s="43"/>
      <c r="J4" s="28"/>
      <c r="K4" s="28"/>
      <c r="L4" s="59"/>
      <c r="M4" s="67"/>
      <c r="N4" s="72"/>
      <c r="O4" s="68"/>
    </row>
    <row r="5" spans="2:15" ht="15" thickBot="1" x14ac:dyDescent="0.4">
      <c r="B5" s="33"/>
      <c r="C5" s="34" t="s">
        <v>11</v>
      </c>
      <c r="D5" s="39">
        <v>87</v>
      </c>
      <c r="E5" s="39">
        <v>63</v>
      </c>
      <c r="F5" s="34"/>
      <c r="G5" s="34"/>
      <c r="H5" s="44"/>
      <c r="I5" s="44"/>
      <c r="J5" s="34"/>
      <c r="K5" s="34"/>
      <c r="L5" s="60"/>
      <c r="M5" s="69"/>
      <c r="N5" s="73"/>
      <c r="O5" s="70"/>
    </row>
    <row r="6" spans="2:15" x14ac:dyDescent="0.35">
      <c r="B6" s="55" t="s">
        <v>54</v>
      </c>
      <c r="C6" s="30" t="s">
        <v>9</v>
      </c>
      <c r="D6" s="40">
        <v>109</v>
      </c>
      <c r="E6" s="40">
        <v>40</v>
      </c>
      <c r="F6" s="30"/>
      <c r="G6" s="30"/>
      <c r="H6" s="45"/>
      <c r="I6" s="45"/>
      <c r="J6" s="30"/>
      <c r="K6" s="30"/>
      <c r="L6" s="48"/>
      <c r="M6" s="61"/>
      <c r="N6" s="74"/>
      <c r="O6" s="75"/>
    </row>
    <row r="7" spans="2:15" x14ac:dyDescent="0.35">
      <c r="B7" s="32" t="s">
        <v>78</v>
      </c>
      <c r="C7" s="28" t="s">
        <v>10</v>
      </c>
      <c r="D7" s="38">
        <v>118</v>
      </c>
      <c r="E7" s="38">
        <v>50</v>
      </c>
      <c r="F7" s="28"/>
      <c r="G7" s="28"/>
      <c r="H7" s="43"/>
      <c r="I7" s="43"/>
      <c r="J7" s="28"/>
      <c r="K7" s="28"/>
      <c r="L7" s="47"/>
      <c r="M7" s="59"/>
      <c r="N7" s="72"/>
      <c r="O7" s="68"/>
    </row>
    <row r="8" spans="2:15" ht="15" thickBot="1" x14ac:dyDescent="0.4">
      <c r="B8" s="56"/>
      <c r="C8" s="29" t="s">
        <v>11</v>
      </c>
      <c r="D8" s="36">
        <v>76</v>
      </c>
      <c r="E8" s="36">
        <v>80</v>
      </c>
      <c r="F8" s="29"/>
      <c r="G8" s="29"/>
      <c r="H8" s="41"/>
      <c r="I8" s="41"/>
      <c r="J8" s="29"/>
      <c r="K8" s="29"/>
      <c r="L8" s="46"/>
      <c r="M8" s="62"/>
      <c r="N8" s="76"/>
      <c r="O8" s="77"/>
    </row>
    <row r="9" spans="2:15" ht="15" thickBot="1" x14ac:dyDescent="0.4">
      <c r="B9" s="35" t="s">
        <v>40</v>
      </c>
      <c r="C9" s="31" t="s">
        <v>9</v>
      </c>
      <c r="D9" s="37">
        <v>27</v>
      </c>
      <c r="E9" s="37">
        <v>7</v>
      </c>
      <c r="F9" s="31">
        <v>47</v>
      </c>
      <c r="G9" s="31">
        <v>18</v>
      </c>
      <c r="H9" s="42">
        <v>17</v>
      </c>
      <c r="I9" s="42">
        <v>20</v>
      </c>
      <c r="J9" s="31">
        <v>56</v>
      </c>
      <c r="K9" s="31">
        <v>20</v>
      </c>
      <c r="L9" s="58">
        <v>35</v>
      </c>
      <c r="M9" s="58" t="s">
        <v>61</v>
      </c>
      <c r="N9" s="71"/>
      <c r="O9" s="66"/>
    </row>
    <row r="10" spans="2:15" ht="15" thickBot="1" x14ac:dyDescent="0.4">
      <c r="B10" s="32" t="s">
        <v>88</v>
      </c>
      <c r="C10" s="28" t="s">
        <v>10</v>
      </c>
      <c r="D10" s="38">
        <v>28</v>
      </c>
      <c r="E10" s="38">
        <v>81</v>
      </c>
      <c r="F10" s="28">
        <v>60</v>
      </c>
      <c r="G10" s="28">
        <v>23</v>
      </c>
      <c r="H10" s="43">
        <v>28</v>
      </c>
      <c r="I10" s="43">
        <v>26</v>
      </c>
      <c r="J10" s="28">
        <v>50</v>
      </c>
      <c r="K10" s="28">
        <v>26</v>
      </c>
      <c r="L10" s="58">
        <v>45</v>
      </c>
      <c r="M10" s="58" t="s">
        <v>61</v>
      </c>
      <c r="N10" s="72"/>
      <c r="O10" s="68"/>
    </row>
    <row r="11" spans="2:15" ht="15" thickBot="1" x14ac:dyDescent="0.4">
      <c r="B11" s="33"/>
      <c r="C11" s="34" t="s">
        <v>11</v>
      </c>
      <c r="D11" s="39">
        <v>18</v>
      </c>
      <c r="E11" s="39">
        <v>13</v>
      </c>
      <c r="F11" s="34">
        <v>56</v>
      </c>
      <c r="G11" s="34">
        <v>25</v>
      </c>
      <c r="H11" s="44">
        <v>52</v>
      </c>
      <c r="I11" s="44">
        <v>14</v>
      </c>
      <c r="J11" s="34">
        <v>34</v>
      </c>
      <c r="K11" s="34">
        <v>45</v>
      </c>
      <c r="L11" s="58">
        <v>42</v>
      </c>
      <c r="M11" s="58" t="s">
        <v>61</v>
      </c>
      <c r="N11" s="73"/>
      <c r="O11" s="70"/>
    </row>
    <row r="12" spans="2:15" ht="15" thickBot="1" x14ac:dyDescent="0.4">
      <c r="B12" s="55" t="s">
        <v>41</v>
      </c>
      <c r="C12" s="30" t="s">
        <v>9</v>
      </c>
      <c r="D12" s="40">
        <v>27</v>
      </c>
      <c r="E12" s="40">
        <v>7</v>
      </c>
      <c r="F12" s="30">
        <v>47</v>
      </c>
      <c r="G12" s="30">
        <v>18</v>
      </c>
      <c r="H12" s="45">
        <v>19</v>
      </c>
      <c r="I12" s="45">
        <v>21</v>
      </c>
      <c r="J12" s="30">
        <v>41</v>
      </c>
      <c r="K12" s="30">
        <v>15</v>
      </c>
      <c r="L12" s="58">
        <v>35</v>
      </c>
      <c r="M12" s="58" t="s">
        <v>61</v>
      </c>
      <c r="N12" s="74"/>
      <c r="O12" s="75"/>
    </row>
    <row r="13" spans="2:15" ht="15" thickBot="1" x14ac:dyDescent="0.4">
      <c r="B13" s="32" t="s">
        <v>88</v>
      </c>
      <c r="C13" s="28" t="s">
        <v>10</v>
      </c>
      <c r="D13" s="38">
        <v>28</v>
      </c>
      <c r="E13" s="38">
        <v>8</v>
      </c>
      <c r="F13" s="28">
        <v>60</v>
      </c>
      <c r="G13" s="28">
        <v>23</v>
      </c>
      <c r="H13" s="43">
        <v>31</v>
      </c>
      <c r="I13" s="43">
        <v>22</v>
      </c>
      <c r="J13" s="28">
        <v>36</v>
      </c>
      <c r="K13" s="28">
        <v>19</v>
      </c>
      <c r="L13" s="58">
        <v>45</v>
      </c>
      <c r="M13" s="58" t="s">
        <v>61</v>
      </c>
      <c r="N13" s="72"/>
      <c r="O13" s="68"/>
    </row>
    <row r="14" spans="2:15" ht="15" thickBot="1" x14ac:dyDescent="0.4">
      <c r="B14" s="56"/>
      <c r="C14" s="29" t="s">
        <v>11</v>
      </c>
      <c r="D14" s="36">
        <v>18</v>
      </c>
      <c r="E14" s="36">
        <v>13</v>
      </c>
      <c r="F14" s="29">
        <v>56</v>
      </c>
      <c r="G14" s="29">
        <v>26</v>
      </c>
      <c r="H14" s="41">
        <v>57</v>
      </c>
      <c r="I14" s="41">
        <v>41</v>
      </c>
      <c r="J14" s="29">
        <v>25</v>
      </c>
      <c r="K14" s="29">
        <v>33</v>
      </c>
      <c r="L14" s="58">
        <v>42</v>
      </c>
      <c r="M14" s="58" t="s">
        <v>61</v>
      </c>
      <c r="N14" s="76"/>
      <c r="O14" s="77"/>
    </row>
    <row r="15" spans="2:15" ht="15" thickBot="1" x14ac:dyDescent="0.4">
      <c r="B15" s="35" t="s">
        <v>63</v>
      </c>
      <c r="C15" s="31" t="s">
        <v>9</v>
      </c>
      <c r="D15" s="37"/>
      <c r="E15" s="37"/>
      <c r="F15" s="31"/>
      <c r="G15" s="31"/>
      <c r="H15" s="42"/>
      <c r="I15" s="42"/>
      <c r="J15" s="31"/>
      <c r="K15" s="31"/>
      <c r="L15" s="58"/>
      <c r="M15" s="65"/>
      <c r="N15" s="71">
        <v>99</v>
      </c>
      <c r="O15" s="66">
        <v>17</v>
      </c>
    </row>
    <row r="16" spans="2:15" ht="15" thickBot="1" x14ac:dyDescent="0.4">
      <c r="B16" s="32" t="s">
        <v>89</v>
      </c>
      <c r="C16" s="28" t="s">
        <v>10</v>
      </c>
      <c r="D16" s="38"/>
      <c r="E16" s="38"/>
      <c r="F16" s="28"/>
      <c r="G16" s="28"/>
      <c r="H16" s="43"/>
      <c r="I16" s="43"/>
      <c r="J16" s="28"/>
      <c r="K16" s="28"/>
      <c r="L16" s="59"/>
      <c r="M16" s="67"/>
      <c r="N16" s="71">
        <v>119</v>
      </c>
      <c r="O16" s="68">
        <v>23</v>
      </c>
    </row>
    <row r="17" spans="2:15" ht="15" thickBot="1" x14ac:dyDescent="0.4">
      <c r="B17" s="33"/>
      <c r="C17" s="34" t="s">
        <v>11</v>
      </c>
      <c r="D17" s="39"/>
      <c r="E17" s="39"/>
      <c r="F17" s="34"/>
      <c r="G17" s="34"/>
      <c r="H17" s="44"/>
      <c r="I17" s="44"/>
      <c r="J17" s="34"/>
      <c r="K17" s="34"/>
      <c r="L17" s="60"/>
      <c r="M17" s="69"/>
      <c r="N17" s="71">
        <v>99</v>
      </c>
      <c r="O17" s="70">
        <v>43</v>
      </c>
    </row>
    <row r="18" spans="2:15" ht="15" thickBot="1" x14ac:dyDescent="0.4"/>
    <row r="19" spans="2:15" x14ac:dyDescent="0.35">
      <c r="C19" s="31"/>
      <c r="D19" t="s">
        <v>43</v>
      </c>
      <c r="E19" t="s">
        <v>44</v>
      </c>
      <c r="F19" t="s">
        <v>46</v>
      </c>
      <c r="G19" t="s">
        <v>45</v>
      </c>
      <c r="H19" t="s">
        <v>47</v>
      </c>
      <c r="I19" t="s">
        <v>48</v>
      </c>
      <c r="J19" t="s">
        <v>49</v>
      </c>
      <c r="K19" t="s">
        <v>50</v>
      </c>
      <c r="L19" t="s">
        <v>51</v>
      </c>
      <c r="M19" s="78" t="s">
        <v>52</v>
      </c>
      <c r="N19" t="s">
        <v>30</v>
      </c>
      <c r="O19" t="s">
        <v>53</v>
      </c>
    </row>
    <row r="20" spans="2:15" x14ac:dyDescent="0.35">
      <c r="C20" s="28" t="s">
        <v>9</v>
      </c>
      <c r="D20">
        <f>SUM(D3,D6,D9,D12,D15)</f>
        <v>330</v>
      </c>
      <c r="E20">
        <f>SUM(E3,E6,E9,E12,E15)</f>
        <v>94</v>
      </c>
      <c r="F20">
        <f t="shared" ref="F20:O20" si="0">SUM(F3,F6,F9,F12,F15)</f>
        <v>94</v>
      </c>
      <c r="G20">
        <f t="shared" si="0"/>
        <v>36</v>
      </c>
      <c r="H20">
        <f t="shared" si="0"/>
        <v>36</v>
      </c>
      <c r="I20">
        <f t="shared" si="0"/>
        <v>41</v>
      </c>
      <c r="J20">
        <f t="shared" si="0"/>
        <v>97</v>
      </c>
      <c r="K20">
        <f t="shared" si="0"/>
        <v>35</v>
      </c>
      <c r="L20">
        <f t="shared" si="0"/>
        <v>70</v>
      </c>
      <c r="M20">
        <f t="shared" si="0"/>
        <v>0</v>
      </c>
      <c r="N20">
        <f t="shared" si="0"/>
        <v>99</v>
      </c>
      <c r="O20">
        <f t="shared" si="0"/>
        <v>17</v>
      </c>
    </row>
    <row r="21" spans="2:15" ht="15" thickBot="1" x14ac:dyDescent="0.4">
      <c r="C21" s="34" t="s">
        <v>10</v>
      </c>
      <c r="D21">
        <f t="shared" ref="D21:O22" si="1">SUM(D4,D7,D10,D13,D16)</f>
        <v>313</v>
      </c>
      <c r="E21">
        <f t="shared" si="1"/>
        <v>179</v>
      </c>
      <c r="F21">
        <f t="shared" si="1"/>
        <v>120</v>
      </c>
      <c r="G21">
        <f t="shared" si="1"/>
        <v>46</v>
      </c>
      <c r="H21">
        <f t="shared" si="1"/>
        <v>59</v>
      </c>
      <c r="I21">
        <f t="shared" si="1"/>
        <v>48</v>
      </c>
      <c r="J21">
        <f t="shared" si="1"/>
        <v>86</v>
      </c>
      <c r="K21">
        <f t="shared" si="1"/>
        <v>45</v>
      </c>
      <c r="L21">
        <f t="shared" si="1"/>
        <v>90</v>
      </c>
      <c r="M21">
        <f t="shared" si="1"/>
        <v>0</v>
      </c>
      <c r="N21">
        <f t="shared" si="1"/>
        <v>119</v>
      </c>
      <c r="O21">
        <f t="shared" si="1"/>
        <v>23</v>
      </c>
    </row>
    <row r="22" spans="2:15" x14ac:dyDescent="0.35">
      <c r="C22" t="s">
        <v>11</v>
      </c>
      <c r="D22">
        <f t="shared" si="1"/>
        <v>199</v>
      </c>
      <c r="E22">
        <f t="shared" si="1"/>
        <v>169</v>
      </c>
      <c r="F22">
        <f t="shared" si="1"/>
        <v>112</v>
      </c>
      <c r="G22">
        <f t="shared" si="1"/>
        <v>51</v>
      </c>
      <c r="H22">
        <f t="shared" si="1"/>
        <v>109</v>
      </c>
      <c r="I22">
        <f t="shared" si="1"/>
        <v>55</v>
      </c>
      <c r="J22">
        <f t="shared" si="1"/>
        <v>59</v>
      </c>
      <c r="K22">
        <f t="shared" si="1"/>
        <v>78</v>
      </c>
      <c r="L22">
        <f t="shared" si="1"/>
        <v>84</v>
      </c>
      <c r="M22">
        <f t="shared" si="1"/>
        <v>0</v>
      </c>
      <c r="N22">
        <f t="shared" si="1"/>
        <v>99</v>
      </c>
      <c r="O22">
        <f t="shared" si="1"/>
        <v>43</v>
      </c>
    </row>
  </sheetData>
  <pageMargins left="0.7" right="0.7" top="0.75" bottom="0.75" header="0.3" footer="0.3"/>
  <pageSetup paperSize="9" scale="83" fitToHeight="0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topLeftCell="A34" zoomScale="90" zoomScaleNormal="90" workbookViewId="0">
      <selection activeCell="K46" sqref="K46"/>
    </sheetView>
  </sheetViews>
  <sheetFormatPr defaultRowHeight="14.5" x14ac:dyDescent="0.35"/>
  <cols>
    <col min="2" max="2" width="19.6328125" bestFit="1" customWidth="1"/>
    <col min="4" max="4" width="8.36328125" bestFit="1" customWidth="1"/>
    <col min="5" max="5" width="10.08984375" bestFit="1" customWidth="1"/>
    <col min="6" max="6" width="13.81640625" bestFit="1" customWidth="1"/>
    <col min="7" max="7" width="13.6328125" bestFit="1" customWidth="1"/>
    <col min="8" max="8" width="8.453125" bestFit="1" customWidth="1"/>
    <col min="9" max="9" width="9.7265625" bestFit="1" customWidth="1"/>
    <col min="10" max="10" width="7.81640625" bestFit="1" customWidth="1"/>
    <col min="11" max="11" width="9.08984375" bestFit="1" customWidth="1"/>
    <col min="12" max="12" width="7.6328125" bestFit="1" customWidth="1"/>
    <col min="13" max="13" width="8.90625" bestFit="1" customWidth="1"/>
    <col min="14" max="14" width="10.54296875" bestFit="1" customWidth="1"/>
    <col min="15" max="15" width="11.81640625" bestFit="1" customWidth="1"/>
  </cols>
  <sheetData>
    <row r="1" spans="2:15" ht="15" thickBot="1" x14ac:dyDescent="0.4"/>
    <row r="2" spans="2:15" ht="15" thickBot="1" x14ac:dyDescent="0.4">
      <c r="B2" s="49"/>
      <c r="C2" s="50"/>
      <c r="D2" s="51" t="s">
        <v>43</v>
      </c>
      <c r="E2" s="51" t="s">
        <v>44</v>
      </c>
      <c r="F2" s="52" t="s">
        <v>46</v>
      </c>
      <c r="G2" s="52" t="s">
        <v>45</v>
      </c>
      <c r="H2" s="53" t="s">
        <v>47</v>
      </c>
      <c r="I2" s="53" t="s">
        <v>48</v>
      </c>
      <c r="J2" s="52" t="s">
        <v>49</v>
      </c>
      <c r="K2" s="52" t="s">
        <v>50</v>
      </c>
      <c r="L2" s="54" t="s">
        <v>51</v>
      </c>
      <c r="M2" s="57" t="s">
        <v>52</v>
      </c>
      <c r="N2" s="63" t="s">
        <v>30</v>
      </c>
      <c r="O2" s="64" t="s">
        <v>53</v>
      </c>
    </row>
    <row r="3" spans="2:15" ht="15" thickBot="1" x14ac:dyDescent="0.4">
      <c r="B3" s="35" t="s">
        <v>37</v>
      </c>
      <c r="C3" s="31" t="s">
        <v>9</v>
      </c>
      <c r="D3" s="37"/>
      <c r="E3" s="37"/>
      <c r="F3" s="31"/>
      <c r="G3" s="31"/>
      <c r="H3" s="42"/>
      <c r="I3" s="42"/>
      <c r="J3" s="31"/>
      <c r="K3" s="31"/>
      <c r="L3" s="58"/>
      <c r="M3" s="65"/>
      <c r="N3" s="71"/>
      <c r="O3" s="66"/>
    </row>
    <row r="4" spans="2:15" ht="15" thickBot="1" x14ac:dyDescent="0.4">
      <c r="B4" s="32" t="s">
        <v>38</v>
      </c>
      <c r="C4" s="28" t="s">
        <v>10</v>
      </c>
      <c r="D4" s="37"/>
      <c r="E4" s="37"/>
      <c r="F4" s="28"/>
      <c r="G4" s="28"/>
      <c r="H4" s="43"/>
      <c r="I4" s="43"/>
      <c r="J4" s="28"/>
      <c r="K4" s="28"/>
      <c r="L4" s="59"/>
      <c r="M4" s="67"/>
      <c r="N4" s="72"/>
      <c r="O4" s="68"/>
    </row>
    <row r="5" spans="2:15" ht="15" thickBot="1" x14ac:dyDescent="0.4">
      <c r="B5" s="33"/>
      <c r="C5" s="34" t="s">
        <v>11</v>
      </c>
      <c r="D5" s="37"/>
      <c r="E5" s="37"/>
      <c r="F5" s="34"/>
      <c r="G5" s="34"/>
      <c r="H5" s="44"/>
      <c r="I5" s="44"/>
      <c r="J5" s="34"/>
      <c r="K5" s="34"/>
      <c r="L5" s="60"/>
      <c r="M5" s="69"/>
      <c r="N5" s="73"/>
      <c r="O5" s="70"/>
    </row>
    <row r="6" spans="2:15" x14ac:dyDescent="0.35">
      <c r="B6" s="55" t="s">
        <v>54</v>
      </c>
      <c r="C6" s="30" t="s">
        <v>9</v>
      </c>
      <c r="D6" s="40"/>
      <c r="E6" s="40"/>
      <c r="F6" s="30"/>
      <c r="G6" s="30"/>
      <c r="H6" s="45"/>
      <c r="I6" s="45"/>
      <c r="J6" s="30"/>
      <c r="K6" s="30"/>
      <c r="L6" s="48"/>
      <c r="M6" s="61"/>
      <c r="N6" s="74"/>
      <c r="O6" s="75"/>
    </row>
    <row r="7" spans="2:15" x14ac:dyDescent="0.35">
      <c r="B7" s="32" t="s">
        <v>38</v>
      </c>
      <c r="C7" s="28" t="s">
        <v>10</v>
      </c>
      <c r="D7" s="38"/>
      <c r="E7" s="38"/>
      <c r="F7" s="28"/>
      <c r="G7" s="28"/>
      <c r="H7" s="43"/>
      <c r="I7" s="43"/>
      <c r="J7" s="28"/>
      <c r="K7" s="28"/>
      <c r="L7" s="47"/>
      <c r="M7" s="59"/>
      <c r="N7" s="72"/>
      <c r="O7" s="68"/>
    </row>
    <row r="8" spans="2:15" ht="15" thickBot="1" x14ac:dyDescent="0.4">
      <c r="B8" s="56"/>
      <c r="C8" s="29" t="s">
        <v>11</v>
      </c>
      <c r="D8" s="36"/>
      <c r="E8" s="36"/>
      <c r="F8" s="29"/>
      <c r="G8" s="29"/>
      <c r="H8" s="41"/>
      <c r="I8" s="41"/>
      <c r="J8" s="29"/>
      <c r="K8" s="29"/>
      <c r="L8" s="46"/>
      <c r="M8" s="62"/>
      <c r="N8" s="76"/>
      <c r="O8" s="77"/>
    </row>
    <row r="9" spans="2:15" x14ac:dyDescent="0.35">
      <c r="B9" s="35" t="s">
        <v>40</v>
      </c>
      <c r="C9" s="31" t="s">
        <v>9</v>
      </c>
      <c r="D9" s="37"/>
      <c r="E9" s="37"/>
      <c r="F9" s="31"/>
      <c r="G9" s="31"/>
      <c r="H9" s="42"/>
      <c r="I9" s="42"/>
      <c r="J9" s="31"/>
      <c r="K9" s="31"/>
      <c r="L9" s="58"/>
      <c r="M9" s="65"/>
      <c r="N9" s="71"/>
      <c r="O9" s="66"/>
    </row>
    <row r="10" spans="2:15" x14ac:dyDescent="0.35">
      <c r="B10" s="32" t="s">
        <v>38</v>
      </c>
      <c r="C10" s="28" t="s">
        <v>10</v>
      </c>
      <c r="D10" s="38"/>
      <c r="E10" s="38"/>
      <c r="F10" s="28"/>
      <c r="G10" s="28"/>
      <c r="H10" s="43"/>
      <c r="I10" s="43"/>
      <c r="J10" s="28"/>
      <c r="K10" s="28"/>
      <c r="L10" s="59"/>
      <c r="M10" s="67"/>
      <c r="N10" s="72"/>
      <c r="O10" s="68"/>
    </row>
    <row r="11" spans="2:15" ht="15" thickBot="1" x14ac:dyDescent="0.4">
      <c r="B11" s="33"/>
      <c r="C11" s="34" t="s">
        <v>11</v>
      </c>
      <c r="D11" s="39"/>
      <c r="E11" s="39"/>
      <c r="F11" s="34"/>
      <c r="G11" s="34"/>
      <c r="H11" s="44"/>
      <c r="I11" s="44"/>
      <c r="J11" s="34"/>
      <c r="K11" s="34"/>
      <c r="L11" s="60"/>
      <c r="M11" s="69"/>
      <c r="N11" s="73"/>
      <c r="O11" s="70"/>
    </row>
    <row r="12" spans="2:15" x14ac:dyDescent="0.35">
      <c r="B12" s="55" t="s">
        <v>41</v>
      </c>
      <c r="C12" s="30" t="s">
        <v>9</v>
      </c>
      <c r="D12" s="40"/>
      <c r="E12" s="40"/>
      <c r="F12" s="30"/>
      <c r="G12" s="30"/>
      <c r="H12" s="45"/>
      <c r="I12" s="45"/>
      <c r="J12" s="30"/>
      <c r="K12" s="30"/>
      <c r="L12" s="48"/>
      <c r="M12" s="61"/>
      <c r="N12" s="74"/>
      <c r="O12" s="75"/>
    </row>
    <row r="13" spans="2:15" x14ac:dyDescent="0.35">
      <c r="B13" s="32" t="s">
        <v>38</v>
      </c>
      <c r="C13" s="28" t="s">
        <v>10</v>
      </c>
      <c r="D13" s="38"/>
      <c r="E13" s="38"/>
      <c r="F13" s="28"/>
      <c r="G13" s="28"/>
      <c r="H13" s="43"/>
      <c r="I13" s="43"/>
      <c r="J13" s="28"/>
      <c r="K13" s="28"/>
      <c r="L13" s="47"/>
      <c r="M13" s="59"/>
      <c r="N13" s="72"/>
      <c r="O13" s="68"/>
    </row>
    <row r="14" spans="2:15" ht="15" thickBot="1" x14ac:dyDescent="0.4">
      <c r="B14" s="56"/>
      <c r="C14" s="29" t="s">
        <v>11</v>
      </c>
      <c r="D14" s="36"/>
      <c r="E14" s="36"/>
      <c r="F14" s="29"/>
      <c r="G14" s="29"/>
      <c r="H14" s="41"/>
      <c r="I14" s="41"/>
      <c r="J14" s="29"/>
      <c r="K14" s="29"/>
      <c r="L14" s="46"/>
      <c r="M14" s="62"/>
      <c r="N14" s="76"/>
      <c r="O14" s="77"/>
    </row>
    <row r="15" spans="2:15" ht="15" thickBot="1" x14ac:dyDescent="0.4">
      <c r="B15" s="35" t="s">
        <v>63</v>
      </c>
      <c r="C15" s="31" t="s">
        <v>9</v>
      </c>
      <c r="D15" s="37"/>
      <c r="E15" s="37"/>
      <c r="F15" s="31"/>
      <c r="G15" s="31"/>
      <c r="H15" s="42"/>
      <c r="I15" s="42"/>
      <c r="J15" s="31"/>
      <c r="K15" s="31"/>
      <c r="L15" s="58"/>
      <c r="M15" s="65"/>
      <c r="N15" s="71">
        <v>71</v>
      </c>
      <c r="O15" s="66">
        <v>14</v>
      </c>
    </row>
    <row r="16" spans="2:15" ht="15" thickBot="1" x14ac:dyDescent="0.4">
      <c r="B16" s="32" t="s">
        <v>62</v>
      </c>
      <c r="C16" s="28" t="s">
        <v>10</v>
      </c>
      <c r="D16" s="38"/>
      <c r="E16" s="38"/>
      <c r="F16" s="28"/>
      <c r="G16" s="28"/>
      <c r="H16" s="43"/>
      <c r="I16" s="43"/>
      <c r="J16" s="28"/>
      <c r="K16" s="28"/>
      <c r="L16" s="59"/>
      <c r="M16" s="67"/>
      <c r="N16" s="71">
        <v>99</v>
      </c>
      <c r="O16" s="68">
        <v>18</v>
      </c>
    </row>
    <row r="17" spans="2:15" ht="15" thickBot="1" x14ac:dyDescent="0.4">
      <c r="B17" s="33"/>
      <c r="C17" s="34" t="s">
        <v>11</v>
      </c>
      <c r="D17" s="39"/>
      <c r="E17" s="39"/>
      <c r="F17" s="34"/>
      <c r="G17" s="34"/>
      <c r="H17" s="44"/>
      <c r="I17" s="44"/>
      <c r="J17" s="34"/>
      <c r="K17" s="34"/>
      <c r="L17" s="60"/>
      <c r="M17" s="69"/>
      <c r="N17" s="71">
        <v>79</v>
      </c>
      <c r="O17" s="70">
        <v>33</v>
      </c>
    </row>
    <row r="18" spans="2:15" ht="15" thickBot="1" x14ac:dyDescent="0.4"/>
    <row r="19" spans="2:15" x14ac:dyDescent="0.35">
      <c r="C19" s="31"/>
      <c r="D19" t="s">
        <v>43</v>
      </c>
      <c r="E19" t="s">
        <v>44</v>
      </c>
      <c r="F19" t="s">
        <v>46</v>
      </c>
      <c r="G19" t="s">
        <v>45</v>
      </c>
      <c r="H19" t="s">
        <v>47</v>
      </c>
      <c r="I19" t="s">
        <v>48</v>
      </c>
      <c r="J19" t="s">
        <v>49</v>
      </c>
      <c r="K19" t="s">
        <v>50</v>
      </c>
      <c r="L19" t="s">
        <v>51</v>
      </c>
      <c r="M19" s="78" t="s">
        <v>52</v>
      </c>
      <c r="N19" t="s">
        <v>30</v>
      </c>
      <c r="O19" t="s">
        <v>53</v>
      </c>
    </row>
    <row r="20" spans="2:15" x14ac:dyDescent="0.35">
      <c r="C20" s="28" t="s">
        <v>9</v>
      </c>
      <c r="D20">
        <f>SUM(D3,D6,D9,D12,D15)</f>
        <v>0</v>
      </c>
      <c r="E20">
        <f>SUM(E3,E6,E9,E12,E15)</f>
        <v>0</v>
      </c>
      <c r="F20">
        <f t="shared" ref="F20:O20" si="0">SUM(F3,F6,F9,F12,F15)</f>
        <v>0</v>
      </c>
      <c r="G20">
        <f t="shared" si="0"/>
        <v>0</v>
      </c>
      <c r="H20">
        <f t="shared" si="0"/>
        <v>0</v>
      </c>
      <c r="I20">
        <f t="shared" si="0"/>
        <v>0</v>
      </c>
      <c r="J20">
        <f t="shared" si="0"/>
        <v>0</v>
      </c>
      <c r="K20">
        <f t="shared" si="0"/>
        <v>0</v>
      </c>
      <c r="L20">
        <f t="shared" si="0"/>
        <v>0</v>
      </c>
      <c r="M20">
        <f t="shared" si="0"/>
        <v>0</v>
      </c>
      <c r="N20">
        <f t="shared" si="0"/>
        <v>71</v>
      </c>
      <c r="O20">
        <f t="shared" si="0"/>
        <v>14</v>
      </c>
    </row>
    <row r="21" spans="2:15" ht="15" thickBot="1" x14ac:dyDescent="0.4">
      <c r="C21" s="34" t="s">
        <v>10</v>
      </c>
      <c r="D21">
        <f t="shared" ref="D21:O22" si="1">SUM(D4,D7,D10,D13,D16)</f>
        <v>0</v>
      </c>
      <c r="E21">
        <f t="shared" si="1"/>
        <v>0</v>
      </c>
      <c r="F21">
        <f t="shared" si="1"/>
        <v>0</v>
      </c>
      <c r="G21">
        <f t="shared" si="1"/>
        <v>0</v>
      </c>
      <c r="H21">
        <f t="shared" si="1"/>
        <v>0</v>
      </c>
      <c r="I21">
        <f t="shared" si="1"/>
        <v>0</v>
      </c>
      <c r="J21">
        <f t="shared" si="1"/>
        <v>0</v>
      </c>
      <c r="K21">
        <f t="shared" si="1"/>
        <v>0</v>
      </c>
      <c r="L21">
        <f t="shared" si="1"/>
        <v>0</v>
      </c>
      <c r="M21">
        <f t="shared" si="1"/>
        <v>0</v>
      </c>
      <c r="N21">
        <f t="shared" si="1"/>
        <v>99</v>
      </c>
      <c r="O21">
        <f t="shared" si="1"/>
        <v>18</v>
      </c>
    </row>
    <row r="22" spans="2:15" x14ac:dyDescent="0.35">
      <c r="C22" t="s">
        <v>11</v>
      </c>
      <c r="D22">
        <f t="shared" si="1"/>
        <v>0</v>
      </c>
      <c r="E22">
        <f t="shared" si="1"/>
        <v>0</v>
      </c>
      <c r="F22">
        <f t="shared" si="1"/>
        <v>0</v>
      </c>
      <c r="G22">
        <f t="shared" si="1"/>
        <v>0</v>
      </c>
      <c r="H22">
        <f t="shared" si="1"/>
        <v>0</v>
      </c>
      <c r="I22">
        <f t="shared" si="1"/>
        <v>0</v>
      </c>
      <c r="J22">
        <f t="shared" si="1"/>
        <v>0</v>
      </c>
      <c r="K22">
        <f t="shared" si="1"/>
        <v>0</v>
      </c>
      <c r="L22">
        <f t="shared" si="1"/>
        <v>0</v>
      </c>
      <c r="M22">
        <f t="shared" si="1"/>
        <v>0</v>
      </c>
      <c r="N22">
        <f t="shared" si="1"/>
        <v>79</v>
      </c>
      <c r="O22">
        <f t="shared" si="1"/>
        <v>33</v>
      </c>
    </row>
  </sheetData>
  <pageMargins left="0.7" right="0.7" top="0.75" bottom="0.75" header="0.3" footer="0.3"/>
  <pageSetup paperSize="9" scale="83" fitToHeight="0" orientation="landscape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70" zoomScaleNormal="70" workbookViewId="0">
      <selection activeCell="O43" sqref="A1:O43"/>
    </sheetView>
  </sheetViews>
  <sheetFormatPr defaultRowHeight="14.5" x14ac:dyDescent="0.35"/>
  <cols>
    <col min="2" max="2" width="19.6328125" bestFit="1" customWidth="1"/>
    <col min="4" max="4" width="8.36328125" bestFit="1" customWidth="1"/>
    <col min="5" max="5" width="10.08984375" bestFit="1" customWidth="1"/>
    <col min="6" max="6" width="13.81640625" bestFit="1" customWidth="1"/>
    <col min="7" max="7" width="13.6328125" bestFit="1" customWidth="1"/>
    <col min="8" max="8" width="8.453125" bestFit="1" customWidth="1"/>
    <col min="9" max="9" width="9.7265625" bestFit="1" customWidth="1"/>
    <col min="10" max="10" width="7.81640625" bestFit="1" customWidth="1"/>
    <col min="11" max="11" width="9.08984375" bestFit="1" customWidth="1"/>
    <col min="12" max="12" width="7.6328125" bestFit="1" customWidth="1"/>
    <col min="13" max="13" width="8.90625" bestFit="1" customWidth="1"/>
    <col min="14" max="14" width="10.54296875" bestFit="1" customWidth="1"/>
    <col min="15" max="15" width="11.81640625" bestFit="1" customWidth="1"/>
  </cols>
  <sheetData>
    <row r="1" spans="2:15" ht="15" thickBot="1" x14ac:dyDescent="0.4"/>
    <row r="2" spans="2:15" ht="15" thickBot="1" x14ac:dyDescent="0.4">
      <c r="B2" s="49"/>
      <c r="C2" s="50"/>
      <c r="D2" s="51" t="s">
        <v>43</v>
      </c>
      <c r="E2" s="51" t="s">
        <v>44</v>
      </c>
      <c r="F2" s="52" t="s">
        <v>46</v>
      </c>
      <c r="G2" s="52" t="s">
        <v>45</v>
      </c>
      <c r="H2" s="53" t="s">
        <v>47</v>
      </c>
      <c r="I2" s="53" t="s">
        <v>48</v>
      </c>
      <c r="J2" s="52" t="s">
        <v>49</v>
      </c>
      <c r="K2" s="52" t="s">
        <v>50</v>
      </c>
      <c r="L2" s="54" t="s">
        <v>51</v>
      </c>
      <c r="M2" s="57" t="s">
        <v>52</v>
      </c>
      <c r="N2" s="63" t="s">
        <v>30</v>
      </c>
      <c r="O2" s="64" t="s">
        <v>53</v>
      </c>
    </row>
    <row r="3" spans="2:15" x14ac:dyDescent="0.35">
      <c r="B3" s="35" t="s">
        <v>37</v>
      </c>
      <c r="C3" s="31" t="s">
        <v>9</v>
      </c>
      <c r="D3" s="37">
        <v>76</v>
      </c>
      <c r="E3" s="37">
        <v>18</v>
      </c>
      <c r="F3" s="31"/>
      <c r="G3" s="31"/>
      <c r="H3" s="42"/>
      <c r="I3" s="42"/>
      <c r="J3" s="31"/>
      <c r="K3" s="31"/>
      <c r="L3" s="58"/>
      <c r="M3" s="65"/>
      <c r="N3" s="71"/>
      <c r="O3" s="66"/>
    </row>
    <row r="4" spans="2:15" x14ac:dyDescent="0.35">
      <c r="B4" s="32" t="s">
        <v>64</v>
      </c>
      <c r="C4" s="28" t="s">
        <v>10</v>
      </c>
      <c r="D4" s="38">
        <v>80</v>
      </c>
      <c r="E4" s="38">
        <v>23</v>
      </c>
      <c r="F4" s="28"/>
      <c r="G4" s="28"/>
      <c r="H4" s="43"/>
      <c r="I4" s="43"/>
      <c r="J4" s="28"/>
      <c r="K4" s="28"/>
      <c r="L4" s="59"/>
      <c r="M4" s="67"/>
      <c r="N4" s="72"/>
      <c r="O4" s="68"/>
    </row>
    <row r="5" spans="2:15" ht="15" thickBot="1" x14ac:dyDescent="0.4">
      <c r="B5" s="33"/>
      <c r="C5" s="34" t="s">
        <v>11</v>
      </c>
      <c r="D5" s="39">
        <v>50</v>
      </c>
      <c r="E5" s="39">
        <v>36</v>
      </c>
      <c r="F5" s="34"/>
      <c r="G5" s="34"/>
      <c r="H5" s="44"/>
      <c r="I5" s="44"/>
      <c r="J5" s="34"/>
      <c r="K5" s="34"/>
      <c r="L5" s="60"/>
      <c r="M5" s="69"/>
      <c r="N5" s="73"/>
      <c r="O5" s="70"/>
    </row>
    <row r="6" spans="2:15" x14ac:dyDescent="0.35">
      <c r="B6" s="55" t="s">
        <v>54</v>
      </c>
      <c r="C6" s="30" t="s">
        <v>9</v>
      </c>
      <c r="D6" s="40">
        <v>96</v>
      </c>
      <c r="E6" s="40">
        <v>33</v>
      </c>
      <c r="F6" s="30"/>
      <c r="G6" s="30"/>
      <c r="H6" s="45"/>
      <c r="I6" s="45"/>
      <c r="J6" s="30"/>
      <c r="K6" s="30"/>
      <c r="L6" s="48"/>
      <c r="M6" s="61"/>
      <c r="N6" s="74"/>
      <c r="O6" s="75"/>
    </row>
    <row r="7" spans="2:15" x14ac:dyDescent="0.35">
      <c r="B7" s="32" t="s">
        <v>65</v>
      </c>
      <c r="C7" s="28" t="s">
        <v>10</v>
      </c>
      <c r="D7" s="38">
        <v>99</v>
      </c>
      <c r="E7" s="38">
        <v>54</v>
      </c>
      <c r="F7" s="28"/>
      <c r="G7" s="28"/>
      <c r="H7" s="43"/>
      <c r="I7" s="43"/>
      <c r="J7" s="28"/>
      <c r="K7" s="28"/>
      <c r="L7" s="47"/>
      <c r="M7" s="59"/>
      <c r="N7" s="72"/>
      <c r="O7" s="68"/>
    </row>
    <row r="8" spans="2:15" ht="15" thickBot="1" x14ac:dyDescent="0.4">
      <c r="B8" s="56"/>
      <c r="C8" s="29" t="s">
        <v>11</v>
      </c>
      <c r="D8" s="36">
        <v>61</v>
      </c>
      <c r="E8" s="36">
        <v>67</v>
      </c>
      <c r="F8" s="29"/>
      <c r="G8" s="29"/>
      <c r="H8" s="41"/>
      <c r="I8" s="41"/>
      <c r="J8" s="29"/>
      <c r="K8" s="29"/>
      <c r="L8" s="46"/>
      <c r="M8" s="62"/>
      <c r="N8" s="76"/>
      <c r="O8" s="77"/>
    </row>
    <row r="9" spans="2:15" ht="15" thickBot="1" x14ac:dyDescent="0.4">
      <c r="B9" s="35" t="s">
        <v>40</v>
      </c>
      <c r="C9" s="31" t="s">
        <v>9</v>
      </c>
      <c r="D9" s="37">
        <v>28</v>
      </c>
      <c r="E9" s="37">
        <v>7</v>
      </c>
      <c r="F9" s="31">
        <v>50</v>
      </c>
      <c r="G9" s="31">
        <v>19</v>
      </c>
      <c r="H9" s="42">
        <v>18</v>
      </c>
      <c r="I9" s="42">
        <v>21</v>
      </c>
      <c r="J9" s="31">
        <v>59</v>
      </c>
      <c r="K9" s="31">
        <v>21</v>
      </c>
      <c r="L9" s="58" t="s">
        <v>61</v>
      </c>
      <c r="M9" s="65"/>
      <c r="N9" s="71"/>
      <c r="O9" s="66"/>
    </row>
    <row r="10" spans="2:15" ht="15" thickBot="1" x14ac:dyDescent="0.4">
      <c r="B10" s="32" t="s">
        <v>66</v>
      </c>
      <c r="C10" s="28" t="s">
        <v>10</v>
      </c>
      <c r="D10" s="38">
        <v>30</v>
      </c>
      <c r="E10" s="38">
        <v>9</v>
      </c>
      <c r="F10" s="28">
        <v>63</v>
      </c>
      <c r="G10" s="28">
        <v>24</v>
      </c>
      <c r="H10" s="43">
        <v>29</v>
      </c>
      <c r="I10" s="43">
        <v>27</v>
      </c>
      <c r="J10" s="28">
        <v>52</v>
      </c>
      <c r="K10" s="28">
        <v>27</v>
      </c>
      <c r="L10" s="58" t="s">
        <v>61</v>
      </c>
      <c r="M10" s="67"/>
      <c r="N10" s="72"/>
      <c r="O10" s="68"/>
    </row>
    <row r="11" spans="2:15" ht="15" thickBot="1" x14ac:dyDescent="0.4">
      <c r="B11" s="33"/>
      <c r="C11" s="34" t="s">
        <v>11</v>
      </c>
      <c r="D11" s="39">
        <v>19</v>
      </c>
      <c r="E11" s="39">
        <v>13</v>
      </c>
      <c r="F11" s="34">
        <v>59</v>
      </c>
      <c r="G11" s="34">
        <v>28</v>
      </c>
      <c r="H11" s="44">
        <v>55</v>
      </c>
      <c r="I11" s="44">
        <v>14</v>
      </c>
      <c r="J11" s="34">
        <v>36</v>
      </c>
      <c r="K11" s="34">
        <v>47</v>
      </c>
      <c r="L11" s="58" t="s">
        <v>61</v>
      </c>
      <c r="M11" s="69"/>
      <c r="N11" s="73"/>
      <c r="O11" s="70"/>
    </row>
    <row r="12" spans="2:15" ht="15" thickBot="1" x14ac:dyDescent="0.4">
      <c r="B12" s="55" t="s">
        <v>41</v>
      </c>
      <c r="C12" s="30" t="s">
        <v>9</v>
      </c>
      <c r="D12" s="40">
        <v>25</v>
      </c>
      <c r="E12" s="40">
        <v>6</v>
      </c>
      <c r="F12" s="30">
        <v>44</v>
      </c>
      <c r="G12" s="30">
        <v>17</v>
      </c>
      <c r="H12" s="45">
        <v>18</v>
      </c>
      <c r="I12" s="45">
        <v>20</v>
      </c>
      <c r="J12" s="30">
        <v>38</v>
      </c>
      <c r="K12" s="30">
        <v>14</v>
      </c>
      <c r="L12" s="58" t="s">
        <v>61</v>
      </c>
      <c r="M12" s="61"/>
      <c r="N12" s="74"/>
      <c r="O12" s="75"/>
    </row>
    <row r="13" spans="2:15" ht="15" thickBot="1" x14ac:dyDescent="0.4">
      <c r="B13" s="32" t="s">
        <v>67</v>
      </c>
      <c r="C13" s="28" t="s">
        <v>10</v>
      </c>
      <c r="D13" s="38">
        <v>27</v>
      </c>
      <c r="E13" s="38">
        <v>8</v>
      </c>
      <c r="F13" s="28">
        <v>56</v>
      </c>
      <c r="G13" s="28">
        <v>21</v>
      </c>
      <c r="H13" s="43">
        <v>29</v>
      </c>
      <c r="I13" s="43">
        <v>21</v>
      </c>
      <c r="J13" s="28">
        <v>34</v>
      </c>
      <c r="K13" s="28">
        <v>18</v>
      </c>
      <c r="L13" s="58" t="s">
        <v>61</v>
      </c>
      <c r="M13" s="59"/>
      <c r="N13" s="72"/>
      <c r="O13" s="68"/>
    </row>
    <row r="14" spans="2:15" ht="15" thickBot="1" x14ac:dyDescent="0.4">
      <c r="B14" s="56"/>
      <c r="C14" s="29" t="s">
        <v>11</v>
      </c>
      <c r="D14" s="36">
        <v>17</v>
      </c>
      <c r="E14" s="36">
        <v>12</v>
      </c>
      <c r="F14" s="29">
        <v>54</v>
      </c>
      <c r="G14" s="29">
        <v>25</v>
      </c>
      <c r="H14" s="41">
        <v>54</v>
      </c>
      <c r="I14" s="41">
        <v>40</v>
      </c>
      <c r="J14" s="29">
        <v>24</v>
      </c>
      <c r="K14" s="29">
        <v>31</v>
      </c>
      <c r="L14" s="58" t="s">
        <v>61</v>
      </c>
      <c r="M14" s="62"/>
      <c r="N14" s="76"/>
      <c r="O14" s="77"/>
    </row>
    <row r="15" spans="2:15" x14ac:dyDescent="0.35">
      <c r="B15" s="35" t="s">
        <v>63</v>
      </c>
      <c r="C15" s="31" t="s">
        <v>9</v>
      </c>
      <c r="D15" s="37"/>
      <c r="E15" s="37"/>
      <c r="F15" s="31"/>
      <c r="G15" s="31"/>
      <c r="H15" s="42"/>
      <c r="I15" s="42"/>
      <c r="J15" s="31"/>
      <c r="K15" s="31"/>
      <c r="L15" s="58"/>
      <c r="M15" s="65"/>
      <c r="N15" s="71">
        <v>119</v>
      </c>
      <c r="O15" s="66">
        <v>21</v>
      </c>
    </row>
    <row r="16" spans="2:15" x14ac:dyDescent="0.35">
      <c r="B16" s="32" t="s">
        <v>59</v>
      </c>
      <c r="C16" s="28" t="s">
        <v>10</v>
      </c>
      <c r="D16" s="38"/>
      <c r="E16" s="38"/>
      <c r="F16" s="28"/>
      <c r="G16" s="28"/>
      <c r="H16" s="43"/>
      <c r="I16" s="43"/>
      <c r="J16" s="28"/>
      <c r="K16" s="28"/>
      <c r="L16" s="59"/>
      <c r="M16" s="67"/>
      <c r="N16" s="72">
        <v>143</v>
      </c>
      <c r="O16" s="68">
        <v>28</v>
      </c>
    </row>
    <row r="17" spans="2:15" ht="15" thickBot="1" x14ac:dyDescent="0.4">
      <c r="B17" s="33"/>
      <c r="C17" s="34" t="s">
        <v>11</v>
      </c>
      <c r="D17" s="39"/>
      <c r="E17" s="39"/>
      <c r="F17" s="34"/>
      <c r="G17" s="34"/>
      <c r="H17" s="44"/>
      <c r="I17" s="44"/>
      <c r="J17" s="34"/>
      <c r="K17" s="34"/>
      <c r="L17" s="60"/>
      <c r="M17" s="69"/>
      <c r="N17" s="73">
        <v>119</v>
      </c>
      <c r="O17" s="70">
        <v>51</v>
      </c>
    </row>
    <row r="18" spans="2:15" ht="15" thickBot="1" x14ac:dyDescent="0.4"/>
    <row r="19" spans="2:15" x14ac:dyDescent="0.35">
      <c r="C19" s="31"/>
      <c r="D19" t="s">
        <v>43</v>
      </c>
      <c r="E19" t="s">
        <v>44</v>
      </c>
      <c r="F19" t="s">
        <v>46</v>
      </c>
      <c r="G19" t="s">
        <v>45</v>
      </c>
      <c r="H19" t="s">
        <v>47</v>
      </c>
      <c r="I19" t="s">
        <v>48</v>
      </c>
      <c r="J19" t="s">
        <v>49</v>
      </c>
      <c r="K19" t="s">
        <v>50</v>
      </c>
      <c r="L19" t="s">
        <v>51</v>
      </c>
      <c r="M19" s="78" t="s">
        <v>52</v>
      </c>
      <c r="N19" t="s">
        <v>30</v>
      </c>
      <c r="O19" t="s">
        <v>53</v>
      </c>
    </row>
    <row r="20" spans="2:15" x14ac:dyDescent="0.35">
      <c r="C20" s="28" t="s">
        <v>9</v>
      </c>
      <c r="D20">
        <f>SUM(D3,D6,D9,D12,D15)</f>
        <v>225</v>
      </c>
      <c r="E20">
        <f>SUM(E3,E6,E9,E12,E15)</f>
        <v>64</v>
      </c>
      <c r="F20">
        <f t="shared" ref="F20:O20" si="0">SUM(F3,F6,F9,F12,F15)</f>
        <v>94</v>
      </c>
      <c r="G20">
        <f t="shared" si="0"/>
        <v>36</v>
      </c>
      <c r="H20">
        <f t="shared" si="0"/>
        <v>36</v>
      </c>
      <c r="I20">
        <f t="shared" si="0"/>
        <v>41</v>
      </c>
      <c r="J20">
        <f t="shared" si="0"/>
        <v>97</v>
      </c>
      <c r="K20">
        <f t="shared" si="0"/>
        <v>35</v>
      </c>
      <c r="L20">
        <f t="shared" si="0"/>
        <v>0</v>
      </c>
      <c r="M20">
        <f t="shared" si="0"/>
        <v>0</v>
      </c>
      <c r="N20">
        <f t="shared" si="0"/>
        <v>119</v>
      </c>
      <c r="O20">
        <f t="shared" si="0"/>
        <v>21</v>
      </c>
    </row>
    <row r="21" spans="2:15" ht="15" thickBot="1" x14ac:dyDescent="0.4">
      <c r="C21" s="34" t="s">
        <v>10</v>
      </c>
      <c r="D21">
        <f t="shared" ref="D21:O22" si="1">SUM(D4,D7,D10,D13,D16)</f>
        <v>236</v>
      </c>
      <c r="E21">
        <f t="shared" si="1"/>
        <v>94</v>
      </c>
      <c r="F21">
        <f t="shared" si="1"/>
        <v>119</v>
      </c>
      <c r="G21">
        <f t="shared" si="1"/>
        <v>45</v>
      </c>
      <c r="H21">
        <f t="shared" si="1"/>
        <v>58</v>
      </c>
      <c r="I21">
        <f t="shared" si="1"/>
        <v>48</v>
      </c>
      <c r="J21">
        <f t="shared" si="1"/>
        <v>86</v>
      </c>
      <c r="K21">
        <f t="shared" si="1"/>
        <v>45</v>
      </c>
      <c r="L21">
        <f t="shared" si="1"/>
        <v>0</v>
      </c>
      <c r="M21">
        <f t="shared" si="1"/>
        <v>0</v>
      </c>
      <c r="N21">
        <f t="shared" si="1"/>
        <v>143</v>
      </c>
      <c r="O21">
        <f t="shared" si="1"/>
        <v>28</v>
      </c>
    </row>
    <row r="22" spans="2:15" x14ac:dyDescent="0.35">
      <c r="C22" t="s">
        <v>11</v>
      </c>
      <c r="D22">
        <f t="shared" si="1"/>
        <v>147</v>
      </c>
      <c r="E22">
        <f t="shared" si="1"/>
        <v>128</v>
      </c>
      <c r="F22">
        <f t="shared" si="1"/>
        <v>113</v>
      </c>
      <c r="G22">
        <f t="shared" si="1"/>
        <v>53</v>
      </c>
      <c r="H22">
        <f t="shared" si="1"/>
        <v>109</v>
      </c>
      <c r="I22">
        <f t="shared" si="1"/>
        <v>54</v>
      </c>
      <c r="J22">
        <f t="shared" si="1"/>
        <v>60</v>
      </c>
      <c r="K22">
        <f t="shared" si="1"/>
        <v>78</v>
      </c>
      <c r="L22">
        <f t="shared" si="1"/>
        <v>0</v>
      </c>
      <c r="M22">
        <f t="shared" si="1"/>
        <v>0</v>
      </c>
      <c r="N22">
        <f t="shared" si="1"/>
        <v>119</v>
      </c>
      <c r="O22">
        <f t="shared" si="1"/>
        <v>51</v>
      </c>
    </row>
  </sheetData>
  <pageMargins left="0.7" right="0.7" top="0.75" bottom="0.75" header="0.3" footer="0.3"/>
  <pageSetup paperSize="9" scale="83" fitToHeight="0" orientation="landscape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workbookViewId="0">
      <selection activeCell="O39" sqref="A2:O39"/>
    </sheetView>
  </sheetViews>
  <sheetFormatPr defaultRowHeight="14.5" x14ac:dyDescent="0.35"/>
  <cols>
    <col min="2" max="2" width="19.6328125" bestFit="1" customWidth="1"/>
    <col min="4" max="4" width="8.36328125" bestFit="1" customWidth="1"/>
    <col min="5" max="5" width="10.08984375" bestFit="1" customWidth="1"/>
    <col min="6" max="6" width="13.81640625" bestFit="1" customWidth="1"/>
    <col min="7" max="7" width="13.6328125" bestFit="1" customWidth="1"/>
    <col min="8" max="8" width="8.453125" bestFit="1" customWidth="1"/>
    <col min="9" max="9" width="9.7265625" bestFit="1" customWidth="1"/>
    <col min="10" max="10" width="7.81640625" bestFit="1" customWidth="1"/>
    <col min="11" max="11" width="9.08984375" bestFit="1" customWidth="1"/>
    <col min="12" max="12" width="7.6328125" bestFit="1" customWidth="1"/>
    <col min="13" max="13" width="8.90625" bestFit="1" customWidth="1"/>
    <col min="14" max="14" width="10.54296875" bestFit="1" customWidth="1"/>
    <col min="15" max="15" width="11.81640625" bestFit="1" customWidth="1"/>
  </cols>
  <sheetData>
    <row r="1" spans="2:15" ht="15" thickBot="1" x14ac:dyDescent="0.4"/>
    <row r="2" spans="2:15" ht="15" thickBot="1" x14ac:dyDescent="0.4">
      <c r="B2" s="49"/>
      <c r="C2" s="50"/>
      <c r="D2" s="51" t="s">
        <v>43</v>
      </c>
      <c r="E2" s="51" t="s">
        <v>44</v>
      </c>
      <c r="F2" s="52" t="s">
        <v>46</v>
      </c>
      <c r="G2" s="52" t="s">
        <v>45</v>
      </c>
      <c r="H2" s="53" t="s">
        <v>47</v>
      </c>
      <c r="I2" s="53" t="s">
        <v>48</v>
      </c>
      <c r="J2" s="52" t="s">
        <v>49</v>
      </c>
      <c r="K2" s="52" t="s">
        <v>50</v>
      </c>
      <c r="L2" s="54" t="s">
        <v>51</v>
      </c>
      <c r="M2" s="57" t="s">
        <v>52</v>
      </c>
      <c r="N2" s="63" t="s">
        <v>30</v>
      </c>
      <c r="O2" s="64" t="s">
        <v>53</v>
      </c>
    </row>
    <row r="3" spans="2:15" x14ac:dyDescent="0.35">
      <c r="B3" s="35" t="s">
        <v>37</v>
      </c>
      <c r="C3" s="31" t="s">
        <v>9</v>
      </c>
      <c r="D3" s="37">
        <v>149</v>
      </c>
      <c r="E3" s="37">
        <v>36</v>
      </c>
      <c r="F3" s="31"/>
      <c r="G3" s="31"/>
      <c r="H3" s="42"/>
      <c r="I3" s="42"/>
      <c r="J3" s="31"/>
      <c r="K3" s="31"/>
      <c r="L3" s="58"/>
      <c r="M3" s="65"/>
      <c r="N3" s="71"/>
      <c r="O3" s="66"/>
    </row>
    <row r="4" spans="2:15" x14ac:dyDescent="0.35">
      <c r="B4" s="32" t="s">
        <v>68</v>
      </c>
      <c r="C4" s="28" t="s">
        <v>10</v>
      </c>
      <c r="D4" s="38">
        <v>157</v>
      </c>
      <c r="E4" s="38">
        <v>45</v>
      </c>
      <c r="F4" s="28"/>
      <c r="G4" s="28"/>
      <c r="H4" s="43"/>
      <c r="I4" s="43"/>
      <c r="J4" s="28"/>
      <c r="K4" s="28"/>
      <c r="L4" s="59"/>
      <c r="M4" s="67"/>
      <c r="N4" s="72"/>
      <c r="O4" s="68"/>
    </row>
    <row r="5" spans="2:15" ht="15" thickBot="1" x14ac:dyDescent="0.4">
      <c r="B5" s="33"/>
      <c r="C5" s="34" t="s">
        <v>11</v>
      </c>
      <c r="D5" s="39">
        <v>98</v>
      </c>
      <c r="E5" s="39">
        <v>70</v>
      </c>
      <c r="F5" s="34"/>
      <c r="G5" s="34"/>
      <c r="H5" s="44"/>
      <c r="I5" s="44"/>
      <c r="J5" s="34"/>
      <c r="K5" s="34"/>
      <c r="L5" s="60"/>
      <c r="M5" s="69"/>
      <c r="N5" s="73"/>
      <c r="O5" s="70"/>
    </row>
    <row r="6" spans="2:15" x14ac:dyDescent="0.35">
      <c r="B6" s="55" t="s">
        <v>54</v>
      </c>
      <c r="C6" s="30" t="s">
        <v>9</v>
      </c>
      <c r="D6" s="40">
        <v>41</v>
      </c>
      <c r="E6" s="40">
        <v>15</v>
      </c>
      <c r="F6" s="30"/>
      <c r="G6" s="30"/>
      <c r="H6" s="45"/>
      <c r="I6" s="45"/>
      <c r="J6" s="30"/>
      <c r="K6" s="30"/>
      <c r="L6" s="48"/>
      <c r="M6" s="61"/>
      <c r="N6" s="74"/>
      <c r="O6" s="75"/>
    </row>
    <row r="7" spans="2:15" x14ac:dyDescent="0.35">
      <c r="B7" s="32" t="s">
        <v>69</v>
      </c>
      <c r="C7" s="28" t="s">
        <v>10</v>
      </c>
      <c r="D7" s="38">
        <v>46</v>
      </c>
      <c r="E7" s="38">
        <v>20</v>
      </c>
      <c r="F7" s="28"/>
      <c r="G7" s="28"/>
      <c r="H7" s="43"/>
      <c r="I7" s="43"/>
      <c r="J7" s="28"/>
      <c r="K7" s="28"/>
      <c r="L7" s="47"/>
      <c r="M7" s="59"/>
      <c r="N7" s="72"/>
      <c r="O7" s="68"/>
    </row>
    <row r="8" spans="2:15" ht="15" thickBot="1" x14ac:dyDescent="0.4">
      <c r="B8" s="56"/>
      <c r="C8" s="29" t="s">
        <v>11</v>
      </c>
      <c r="D8" s="36">
        <v>30</v>
      </c>
      <c r="E8" s="36">
        <v>30</v>
      </c>
      <c r="F8" s="29"/>
      <c r="G8" s="29"/>
      <c r="H8" s="41"/>
      <c r="I8" s="41"/>
      <c r="J8" s="29"/>
      <c r="K8" s="29"/>
      <c r="L8" s="46"/>
      <c r="M8" s="62"/>
      <c r="N8" s="76"/>
      <c r="O8" s="77"/>
    </row>
    <row r="9" spans="2:15" ht="15" thickBot="1" x14ac:dyDescent="0.4">
      <c r="B9" s="35" t="s">
        <v>40</v>
      </c>
      <c r="C9" s="31" t="s">
        <v>9</v>
      </c>
      <c r="D9" s="37">
        <v>26</v>
      </c>
      <c r="E9" s="37">
        <v>6</v>
      </c>
      <c r="F9" s="31">
        <v>46</v>
      </c>
      <c r="G9" s="31">
        <v>17</v>
      </c>
      <c r="H9" s="42">
        <v>17</v>
      </c>
      <c r="I9" s="42">
        <v>20</v>
      </c>
      <c r="J9" s="31">
        <v>55</v>
      </c>
      <c r="K9" s="31">
        <v>20</v>
      </c>
      <c r="L9" s="58">
        <v>34</v>
      </c>
      <c r="M9" s="58" t="s">
        <v>61</v>
      </c>
      <c r="N9" s="71"/>
      <c r="O9" s="66"/>
    </row>
    <row r="10" spans="2:15" ht="15" thickBot="1" x14ac:dyDescent="0.4">
      <c r="B10" s="32" t="s">
        <v>70</v>
      </c>
      <c r="C10" s="28" t="s">
        <v>10</v>
      </c>
      <c r="D10" s="38">
        <v>28</v>
      </c>
      <c r="E10" s="38">
        <v>8</v>
      </c>
      <c r="F10" s="28">
        <v>58</v>
      </c>
      <c r="G10" s="28">
        <v>22</v>
      </c>
      <c r="H10" s="43">
        <v>27</v>
      </c>
      <c r="I10" s="43">
        <v>25</v>
      </c>
      <c r="J10" s="28">
        <v>48</v>
      </c>
      <c r="K10" s="28">
        <v>25</v>
      </c>
      <c r="L10" s="58">
        <v>43</v>
      </c>
      <c r="M10" s="58" t="s">
        <v>61</v>
      </c>
      <c r="N10" s="72"/>
      <c r="O10" s="68"/>
    </row>
    <row r="11" spans="2:15" ht="15" thickBot="1" x14ac:dyDescent="0.4">
      <c r="B11" s="33"/>
      <c r="C11" s="34" t="s">
        <v>11</v>
      </c>
      <c r="D11" s="39">
        <v>17</v>
      </c>
      <c r="E11" s="39">
        <v>13</v>
      </c>
      <c r="F11" s="34">
        <v>55</v>
      </c>
      <c r="G11" s="34">
        <v>26</v>
      </c>
      <c r="H11" s="44">
        <v>51</v>
      </c>
      <c r="I11" s="44">
        <v>13</v>
      </c>
      <c r="J11" s="34">
        <v>33</v>
      </c>
      <c r="K11" s="34">
        <v>44</v>
      </c>
      <c r="L11" s="58">
        <v>41</v>
      </c>
      <c r="M11" s="58" t="s">
        <v>61</v>
      </c>
      <c r="N11" s="73"/>
      <c r="O11" s="70"/>
    </row>
    <row r="12" spans="2:15" ht="15" thickBot="1" x14ac:dyDescent="0.4">
      <c r="B12" s="55" t="s">
        <v>41</v>
      </c>
      <c r="C12" s="30" t="s">
        <v>9</v>
      </c>
      <c r="D12" s="40">
        <v>49</v>
      </c>
      <c r="E12" s="40">
        <v>12</v>
      </c>
      <c r="F12" s="30">
        <v>86</v>
      </c>
      <c r="G12" s="30">
        <v>32</v>
      </c>
      <c r="H12" s="45">
        <v>37</v>
      </c>
      <c r="I12" s="45">
        <v>39</v>
      </c>
      <c r="J12" s="30">
        <v>74</v>
      </c>
      <c r="K12" s="30">
        <v>27</v>
      </c>
      <c r="L12" s="58">
        <v>64</v>
      </c>
      <c r="M12" s="58" t="s">
        <v>61</v>
      </c>
      <c r="N12" s="74"/>
      <c r="O12" s="75"/>
    </row>
    <row r="13" spans="2:15" ht="15" thickBot="1" x14ac:dyDescent="0.4">
      <c r="B13" s="32" t="s">
        <v>71</v>
      </c>
      <c r="C13" s="28" t="s">
        <v>10</v>
      </c>
      <c r="D13" s="38">
        <v>52</v>
      </c>
      <c r="E13" s="38">
        <v>15</v>
      </c>
      <c r="F13" s="28">
        <v>109</v>
      </c>
      <c r="G13" s="28">
        <v>41</v>
      </c>
      <c r="H13" s="43">
        <v>56</v>
      </c>
      <c r="I13" s="43">
        <v>40</v>
      </c>
      <c r="J13" s="28">
        <v>65</v>
      </c>
      <c r="K13" s="28">
        <v>34</v>
      </c>
      <c r="L13" s="58">
        <v>81</v>
      </c>
      <c r="M13" s="58" t="s">
        <v>61</v>
      </c>
      <c r="N13" s="72"/>
      <c r="O13" s="68"/>
    </row>
    <row r="14" spans="2:15" ht="15" thickBot="1" x14ac:dyDescent="0.4">
      <c r="B14" s="56"/>
      <c r="C14" s="29" t="s">
        <v>11</v>
      </c>
      <c r="D14" s="36">
        <v>33</v>
      </c>
      <c r="E14" s="36">
        <v>23</v>
      </c>
      <c r="F14" s="29">
        <v>103</v>
      </c>
      <c r="G14" s="29">
        <v>48</v>
      </c>
      <c r="H14" s="41">
        <v>104</v>
      </c>
      <c r="I14" s="41">
        <v>75</v>
      </c>
      <c r="J14" s="29">
        <v>45</v>
      </c>
      <c r="K14" s="29">
        <v>60</v>
      </c>
      <c r="L14" s="58">
        <v>77</v>
      </c>
      <c r="M14" s="58" t="s">
        <v>61</v>
      </c>
      <c r="N14" s="76"/>
      <c r="O14" s="77"/>
    </row>
    <row r="15" spans="2:15" x14ac:dyDescent="0.35">
      <c r="B15" s="35" t="s">
        <v>63</v>
      </c>
      <c r="C15" s="31" t="s">
        <v>9</v>
      </c>
      <c r="D15" s="37"/>
      <c r="E15" s="37"/>
      <c r="F15" s="31"/>
      <c r="G15" s="31"/>
      <c r="H15" s="42"/>
      <c r="I15" s="42"/>
      <c r="J15" s="31"/>
      <c r="K15" s="31"/>
      <c r="L15" s="58"/>
      <c r="M15" s="65"/>
      <c r="N15" s="71">
        <v>119</v>
      </c>
      <c r="O15" s="66">
        <v>21</v>
      </c>
    </row>
    <row r="16" spans="2:15" x14ac:dyDescent="0.35">
      <c r="B16" s="32" t="s">
        <v>59</v>
      </c>
      <c r="C16" s="28" t="s">
        <v>10</v>
      </c>
      <c r="D16" s="38"/>
      <c r="E16" s="38"/>
      <c r="F16" s="28"/>
      <c r="G16" s="28"/>
      <c r="H16" s="43"/>
      <c r="I16" s="43"/>
      <c r="J16" s="28"/>
      <c r="K16" s="28"/>
      <c r="L16" s="59"/>
      <c r="M16" s="67"/>
      <c r="N16" s="72">
        <v>143</v>
      </c>
      <c r="O16" s="68">
        <v>28</v>
      </c>
    </row>
    <row r="17" spans="2:15" ht="15" thickBot="1" x14ac:dyDescent="0.4">
      <c r="B17" s="33"/>
      <c r="C17" s="34" t="s">
        <v>11</v>
      </c>
      <c r="D17" s="39"/>
      <c r="E17" s="39"/>
      <c r="F17" s="34"/>
      <c r="G17" s="34"/>
      <c r="H17" s="44"/>
      <c r="I17" s="44"/>
      <c r="J17" s="34"/>
      <c r="K17" s="34"/>
      <c r="L17" s="60"/>
      <c r="M17" s="69"/>
      <c r="N17" s="73">
        <v>119</v>
      </c>
      <c r="O17" s="70">
        <v>51</v>
      </c>
    </row>
    <row r="18" spans="2:15" ht="15" thickBot="1" x14ac:dyDescent="0.4"/>
    <row r="19" spans="2:15" x14ac:dyDescent="0.35">
      <c r="C19" s="31"/>
      <c r="D19" t="s">
        <v>43</v>
      </c>
      <c r="E19" t="s">
        <v>44</v>
      </c>
      <c r="F19" t="s">
        <v>46</v>
      </c>
      <c r="G19" t="s">
        <v>45</v>
      </c>
      <c r="H19" t="s">
        <v>47</v>
      </c>
      <c r="I19" t="s">
        <v>48</v>
      </c>
      <c r="J19" t="s">
        <v>49</v>
      </c>
      <c r="K19" t="s">
        <v>50</v>
      </c>
      <c r="L19" t="s">
        <v>51</v>
      </c>
      <c r="M19" s="78" t="s">
        <v>52</v>
      </c>
      <c r="N19" t="s">
        <v>30</v>
      </c>
      <c r="O19" t="s">
        <v>53</v>
      </c>
    </row>
    <row r="20" spans="2:15" x14ac:dyDescent="0.35">
      <c r="C20" s="28" t="s">
        <v>9</v>
      </c>
      <c r="D20">
        <f>SUM(D3,D6,D9,D12,D15)</f>
        <v>265</v>
      </c>
      <c r="E20">
        <f>SUM(E3,E6,E9,E12,E15)</f>
        <v>69</v>
      </c>
      <c r="F20">
        <f t="shared" ref="F20:O20" si="0">SUM(F3,F6,F9,F12,F15)</f>
        <v>132</v>
      </c>
      <c r="G20">
        <f t="shared" si="0"/>
        <v>49</v>
      </c>
      <c r="H20">
        <f t="shared" si="0"/>
        <v>54</v>
      </c>
      <c r="I20">
        <f t="shared" si="0"/>
        <v>59</v>
      </c>
      <c r="J20">
        <f t="shared" si="0"/>
        <v>129</v>
      </c>
      <c r="K20">
        <f t="shared" si="0"/>
        <v>47</v>
      </c>
      <c r="L20">
        <f t="shared" si="0"/>
        <v>98</v>
      </c>
      <c r="M20">
        <f t="shared" si="0"/>
        <v>0</v>
      </c>
      <c r="N20">
        <f t="shared" si="0"/>
        <v>119</v>
      </c>
      <c r="O20">
        <f t="shared" si="0"/>
        <v>21</v>
      </c>
    </row>
    <row r="21" spans="2:15" ht="15" thickBot="1" x14ac:dyDescent="0.4">
      <c r="C21" s="34" t="s">
        <v>10</v>
      </c>
      <c r="D21">
        <f t="shared" ref="D21:O22" si="1">SUM(D4,D7,D10,D13,D16)</f>
        <v>283</v>
      </c>
      <c r="E21">
        <f t="shared" si="1"/>
        <v>88</v>
      </c>
      <c r="F21">
        <f t="shared" si="1"/>
        <v>167</v>
      </c>
      <c r="G21">
        <f t="shared" si="1"/>
        <v>63</v>
      </c>
      <c r="H21">
        <f t="shared" si="1"/>
        <v>83</v>
      </c>
      <c r="I21">
        <f t="shared" si="1"/>
        <v>65</v>
      </c>
      <c r="J21">
        <f t="shared" si="1"/>
        <v>113</v>
      </c>
      <c r="K21">
        <f t="shared" si="1"/>
        <v>59</v>
      </c>
      <c r="L21">
        <f t="shared" si="1"/>
        <v>124</v>
      </c>
      <c r="M21">
        <f t="shared" si="1"/>
        <v>0</v>
      </c>
      <c r="N21">
        <f t="shared" si="1"/>
        <v>143</v>
      </c>
      <c r="O21">
        <f t="shared" si="1"/>
        <v>28</v>
      </c>
    </row>
    <row r="22" spans="2:15" x14ac:dyDescent="0.35">
      <c r="C22" t="s">
        <v>11</v>
      </c>
      <c r="D22">
        <f t="shared" si="1"/>
        <v>178</v>
      </c>
      <c r="E22">
        <f t="shared" si="1"/>
        <v>136</v>
      </c>
      <c r="F22">
        <f t="shared" si="1"/>
        <v>158</v>
      </c>
      <c r="G22">
        <f t="shared" si="1"/>
        <v>74</v>
      </c>
      <c r="H22">
        <f t="shared" si="1"/>
        <v>155</v>
      </c>
      <c r="I22">
        <f t="shared" si="1"/>
        <v>88</v>
      </c>
      <c r="J22">
        <f t="shared" si="1"/>
        <v>78</v>
      </c>
      <c r="K22">
        <f t="shared" si="1"/>
        <v>104</v>
      </c>
      <c r="L22">
        <f t="shared" si="1"/>
        <v>118</v>
      </c>
      <c r="M22">
        <f t="shared" si="1"/>
        <v>0</v>
      </c>
      <c r="N22">
        <f t="shared" si="1"/>
        <v>119</v>
      </c>
      <c r="O22">
        <f t="shared" si="1"/>
        <v>51</v>
      </c>
    </row>
  </sheetData>
  <pageMargins left="0.7" right="0.7" top="0.75" bottom="0.75" header="0.3" footer="0.3"/>
  <pageSetup paperSize="9" scale="83" fitToHeight="0" orientation="landscape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tabSelected="1" topLeftCell="A31" zoomScale="80" zoomScaleNormal="80" workbookViewId="0">
      <selection activeCell="R47" sqref="R47"/>
    </sheetView>
  </sheetViews>
  <sheetFormatPr defaultRowHeight="14.5" x14ac:dyDescent="0.35"/>
  <cols>
    <col min="2" max="2" width="19.6328125" bestFit="1" customWidth="1"/>
    <col min="4" max="4" width="9" bestFit="1" customWidth="1"/>
    <col min="5" max="5" width="10.90625" bestFit="1" customWidth="1"/>
    <col min="6" max="6" width="14.54296875" bestFit="1" customWidth="1"/>
    <col min="7" max="7" width="14.453125" bestFit="1" customWidth="1"/>
    <col min="8" max="8" width="8.81640625" bestFit="1" customWidth="1"/>
    <col min="9" max="9" width="10.1796875" bestFit="1" customWidth="1"/>
    <col min="10" max="10" width="8.36328125" bestFit="1" customWidth="1"/>
    <col min="11" max="11" width="9.7265625" bestFit="1" customWidth="1"/>
    <col min="12" max="12" width="8.08984375" bestFit="1" customWidth="1"/>
    <col min="13" max="13" width="9.453125" bestFit="1" customWidth="1"/>
    <col min="14" max="14" width="11" bestFit="1" customWidth="1"/>
    <col min="15" max="15" width="12.36328125" bestFit="1" customWidth="1"/>
  </cols>
  <sheetData>
    <row r="1" spans="2:15" ht="15" thickBot="1" x14ac:dyDescent="0.4"/>
    <row r="2" spans="2:15" ht="15" thickBot="1" x14ac:dyDescent="0.4">
      <c r="B2" s="49"/>
      <c r="C2" s="50"/>
      <c r="D2" s="112" t="s">
        <v>43</v>
      </c>
      <c r="E2" s="112" t="s">
        <v>44</v>
      </c>
      <c r="F2" s="112" t="s">
        <v>46</v>
      </c>
      <c r="G2" s="112" t="s">
        <v>45</v>
      </c>
      <c r="H2" s="112" t="s">
        <v>47</v>
      </c>
      <c r="I2" s="112" t="s">
        <v>48</v>
      </c>
      <c r="J2" s="112" t="s">
        <v>49</v>
      </c>
      <c r="K2" s="112" t="s">
        <v>50</v>
      </c>
      <c r="L2" s="112" t="s">
        <v>51</v>
      </c>
      <c r="M2" s="113" t="s">
        <v>52</v>
      </c>
      <c r="N2" s="112" t="s">
        <v>30</v>
      </c>
      <c r="O2" s="113" t="s">
        <v>53</v>
      </c>
    </row>
    <row r="3" spans="2:15" x14ac:dyDescent="0.35">
      <c r="B3" s="35" t="s">
        <v>37</v>
      </c>
      <c r="C3" s="31" t="s">
        <v>9</v>
      </c>
      <c r="D3" s="95">
        <v>71</v>
      </c>
      <c r="E3" s="95">
        <v>19</v>
      </c>
      <c r="F3" s="91"/>
      <c r="G3" s="91"/>
      <c r="H3" s="96"/>
      <c r="I3" s="96"/>
      <c r="J3" s="91"/>
      <c r="K3" s="91"/>
      <c r="L3" s="97"/>
      <c r="M3" s="79"/>
      <c r="N3" s="71"/>
      <c r="O3" s="66"/>
    </row>
    <row r="4" spans="2:15" x14ac:dyDescent="0.35">
      <c r="B4" s="32" t="s">
        <v>90</v>
      </c>
      <c r="C4" s="28" t="s">
        <v>10</v>
      </c>
      <c r="D4" s="98">
        <v>74</v>
      </c>
      <c r="E4" s="98">
        <v>21</v>
      </c>
      <c r="F4" s="92"/>
      <c r="G4" s="92"/>
      <c r="H4" s="99"/>
      <c r="I4" s="99"/>
      <c r="J4" s="92"/>
      <c r="K4" s="92"/>
      <c r="L4" s="83"/>
      <c r="M4" s="80"/>
      <c r="N4" s="72"/>
      <c r="O4" s="68"/>
    </row>
    <row r="5" spans="2:15" ht="15" thickBot="1" x14ac:dyDescent="0.4">
      <c r="B5" s="33"/>
      <c r="C5" s="34" t="s">
        <v>11</v>
      </c>
      <c r="D5" s="100">
        <v>46</v>
      </c>
      <c r="E5" s="100">
        <v>33</v>
      </c>
      <c r="F5" s="93"/>
      <c r="G5" s="93"/>
      <c r="H5" s="101"/>
      <c r="I5" s="101"/>
      <c r="J5" s="93"/>
      <c r="K5" s="93"/>
      <c r="L5" s="102"/>
      <c r="M5" s="81"/>
      <c r="N5" s="73"/>
      <c r="O5" s="70"/>
    </row>
    <row r="6" spans="2:15" x14ac:dyDescent="0.35">
      <c r="B6" s="55" t="s">
        <v>54</v>
      </c>
      <c r="C6" s="30" t="s">
        <v>9</v>
      </c>
      <c r="D6" s="103">
        <v>82</v>
      </c>
      <c r="E6" s="103">
        <v>30</v>
      </c>
      <c r="F6" s="104"/>
      <c r="G6" s="104"/>
      <c r="H6" s="105"/>
      <c r="I6" s="105"/>
      <c r="J6" s="104"/>
      <c r="K6" s="104"/>
      <c r="L6" s="106"/>
      <c r="M6" s="82"/>
      <c r="N6" s="74"/>
      <c r="O6" s="75"/>
    </row>
    <row r="7" spans="2:15" x14ac:dyDescent="0.35">
      <c r="B7" s="32" t="s">
        <v>91</v>
      </c>
      <c r="C7" s="28" t="s">
        <v>10</v>
      </c>
      <c r="D7" s="98">
        <v>87</v>
      </c>
      <c r="E7" s="98">
        <v>37</v>
      </c>
      <c r="F7" s="92"/>
      <c r="G7" s="92"/>
      <c r="H7" s="99"/>
      <c r="I7" s="99"/>
      <c r="J7" s="92"/>
      <c r="K7" s="92"/>
      <c r="L7" s="107"/>
      <c r="M7" s="83"/>
      <c r="N7" s="72"/>
      <c r="O7" s="68"/>
    </row>
    <row r="8" spans="2:15" ht="15" thickBot="1" x14ac:dyDescent="0.4">
      <c r="B8" s="56"/>
      <c r="C8" s="29" t="s">
        <v>11</v>
      </c>
      <c r="D8" s="108">
        <v>56</v>
      </c>
      <c r="E8" s="108">
        <v>58</v>
      </c>
      <c r="F8" s="109"/>
      <c r="G8" s="109"/>
      <c r="H8" s="110"/>
      <c r="I8" s="110"/>
      <c r="J8" s="109"/>
      <c r="K8" s="109"/>
      <c r="L8" s="111"/>
      <c r="M8" s="84"/>
      <c r="N8" s="76"/>
      <c r="O8" s="77"/>
    </row>
    <row r="9" spans="2:15" ht="15" thickBot="1" x14ac:dyDescent="0.4">
      <c r="B9" s="35" t="s">
        <v>40</v>
      </c>
      <c r="C9" s="31" t="s">
        <v>9</v>
      </c>
      <c r="D9" s="95">
        <v>37</v>
      </c>
      <c r="E9" s="95">
        <v>9</v>
      </c>
      <c r="F9" s="91">
        <v>65</v>
      </c>
      <c r="G9" s="91">
        <v>25</v>
      </c>
      <c r="H9" s="96">
        <v>24</v>
      </c>
      <c r="I9" s="96">
        <v>28</v>
      </c>
      <c r="J9" s="91">
        <v>77</v>
      </c>
      <c r="K9" s="91">
        <v>28</v>
      </c>
      <c r="L9" s="97">
        <v>48</v>
      </c>
      <c r="M9" s="97" t="s">
        <v>61</v>
      </c>
      <c r="N9" s="71"/>
      <c r="O9" s="66"/>
    </row>
    <row r="10" spans="2:15" ht="15" thickBot="1" x14ac:dyDescent="0.4">
      <c r="B10" s="32" t="s">
        <v>92</v>
      </c>
      <c r="C10" s="28" t="s">
        <v>10</v>
      </c>
      <c r="D10" s="98">
        <v>39</v>
      </c>
      <c r="E10" s="98">
        <v>11</v>
      </c>
      <c r="F10" s="92">
        <v>82</v>
      </c>
      <c r="G10" s="92">
        <v>31</v>
      </c>
      <c r="H10" s="99">
        <v>38</v>
      </c>
      <c r="I10" s="99">
        <v>35</v>
      </c>
      <c r="J10" s="92">
        <v>68</v>
      </c>
      <c r="K10" s="92">
        <v>35</v>
      </c>
      <c r="L10" s="97">
        <v>61</v>
      </c>
      <c r="M10" s="97" t="s">
        <v>61</v>
      </c>
      <c r="N10" s="72"/>
      <c r="O10" s="68"/>
    </row>
    <row r="11" spans="2:15" ht="15" thickBot="1" x14ac:dyDescent="0.4">
      <c r="B11" s="33"/>
      <c r="C11" s="34" t="s">
        <v>11</v>
      </c>
      <c r="D11" s="100">
        <v>25</v>
      </c>
      <c r="E11" s="100">
        <v>17</v>
      </c>
      <c r="F11" s="93">
        <v>77</v>
      </c>
      <c r="G11" s="93">
        <v>36</v>
      </c>
      <c r="H11" s="101">
        <v>72</v>
      </c>
      <c r="I11" s="101">
        <v>19</v>
      </c>
      <c r="J11" s="93">
        <v>47</v>
      </c>
      <c r="K11" s="93">
        <v>19</v>
      </c>
      <c r="L11" s="97">
        <v>58</v>
      </c>
      <c r="M11" s="97" t="s">
        <v>61</v>
      </c>
      <c r="N11" s="73"/>
      <c r="O11" s="70"/>
    </row>
    <row r="12" spans="2:15" ht="15" thickBot="1" x14ac:dyDescent="0.4">
      <c r="B12" s="55" t="s">
        <v>41</v>
      </c>
      <c r="C12" s="30" t="s">
        <v>9</v>
      </c>
      <c r="D12" s="103">
        <v>65</v>
      </c>
      <c r="E12" s="103">
        <v>15</v>
      </c>
      <c r="F12" s="104">
        <v>115</v>
      </c>
      <c r="G12" s="104">
        <v>43</v>
      </c>
      <c r="H12" s="105">
        <v>46</v>
      </c>
      <c r="I12" s="105">
        <v>52</v>
      </c>
      <c r="J12" s="104">
        <v>98</v>
      </c>
      <c r="K12" s="104">
        <v>36</v>
      </c>
      <c r="L12" s="97">
        <v>85</v>
      </c>
      <c r="M12" s="97" t="s">
        <v>61</v>
      </c>
      <c r="N12" s="74"/>
      <c r="O12" s="75"/>
    </row>
    <row r="13" spans="2:15" ht="15" thickBot="1" x14ac:dyDescent="0.4">
      <c r="B13" s="32" t="s">
        <v>93</v>
      </c>
      <c r="C13" s="28" t="s">
        <v>10</v>
      </c>
      <c r="D13" s="98">
        <v>69</v>
      </c>
      <c r="E13" s="98">
        <v>20</v>
      </c>
      <c r="F13" s="92">
        <v>145</v>
      </c>
      <c r="G13" s="92">
        <v>55</v>
      </c>
      <c r="H13" s="99">
        <v>74</v>
      </c>
      <c r="I13" s="99">
        <v>53</v>
      </c>
      <c r="J13" s="92">
        <v>87</v>
      </c>
      <c r="K13" s="92">
        <v>45</v>
      </c>
      <c r="L13" s="97">
        <v>108</v>
      </c>
      <c r="M13" s="97" t="s">
        <v>61</v>
      </c>
      <c r="N13" s="72"/>
      <c r="O13" s="68"/>
    </row>
    <row r="14" spans="2:15" ht="15" thickBot="1" x14ac:dyDescent="0.4">
      <c r="B14" s="56"/>
      <c r="C14" s="29" t="s">
        <v>11</v>
      </c>
      <c r="D14" s="108">
        <v>43</v>
      </c>
      <c r="E14" s="108">
        <v>31</v>
      </c>
      <c r="F14" s="109">
        <v>137</v>
      </c>
      <c r="G14" s="109">
        <v>64</v>
      </c>
      <c r="H14" s="110">
        <v>139</v>
      </c>
      <c r="I14" s="110">
        <v>100</v>
      </c>
      <c r="J14" s="109">
        <v>60</v>
      </c>
      <c r="K14" s="109">
        <v>50</v>
      </c>
      <c r="L14" s="97">
        <v>102</v>
      </c>
      <c r="M14" s="97" t="s">
        <v>61</v>
      </c>
      <c r="N14" s="76"/>
      <c r="O14" s="77"/>
    </row>
    <row r="15" spans="2:15" x14ac:dyDescent="0.35">
      <c r="B15" s="35" t="s">
        <v>63</v>
      </c>
      <c r="C15" s="31" t="s">
        <v>9</v>
      </c>
      <c r="D15" s="95"/>
      <c r="E15" s="95"/>
      <c r="F15" s="91"/>
      <c r="G15" s="91"/>
      <c r="H15" s="96"/>
      <c r="I15" s="96"/>
      <c r="J15" s="91"/>
      <c r="K15" s="91"/>
      <c r="L15" s="97"/>
      <c r="M15" s="79"/>
      <c r="N15" s="71">
        <v>119</v>
      </c>
      <c r="O15" s="66">
        <v>21</v>
      </c>
    </row>
    <row r="16" spans="2:15" x14ac:dyDescent="0.35">
      <c r="B16" s="32" t="s">
        <v>59</v>
      </c>
      <c r="C16" s="28" t="s">
        <v>10</v>
      </c>
      <c r="D16" s="98"/>
      <c r="E16" s="98"/>
      <c r="F16" s="92"/>
      <c r="G16" s="92"/>
      <c r="H16" s="99"/>
      <c r="I16" s="99"/>
      <c r="J16" s="92"/>
      <c r="K16" s="92"/>
      <c r="L16" s="83"/>
      <c r="M16" s="80"/>
      <c r="N16" s="72">
        <v>143</v>
      </c>
      <c r="O16" s="68">
        <v>28</v>
      </c>
    </row>
    <row r="17" spans="2:15" ht="15" thickBot="1" x14ac:dyDescent="0.4">
      <c r="B17" s="33"/>
      <c r="C17" s="34" t="s">
        <v>11</v>
      </c>
      <c r="D17" s="100"/>
      <c r="E17" s="100"/>
      <c r="F17" s="93"/>
      <c r="G17" s="93"/>
      <c r="H17" s="101"/>
      <c r="I17" s="101"/>
      <c r="J17" s="93"/>
      <c r="K17" s="93"/>
      <c r="L17" s="102"/>
      <c r="M17" s="81"/>
      <c r="N17" s="73">
        <v>119</v>
      </c>
      <c r="O17" s="70">
        <v>51</v>
      </c>
    </row>
    <row r="19" spans="2:15" x14ac:dyDescent="0.35">
      <c r="C19" s="92"/>
      <c r="D19" s="94" t="s">
        <v>43</v>
      </c>
      <c r="E19" s="94" t="s">
        <v>44</v>
      </c>
      <c r="F19" s="94" t="s">
        <v>46</v>
      </c>
      <c r="G19" s="94" t="s">
        <v>45</v>
      </c>
      <c r="H19" s="94" t="s">
        <v>47</v>
      </c>
      <c r="I19" s="94" t="s">
        <v>48</v>
      </c>
      <c r="J19" s="94" t="s">
        <v>49</v>
      </c>
      <c r="K19" s="94" t="s">
        <v>50</v>
      </c>
      <c r="L19" s="94" t="s">
        <v>51</v>
      </c>
      <c r="M19" s="94" t="s">
        <v>52</v>
      </c>
      <c r="N19" s="94" t="s">
        <v>30</v>
      </c>
      <c r="O19" s="94" t="s">
        <v>53</v>
      </c>
    </row>
    <row r="20" spans="2:15" x14ac:dyDescent="0.35">
      <c r="C20" s="92" t="s">
        <v>9</v>
      </c>
      <c r="D20" s="92">
        <f>SUM(D3,D6,D9,D12,D15)</f>
        <v>255</v>
      </c>
      <c r="E20" s="92">
        <f>SUM(E3,E6,E9,E12,E15)</f>
        <v>73</v>
      </c>
      <c r="F20" s="92">
        <f t="shared" ref="F20:O20" si="0">SUM(F3,F6,F9,F12,F15)</f>
        <v>180</v>
      </c>
      <c r="G20" s="92">
        <f t="shared" si="0"/>
        <v>68</v>
      </c>
      <c r="H20" s="92">
        <f t="shared" si="0"/>
        <v>70</v>
      </c>
      <c r="I20" s="92">
        <f t="shared" si="0"/>
        <v>80</v>
      </c>
      <c r="J20" s="92">
        <f t="shared" si="0"/>
        <v>175</v>
      </c>
      <c r="K20" s="92">
        <f t="shared" si="0"/>
        <v>64</v>
      </c>
      <c r="L20" s="92">
        <f t="shared" si="0"/>
        <v>133</v>
      </c>
      <c r="M20" s="92">
        <f t="shared" si="0"/>
        <v>0</v>
      </c>
      <c r="N20" s="92">
        <f t="shared" si="0"/>
        <v>119</v>
      </c>
      <c r="O20" s="92">
        <f t="shared" si="0"/>
        <v>21</v>
      </c>
    </row>
    <row r="21" spans="2:15" x14ac:dyDescent="0.35">
      <c r="C21" s="92" t="s">
        <v>10</v>
      </c>
      <c r="D21" s="92">
        <f t="shared" ref="D21:O22" si="1">SUM(D4,D7,D10,D13,D16)</f>
        <v>269</v>
      </c>
      <c r="E21" s="92">
        <f t="shared" si="1"/>
        <v>89</v>
      </c>
      <c r="F21" s="92">
        <f t="shared" si="1"/>
        <v>227</v>
      </c>
      <c r="G21" s="92">
        <f t="shared" si="1"/>
        <v>86</v>
      </c>
      <c r="H21" s="92">
        <f t="shared" si="1"/>
        <v>112</v>
      </c>
      <c r="I21" s="92">
        <f t="shared" si="1"/>
        <v>88</v>
      </c>
      <c r="J21" s="92">
        <f t="shared" si="1"/>
        <v>155</v>
      </c>
      <c r="K21" s="92">
        <f t="shared" si="1"/>
        <v>80</v>
      </c>
      <c r="L21" s="92">
        <f t="shared" si="1"/>
        <v>169</v>
      </c>
      <c r="M21" s="92">
        <f t="shared" si="1"/>
        <v>0</v>
      </c>
      <c r="N21" s="92">
        <f t="shared" si="1"/>
        <v>143</v>
      </c>
      <c r="O21" s="92">
        <f t="shared" si="1"/>
        <v>28</v>
      </c>
    </row>
    <row r="22" spans="2:15" x14ac:dyDescent="0.35">
      <c r="C22" s="92" t="s">
        <v>11</v>
      </c>
      <c r="D22" s="92">
        <f t="shared" si="1"/>
        <v>170</v>
      </c>
      <c r="E22" s="92">
        <f t="shared" si="1"/>
        <v>139</v>
      </c>
      <c r="F22" s="92">
        <f t="shared" si="1"/>
        <v>214</v>
      </c>
      <c r="G22" s="92">
        <f t="shared" si="1"/>
        <v>100</v>
      </c>
      <c r="H22" s="92">
        <f t="shared" si="1"/>
        <v>211</v>
      </c>
      <c r="I22" s="92">
        <f t="shared" si="1"/>
        <v>119</v>
      </c>
      <c r="J22" s="92">
        <f t="shared" si="1"/>
        <v>107</v>
      </c>
      <c r="K22" s="92">
        <f t="shared" si="1"/>
        <v>69</v>
      </c>
      <c r="L22" s="92">
        <f t="shared" si="1"/>
        <v>160</v>
      </c>
      <c r="M22" s="92">
        <f t="shared" si="1"/>
        <v>0</v>
      </c>
      <c r="N22" s="92">
        <f t="shared" si="1"/>
        <v>119</v>
      </c>
      <c r="O22" s="92">
        <f t="shared" si="1"/>
        <v>51</v>
      </c>
    </row>
  </sheetData>
  <pageMargins left="0.7" right="0.7" top="0.75" bottom="0.75" header="0.3" footer="0.3"/>
  <pageSetup paperSize="9" scale="83" fitToHeight="0" orientation="landscape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topLeftCell="A2" zoomScale="70" zoomScaleNormal="70" workbookViewId="0">
      <selection activeCell="D20" sqref="D20"/>
    </sheetView>
  </sheetViews>
  <sheetFormatPr defaultRowHeight="14.5" x14ac:dyDescent="0.35"/>
  <cols>
    <col min="2" max="2" width="19.6328125" bestFit="1" customWidth="1"/>
    <col min="4" max="4" width="8.36328125" bestFit="1" customWidth="1"/>
    <col min="5" max="5" width="10.08984375" bestFit="1" customWidth="1"/>
    <col min="6" max="6" width="13.81640625" bestFit="1" customWidth="1"/>
    <col min="7" max="7" width="13.6328125" bestFit="1" customWidth="1"/>
    <col min="8" max="8" width="8.453125" bestFit="1" customWidth="1"/>
    <col min="9" max="9" width="9.7265625" bestFit="1" customWidth="1"/>
    <col min="10" max="10" width="7.81640625" bestFit="1" customWidth="1"/>
    <col min="11" max="11" width="9.08984375" bestFit="1" customWidth="1"/>
    <col min="12" max="12" width="7.6328125" bestFit="1" customWidth="1"/>
    <col min="13" max="13" width="8.90625" bestFit="1" customWidth="1"/>
    <col min="14" max="14" width="10.54296875" bestFit="1" customWidth="1"/>
    <col min="15" max="15" width="11.81640625" bestFit="1" customWidth="1"/>
  </cols>
  <sheetData>
    <row r="1" spans="2:15" ht="15" thickBot="1" x14ac:dyDescent="0.4"/>
    <row r="2" spans="2:15" ht="15" thickBot="1" x14ac:dyDescent="0.4">
      <c r="B2" s="49"/>
      <c r="C2" s="50"/>
      <c r="D2" s="51" t="s">
        <v>43</v>
      </c>
      <c r="E2" s="51" t="s">
        <v>44</v>
      </c>
      <c r="F2" s="52" t="s">
        <v>46</v>
      </c>
      <c r="G2" s="52" t="s">
        <v>45</v>
      </c>
      <c r="H2" s="53" t="s">
        <v>47</v>
      </c>
      <c r="I2" s="53" t="s">
        <v>48</v>
      </c>
      <c r="J2" s="52" t="s">
        <v>49</v>
      </c>
      <c r="K2" s="52" t="s">
        <v>50</v>
      </c>
      <c r="L2" s="54" t="s">
        <v>51</v>
      </c>
      <c r="M2" s="57" t="s">
        <v>52</v>
      </c>
      <c r="N2" s="63" t="s">
        <v>30</v>
      </c>
      <c r="O2" s="64" t="s">
        <v>53</v>
      </c>
    </row>
    <row r="3" spans="2:15" x14ac:dyDescent="0.35">
      <c r="B3" s="35" t="s">
        <v>37</v>
      </c>
      <c r="C3" s="31" t="s">
        <v>9</v>
      </c>
      <c r="D3" s="37">
        <v>31</v>
      </c>
      <c r="E3" s="37">
        <v>8</v>
      </c>
      <c r="F3" s="31"/>
      <c r="G3" s="31"/>
      <c r="H3" s="42"/>
      <c r="I3" s="42"/>
      <c r="J3" s="31"/>
      <c r="K3" s="31"/>
      <c r="L3" s="58"/>
      <c r="M3" s="65"/>
      <c r="N3" s="71"/>
      <c r="O3" s="66"/>
    </row>
    <row r="4" spans="2:15" x14ac:dyDescent="0.35">
      <c r="B4" s="32" t="s">
        <v>72</v>
      </c>
      <c r="C4" s="28" t="s">
        <v>10</v>
      </c>
      <c r="D4" s="38">
        <v>33</v>
      </c>
      <c r="E4" s="38">
        <v>5</v>
      </c>
      <c r="F4" s="28"/>
      <c r="G4" s="28"/>
      <c r="H4" s="43"/>
      <c r="I4" s="43"/>
      <c r="J4" s="28"/>
      <c r="K4" s="28"/>
      <c r="L4" s="59"/>
      <c r="M4" s="67"/>
      <c r="N4" s="72"/>
      <c r="O4" s="68"/>
    </row>
    <row r="5" spans="2:15" ht="15" thickBot="1" x14ac:dyDescent="0.4">
      <c r="B5" s="33"/>
      <c r="C5" s="34" t="s">
        <v>11</v>
      </c>
      <c r="D5" s="39">
        <v>20</v>
      </c>
      <c r="E5" s="39">
        <v>15</v>
      </c>
      <c r="F5" s="34"/>
      <c r="G5" s="34"/>
      <c r="H5" s="44"/>
      <c r="I5" s="44"/>
      <c r="J5" s="34"/>
      <c r="K5" s="34"/>
      <c r="L5" s="60"/>
      <c r="M5" s="69"/>
      <c r="N5" s="73"/>
      <c r="O5" s="70"/>
    </row>
    <row r="6" spans="2:15" x14ac:dyDescent="0.35">
      <c r="B6" s="55" t="s">
        <v>54</v>
      </c>
      <c r="C6" s="30" t="s">
        <v>9</v>
      </c>
      <c r="D6" s="40">
        <v>23</v>
      </c>
      <c r="E6" s="40">
        <v>8</v>
      </c>
      <c r="F6" s="30"/>
      <c r="G6" s="30"/>
      <c r="H6" s="45"/>
      <c r="I6" s="45"/>
      <c r="J6" s="30"/>
      <c r="K6" s="30"/>
      <c r="L6" s="48"/>
      <c r="M6" s="61"/>
      <c r="N6" s="74"/>
      <c r="O6" s="75"/>
    </row>
    <row r="7" spans="2:15" x14ac:dyDescent="0.35">
      <c r="B7" s="32" t="s">
        <v>59</v>
      </c>
      <c r="C7" s="28" t="s">
        <v>10</v>
      </c>
      <c r="D7" s="38">
        <v>23</v>
      </c>
      <c r="E7" s="38">
        <v>10</v>
      </c>
      <c r="F7" s="28"/>
      <c r="G7" s="28"/>
      <c r="H7" s="43"/>
      <c r="I7" s="43"/>
      <c r="J7" s="28"/>
      <c r="K7" s="28"/>
      <c r="L7" s="47"/>
      <c r="M7" s="59"/>
      <c r="N7" s="72"/>
      <c r="O7" s="68"/>
    </row>
    <row r="8" spans="2:15" ht="15" thickBot="1" x14ac:dyDescent="0.4">
      <c r="B8" s="56"/>
      <c r="C8" s="29" t="s">
        <v>11</v>
      </c>
      <c r="D8" s="36">
        <v>15</v>
      </c>
      <c r="E8" s="36">
        <v>5</v>
      </c>
      <c r="F8" s="29"/>
      <c r="G8" s="29"/>
      <c r="H8" s="41"/>
      <c r="I8" s="41"/>
      <c r="J8" s="29"/>
      <c r="K8" s="29"/>
      <c r="L8" s="46"/>
      <c r="M8" s="62"/>
      <c r="N8" s="76"/>
      <c r="O8" s="77"/>
    </row>
    <row r="9" spans="2:15" ht="15" thickBot="1" x14ac:dyDescent="0.4">
      <c r="B9" s="35" t="s">
        <v>40</v>
      </c>
      <c r="C9" s="31" t="s">
        <v>9</v>
      </c>
      <c r="D9" s="37">
        <v>7</v>
      </c>
      <c r="E9" s="37">
        <v>2</v>
      </c>
      <c r="F9" s="31">
        <v>11</v>
      </c>
      <c r="G9" s="31">
        <v>4</v>
      </c>
      <c r="H9" s="42">
        <v>4</v>
      </c>
      <c r="I9" s="42">
        <v>5</v>
      </c>
      <c r="J9" s="31">
        <v>13</v>
      </c>
      <c r="K9" s="31">
        <v>5</v>
      </c>
      <c r="L9" s="58">
        <v>9</v>
      </c>
      <c r="M9" s="58" t="s">
        <v>61</v>
      </c>
      <c r="N9" s="71"/>
      <c r="O9" s="66"/>
    </row>
    <row r="10" spans="2:15" ht="15" thickBot="1" x14ac:dyDescent="0.4">
      <c r="B10" s="32" t="s">
        <v>56</v>
      </c>
      <c r="C10" s="28" t="s">
        <v>10</v>
      </c>
      <c r="D10" s="38">
        <v>7</v>
      </c>
      <c r="E10" s="38">
        <v>2</v>
      </c>
      <c r="F10" s="28">
        <v>14</v>
      </c>
      <c r="G10" s="28">
        <v>4</v>
      </c>
      <c r="H10" s="43">
        <v>7</v>
      </c>
      <c r="I10" s="43">
        <v>6</v>
      </c>
      <c r="J10" s="28">
        <v>12</v>
      </c>
      <c r="K10" s="28">
        <v>6</v>
      </c>
      <c r="L10" s="58">
        <v>11</v>
      </c>
      <c r="M10" s="58" t="s">
        <v>61</v>
      </c>
      <c r="N10" s="72"/>
      <c r="O10" s="68"/>
    </row>
    <row r="11" spans="2:15" ht="15" thickBot="1" x14ac:dyDescent="0.4">
      <c r="B11" s="33"/>
      <c r="C11" s="34" t="s">
        <v>11</v>
      </c>
      <c r="D11" s="39">
        <v>4</v>
      </c>
      <c r="E11" s="39">
        <v>9</v>
      </c>
      <c r="F11" s="34">
        <v>14</v>
      </c>
      <c r="G11" s="34">
        <v>7</v>
      </c>
      <c r="H11" s="44">
        <v>13</v>
      </c>
      <c r="I11" s="44">
        <v>3</v>
      </c>
      <c r="J11" s="34">
        <v>8</v>
      </c>
      <c r="K11" s="34">
        <v>11</v>
      </c>
      <c r="L11" s="58">
        <v>10</v>
      </c>
      <c r="M11" s="58" t="s">
        <v>61</v>
      </c>
      <c r="N11" s="73"/>
      <c r="O11" s="70"/>
    </row>
    <row r="12" spans="2:15" ht="15" thickBot="1" x14ac:dyDescent="0.4">
      <c r="B12" s="55" t="s">
        <v>41</v>
      </c>
      <c r="C12" s="30" t="s">
        <v>9</v>
      </c>
      <c r="D12" s="40">
        <v>13</v>
      </c>
      <c r="E12" s="40">
        <v>3</v>
      </c>
      <c r="F12" s="30">
        <v>22</v>
      </c>
      <c r="G12" s="30">
        <v>8</v>
      </c>
      <c r="H12" s="45">
        <v>9</v>
      </c>
      <c r="I12" s="45">
        <v>10</v>
      </c>
      <c r="J12" s="30">
        <v>19</v>
      </c>
      <c r="K12" s="30">
        <v>7</v>
      </c>
      <c r="L12" s="58">
        <v>17</v>
      </c>
      <c r="M12" s="58" t="s">
        <v>61</v>
      </c>
      <c r="N12" s="74"/>
      <c r="O12" s="75"/>
    </row>
    <row r="13" spans="2:15" ht="15" thickBot="1" x14ac:dyDescent="0.4">
      <c r="B13" s="32" t="s">
        <v>64</v>
      </c>
      <c r="C13" s="28" t="s">
        <v>10</v>
      </c>
      <c r="D13" s="38">
        <v>13</v>
      </c>
      <c r="E13" s="38">
        <v>4</v>
      </c>
      <c r="F13" s="28">
        <v>28</v>
      </c>
      <c r="G13" s="28">
        <v>11</v>
      </c>
      <c r="H13" s="43">
        <v>14</v>
      </c>
      <c r="I13" s="43">
        <v>10</v>
      </c>
      <c r="J13" s="28">
        <v>17</v>
      </c>
      <c r="K13" s="28">
        <v>9</v>
      </c>
      <c r="L13" s="58">
        <v>21</v>
      </c>
      <c r="M13" s="58" t="s">
        <v>61</v>
      </c>
      <c r="N13" s="72"/>
      <c r="O13" s="68"/>
    </row>
    <row r="14" spans="2:15" ht="15" thickBot="1" x14ac:dyDescent="0.4">
      <c r="B14" s="56"/>
      <c r="C14" s="29" t="s">
        <v>11</v>
      </c>
      <c r="D14" s="36">
        <v>8</v>
      </c>
      <c r="E14" s="36">
        <v>2</v>
      </c>
      <c r="F14" s="29">
        <v>26</v>
      </c>
      <c r="G14" s="29">
        <v>12</v>
      </c>
      <c r="H14" s="41">
        <v>27</v>
      </c>
      <c r="I14" s="41">
        <v>19</v>
      </c>
      <c r="J14" s="29">
        <v>12</v>
      </c>
      <c r="K14" s="29">
        <v>15</v>
      </c>
      <c r="L14" s="58">
        <v>20</v>
      </c>
      <c r="M14" s="58" t="s">
        <v>61</v>
      </c>
      <c r="N14" s="76"/>
      <c r="O14" s="77"/>
    </row>
    <row r="15" spans="2:15" x14ac:dyDescent="0.35">
      <c r="B15" s="35" t="s">
        <v>63</v>
      </c>
      <c r="C15" s="31" t="s">
        <v>9</v>
      </c>
      <c r="D15" s="37"/>
      <c r="E15" s="37"/>
      <c r="F15" s="31"/>
      <c r="G15" s="31"/>
      <c r="H15" s="42"/>
      <c r="I15" s="42"/>
      <c r="J15" s="31"/>
      <c r="K15" s="31"/>
      <c r="L15" s="58"/>
      <c r="M15" s="65"/>
      <c r="N15" s="71">
        <v>95</v>
      </c>
      <c r="O15" s="66">
        <v>50</v>
      </c>
    </row>
    <row r="16" spans="2:15" x14ac:dyDescent="0.35">
      <c r="B16" s="32" t="s">
        <v>73</v>
      </c>
      <c r="C16" s="28" t="s">
        <v>10</v>
      </c>
      <c r="D16" s="38"/>
      <c r="E16" s="38"/>
      <c r="F16" s="28"/>
      <c r="G16" s="28"/>
      <c r="H16" s="43"/>
      <c r="I16" s="43"/>
      <c r="J16" s="28"/>
      <c r="K16" s="28"/>
      <c r="L16" s="59"/>
      <c r="M16" s="67"/>
      <c r="N16" s="72">
        <v>119</v>
      </c>
      <c r="O16" s="68">
        <v>23</v>
      </c>
    </row>
    <row r="17" spans="2:15" ht="15" thickBot="1" x14ac:dyDescent="0.4">
      <c r="B17" s="33"/>
      <c r="C17" s="34" t="s">
        <v>11</v>
      </c>
      <c r="D17" s="39"/>
      <c r="E17" s="39"/>
      <c r="F17" s="34"/>
      <c r="G17" s="34"/>
      <c r="H17" s="44"/>
      <c r="I17" s="44"/>
      <c r="J17" s="34"/>
      <c r="K17" s="34"/>
      <c r="L17" s="60"/>
      <c r="M17" s="69"/>
      <c r="N17" s="73">
        <v>79</v>
      </c>
      <c r="O17" s="70">
        <v>43</v>
      </c>
    </row>
    <row r="18" spans="2:15" ht="15" thickBot="1" x14ac:dyDescent="0.4"/>
    <row r="19" spans="2:15" x14ac:dyDescent="0.35">
      <c r="C19" s="31"/>
      <c r="D19" t="s">
        <v>43</v>
      </c>
      <c r="E19" t="s">
        <v>44</v>
      </c>
      <c r="F19" t="s">
        <v>46</v>
      </c>
      <c r="G19" t="s">
        <v>45</v>
      </c>
      <c r="H19" t="s">
        <v>47</v>
      </c>
      <c r="I19" t="s">
        <v>48</v>
      </c>
      <c r="J19" t="s">
        <v>49</v>
      </c>
      <c r="K19" t="s">
        <v>50</v>
      </c>
      <c r="L19" t="s">
        <v>51</v>
      </c>
      <c r="M19" s="78" t="s">
        <v>52</v>
      </c>
      <c r="N19" t="s">
        <v>30</v>
      </c>
      <c r="O19" t="s">
        <v>53</v>
      </c>
    </row>
    <row r="20" spans="2:15" x14ac:dyDescent="0.35">
      <c r="C20" s="28" t="s">
        <v>9</v>
      </c>
      <c r="D20">
        <f>SUM(D3,D6,D9,D12,D15)</f>
        <v>74</v>
      </c>
      <c r="E20">
        <f>SUM(E3,E6,E9,E12,E15)</f>
        <v>21</v>
      </c>
      <c r="F20">
        <f t="shared" ref="F20:O20" si="0">SUM(F3,F6,F9,F12,F15)</f>
        <v>33</v>
      </c>
      <c r="G20">
        <f t="shared" si="0"/>
        <v>12</v>
      </c>
      <c r="H20">
        <f t="shared" si="0"/>
        <v>13</v>
      </c>
      <c r="I20">
        <f t="shared" si="0"/>
        <v>15</v>
      </c>
      <c r="J20">
        <f t="shared" si="0"/>
        <v>32</v>
      </c>
      <c r="K20">
        <f t="shared" si="0"/>
        <v>12</v>
      </c>
      <c r="L20">
        <f t="shared" si="0"/>
        <v>26</v>
      </c>
      <c r="M20">
        <f t="shared" si="0"/>
        <v>0</v>
      </c>
      <c r="N20">
        <f t="shared" si="0"/>
        <v>95</v>
      </c>
      <c r="O20">
        <f t="shared" si="0"/>
        <v>50</v>
      </c>
    </row>
    <row r="21" spans="2:15" ht="15" thickBot="1" x14ac:dyDescent="0.4">
      <c r="C21" s="34" t="s">
        <v>10</v>
      </c>
      <c r="D21">
        <f t="shared" ref="D21:O22" si="1">SUM(D4,D7,D10,D13,D16)</f>
        <v>76</v>
      </c>
      <c r="E21">
        <f t="shared" si="1"/>
        <v>21</v>
      </c>
      <c r="F21">
        <f t="shared" si="1"/>
        <v>42</v>
      </c>
      <c r="G21">
        <f t="shared" si="1"/>
        <v>15</v>
      </c>
      <c r="H21">
        <f t="shared" si="1"/>
        <v>21</v>
      </c>
      <c r="I21">
        <f t="shared" si="1"/>
        <v>16</v>
      </c>
      <c r="J21">
        <f t="shared" si="1"/>
        <v>29</v>
      </c>
      <c r="K21">
        <f t="shared" si="1"/>
        <v>15</v>
      </c>
      <c r="L21">
        <f t="shared" si="1"/>
        <v>32</v>
      </c>
      <c r="M21">
        <f t="shared" si="1"/>
        <v>0</v>
      </c>
      <c r="N21">
        <f t="shared" si="1"/>
        <v>119</v>
      </c>
      <c r="O21">
        <f t="shared" si="1"/>
        <v>23</v>
      </c>
    </row>
    <row r="22" spans="2:15" x14ac:dyDescent="0.35">
      <c r="C22" t="s">
        <v>11</v>
      </c>
      <c r="D22">
        <f t="shared" si="1"/>
        <v>47</v>
      </c>
      <c r="E22">
        <f t="shared" si="1"/>
        <v>31</v>
      </c>
      <c r="F22">
        <f t="shared" si="1"/>
        <v>40</v>
      </c>
      <c r="G22">
        <f t="shared" si="1"/>
        <v>19</v>
      </c>
      <c r="H22">
        <f t="shared" si="1"/>
        <v>40</v>
      </c>
      <c r="I22">
        <f t="shared" si="1"/>
        <v>22</v>
      </c>
      <c r="J22">
        <f t="shared" si="1"/>
        <v>20</v>
      </c>
      <c r="K22">
        <f t="shared" si="1"/>
        <v>26</v>
      </c>
      <c r="L22">
        <f t="shared" si="1"/>
        <v>30</v>
      </c>
      <c r="M22">
        <f t="shared" si="1"/>
        <v>0</v>
      </c>
      <c r="N22">
        <f t="shared" si="1"/>
        <v>79</v>
      </c>
      <c r="O22">
        <f t="shared" si="1"/>
        <v>43</v>
      </c>
    </row>
  </sheetData>
  <pageMargins left="0.7" right="0.7" top="0.75" bottom="0.75" header="0.3" footer="0.3"/>
  <pageSetup paperSize="9" scale="83" fitToHeight="0" orientation="landscape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topLeftCell="A22" zoomScale="70" zoomScaleNormal="70" workbookViewId="0">
      <selection activeCell="U22" sqref="U22"/>
    </sheetView>
  </sheetViews>
  <sheetFormatPr defaultRowHeight="14.5" x14ac:dyDescent="0.35"/>
  <cols>
    <col min="2" max="2" width="19.6328125" bestFit="1" customWidth="1"/>
    <col min="4" max="4" width="8.36328125" bestFit="1" customWidth="1"/>
    <col min="5" max="5" width="10.08984375" bestFit="1" customWidth="1"/>
    <col min="6" max="6" width="13.81640625" bestFit="1" customWidth="1"/>
    <col min="7" max="7" width="13.6328125" bestFit="1" customWidth="1"/>
    <col min="8" max="8" width="8.453125" bestFit="1" customWidth="1"/>
    <col min="9" max="9" width="9.7265625" bestFit="1" customWidth="1"/>
    <col min="10" max="10" width="7.81640625" bestFit="1" customWidth="1"/>
    <col min="11" max="11" width="9.08984375" bestFit="1" customWidth="1"/>
    <col min="12" max="12" width="7.6328125" bestFit="1" customWidth="1"/>
    <col min="13" max="13" width="8.90625" bestFit="1" customWidth="1"/>
    <col min="14" max="14" width="10.54296875" bestFit="1" customWidth="1"/>
    <col min="15" max="15" width="11.81640625" bestFit="1" customWidth="1"/>
  </cols>
  <sheetData>
    <row r="1" spans="2:15" ht="15" thickBot="1" x14ac:dyDescent="0.4"/>
    <row r="2" spans="2:15" ht="15" thickBot="1" x14ac:dyDescent="0.4">
      <c r="B2" s="49"/>
      <c r="C2" s="50"/>
      <c r="D2" s="51" t="s">
        <v>43</v>
      </c>
      <c r="E2" s="51" t="s">
        <v>44</v>
      </c>
      <c r="F2" s="52" t="s">
        <v>46</v>
      </c>
      <c r="G2" s="52" t="s">
        <v>45</v>
      </c>
      <c r="H2" s="53" t="s">
        <v>47</v>
      </c>
      <c r="I2" s="53" t="s">
        <v>48</v>
      </c>
      <c r="J2" s="52" t="s">
        <v>49</v>
      </c>
      <c r="K2" s="52" t="s">
        <v>50</v>
      </c>
      <c r="L2" s="54" t="s">
        <v>51</v>
      </c>
      <c r="M2" s="57" t="s">
        <v>52</v>
      </c>
      <c r="N2" s="63" t="s">
        <v>30</v>
      </c>
      <c r="O2" s="64" t="s">
        <v>53</v>
      </c>
    </row>
    <row r="3" spans="2:15" x14ac:dyDescent="0.35">
      <c r="B3" s="35" t="s">
        <v>37</v>
      </c>
      <c r="C3" s="31" t="s">
        <v>9</v>
      </c>
      <c r="D3" s="37">
        <v>35</v>
      </c>
      <c r="E3" s="37">
        <v>8</v>
      </c>
      <c r="F3" s="31"/>
      <c r="G3" s="31"/>
      <c r="H3" s="42"/>
      <c r="I3" s="42"/>
      <c r="J3" s="31"/>
      <c r="K3" s="31"/>
      <c r="L3" s="58"/>
      <c r="M3" s="65"/>
      <c r="N3" s="71"/>
      <c r="O3" s="66"/>
    </row>
    <row r="4" spans="2:15" x14ac:dyDescent="0.35">
      <c r="B4" s="32" t="s">
        <v>91</v>
      </c>
      <c r="C4" s="28" t="s">
        <v>10</v>
      </c>
      <c r="D4" s="38">
        <v>38</v>
      </c>
      <c r="E4" s="38">
        <v>11</v>
      </c>
      <c r="F4" s="28"/>
      <c r="G4" s="28"/>
      <c r="H4" s="43"/>
      <c r="I4" s="43"/>
      <c r="J4" s="28"/>
      <c r="K4" s="28"/>
      <c r="L4" s="59"/>
      <c r="M4" s="67"/>
      <c r="N4" s="72"/>
      <c r="O4" s="68"/>
    </row>
    <row r="5" spans="2:15" ht="15" thickBot="1" x14ac:dyDescent="0.4">
      <c r="B5" s="33"/>
      <c r="C5" s="34" t="s">
        <v>11</v>
      </c>
      <c r="D5" s="39">
        <v>24</v>
      </c>
      <c r="E5" s="39">
        <v>17</v>
      </c>
      <c r="F5" s="34"/>
      <c r="G5" s="34"/>
      <c r="H5" s="44"/>
      <c r="I5" s="44"/>
      <c r="J5" s="34"/>
      <c r="K5" s="34"/>
      <c r="L5" s="60"/>
      <c r="M5" s="69"/>
      <c r="N5" s="73"/>
      <c r="O5" s="70"/>
    </row>
    <row r="6" spans="2:15" x14ac:dyDescent="0.35">
      <c r="B6" s="55" t="s">
        <v>39</v>
      </c>
      <c r="C6" s="30" t="s">
        <v>9</v>
      </c>
      <c r="D6" s="40">
        <v>32</v>
      </c>
      <c r="E6" s="40">
        <v>11</v>
      </c>
      <c r="F6" s="30"/>
      <c r="G6" s="30"/>
      <c r="H6" s="45"/>
      <c r="I6" s="45"/>
      <c r="J6" s="30"/>
      <c r="K6" s="30"/>
      <c r="L6" s="48"/>
      <c r="M6" s="61"/>
      <c r="N6" s="74"/>
      <c r="O6" s="75"/>
    </row>
    <row r="7" spans="2:15" x14ac:dyDescent="0.35">
      <c r="B7" s="32" t="s">
        <v>109</v>
      </c>
      <c r="C7" s="28" t="s">
        <v>10</v>
      </c>
      <c r="D7" s="38">
        <v>34</v>
      </c>
      <c r="E7" s="38">
        <v>15</v>
      </c>
      <c r="F7" s="28"/>
      <c r="G7" s="28"/>
      <c r="H7" s="43"/>
      <c r="I7" s="43"/>
      <c r="J7" s="28"/>
      <c r="K7" s="28"/>
      <c r="L7" s="47"/>
      <c r="M7" s="59"/>
      <c r="N7" s="72"/>
      <c r="O7" s="68"/>
    </row>
    <row r="8" spans="2:15" ht="15" thickBot="1" x14ac:dyDescent="0.4">
      <c r="B8" s="56"/>
      <c r="C8" s="29" t="s">
        <v>11</v>
      </c>
      <c r="D8" s="36">
        <v>20</v>
      </c>
      <c r="E8" s="36">
        <v>24</v>
      </c>
      <c r="F8" s="29"/>
      <c r="G8" s="29"/>
      <c r="H8" s="41"/>
      <c r="I8" s="41"/>
      <c r="J8" s="29"/>
      <c r="K8" s="29"/>
      <c r="L8" s="46"/>
      <c r="M8" s="62"/>
      <c r="N8" s="76"/>
      <c r="O8" s="77"/>
    </row>
    <row r="9" spans="2:15" x14ac:dyDescent="0.35">
      <c r="B9" s="35" t="s">
        <v>40</v>
      </c>
      <c r="C9" s="31" t="s">
        <v>9</v>
      </c>
      <c r="D9" s="37">
        <v>8</v>
      </c>
      <c r="E9" s="37">
        <v>2</v>
      </c>
      <c r="F9" s="31">
        <v>14</v>
      </c>
      <c r="G9" s="31">
        <v>5</v>
      </c>
      <c r="H9" s="42">
        <v>5</v>
      </c>
      <c r="I9" s="42">
        <v>6</v>
      </c>
      <c r="J9" s="31">
        <v>17</v>
      </c>
      <c r="K9" s="31">
        <v>6</v>
      </c>
      <c r="L9" s="58">
        <v>11</v>
      </c>
      <c r="M9" s="65"/>
      <c r="N9" s="71"/>
      <c r="O9" s="66"/>
    </row>
    <row r="10" spans="2:15" x14ac:dyDescent="0.35">
      <c r="B10" s="32" t="s">
        <v>110</v>
      </c>
      <c r="C10" s="28" t="s">
        <v>10</v>
      </c>
      <c r="D10" s="38">
        <v>9</v>
      </c>
      <c r="E10" s="38">
        <v>25</v>
      </c>
      <c r="F10" s="28">
        <v>18</v>
      </c>
      <c r="G10" s="28">
        <v>7</v>
      </c>
      <c r="H10" s="43">
        <v>9</v>
      </c>
      <c r="I10" s="43">
        <v>8</v>
      </c>
      <c r="J10" s="28">
        <v>15</v>
      </c>
      <c r="K10" s="28">
        <v>8</v>
      </c>
      <c r="L10" s="59">
        <v>14</v>
      </c>
      <c r="M10" s="67"/>
      <c r="N10" s="72"/>
      <c r="O10" s="68"/>
    </row>
    <row r="11" spans="2:15" ht="15" thickBot="1" x14ac:dyDescent="0.4">
      <c r="B11" s="33"/>
      <c r="C11" s="34" t="s">
        <v>11</v>
      </c>
      <c r="D11" s="39">
        <v>5</v>
      </c>
      <c r="E11" s="39">
        <v>11</v>
      </c>
      <c r="F11" s="34">
        <v>17</v>
      </c>
      <c r="G11" s="34">
        <v>8</v>
      </c>
      <c r="H11" s="44">
        <v>16</v>
      </c>
      <c r="I11" s="44">
        <v>4</v>
      </c>
      <c r="J11" s="34">
        <v>10</v>
      </c>
      <c r="K11" s="34">
        <v>14</v>
      </c>
      <c r="L11" s="60">
        <v>13</v>
      </c>
      <c r="M11" s="69"/>
      <c r="N11" s="73"/>
      <c r="O11" s="70"/>
    </row>
    <row r="12" spans="2:15" x14ac:dyDescent="0.35">
      <c r="B12" s="55" t="s">
        <v>41</v>
      </c>
      <c r="C12" s="30" t="s">
        <v>9</v>
      </c>
      <c r="D12" s="40">
        <v>91</v>
      </c>
      <c r="E12" s="40">
        <v>22</v>
      </c>
      <c r="F12" s="30">
        <v>160</v>
      </c>
      <c r="G12" s="30">
        <v>60</v>
      </c>
      <c r="H12" s="45">
        <v>63</v>
      </c>
      <c r="I12" s="45">
        <v>72</v>
      </c>
      <c r="J12" s="30">
        <v>137</v>
      </c>
      <c r="K12" s="30">
        <v>50</v>
      </c>
      <c r="L12" s="48">
        <v>119</v>
      </c>
      <c r="M12" s="61"/>
      <c r="N12" s="74"/>
      <c r="O12" s="75"/>
    </row>
    <row r="13" spans="2:15" x14ac:dyDescent="0.35">
      <c r="B13" s="32" t="s">
        <v>111</v>
      </c>
      <c r="C13" s="28" t="s">
        <v>10</v>
      </c>
      <c r="D13" s="38">
        <v>96</v>
      </c>
      <c r="E13" s="38">
        <v>27</v>
      </c>
      <c r="F13" s="28">
        <v>202</v>
      </c>
      <c r="G13" s="28">
        <v>76</v>
      </c>
      <c r="H13" s="43">
        <v>103</v>
      </c>
      <c r="I13" s="43">
        <v>74</v>
      </c>
      <c r="J13" s="28">
        <v>121</v>
      </c>
      <c r="K13" s="28">
        <v>63</v>
      </c>
      <c r="L13" s="47">
        <v>150</v>
      </c>
      <c r="M13" s="59"/>
      <c r="N13" s="72"/>
      <c r="O13" s="68"/>
    </row>
    <row r="14" spans="2:15" ht="15" thickBot="1" x14ac:dyDescent="0.4">
      <c r="B14" s="56"/>
      <c r="C14" s="29" t="s">
        <v>11</v>
      </c>
      <c r="D14" s="36">
        <v>60</v>
      </c>
      <c r="E14" s="36">
        <v>43</v>
      </c>
      <c r="F14" s="29">
        <v>189</v>
      </c>
      <c r="G14" s="29">
        <v>90</v>
      </c>
      <c r="H14" s="41">
        <v>192</v>
      </c>
      <c r="I14" s="41">
        <v>139</v>
      </c>
      <c r="J14" s="29">
        <v>83</v>
      </c>
      <c r="K14" s="29">
        <v>111</v>
      </c>
      <c r="L14" s="46">
        <v>141</v>
      </c>
      <c r="M14" s="62"/>
      <c r="N14" s="76"/>
      <c r="O14" s="77"/>
    </row>
    <row r="15" spans="2:15" x14ac:dyDescent="0.35">
      <c r="B15" s="35" t="s">
        <v>42</v>
      </c>
      <c r="C15" s="31" t="s">
        <v>9</v>
      </c>
      <c r="D15" s="37"/>
      <c r="E15" s="37"/>
      <c r="F15" s="31"/>
      <c r="G15" s="31"/>
      <c r="H15" s="42"/>
      <c r="I15" s="42"/>
      <c r="J15" s="31"/>
      <c r="K15" s="31"/>
      <c r="L15" s="58"/>
      <c r="M15" s="65"/>
      <c r="N15" s="71">
        <v>71</v>
      </c>
      <c r="O15" s="66">
        <v>14</v>
      </c>
    </row>
    <row r="16" spans="2:15" x14ac:dyDescent="0.35">
      <c r="B16" s="32" t="s">
        <v>62</v>
      </c>
      <c r="C16" s="28" t="s">
        <v>10</v>
      </c>
      <c r="D16" s="38"/>
      <c r="E16" s="38"/>
      <c r="F16" s="28"/>
      <c r="G16" s="28"/>
      <c r="H16" s="43"/>
      <c r="I16" s="43"/>
      <c r="J16" s="28"/>
      <c r="K16" s="28"/>
      <c r="L16" s="59"/>
      <c r="M16" s="67"/>
      <c r="N16" s="72">
        <v>99</v>
      </c>
      <c r="O16" s="68">
        <v>18</v>
      </c>
    </row>
    <row r="17" spans="2:15" ht="15" thickBot="1" x14ac:dyDescent="0.4">
      <c r="B17" s="33"/>
      <c r="C17" s="34" t="s">
        <v>11</v>
      </c>
      <c r="D17" s="39"/>
      <c r="E17" s="39"/>
      <c r="F17" s="34"/>
      <c r="G17" s="34"/>
      <c r="H17" s="44"/>
      <c r="I17" s="44"/>
      <c r="J17" s="34"/>
      <c r="K17" s="34"/>
      <c r="L17" s="60"/>
      <c r="M17" s="69"/>
      <c r="N17" s="73">
        <v>79</v>
      </c>
      <c r="O17" s="70">
        <v>33</v>
      </c>
    </row>
    <row r="18" spans="2:15" ht="15" thickBot="1" x14ac:dyDescent="0.4"/>
    <row r="19" spans="2:15" x14ac:dyDescent="0.35">
      <c r="C19" s="31"/>
      <c r="D19" t="s">
        <v>43</v>
      </c>
      <c r="E19" t="s">
        <v>44</v>
      </c>
      <c r="F19" t="s">
        <v>46</v>
      </c>
      <c r="G19" t="s">
        <v>45</v>
      </c>
      <c r="H19" t="s">
        <v>47</v>
      </c>
      <c r="I19" t="s">
        <v>48</v>
      </c>
      <c r="J19" t="s">
        <v>49</v>
      </c>
      <c r="K19" t="s">
        <v>50</v>
      </c>
      <c r="L19" t="s">
        <v>51</v>
      </c>
      <c r="M19" s="78" t="s">
        <v>52</v>
      </c>
      <c r="N19" t="s">
        <v>30</v>
      </c>
      <c r="O19" t="s">
        <v>53</v>
      </c>
    </row>
    <row r="20" spans="2:15" x14ac:dyDescent="0.35">
      <c r="C20" s="28" t="s">
        <v>9</v>
      </c>
      <c r="D20">
        <f>SUM(D3,D6,D9,D12,D15)</f>
        <v>166</v>
      </c>
      <c r="E20">
        <f>SUM(E3,E6,E9,E12,E15)</f>
        <v>43</v>
      </c>
      <c r="F20">
        <f t="shared" ref="F20:O20" si="0">SUM(F3,F6,F9,F12,F15)</f>
        <v>174</v>
      </c>
      <c r="G20">
        <f t="shared" si="0"/>
        <v>65</v>
      </c>
      <c r="H20">
        <f t="shared" si="0"/>
        <v>68</v>
      </c>
      <c r="I20">
        <f t="shared" si="0"/>
        <v>78</v>
      </c>
      <c r="J20">
        <f t="shared" si="0"/>
        <v>154</v>
      </c>
      <c r="K20">
        <f t="shared" si="0"/>
        <v>56</v>
      </c>
      <c r="L20">
        <f t="shared" si="0"/>
        <v>130</v>
      </c>
      <c r="M20">
        <f t="shared" si="0"/>
        <v>0</v>
      </c>
      <c r="N20">
        <f t="shared" si="0"/>
        <v>71</v>
      </c>
      <c r="O20">
        <f t="shared" si="0"/>
        <v>14</v>
      </c>
    </row>
    <row r="21" spans="2:15" ht="15" thickBot="1" x14ac:dyDescent="0.4">
      <c r="C21" s="34" t="s">
        <v>10</v>
      </c>
      <c r="D21">
        <f t="shared" ref="D21:O22" si="1">SUM(D4,D7,D10,D13,D16)</f>
        <v>177</v>
      </c>
      <c r="E21">
        <f t="shared" si="1"/>
        <v>78</v>
      </c>
      <c r="F21">
        <f t="shared" si="1"/>
        <v>220</v>
      </c>
      <c r="G21">
        <f t="shared" si="1"/>
        <v>83</v>
      </c>
      <c r="H21">
        <f t="shared" si="1"/>
        <v>112</v>
      </c>
      <c r="I21">
        <f t="shared" si="1"/>
        <v>82</v>
      </c>
      <c r="J21">
        <f t="shared" si="1"/>
        <v>136</v>
      </c>
      <c r="K21">
        <f t="shared" si="1"/>
        <v>71</v>
      </c>
      <c r="L21">
        <f t="shared" si="1"/>
        <v>164</v>
      </c>
      <c r="M21">
        <f t="shared" si="1"/>
        <v>0</v>
      </c>
      <c r="N21">
        <f t="shared" si="1"/>
        <v>99</v>
      </c>
      <c r="O21">
        <f t="shared" si="1"/>
        <v>18</v>
      </c>
    </row>
    <row r="22" spans="2:15" x14ac:dyDescent="0.35">
      <c r="C22" t="s">
        <v>11</v>
      </c>
      <c r="D22">
        <f t="shared" si="1"/>
        <v>109</v>
      </c>
      <c r="E22">
        <f t="shared" si="1"/>
        <v>95</v>
      </c>
      <c r="F22">
        <f t="shared" si="1"/>
        <v>206</v>
      </c>
      <c r="G22">
        <f t="shared" si="1"/>
        <v>98</v>
      </c>
      <c r="H22">
        <f t="shared" si="1"/>
        <v>208</v>
      </c>
      <c r="I22">
        <f t="shared" si="1"/>
        <v>143</v>
      </c>
      <c r="J22">
        <f t="shared" si="1"/>
        <v>93</v>
      </c>
      <c r="K22">
        <f t="shared" si="1"/>
        <v>125</v>
      </c>
      <c r="L22">
        <f t="shared" si="1"/>
        <v>154</v>
      </c>
      <c r="M22">
        <f t="shared" si="1"/>
        <v>0</v>
      </c>
      <c r="N22">
        <f t="shared" si="1"/>
        <v>79</v>
      </c>
      <c r="O22">
        <f t="shared" si="1"/>
        <v>33</v>
      </c>
    </row>
  </sheetData>
  <pageMargins left="0.7" right="0.7" top="0.75" bottom="0.75" header="0.3" footer="0.3"/>
  <pageSetup paperSize="9" scale="83" fitToHeight="0" orientation="landscape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22"/>
  <sheetViews>
    <sheetView zoomScale="70" zoomScaleNormal="70" workbookViewId="0">
      <selection activeCell="L20" sqref="L20"/>
    </sheetView>
  </sheetViews>
  <sheetFormatPr defaultRowHeight="14.5" x14ac:dyDescent="0.35"/>
  <cols>
    <col min="2" max="2" width="19.6328125" bestFit="1" customWidth="1"/>
    <col min="3" max="3" width="19.6328125" customWidth="1"/>
    <col min="5" max="5" width="8.36328125" bestFit="1" customWidth="1"/>
    <col min="6" max="6" width="10.08984375" bestFit="1" customWidth="1"/>
    <col min="7" max="7" width="13.81640625" bestFit="1" customWidth="1"/>
    <col min="8" max="8" width="13.6328125" bestFit="1" customWidth="1"/>
    <col min="9" max="9" width="8.453125" bestFit="1" customWidth="1"/>
    <col min="10" max="10" width="9.7265625" bestFit="1" customWidth="1"/>
    <col min="11" max="11" width="7.81640625" bestFit="1" customWidth="1"/>
    <col min="12" max="12" width="9.08984375" bestFit="1" customWidth="1"/>
    <col min="13" max="13" width="7.6328125" bestFit="1" customWidth="1"/>
    <col min="14" max="14" width="8.90625" bestFit="1" customWidth="1"/>
    <col min="15" max="15" width="10.54296875" bestFit="1" customWidth="1"/>
    <col min="16" max="16" width="11.81640625" bestFit="1" customWidth="1"/>
  </cols>
  <sheetData>
    <row r="1" spans="2:16" ht="15" thickBot="1" x14ac:dyDescent="0.4"/>
    <row r="2" spans="2:16" ht="15" thickBot="1" x14ac:dyDescent="0.4">
      <c r="B2" s="49"/>
      <c r="C2" s="49"/>
      <c r="D2" s="50"/>
      <c r="E2" s="51" t="s">
        <v>43</v>
      </c>
      <c r="F2" s="51" t="s">
        <v>44</v>
      </c>
      <c r="G2" s="52" t="s">
        <v>46</v>
      </c>
      <c r="H2" s="52" t="s">
        <v>45</v>
      </c>
      <c r="I2" s="53" t="s">
        <v>47</v>
      </c>
      <c r="J2" s="53" t="s">
        <v>48</v>
      </c>
      <c r="K2" s="52" t="s">
        <v>49</v>
      </c>
      <c r="L2" s="52" t="s">
        <v>50</v>
      </c>
      <c r="M2" s="54" t="s">
        <v>51</v>
      </c>
      <c r="N2" s="57" t="s">
        <v>52</v>
      </c>
      <c r="O2" s="63" t="s">
        <v>30</v>
      </c>
      <c r="P2" s="64" t="s">
        <v>53</v>
      </c>
    </row>
    <row r="3" spans="2:16" x14ac:dyDescent="0.35">
      <c r="B3" s="35" t="s">
        <v>37</v>
      </c>
      <c r="C3" s="35" t="s">
        <v>37</v>
      </c>
      <c r="D3" s="31" t="s">
        <v>9</v>
      </c>
      <c r="E3" s="37">
        <v>149</v>
      </c>
      <c r="F3" s="37">
        <v>36</v>
      </c>
      <c r="G3" s="31"/>
      <c r="H3" s="31"/>
      <c r="I3" s="42"/>
      <c r="J3" s="42"/>
      <c r="K3" s="31"/>
      <c r="L3" s="31"/>
      <c r="M3" s="58"/>
      <c r="N3" s="65"/>
      <c r="O3" s="71"/>
      <c r="P3" s="66"/>
    </row>
    <row r="4" spans="2:16" x14ac:dyDescent="0.35">
      <c r="B4" s="32" t="s">
        <v>68</v>
      </c>
      <c r="C4" s="32" t="s">
        <v>68</v>
      </c>
      <c r="D4" s="28" t="s">
        <v>10</v>
      </c>
      <c r="E4" s="38">
        <v>157</v>
      </c>
      <c r="F4" s="38">
        <v>45</v>
      </c>
      <c r="G4" s="28"/>
      <c r="H4" s="28"/>
      <c r="I4" s="43"/>
      <c r="J4" s="43"/>
      <c r="K4" s="28"/>
      <c r="L4" s="28"/>
      <c r="M4" s="59"/>
      <c r="N4" s="67"/>
      <c r="O4" s="72"/>
      <c r="P4" s="68"/>
    </row>
    <row r="5" spans="2:16" ht="15" thickBot="1" x14ac:dyDescent="0.4">
      <c r="B5" s="33"/>
      <c r="C5" s="33"/>
      <c r="D5" s="34" t="s">
        <v>11</v>
      </c>
      <c r="E5" s="39">
        <v>98</v>
      </c>
      <c r="F5" s="39">
        <v>70</v>
      </c>
      <c r="G5" s="34"/>
      <c r="H5" s="34"/>
      <c r="I5" s="44"/>
      <c r="J5" s="44"/>
      <c r="K5" s="34"/>
      <c r="L5" s="34"/>
      <c r="M5" s="60"/>
      <c r="N5" s="69"/>
      <c r="O5" s="73"/>
      <c r="P5" s="70"/>
    </row>
    <row r="6" spans="2:16" x14ac:dyDescent="0.35">
      <c r="B6" s="55" t="s">
        <v>39</v>
      </c>
      <c r="C6" s="55" t="s">
        <v>54</v>
      </c>
      <c r="D6" s="30" t="s">
        <v>9</v>
      </c>
      <c r="E6" s="40">
        <v>159</v>
      </c>
      <c r="F6" s="40">
        <v>90</v>
      </c>
      <c r="G6" s="30"/>
      <c r="H6" s="30"/>
      <c r="I6" s="45"/>
      <c r="J6" s="45"/>
      <c r="K6" s="30"/>
      <c r="L6" s="30"/>
      <c r="M6" s="48"/>
      <c r="N6" s="61"/>
      <c r="O6" s="74"/>
      <c r="P6" s="75"/>
    </row>
    <row r="7" spans="2:16" x14ac:dyDescent="0.35">
      <c r="B7" s="32" t="s">
        <v>74</v>
      </c>
      <c r="C7" s="32" t="s">
        <v>74</v>
      </c>
      <c r="D7" s="28" t="s">
        <v>10</v>
      </c>
      <c r="E7" s="38">
        <v>205</v>
      </c>
      <c r="F7" s="38">
        <v>88</v>
      </c>
      <c r="G7" s="28"/>
      <c r="H7" s="28"/>
      <c r="I7" s="43"/>
      <c r="J7" s="43"/>
      <c r="K7" s="28"/>
      <c r="L7" s="28"/>
      <c r="M7" s="47"/>
      <c r="N7" s="59"/>
      <c r="O7" s="72"/>
      <c r="P7" s="68"/>
    </row>
    <row r="8" spans="2:16" ht="15" thickBot="1" x14ac:dyDescent="0.4">
      <c r="B8" s="56"/>
      <c r="C8" s="56"/>
      <c r="D8" s="29" t="s">
        <v>11</v>
      </c>
      <c r="E8" s="36">
        <v>126</v>
      </c>
      <c r="F8" s="36">
        <v>137</v>
      </c>
      <c r="G8" s="29"/>
      <c r="H8" s="29"/>
      <c r="I8" s="41"/>
      <c r="J8" s="41"/>
      <c r="K8" s="29"/>
      <c r="L8" s="29"/>
      <c r="M8" s="46"/>
      <c r="N8" s="62"/>
      <c r="O8" s="76"/>
      <c r="P8" s="77"/>
    </row>
    <row r="9" spans="2:16" ht="15" thickBot="1" x14ac:dyDescent="0.4">
      <c r="B9" s="35" t="s">
        <v>40</v>
      </c>
      <c r="C9" s="35" t="s">
        <v>40</v>
      </c>
      <c r="D9" s="31" t="s">
        <v>9</v>
      </c>
      <c r="E9" s="37">
        <v>80</v>
      </c>
      <c r="F9" s="37">
        <v>19</v>
      </c>
      <c r="G9" s="31">
        <v>140</v>
      </c>
      <c r="H9" s="31">
        <v>53</v>
      </c>
      <c r="I9" s="42">
        <v>51</v>
      </c>
      <c r="J9" s="42">
        <v>60</v>
      </c>
      <c r="K9" s="31">
        <v>166</v>
      </c>
      <c r="L9" s="31">
        <v>60</v>
      </c>
      <c r="M9" s="58">
        <v>105</v>
      </c>
      <c r="N9" s="58" t="s">
        <v>61</v>
      </c>
      <c r="O9" s="71"/>
      <c r="P9" s="66"/>
    </row>
    <row r="10" spans="2:16" ht="15" thickBot="1" x14ac:dyDescent="0.4">
      <c r="B10" s="32" t="s">
        <v>75</v>
      </c>
      <c r="C10" s="32" t="s">
        <v>75</v>
      </c>
      <c r="D10" s="28" t="s">
        <v>10</v>
      </c>
      <c r="E10" s="38">
        <v>85</v>
      </c>
      <c r="F10" s="38">
        <v>24</v>
      </c>
      <c r="G10" s="28">
        <v>178</v>
      </c>
      <c r="H10" s="28">
        <v>67</v>
      </c>
      <c r="I10" s="43">
        <v>83</v>
      </c>
      <c r="J10" s="43">
        <v>76</v>
      </c>
      <c r="K10" s="28">
        <v>147</v>
      </c>
      <c r="L10" s="28">
        <v>76</v>
      </c>
      <c r="M10" s="58">
        <v>133</v>
      </c>
      <c r="N10" s="58" t="s">
        <v>61</v>
      </c>
      <c r="O10" s="72"/>
      <c r="P10" s="68"/>
    </row>
    <row r="11" spans="2:16" ht="15" thickBot="1" x14ac:dyDescent="0.4">
      <c r="B11" s="33"/>
      <c r="C11" s="33"/>
      <c r="D11" s="34" t="s">
        <v>11</v>
      </c>
      <c r="E11" s="39">
        <v>53</v>
      </c>
      <c r="F11" s="39">
        <v>38</v>
      </c>
      <c r="G11" s="34">
        <v>168</v>
      </c>
      <c r="H11" s="34">
        <v>78</v>
      </c>
      <c r="I11" s="44">
        <v>156</v>
      </c>
      <c r="J11" s="44">
        <v>40</v>
      </c>
      <c r="K11" s="34">
        <v>101</v>
      </c>
      <c r="L11" s="34">
        <v>134</v>
      </c>
      <c r="M11" s="58">
        <v>125</v>
      </c>
      <c r="N11" s="58" t="s">
        <v>61</v>
      </c>
      <c r="O11" s="73"/>
      <c r="P11" s="70"/>
    </row>
    <row r="12" spans="2:16" ht="15" thickBot="1" x14ac:dyDescent="0.4">
      <c r="B12" s="55" t="s">
        <v>41</v>
      </c>
      <c r="C12" s="55" t="s">
        <v>41</v>
      </c>
      <c r="D12" s="30" t="s">
        <v>9</v>
      </c>
      <c r="E12" s="40">
        <v>2</v>
      </c>
      <c r="F12" s="40">
        <v>0.5</v>
      </c>
      <c r="G12" s="30">
        <v>3</v>
      </c>
      <c r="H12" s="30">
        <v>1.4</v>
      </c>
      <c r="I12" s="45">
        <v>1</v>
      </c>
      <c r="J12" s="45">
        <v>1.7</v>
      </c>
      <c r="K12" s="30">
        <v>3</v>
      </c>
      <c r="L12" s="30">
        <v>1.2</v>
      </c>
      <c r="M12" s="58">
        <v>3</v>
      </c>
      <c r="N12" s="58" t="s">
        <v>61</v>
      </c>
      <c r="O12" s="74"/>
      <c r="P12" s="75"/>
    </row>
    <row r="13" spans="2:16" ht="15" thickBot="1" x14ac:dyDescent="0.4">
      <c r="B13" s="32" t="s">
        <v>76</v>
      </c>
      <c r="C13" s="32" t="s">
        <v>76</v>
      </c>
      <c r="D13" s="28" t="s">
        <v>10</v>
      </c>
      <c r="E13" s="38">
        <v>2</v>
      </c>
      <c r="F13" s="38">
        <v>0.7</v>
      </c>
      <c r="G13" s="28">
        <v>5</v>
      </c>
      <c r="H13" s="28">
        <v>1.7</v>
      </c>
      <c r="I13" s="43">
        <v>2</v>
      </c>
      <c r="J13" s="43">
        <v>1.7</v>
      </c>
      <c r="K13" s="28">
        <v>3</v>
      </c>
      <c r="L13" s="28">
        <v>1.5</v>
      </c>
      <c r="M13" s="58">
        <v>3</v>
      </c>
      <c r="N13" s="58" t="s">
        <v>61</v>
      </c>
      <c r="O13" s="72"/>
      <c r="P13" s="68"/>
    </row>
    <row r="14" spans="2:16" ht="15" thickBot="1" x14ac:dyDescent="0.4">
      <c r="B14" s="56"/>
      <c r="C14" s="56"/>
      <c r="D14" s="29" t="s">
        <v>11</v>
      </c>
      <c r="E14" s="36">
        <v>1</v>
      </c>
      <c r="F14" s="36">
        <v>1</v>
      </c>
      <c r="G14" s="29">
        <v>5</v>
      </c>
      <c r="H14" s="29">
        <v>2.2999999999999998</v>
      </c>
      <c r="I14" s="41">
        <v>5</v>
      </c>
      <c r="J14" s="41">
        <v>3.4</v>
      </c>
      <c r="K14" s="29">
        <v>2</v>
      </c>
      <c r="L14" s="29">
        <v>2.7</v>
      </c>
      <c r="M14" s="58">
        <v>3</v>
      </c>
      <c r="N14" s="58" t="s">
        <v>61</v>
      </c>
      <c r="O14" s="76"/>
      <c r="P14" s="77"/>
    </row>
    <row r="15" spans="2:16" x14ac:dyDescent="0.35">
      <c r="B15" s="35" t="s">
        <v>42</v>
      </c>
      <c r="C15" s="35" t="s">
        <v>63</v>
      </c>
      <c r="D15" s="31" t="s">
        <v>9</v>
      </c>
      <c r="E15" s="37"/>
      <c r="F15" s="37"/>
      <c r="G15" s="31"/>
      <c r="H15" s="31"/>
      <c r="I15" s="42"/>
      <c r="J15" s="42"/>
      <c r="K15" s="31"/>
      <c r="L15" s="31"/>
      <c r="M15" s="58"/>
      <c r="N15" s="65"/>
      <c r="O15" s="71">
        <v>238</v>
      </c>
      <c r="P15" s="66">
        <v>49</v>
      </c>
    </row>
    <row r="16" spans="2:16" x14ac:dyDescent="0.35">
      <c r="B16" s="32" t="s">
        <v>116</v>
      </c>
      <c r="C16" s="32" t="s">
        <v>77</v>
      </c>
      <c r="D16" s="28" t="s">
        <v>10</v>
      </c>
      <c r="E16" s="38"/>
      <c r="F16" s="38"/>
      <c r="G16" s="28"/>
      <c r="H16" s="28"/>
      <c r="I16" s="43"/>
      <c r="J16" s="43"/>
      <c r="K16" s="28"/>
      <c r="L16" s="28"/>
      <c r="M16" s="59"/>
      <c r="N16" s="67"/>
      <c r="O16" s="72">
        <v>309</v>
      </c>
      <c r="P16" s="68">
        <v>60</v>
      </c>
    </row>
    <row r="17" spans="2:16" ht="15" thickBot="1" x14ac:dyDescent="0.4">
      <c r="B17" s="33"/>
      <c r="C17" s="33"/>
      <c r="D17" s="34" t="s">
        <v>11</v>
      </c>
      <c r="E17" s="39"/>
      <c r="F17" s="39"/>
      <c r="G17" s="34"/>
      <c r="H17" s="34"/>
      <c r="I17" s="44"/>
      <c r="J17" s="44"/>
      <c r="K17" s="34"/>
      <c r="L17" s="34"/>
      <c r="M17" s="60"/>
      <c r="N17" s="69"/>
      <c r="O17" s="73">
        <v>258</v>
      </c>
      <c r="P17" s="70">
        <v>102</v>
      </c>
    </row>
    <row r="18" spans="2:16" ht="15" thickBot="1" x14ac:dyDescent="0.4"/>
    <row r="19" spans="2:16" x14ac:dyDescent="0.35">
      <c r="D19" s="31"/>
      <c r="E19" t="s">
        <v>43</v>
      </c>
      <c r="F19" t="s">
        <v>44</v>
      </c>
      <c r="G19" t="s">
        <v>46</v>
      </c>
      <c r="H19" t="s">
        <v>45</v>
      </c>
      <c r="I19" t="s">
        <v>47</v>
      </c>
      <c r="J19" t="s">
        <v>48</v>
      </c>
      <c r="K19" t="s">
        <v>49</v>
      </c>
      <c r="L19" t="s">
        <v>50</v>
      </c>
      <c r="M19" t="s">
        <v>51</v>
      </c>
      <c r="N19" s="78" t="s">
        <v>52</v>
      </c>
      <c r="O19" t="s">
        <v>30</v>
      </c>
      <c r="P19" t="s">
        <v>53</v>
      </c>
    </row>
    <row r="20" spans="2:16" x14ac:dyDescent="0.35">
      <c r="D20" s="28" t="s">
        <v>9</v>
      </c>
      <c r="E20">
        <f>SUM(E3,E6,E9,E12,E15)</f>
        <v>390</v>
      </c>
      <c r="F20">
        <f>SUM(F3,F6,F9,F12,F15)</f>
        <v>145.5</v>
      </c>
      <c r="G20">
        <f t="shared" ref="G20:P20" si="0">SUM(G3,G6,G9,G12,G15)</f>
        <v>143</v>
      </c>
      <c r="H20">
        <f t="shared" si="0"/>
        <v>54.4</v>
      </c>
      <c r="I20">
        <f t="shared" si="0"/>
        <v>52</v>
      </c>
      <c r="J20">
        <f t="shared" si="0"/>
        <v>61.7</v>
      </c>
      <c r="K20">
        <f t="shared" si="0"/>
        <v>169</v>
      </c>
      <c r="L20">
        <f t="shared" si="0"/>
        <v>61.2</v>
      </c>
      <c r="M20">
        <f t="shared" si="0"/>
        <v>108</v>
      </c>
      <c r="N20">
        <f t="shared" si="0"/>
        <v>0</v>
      </c>
      <c r="O20">
        <f>SUM(O3,O6,O9,O12,O15)</f>
        <v>238</v>
      </c>
      <c r="P20">
        <f>SUM(P3,P6,P9,P12,P15)</f>
        <v>49</v>
      </c>
    </row>
    <row r="21" spans="2:16" ht="15" thickBot="1" x14ac:dyDescent="0.4">
      <c r="D21" s="34" t="s">
        <v>10</v>
      </c>
      <c r="E21">
        <f t="shared" ref="E21:P22" si="1">SUM(E4,E7,E10,E13,E16)</f>
        <v>449</v>
      </c>
      <c r="F21">
        <f t="shared" si="1"/>
        <v>157.69999999999999</v>
      </c>
      <c r="G21">
        <f t="shared" si="1"/>
        <v>183</v>
      </c>
      <c r="H21">
        <f t="shared" si="1"/>
        <v>68.7</v>
      </c>
      <c r="I21">
        <f t="shared" si="1"/>
        <v>85</v>
      </c>
      <c r="J21">
        <f t="shared" si="1"/>
        <v>77.7</v>
      </c>
      <c r="K21">
        <f t="shared" si="1"/>
        <v>150</v>
      </c>
      <c r="L21">
        <f t="shared" si="1"/>
        <v>77.5</v>
      </c>
      <c r="M21">
        <f t="shared" si="1"/>
        <v>136</v>
      </c>
      <c r="N21">
        <f t="shared" si="1"/>
        <v>0</v>
      </c>
      <c r="O21">
        <f t="shared" si="1"/>
        <v>309</v>
      </c>
      <c r="P21">
        <f>SUM(P4,P7,P10,P13,P16)</f>
        <v>60</v>
      </c>
    </row>
    <row r="22" spans="2:16" x14ac:dyDescent="0.35">
      <c r="D22" t="s">
        <v>11</v>
      </c>
      <c r="E22">
        <f t="shared" si="1"/>
        <v>278</v>
      </c>
      <c r="F22">
        <f t="shared" si="1"/>
        <v>246</v>
      </c>
      <c r="G22">
        <f t="shared" si="1"/>
        <v>173</v>
      </c>
      <c r="H22">
        <f t="shared" si="1"/>
        <v>80.3</v>
      </c>
      <c r="I22">
        <f t="shared" si="1"/>
        <v>161</v>
      </c>
      <c r="J22">
        <f t="shared" si="1"/>
        <v>43.4</v>
      </c>
      <c r="K22">
        <f t="shared" si="1"/>
        <v>103</v>
      </c>
      <c r="L22">
        <f t="shared" si="1"/>
        <v>136.69999999999999</v>
      </c>
      <c r="M22">
        <f t="shared" si="1"/>
        <v>128</v>
      </c>
      <c r="N22">
        <f t="shared" si="1"/>
        <v>0</v>
      </c>
      <c r="O22">
        <f t="shared" si="1"/>
        <v>258</v>
      </c>
      <c r="P22">
        <f t="shared" si="1"/>
        <v>102</v>
      </c>
    </row>
  </sheetData>
  <pageMargins left="0.7" right="0.7" top="0.75" bottom="0.75" header="0.3" footer="0.3"/>
  <pageSetup paperSize="9" scale="67" fitToHeight="0" orientation="landscape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topLeftCell="A10" zoomScale="80" zoomScaleNormal="80" workbookViewId="0">
      <selection activeCell="J20" sqref="J20"/>
    </sheetView>
  </sheetViews>
  <sheetFormatPr defaultRowHeight="14.5" x14ac:dyDescent="0.35"/>
  <cols>
    <col min="2" max="2" width="19.6328125" bestFit="1" customWidth="1"/>
    <col min="4" max="4" width="8.36328125" bestFit="1" customWidth="1"/>
    <col min="5" max="5" width="10.08984375" bestFit="1" customWidth="1"/>
    <col min="6" max="6" width="13.81640625" bestFit="1" customWidth="1"/>
    <col min="7" max="7" width="13.6328125" bestFit="1" customWidth="1"/>
    <col min="8" max="8" width="8.453125" bestFit="1" customWidth="1"/>
    <col min="9" max="9" width="9.7265625" bestFit="1" customWidth="1"/>
    <col min="10" max="10" width="7.81640625" bestFit="1" customWidth="1"/>
    <col min="11" max="11" width="9.08984375" bestFit="1" customWidth="1"/>
    <col min="12" max="12" width="7.6328125" bestFit="1" customWidth="1"/>
    <col min="13" max="13" width="8.90625" bestFit="1" customWidth="1"/>
    <col min="14" max="14" width="10.54296875" bestFit="1" customWidth="1"/>
    <col min="15" max="15" width="11.81640625" bestFit="1" customWidth="1"/>
  </cols>
  <sheetData>
    <row r="1" spans="2:15" ht="15" thickBot="1" x14ac:dyDescent="0.4"/>
    <row r="2" spans="2:15" ht="15" thickBot="1" x14ac:dyDescent="0.4">
      <c r="B2" s="49"/>
      <c r="C2" s="50"/>
      <c r="D2" s="51" t="s">
        <v>43</v>
      </c>
      <c r="E2" s="51" t="s">
        <v>44</v>
      </c>
      <c r="F2" s="52" t="s">
        <v>46</v>
      </c>
      <c r="G2" s="52" t="s">
        <v>45</v>
      </c>
      <c r="H2" s="53" t="s">
        <v>47</v>
      </c>
      <c r="I2" s="53" t="s">
        <v>48</v>
      </c>
      <c r="J2" s="52" t="s">
        <v>49</v>
      </c>
      <c r="K2" s="52" t="s">
        <v>50</v>
      </c>
      <c r="L2" s="54" t="s">
        <v>51</v>
      </c>
      <c r="M2" s="57" t="s">
        <v>52</v>
      </c>
      <c r="N2" s="63" t="s">
        <v>30</v>
      </c>
      <c r="O2" s="64" t="s">
        <v>53</v>
      </c>
    </row>
    <row r="3" spans="2:15" x14ac:dyDescent="0.35">
      <c r="B3" s="35" t="s">
        <v>37</v>
      </c>
      <c r="C3" s="31" t="s">
        <v>9</v>
      </c>
      <c r="D3" s="37">
        <v>47</v>
      </c>
      <c r="E3" s="37">
        <v>12</v>
      </c>
      <c r="F3" s="31"/>
      <c r="G3" s="31"/>
      <c r="H3" s="42"/>
      <c r="I3" s="42"/>
      <c r="J3" s="31"/>
      <c r="K3" s="31"/>
      <c r="L3" s="58"/>
      <c r="M3" s="65"/>
      <c r="N3" s="71"/>
      <c r="O3" s="66"/>
    </row>
    <row r="4" spans="2:15" x14ac:dyDescent="0.35">
      <c r="B4" s="32" t="s">
        <v>78</v>
      </c>
      <c r="C4" s="28" t="s">
        <v>10</v>
      </c>
      <c r="D4" s="38">
        <v>51</v>
      </c>
      <c r="E4" s="38">
        <v>15</v>
      </c>
      <c r="F4" s="28"/>
      <c r="G4" s="28"/>
      <c r="H4" s="43"/>
      <c r="I4" s="43"/>
      <c r="J4" s="28"/>
      <c r="K4" s="28"/>
      <c r="L4" s="59"/>
      <c r="M4" s="67"/>
      <c r="N4" s="72"/>
      <c r="O4" s="68"/>
    </row>
    <row r="5" spans="2:15" ht="15" thickBot="1" x14ac:dyDescent="0.4">
      <c r="B5" s="33"/>
      <c r="C5" s="34" t="s">
        <v>11</v>
      </c>
      <c r="D5" s="39">
        <v>33</v>
      </c>
      <c r="E5" s="39">
        <v>23</v>
      </c>
      <c r="F5" s="34"/>
      <c r="G5" s="34"/>
      <c r="H5" s="44"/>
      <c r="I5" s="44"/>
      <c r="J5" s="34"/>
      <c r="K5" s="34"/>
      <c r="L5" s="60"/>
      <c r="M5" s="69"/>
      <c r="N5" s="73"/>
      <c r="O5" s="70"/>
    </row>
    <row r="6" spans="2:15" x14ac:dyDescent="0.35">
      <c r="B6" s="55" t="s">
        <v>54</v>
      </c>
      <c r="C6" s="30" t="s">
        <v>9</v>
      </c>
      <c r="D6" s="40">
        <v>86</v>
      </c>
      <c r="E6" s="40">
        <v>31</v>
      </c>
      <c r="F6" s="30"/>
      <c r="G6" s="30"/>
      <c r="H6" s="45"/>
      <c r="I6" s="45"/>
      <c r="J6" s="30"/>
      <c r="K6" s="30"/>
      <c r="L6" s="48"/>
      <c r="M6" s="61"/>
      <c r="N6" s="74"/>
      <c r="O6" s="75"/>
    </row>
    <row r="7" spans="2:15" x14ac:dyDescent="0.35">
      <c r="B7" s="32" t="s">
        <v>79</v>
      </c>
      <c r="C7" s="28" t="s">
        <v>10</v>
      </c>
      <c r="D7" s="38">
        <v>91</v>
      </c>
      <c r="E7" s="38">
        <v>39</v>
      </c>
      <c r="F7" s="28"/>
      <c r="G7" s="28"/>
      <c r="H7" s="43"/>
      <c r="I7" s="43"/>
      <c r="J7" s="28"/>
      <c r="K7" s="28"/>
      <c r="L7" s="47"/>
      <c r="M7" s="59"/>
      <c r="N7" s="72"/>
      <c r="O7" s="68"/>
    </row>
    <row r="8" spans="2:15" ht="15" thickBot="1" x14ac:dyDescent="0.4">
      <c r="B8" s="56"/>
      <c r="C8" s="29" t="s">
        <v>11</v>
      </c>
      <c r="D8" s="36">
        <v>56</v>
      </c>
      <c r="E8" s="36">
        <v>62</v>
      </c>
      <c r="F8" s="29"/>
      <c r="G8" s="29"/>
      <c r="H8" s="41"/>
      <c r="I8" s="41"/>
      <c r="J8" s="29"/>
      <c r="K8" s="29"/>
      <c r="L8" s="46"/>
      <c r="M8" s="62"/>
      <c r="N8" s="76"/>
      <c r="O8" s="77"/>
    </row>
    <row r="9" spans="2:15" ht="15" thickBot="1" x14ac:dyDescent="0.4">
      <c r="B9" s="35" t="s">
        <v>40</v>
      </c>
      <c r="C9" s="31" t="s">
        <v>9</v>
      </c>
      <c r="D9" s="37">
        <v>10</v>
      </c>
      <c r="E9" s="37">
        <v>3</v>
      </c>
      <c r="F9" s="31">
        <v>18</v>
      </c>
      <c r="G9" s="31">
        <v>7</v>
      </c>
      <c r="H9" s="42">
        <v>7</v>
      </c>
      <c r="I9" s="42">
        <v>8</v>
      </c>
      <c r="J9" s="31">
        <v>22</v>
      </c>
      <c r="K9" s="31">
        <v>8</v>
      </c>
      <c r="L9" s="58">
        <v>14</v>
      </c>
      <c r="M9" s="58" t="s">
        <v>61</v>
      </c>
      <c r="N9" s="71"/>
      <c r="O9" s="66"/>
    </row>
    <row r="10" spans="2:15" ht="15" thickBot="1" x14ac:dyDescent="0.4">
      <c r="B10" s="32" t="s">
        <v>80</v>
      </c>
      <c r="C10" s="28" t="s">
        <v>10</v>
      </c>
      <c r="D10" s="38">
        <v>11</v>
      </c>
      <c r="E10" s="38">
        <v>3</v>
      </c>
      <c r="F10" s="28">
        <v>23</v>
      </c>
      <c r="G10" s="28">
        <v>9</v>
      </c>
      <c r="H10" s="43">
        <v>11</v>
      </c>
      <c r="I10" s="43">
        <v>10</v>
      </c>
      <c r="J10" s="28">
        <v>19</v>
      </c>
      <c r="K10" s="28">
        <v>10</v>
      </c>
      <c r="L10" s="58">
        <v>17</v>
      </c>
      <c r="M10" s="58" t="s">
        <v>61</v>
      </c>
      <c r="N10" s="72"/>
      <c r="O10" s="68"/>
    </row>
    <row r="11" spans="2:15" ht="15" thickBot="1" x14ac:dyDescent="0.4">
      <c r="B11" s="33"/>
      <c r="C11" s="34" t="s">
        <v>11</v>
      </c>
      <c r="D11" s="39">
        <v>7</v>
      </c>
      <c r="E11" s="39">
        <v>5</v>
      </c>
      <c r="F11" s="34">
        <v>22</v>
      </c>
      <c r="G11" s="34">
        <v>10</v>
      </c>
      <c r="H11" s="44">
        <v>20</v>
      </c>
      <c r="I11" s="44">
        <v>5</v>
      </c>
      <c r="J11" s="34">
        <v>13</v>
      </c>
      <c r="K11" s="34">
        <v>18</v>
      </c>
      <c r="L11" s="58">
        <v>16</v>
      </c>
      <c r="M11" s="58" t="s">
        <v>61</v>
      </c>
      <c r="N11" s="73"/>
      <c r="O11" s="70"/>
    </row>
    <row r="12" spans="2:15" ht="15" thickBot="1" x14ac:dyDescent="0.4">
      <c r="B12" s="55" t="s">
        <v>41</v>
      </c>
      <c r="C12" s="30" t="s">
        <v>9</v>
      </c>
      <c r="D12" s="40">
        <v>39</v>
      </c>
      <c r="E12" s="40">
        <v>9</v>
      </c>
      <c r="F12" s="30">
        <v>68</v>
      </c>
      <c r="G12" s="30">
        <v>25</v>
      </c>
      <c r="H12" s="45">
        <v>27</v>
      </c>
      <c r="I12" s="45">
        <v>30</v>
      </c>
      <c r="J12" s="30">
        <v>58</v>
      </c>
      <c r="K12" s="30">
        <v>21</v>
      </c>
      <c r="L12" s="58">
        <v>51</v>
      </c>
      <c r="M12" s="58" t="s">
        <v>61</v>
      </c>
      <c r="N12" s="74"/>
      <c r="O12" s="75"/>
    </row>
    <row r="13" spans="2:15" ht="15" thickBot="1" x14ac:dyDescent="0.4">
      <c r="B13" s="32" t="s">
        <v>81</v>
      </c>
      <c r="C13" s="28" t="s">
        <v>10</v>
      </c>
      <c r="D13" s="38">
        <v>41</v>
      </c>
      <c r="E13" s="38">
        <v>12</v>
      </c>
      <c r="F13" s="28">
        <v>85</v>
      </c>
      <c r="G13" s="28">
        <v>32</v>
      </c>
      <c r="H13" s="43">
        <v>44</v>
      </c>
      <c r="I13" s="43">
        <v>31</v>
      </c>
      <c r="J13" s="28">
        <v>51</v>
      </c>
      <c r="K13" s="28">
        <v>27</v>
      </c>
      <c r="L13" s="58">
        <v>64</v>
      </c>
      <c r="M13" s="58" t="s">
        <v>61</v>
      </c>
      <c r="N13" s="72"/>
      <c r="O13" s="68"/>
    </row>
    <row r="14" spans="2:15" ht="15" thickBot="1" x14ac:dyDescent="0.4">
      <c r="B14" s="56"/>
      <c r="C14" s="29" t="s">
        <v>11</v>
      </c>
      <c r="D14" s="36">
        <v>26</v>
      </c>
      <c r="E14" s="36">
        <v>18</v>
      </c>
      <c r="F14" s="29">
        <v>81</v>
      </c>
      <c r="G14" s="29">
        <v>38</v>
      </c>
      <c r="H14" s="41">
        <v>82</v>
      </c>
      <c r="I14" s="41">
        <v>59</v>
      </c>
      <c r="J14" s="29">
        <v>36</v>
      </c>
      <c r="K14" s="29">
        <v>47</v>
      </c>
      <c r="L14" s="58">
        <v>60</v>
      </c>
      <c r="M14" s="58" t="s">
        <v>61</v>
      </c>
      <c r="N14" s="76"/>
      <c r="O14" s="77"/>
    </row>
    <row r="15" spans="2:15" x14ac:dyDescent="0.35">
      <c r="B15" s="35" t="s">
        <v>63</v>
      </c>
      <c r="C15" s="31" t="s">
        <v>9</v>
      </c>
      <c r="D15" s="37"/>
      <c r="E15" s="37"/>
      <c r="F15" s="31"/>
      <c r="G15" s="31"/>
      <c r="H15" s="42"/>
      <c r="I15" s="42"/>
      <c r="J15" s="31"/>
      <c r="K15" s="31"/>
      <c r="L15" s="58"/>
      <c r="M15" s="65"/>
      <c r="N15" s="71">
        <v>119</v>
      </c>
      <c r="O15" s="66">
        <v>21</v>
      </c>
    </row>
    <row r="16" spans="2:15" x14ac:dyDescent="0.35">
      <c r="B16" s="32" t="s">
        <v>59</v>
      </c>
      <c r="C16" s="28" t="s">
        <v>10</v>
      </c>
      <c r="D16" s="38"/>
      <c r="E16" s="38"/>
      <c r="F16" s="28"/>
      <c r="G16" s="28"/>
      <c r="H16" s="43"/>
      <c r="I16" s="43"/>
      <c r="J16" s="28"/>
      <c r="K16" s="28"/>
      <c r="L16" s="59"/>
      <c r="M16" s="67"/>
      <c r="N16" s="72">
        <v>143</v>
      </c>
      <c r="O16" s="68">
        <v>28</v>
      </c>
    </row>
    <row r="17" spans="2:15" ht="15" thickBot="1" x14ac:dyDescent="0.4">
      <c r="B17" s="33"/>
      <c r="C17" s="34" t="s">
        <v>11</v>
      </c>
      <c r="D17" s="39"/>
      <c r="E17" s="39"/>
      <c r="F17" s="34"/>
      <c r="G17" s="34"/>
      <c r="H17" s="44"/>
      <c r="I17" s="44"/>
      <c r="J17" s="34"/>
      <c r="K17" s="34"/>
      <c r="L17" s="60"/>
      <c r="M17" s="69"/>
      <c r="N17" s="73">
        <v>119</v>
      </c>
      <c r="O17" s="70">
        <v>51</v>
      </c>
    </row>
    <row r="18" spans="2:15" ht="15" thickBot="1" x14ac:dyDescent="0.4"/>
    <row r="19" spans="2:15" x14ac:dyDescent="0.35">
      <c r="C19" s="31"/>
      <c r="D19" t="s">
        <v>43</v>
      </c>
      <c r="E19" t="s">
        <v>44</v>
      </c>
      <c r="F19" t="s">
        <v>46</v>
      </c>
      <c r="G19" t="s">
        <v>45</v>
      </c>
      <c r="H19" t="s">
        <v>47</v>
      </c>
      <c r="I19" t="s">
        <v>48</v>
      </c>
      <c r="J19" t="s">
        <v>49</v>
      </c>
      <c r="K19" t="s">
        <v>50</v>
      </c>
      <c r="L19" t="s">
        <v>51</v>
      </c>
      <c r="M19" s="78" t="s">
        <v>52</v>
      </c>
      <c r="N19" t="s">
        <v>30</v>
      </c>
      <c r="O19" t="s">
        <v>53</v>
      </c>
    </row>
    <row r="20" spans="2:15" x14ac:dyDescent="0.35">
      <c r="C20" s="28" t="s">
        <v>9</v>
      </c>
      <c r="D20">
        <f>SUM(D3,D6,D9,D12,D15)</f>
        <v>182</v>
      </c>
      <c r="E20">
        <f>SUM(E3,E6,E9,E12,E15)</f>
        <v>55</v>
      </c>
      <c r="F20">
        <f t="shared" ref="F20:O20" si="0">SUM(F3,F6,F9,F12,F15)</f>
        <v>86</v>
      </c>
      <c r="G20">
        <f t="shared" si="0"/>
        <v>32</v>
      </c>
      <c r="H20">
        <f t="shared" si="0"/>
        <v>34</v>
      </c>
      <c r="I20">
        <f t="shared" si="0"/>
        <v>38</v>
      </c>
      <c r="J20">
        <f t="shared" si="0"/>
        <v>80</v>
      </c>
      <c r="K20">
        <f t="shared" si="0"/>
        <v>29</v>
      </c>
      <c r="L20">
        <f t="shared" si="0"/>
        <v>65</v>
      </c>
      <c r="M20">
        <f t="shared" si="0"/>
        <v>0</v>
      </c>
      <c r="N20">
        <f t="shared" si="0"/>
        <v>119</v>
      </c>
      <c r="O20">
        <f t="shared" si="0"/>
        <v>21</v>
      </c>
    </row>
    <row r="21" spans="2:15" ht="15" thickBot="1" x14ac:dyDescent="0.4">
      <c r="C21" s="34" t="s">
        <v>10</v>
      </c>
      <c r="D21">
        <f t="shared" ref="D21:O22" si="1">SUM(D4,D7,D10,D13,D16)</f>
        <v>194</v>
      </c>
      <c r="E21">
        <f t="shared" si="1"/>
        <v>69</v>
      </c>
      <c r="F21">
        <f t="shared" si="1"/>
        <v>108</v>
      </c>
      <c r="G21">
        <f t="shared" si="1"/>
        <v>41</v>
      </c>
      <c r="H21">
        <f t="shared" si="1"/>
        <v>55</v>
      </c>
      <c r="I21">
        <f t="shared" si="1"/>
        <v>41</v>
      </c>
      <c r="J21">
        <f t="shared" si="1"/>
        <v>70</v>
      </c>
      <c r="K21">
        <f t="shared" si="1"/>
        <v>37</v>
      </c>
      <c r="L21">
        <f t="shared" si="1"/>
        <v>81</v>
      </c>
      <c r="M21">
        <f t="shared" si="1"/>
        <v>0</v>
      </c>
      <c r="N21">
        <f t="shared" si="1"/>
        <v>143</v>
      </c>
      <c r="O21">
        <f t="shared" si="1"/>
        <v>28</v>
      </c>
    </row>
    <row r="22" spans="2:15" x14ac:dyDescent="0.35">
      <c r="C22" t="s">
        <v>11</v>
      </c>
      <c r="D22">
        <f t="shared" si="1"/>
        <v>122</v>
      </c>
      <c r="E22">
        <f t="shared" si="1"/>
        <v>108</v>
      </c>
      <c r="F22">
        <f t="shared" si="1"/>
        <v>103</v>
      </c>
      <c r="G22">
        <f t="shared" si="1"/>
        <v>48</v>
      </c>
      <c r="H22">
        <f t="shared" si="1"/>
        <v>102</v>
      </c>
      <c r="I22">
        <f t="shared" si="1"/>
        <v>64</v>
      </c>
      <c r="J22">
        <f t="shared" si="1"/>
        <v>49</v>
      </c>
      <c r="K22">
        <f t="shared" si="1"/>
        <v>65</v>
      </c>
      <c r="L22">
        <f t="shared" si="1"/>
        <v>76</v>
      </c>
      <c r="M22">
        <f t="shared" si="1"/>
        <v>0</v>
      </c>
      <c r="N22">
        <f t="shared" si="1"/>
        <v>119</v>
      </c>
      <c r="O22">
        <f t="shared" si="1"/>
        <v>51</v>
      </c>
    </row>
  </sheetData>
  <pageMargins left="0.7" right="0.7" top="0.75" bottom="0.75" header="0.3" footer="0.3"/>
  <pageSetup paperSize="9" scale="83" fitToHeight="0" orientation="landscape" horizont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50" zoomScaleNormal="50" workbookViewId="0">
      <selection activeCell="F20" sqref="F20"/>
    </sheetView>
  </sheetViews>
  <sheetFormatPr defaultRowHeight="14.5" x14ac:dyDescent="0.35"/>
  <cols>
    <col min="2" max="2" width="19.6328125" bestFit="1" customWidth="1"/>
    <col min="4" max="4" width="8.36328125" bestFit="1" customWidth="1"/>
    <col min="5" max="5" width="10.08984375" bestFit="1" customWidth="1"/>
    <col min="6" max="6" width="13.81640625" bestFit="1" customWidth="1"/>
    <col min="7" max="7" width="13.6328125" bestFit="1" customWidth="1"/>
    <col min="8" max="8" width="8.453125" bestFit="1" customWidth="1"/>
    <col min="9" max="9" width="9.7265625" bestFit="1" customWidth="1"/>
    <col min="10" max="10" width="7.81640625" bestFit="1" customWidth="1"/>
    <col min="11" max="11" width="9.08984375" bestFit="1" customWidth="1"/>
    <col min="12" max="12" width="7.6328125" bestFit="1" customWidth="1"/>
    <col min="13" max="13" width="8.90625" bestFit="1" customWidth="1"/>
    <col min="14" max="14" width="10.54296875" bestFit="1" customWidth="1"/>
    <col min="15" max="15" width="11.81640625" bestFit="1" customWidth="1"/>
  </cols>
  <sheetData>
    <row r="1" spans="2:15" ht="15" thickBot="1" x14ac:dyDescent="0.4"/>
    <row r="2" spans="2:15" ht="15" thickBot="1" x14ac:dyDescent="0.4">
      <c r="B2" s="49"/>
      <c r="C2" s="50"/>
      <c r="D2" s="51" t="s">
        <v>43</v>
      </c>
      <c r="E2" s="51" t="s">
        <v>44</v>
      </c>
      <c r="F2" s="52" t="s">
        <v>46</v>
      </c>
      <c r="G2" s="52" t="s">
        <v>45</v>
      </c>
      <c r="H2" s="53" t="s">
        <v>47</v>
      </c>
      <c r="I2" s="53" t="s">
        <v>48</v>
      </c>
      <c r="J2" s="52" t="s">
        <v>49</v>
      </c>
      <c r="K2" s="52" t="s">
        <v>50</v>
      </c>
      <c r="L2" s="54" t="s">
        <v>51</v>
      </c>
      <c r="M2" s="57" t="s">
        <v>52</v>
      </c>
      <c r="N2" s="63" t="s">
        <v>30</v>
      </c>
      <c r="O2" s="64" t="s">
        <v>53</v>
      </c>
    </row>
    <row r="3" spans="2:15" x14ac:dyDescent="0.35">
      <c r="B3" s="35" t="s">
        <v>37</v>
      </c>
      <c r="C3" s="31" t="s">
        <v>9</v>
      </c>
      <c r="D3" s="37">
        <v>88</v>
      </c>
      <c r="E3" s="37">
        <v>28</v>
      </c>
      <c r="F3" s="31"/>
      <c r="G3" s="31"/>
      <c r="H3" s="42"/>
      <c r="I3" s="42"/>
      <c r="J3" s="31"/>
      <c r="K3" s="31"/>
      <c r="L3" s="58"/>
      <c r="M3" s="65"/>
      <c r="N3" s="71"/>
      <c r="O3" s="66"/>
    </row>
    <row r="4" spans="2:15" x14ac:dyDescent="0.35">
      <c r="B4" s="32" t="s">
        <v>74</v>
      </c>
      <c r="C4" s="28" t="s">
        <v>10</v>
      </c>
      <c r="D4" s="38">
        <v>84</v>
      </c>
      <c r="E4" s="38">
        <v>20</v>
      </c>
      <c r="F4" s="28"/>
      <c r="G4" s="28"/>
      <c r="H4" s="43"/>
      <c r="I4" s="43"/>
      <c r="J4" s="28"/>
      <c r="K4" s="28"/>
      <c r="L4" s="59"/>
      <c r="M4" s="67"/>
      <c r="N4" s="72"/>
      <c r="O4" s="68"/>
    </row>
    <row r="5" spans="2:15" ht="15" thickBot="1" x14ac:dyDescent="0.4">
      <c r="B5" s="33"/>
      <c r="C5" s="34" t="s">
        <v>11</v>
      </c>
      <c r="D5" s="39">
        <v>54</v>
      </c>
      <c r="E5" s="39">
        <v>40</v>
      </c>
      <c r="F5" s="34"/>
      <c r="G5" s="34"/>
      <c r="H5" s="44"/>
      <c r="I5" s="44"/>
      <c r="J5" s="34"/>
      <c r="K5" s="34"/>
      <c r="L5" s="60"/>
      <c r="M5" s="69"/>
      <c r="N5" s="73"/>
      <c r="O5" s="70"/>
    </row>
    <row r="6" spans="2:15" x14ac:dyDescent="0.35">
      <c r="B6" s="55" t="s">
        <v>54</v>
      </c>
      <c r="C6" s="30" t="s">
        <v>9</v>
      </c>
      <c r="D6" s="40">
        <v>64</v>
      </c>
      <c r="E6" s="40">
        <v>23</v>
      </c>
      <c r="F6" s="30"/>
      <c r="G6" s="30"/>
      <c r="H6" s="45"/>
      <c r="I6" s="45"/>
      <c r="J6" s="30"/>
      <c r="K6" s="30"/>
      <c r="L6" s="48"/>
      <c r="M6" s="61"/>
      <c r="N6" s="74"/>
      <c r="O6" s="75"/>
    </row>
    <row r="7" spans="2:15" x14ac:dyDescent="0.35">
      <c r="B7" s="32" t="s">
        <v>82</v>
      </c>
      <c r="C7" s="28" t="s">
        <v>10</v>
      </c>
      <c r="D7" s="38">
        <v>68</v>
      </c>
      <c r="E7" s="38">
        <v>29</v>
      </c>
      <c r="F7" s="28"/>
      <c r="G7" s="28"/>
      <c r="H7" s="43"/>
      <c r="I7" s="43"/>
      <c r="J7" s="28"/>
      <c r="K7" s="28"/>
      <c r="L7" s="47"/>
      <c r="M7" s="59"/>
      <c r="N7" s="72"/>
      <c r="O7" s="68"/>
    </row>
    <row r="8" spans="2:15" ht="15" thickBot="1" x14ac:dyDescent="0.4">
      <c r="B8" s="56"/>
      <c r="C8" s="29" t="s">
        <v>11</v>
      </c>
      <c r="D8" s="36">
        <v>40</v>
      </c>
      <c r="E8" s="36">
        <v>45</v>
      </c>
      <c r="F8" s="29"/>
      <c r="G8" s="29"/>
      <c r="H8" s="41"/>
      <c r="I8" s="41"/>
      <c r="J8" s="29"/>
      <c r="K8" s="29"/>
      <c r="L8" s="46"/>
      <c r="M8" s="62"/>
      <c r="N8" s="76"/>
      <c r="O8" s="77"/>
    </row>
    <row r="9" spans="2:15" ht="15" thickBot="1" x14ac:dyDescent="0.4">
      <c r="B9" s="35" t="s">
        <v>40</v>
      </c>
      <c r="C9" s="31" t="s">
        <v>9</v>
      </c>
      <c r="D9" s="37">
        <v>25</v>
      </c>
      <c r="E9" s="37">
        <v>6</v>
      </c>
      <c r="F9" s="31">
        <v>44</v>
      </c>
      <c r="G9" s="31">
        <v>17</v>
      </c>
      <c r="H9" s="42">
        <v>16</v>
      </c>
      <c r="I9" s="42">
        <v>19</v>
      </c>
      <c r="J9" s="31">
        <v>53</v>
      </c>
      <c r="K9" s="31">
        <v>19</v>
      </c>
      <c r="L9" s="58">
        <v>33</v>
      </c>
      <c r="M9" s="58" t="s">
        <v>61</v>
      </c>
      <c r="N9" s="71"/>
      <c r="O9" s="66"/>
    </row>
    <row r="10" spans="2:15" ht="15" thickBot="1" x14ac:dyDescent="0.4">
      <c r="B10" s="32" t="s">
        <v>83</v>
      </c>
      <c r="C10" s="28" t="s">
        <v>10</v>
      </c>
      <c r="D10" s="38">
        <v>27</v>
      </c>
      <c r="E10" s="38">
        <v>8</v>
      </c>
      <c r="F10" s="28">
        <v>56</v>
      </c>
      <c r="G10" s="28">
        <v>21</v>
      </c>
      <c r="H10" s="43">
        <v>26</v>
      </c>
      <c r="I10" s="43">
        <v>24</v>
      </c>
      <c r="J10" s="28">
        <v>47</v>
      </c>
      <c r="K10" s="28">
        <v>24</v>
      </c>
      <c r="L10" s="58">
        <v>42</v>
      </c>
      <c r="M10" s="58" t="s">
        <v>61</v>
      </c>
      <c r="N10" s="72"/>
      <c r="O10" s="68"/>
    </row>
    <row r="11" spans="2:15" ht="15" thickBot="1" x14ac:dyDescent="0.4">
      <c r="B11" s="33"/>
      <c r="C11" s="34" t="s">
        <v>11</v>
      </c>
      <c r="D11" s="39">
        <v>17</v>
      </c>
      <c r="E11" s="39">
        <v>12</v>
      </c>
      <c r="F11" s="34">
        <v>54</v>
      </c>
      <c r="G11" s="34">
        <v>25</v>
      </c>
      <c r="H11" s="44">
        <v>50</v>
      </c>
      <c r="I11" s="44">
        <v>13</v>
      </c>
      <c r="J11" s="34">
        <v>32</v>
      </c>
      <c r="K11" s="34">
        <v>13</v>
      </c>
      <c r="L11" s="58">
        <v>40</v>
      </c>
      <c r="M11" s="58" t="s">
        <v>61</v>
      </c>
      <c r="N11" s="73"/>
      <c r="O11" s="70"/>
    </row>
    <row r="12" spans="2:15" ht="15" thickBot="1" x14ac:dyDescent="0.4">
      <c r="B12" s="55" t="s">
        <v>41</v>
      </c>
      <c r="C12" s="30" t="s">
        <v>9</v>
      </c>
      <c r="D12" s="40">
        <v>31</v>
      </c>
      <c r="E12" s="40">
        <v>7</v>
      </c>
      <c r="F12" s="30">
        <v>54</v>
      </c>
      <c r="G12" s="30">
        <v>20</v>
      </c>
      <c r="H12" s="45">
        <v>21</v>
      </c>
      <c r="I12" s="45">
        <v>24</v>
      </c>
      <c r="J12" s="30">
        <v>46</v>
      </c>
      <c r="K12" s="30">
        <v>17</v>
      </c>
      <c r="L12" s="58">
        <v>40</v>
      </c>
      <c r="M12" s="58" t="s">
        <v>61</v>
      </c>
      <c r="N12" s="74"/>
      <c r="O12" s="75"/>
    </row>
    <row r="13" spans="2:15" ht="15" thickBot="1" x14ac:dyDescent="0.4">
      <c r="B13" s="32" t="s">
        <v>84</v>
      </c>
      <c r="C13" s="28" t="s">
        <v>10</v>
      </c>
      <c r="D13" s="38">
        <v>32</v>
      </c>
      <c r="E13" s="38">
        <v>9</v>
      </c>
      <c r="F13" s="28">
        <v>68</v>
      </c>
      <c r="G13" s="28">
        <v>25</v>
      </c>
      <c r="H13" s="43">
        <v>35</v>
      </c>
      <c r="I13" s="43">
        <v>25</v>
      </c>
      <c r="J13" s="28">
        <v>41</v>
      </c>
      <c r="K13" s="28">
        <v>21</v>
      </c>
      <c r="L13" s="58">
        <v>51</v>
      </c>
      <c r="M13" s="58" t="s">
        <v>61</v>
      </c>
      <c r="N13" s="72"/>
      <c r="O13" s="68"/>
    </row>
    <row r="14" spans="2:15" ht="15" thickBot="1" x14ac:dyDescent="0.4">
      <c r="B14" s="56"/>
      <c r="C14" s="29" t="s">
        <v>11</v>
      </c>
      <c r="D14" s="36">
        <v>20</v>
      </c>
      <c r="E14" s="36">
        <v>15</v>
      </c>
      <c r="F14" s="29">
        <v>64</v>
      </c>
      <c r="G14" s="29">
        <v>30</v>
      </c>
      <c r="H14" s="41">
        <v>65</v>
      </c>
      <c r="I14" s="41">
        <v>47</v>
      </c>
      <c r="J14" s="29">
        <v>28</v>
      </c>
      <c r="K14" s="29">
        <v>37</v>
      </c>
      <c r="L14" s="58">
        <v>48</v>
      </c>
      <c r="M14" s="58" t="s">
        <v>61</v>
      </c>
      <c r="N14" s="76"/>
      <c r="O14" s="77"/>
    </row>
    <row r="15" spans="2:15" x14ac:dyDescent="0.35">
      <c r="B15" s="35" t="s">
        <v>63</v>
      </c>
      <c r="C15" s="31" t="s">
        <v>9</v>
      </c>
      <c r="D15" s="37"/>
      <c r="E15" s="37"/>
      <c r="F15" s="31"/>
      <c r="G15" s="31"/>
      <c r="H15" s="42"/>
      <c r="I15" s="42"/>
      <c r="J15" s="31"/>
      <c r="K15" s="31"/>
      <c r="L15" s="58"/>
      <c r="M15" s="65"/>
      <c r="N15" s="71">
        <v>167</v>
      </c>
      <c r="O15" s="66">
        <v>32</v>
      </c>
    </row>
    <row r="16" spans="2:15" x14ac:dyDescent="0.35">
      <c r="B16" s="32" t="s">
        <v>85</v>
      </c>
      <c r="C16" s="28" t="s">
        <v>10</v>
      </c>
      <c r="D16" s="38"/>
      <c r="E16" s="38"/>
      <c r="F16" s="28"/>
      <c r="G16" s="28"/>
      <c r="H16" s="43"/>
      <c r="I16" s="43"/>
      <c r="J16" s="28"/>
      <c r="K16" s="28"/>
      <c r="L16" s="59"/>
      <c r="M16" s="67"/>
      <c r="N16" s="72">
        <v>143</v>
      </c>
      <c r="O16" s="68">
        <v>26</v>
      </c>
    </row>
    <row r="17" spans="2:15" ht="15" thickBot="1" x14ac:dyDescent="0.4">
      <c r="B17" s="33"/>
      <c r="C17" s="34" t="s">
        <v>11</v>
      </c>
      <c r="D17" s="39"/>
      <c r="E17" s="39"/>
      <c r="F17" s="34"/>
      <c r="G17" s="34"/>
      <c r="H17" s="44"/>
      <c r="I17" s="44"/>
      <c r="J17" s="34"/>
      <c r="K17" s="34"/>
      <c r="L17" s="60"/>
      <c r="M17" s="69"/>
      <c r="N17" s="73">
        <v>119</v>
      </c>
      <c r="O17" s="70">
        <v>60</v>
      </c>
    </row>
    <row r="18" spans="2:15" ht="15" thickBot="1" x14ac:dyDescent="0.4"/>
    <row r="19" spans="2:15" x14ac:dyDescent="0.35">
      <c r="C19" s="31"/>
      <c r="D19" t="s">
        <v>43</v>
      </c>
      <c r="E19" t="s">
        <v>44</v>
      </c>
      <c r="F19" t="s">
        <v>46</v>
      </c>
      <c r="G19" t="s">
        <v>45</v>
      </c>
      <c r="H19" t="s">
        <v>47</v>
      </c>
      <c r="I19" t="s">
        <v>48</v>
      </c>
      <c r="J19" t="s">
        <v>49</v>
      </c>
      <c r="K19" t="s">
        <v>50</v>
      </c>
      <c r="L19" t="s">
        <v>51</v>
      </c>
      <c r="M19" s="78" t="s">
        <v>52</v>
      </c>
      <c r="N19" t="s">
        <v>30</v>
      </c>
      <c r="O19" t="s">
        <v>53</v>
      </c>
    </row>
    <row r="20" spans="2:15" x14ac:dyDescent="0.35">
      <c r="C20" s="28" t="s">
        <v>9</v>
      </c>
      <c r="D20">
        <f>SUM(D3,D6,D9,D12,D15)</f>
        <v>208</v>
      </c>
      <c r="E20">
        <f>SUM(E3,E6,E9,E12,E15)</f>
        <v>64</v>
      </c>
      <c r="F20">
        <f t="shared" ref="F20:O20" si="0">SUM(F3,F6,F9,F12,F15)</f>
        <v>98</v>
      </c>
      <c r="G20">
        <f t="shared" si="0"/>
        <v>37</v>
      </c>
      <c r="H20">
        <f t="shared" si="0"/>
        <v>37</v>
      </c>
      <c r="I20">
        <f t="shared" si="0"/>
        <v>43</v>
      </c>
      <c r="J20">
        <f t="shared" si="0"/>
        <v>99</v>
      </c>
      <c r="K20">
        <f t="shared" si="0"/>
        <v>36</v>
      </c>
      <c r="L20">
        <f t="shared" si="0"/>
        <v>73</v>
      </c>
      <c r="M20">
        <f t="shared" si="0"/>
        <v>0</v>
      </c>
      <c r="N20">
        <f t="shared" si="0"/>
        <v>167</v>
      </c>
      <c r="O20">
        <f t="shared" si="0"/>
        <v>32</v>
      </c>
    </row>
    <row r="21" spans="2:15" ht="15" thickBot="1" x14ac:dyDescent="0.4">
      <c r="C21" s="34" t="s">
        <v>10</v>
      </c>
      <c r="D21">
        <f t="shared" ref="D21:O22" si="1">SUM(D4,D7,D10,D13,D16)</f>
        <v>211</v>
      </c>
      <c r="E21">
        <f t="shared" si="1"/>
        <v>66</v>
      </c>
      <c r="F21">
        <f t="shared" si="1"/>
        <v>124</v>
      </c>
      <c r="G21">
        <f t="shared" si="1"/>
        <v>46</v>
      </c>
      <c r="H21">
        <f t="shared" si="1"/>
        <v>61</v>
      </c>
      <c r="I21">
        <f t="shared" si="1"/>
        <v>49</v>
      </c>
      <c r="J21">
        <f t="shared" si="1"/>
        <v>88</v>
      </c>
      <c r="K21">
        <f t="shared" si="1"/>
        <v>45</v>
      </c>
      <c r="L21">
        <f t="shared" si="1"/>
        <v>93</v>
      </c>
      <c r="M21">
        <f t="shared" si="1"/>
        <v>0</v>
      </c>
      <c r="N21">
        <f t="shared" si="1"/>
        <v>143</v>
      </c>
      <c r="O21">
        <f t="shared" si="1"/>
        <v>26</v>
      </c>
    </row>
    <row r="22" spans="2:15" x14ac:dyDescent="0.35">
      <c r="C22" t="s">
        <v>11</v>
      </c>
      <c r="D22">
        <f t="shared" si="1"/>
        <v>131</v>
      </c>
      <c r="E22">
        <f t="shared" si="1"/>
        <v>112</v>
      </c>
      <c r="F22">
        <f t="shared" si="1"/>
        <v>118</v>
      </c>
      <c r="G22">
        <f t="shared" si="1"/>
        <v>55</v>
      </c>
      <c r="H22">
        <f t="shared" si="1"/>
        <v>115</v>
      </c>
      <c r="I22">
        <f t="shared" si="1"/>
        <v>60</v>
      </c>
      <c r="J22">
        <f t="shared" si="1"/>
        <v>60</v>
      </c>
      <c r="K22">
        <f t="shared" si="1"/>
        <v>50</v>
      </c>
      <c r="L22">
        <f t="shared" si="1"/>
        <v>88</v>
      </c>
      <c r="M22">
        <f t="shared" si="1"/>
        <v>0</v>
      </c>
      <c r="N22">
        <f t="shared" si="1"/>
        <v>119</v>
      </c>
      <c r="O22">
        <f t="shared" si="1"/>
        <v>60</v>
      </c>
    </row>
  </sheetData>
  <pageMargins left="0.7" right="0.7" top="0.75" bottom="0.75" header="0.3" footer="0.3"/>
  <pageSetup paperSize="9" scale="83" fitToHeight="0" orientation="landscape" horizontalDpi="429496729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50" zoomScaleNormal="50" workbookViewId="0">
      <selection activeCell="W22" sqref="W22"/>
    </sheetView>
  </sheetViews>
  <sheetFormatPr defaultRowHeight="14.5" x14ac:dyDescent="0.35"/>
  <cols>
    <col min="2" max="2" width="19.6328125" bestFit="1" customWidth="1"/>
    <col min="4" max="4" width="8.36328125" bestFit="1" customWidth="1"/>
    <col min="5" max="5" width="10.08984375" bestFit="1" customWidth="1"/>
    <col min="6" max="6" width="13.81640625" bestFit="1" customWidth="1"/>
    <col min="7" max="7" width="13.6328125" bestFit="1" customWidth="1"/>
    <col min="8" max="8" width="8.453125" bestFit="1" customWidth="1"/>
    <col min="9" max="9" width="9.7265625" bestFit="1" customWidth="1"/>
    <col min="10" max="10" width="7.81640625" bestFit="1" customWidth="1"/>
    <col min="11" max="11" width="9.08984375" bestFit="1" customWidth="1"/>
    <col min="12" max="12" width="7.6328125" bestFit="1" customWidth="1"/>
    <col min="13" max="13" width="8.90625" bestFit="1" customWidth="1"/>
    <col min="14" max="14" width="10.54296875" bestFit="1" customWidth="1"/>
    <col min="15" max="15" width="11.81640625" bestFit="1" customWidth="1"/>
  </cols>
  <sheetData>
    <row r="1" spans="2:15" ht="15" thickBot="1" x14ac:dyDescent="0.4"/>
    <row r="2" spans="2:15" ht="15" thickBot="1" x14ac:dyDescent="0.4">
      <c r="B2" s="49"/>
      <c r="C2" s="50"/>
      <c r="D2" s="51" t="s">
        <v>43</v>
      </c>
      <c r="E2" s="51" t="s">
        <v>44</v>
      </c>
      <c r="F2" s="52" t="s">
        <v>46</v>
      </c>
      <c r="G2" s="52" t="s">
        <v>45</v>
      </c>
      <c r="H2" s="53" t="s">
        <v>47</v>
      </c>
      <c r="I2" s="53" t="s">
        <v>48</v>
      </c>
      <c r="J2" s="52" t="s">
        <v>49</v>
      </c>
      <c r="K2" s="52" t="s">
        <v>50</v>
      </c>
      <c r="L2" s="54" t="s">
        <v>51</v>
      </c>
      <c r="M2" s="57" t="s">
        <v>52</v>
      </c>
      <c r="N2" s="63" t="s">
        <v>30</v>
      </c>
      <c r="O2" s="64" t="s">
        <v>53</v>
      </c>
    </row>
    <row r="3" spans="2:15" x14ac:dyDescent="0.35">
      <c r="B3" s="35" t="s">
        <v>37</v>
      </c>
      <c r="C3" s="31" t="s">
        <v>9</v>
      </c>
      <c r="D3" s="37"/>
      <c r="E3" s="37"/>
      <c r="F3" s="31"/>
      <c r="G3" s="31"/>
      <c r="H3" s="42"/>
      <c r="I3" s="42"/>
      <c r="J3" s="31"/>
      <c r="K3" s="31"/>
      <c r="L3" s="58"/>
      <c r="M3" s="65"/>
      <c r="N3" s="71"/>
      <c r="O3" s="66"/>
    </row>
    <row r="4" spans="2:15" x14ac:dyDescent="0.35">
      <c r="B4" s="32" t="s">
        <v>38</v>
      </c>
      <c r="C4" s="28" t="s">
        <v>10</v>
      </c>
      <c r="D4" s="38"/>
      <c r="E4" s="38"/>
      <c r="F4" s="28"/>
      <c r="G4" s="28"/>
      <c r="H4" s="43"/>
      <c r="I4" s="43"/>
      <c r="J4" s="28"/>
      <c r="K4" s="28"/>
      <c r="L4" s="59"/>
      <c r="M4" s="67"/>
      <c r="N4" s="72"/>
      <c r="O4" s="68"/>
    </row>
    <row r="5" spans="2:15" ht="15" thickBot="1" x14ac:dyDescent="0.4">
      <c r="B5" s="33"/>
      <c r="C5" s="34" t="s">
        <v>11</v>
      </c>
      <c r="D5" s="39"/>
      <c r="E5" s="39"/>
      <c r="F5" s="34"/>
      <c r="G5" s="34"/>
      <c r="H5" s="44"/>
      <c r="I5" s="44"/>
      <c r="J5" s="34"/>
      <c r="K5" s="34"/>
      <c r="L5" s="60"/>
      <c r="M5" s="69"/>
      <c r="N5" s="73"/>
      <c r="O5" s="70"/>
    </row>
    <row r="6" spans="2:15" x14ac:dyDescent="0.35">
      <c r="B6" s="55" t="s">
        <v>54</v>
      </c>
      <c r="C6" s="30" t="s">
        <v>9</v>
      </c>
      <c r="D6" s="40"/>
      <c r="E6" s="40"/>
      <c r="F6" s="30"/>
      <c r="G6" s="30"/>
      <c r="H6" s="45"/>
      <c r="I6" s="45"/>
      <c r="J6" s="30"/>
      <c r="K6" s="30"/>
      <c r="L6" s="48"/>
      <c r="M6" s="61"/>
      <c r="N6" s="74"/>
      <c r="O6" s="75"/>
    </row>
    <row r="7" spans="2:15" x14ac:dyDescent="0.35">
      <c r="B7" s="32" t="s">
        <v>38</v>
      </c>
      <c r="C7" s="28" t="s">
        <v>10</v>
      </c>
      <c r="D7" s="38"/>
      <c r="E7" s="38"/>
      <c r="F7" s="28"/>
      <c r="G7" s="28"/>
      <c r="H7" s="43"/>
      <c r="I7" s="43"/>
      <c r="J7" s="28"/>
      <c r="K7" s="28"/>
      <c r="L7" s="47"/>
      <c r="M7" s="59"/>
      <c r="N7" s="72"/>
      <c r="O7" s="68"/>
    </row>
    <row r="8" spans="2:15" ht="15" thickBot="1" x14ac:dyDescent="0.4">
      <c r="B8" s="56"/>
      <c r="C8" s="29" t="s">
        <v>11</v>
      </c>
      <c r="D8" s="36"/>
      <c r="E8" s="36"/>
      <c r="F8" s="29"/>
      <c r="G8" s="29"/>
      <c r="H8" s="41"/>
      <c r="I8" s="41"/>
      <c r="J8" s="29"/>
      <c r="K8" s="29"/>
      <c r="L8" s="46"/>
      <c r="M8" s="62"/>
      <c r="N8" s="76"/>
      <c r="O8" s="77"/>
    </row>
    <row r="9" spans="2:15" x14ac:dyDescent="0.35">
      <c r="B9" s="35" t="s">
        <v>40</v>
      </c>
      <c r="C9" s="31" t="s">
        <v>9</v>
      </c>
      <c r="D9" s="37"/>
      <c r="E9" s="37"/>
      <c r="F9" s="31"/>
      <c r="G9" s="31"/>
      <c r="H9" s="42"/>
      <c r="I9" s="42"/>
      <c r="J9" s="31"/>
      <c r="K9" s="31"/>
      <c r="L9" s="58"/>
      <c r="M9" s="65"/>
      <c r="N9" s="71"/>
      <c r="O9" s="66"/>
    </row>
    <row r="10" spans="2:15" x14ac:dyDescent="0.35">
      <c r="B10" s="32" t="s">
        <v>38</v>
      </c>
      <c r="C10" s="28" t="s">
        <v>10</v>
      </c>
      <c r="D10" s="38"/>
      <c r="E10" s="38"/>
      <c r="F10" s="28"/>
      <c r="G10" s="28"/>
      <c r="H10" s="43"/>
      <c r="I10" s="43"/>
      <c r="J10" s="28"/>
      <c r="K10" s="28"/>
      <c r="L10" s="59"/>
      <c r="M10" s="67"/>
      <c r="N10" s="72"/>
      <c r="O10" s="68"/>
    </row>
    <row r="11" spans="2:15" ht="15" thickBot="1" x14ac:dyDescent="0.4">
      <c r="B11" s="33"/>
      <c r="C11" s="34" t="s">
        <v>11</v>
      </c>
      <c r="D11" s="39"/>
      <c r="E11" s="39"/>
      <c r="F11" s="34"/>
      <c r="G11" s="34"/>
      <c r="H11" s="44"/>
      <c r="I11" s="44"/>
      <c r="J11" s="34"/>
      <c r="K11" s="34"/>
      <c r="L11" s="60"/>
      <c r="M11" s="69"/>
      <c r="N11" s="73"/>
      <c r="O11" s="70"/>
    </row>
    <row r="12" spans="2:15" x14ac:dyDescent="0.35">
      <c r="B12" s="55" t="s">
        <v>41</v>
      </c>
      <c r="C12" s="30" t="s">
        <v>9</v>
      </c>
      <c r="D12" s="40"/>
      <c r="E12" s="40"/>
      <c r="F12" s="30"/>
      <c r="G12" s="30"/>
      <c r="H12" s="45"/>
      <c r="I12" s="45"/>
      <c r="J12" s="30"/>
      <c r="K12" s="30"/>
      <c r="L12" s="48"/>
      <c r="M12" s="61"/>
      <c r="N12" s="74"/>
      <c r="O12" s="75"/>
    </row>
    <row r="13" spans="2:15" x14ac:dyDescent="0.35">
      <c r="B13" s="32" t="s">
        <v>38</v>
      </c>
      <c r="C13" s="28" t="s">
        <v>10</v>
      </c>
      <c r="D13" s="38"/>
      <c r="E13" s="38"/>
      <c r="F13" s="28"/>
      <c r="G13" s="28"/>
      <c r="H13" s="43"/>
      <c r="I13" s="43"/>
      <c r="J13" s="28"/>
      <c r="K13" s="28"/>
      <c r="L13" s="47"/>
      <c r="M13" s="59"/>
      <c r="N13" s="72"/>
      <c r="O13" s="68"/>
    </row>
    <row r="14" spans="2:15" ht="15" thickBot="1" x14ac:dyDescent="0.4">
      <c r="B14" s="56"/>
      <c r="C14" s="29" t="s">
        <v>11</v>
      </c>
      <c r="D14" s="36"/>
      <c r="E14" s="36"/>
      <c r="F14" s="29"/>
      <c r="G14" s="29"/>
      <c r="H14" s="41"/>
      <c r="I14" s="41"/>
      <c r="J14" s="29"/>
      <c r="K14" s="29"/>
      <c r="L14" s="46"/>
      <c r="M14" s="62"/>
      <c r="N14" s="76"/>
      <c r="O14" s="77"/>
    </row>
    <row r="15" spans="2:15" x14ac:dyDescent="0.35">
      <c r="B15" s="35" t="s">
        <v>63</v>
      </c>
      <c r="C15" s="31" t="s">
        <v>9</v>
      </c>
      <c r="D15" s="37"/>
      <c r="E15" s="37"/>
      <c r="F15" s="31"/>
      <c r="G15" s="31"/>
      <c r="H15" s="42"/>
      <c r="I15" s="42"/>
      <c r="J15" s="31"/>
      <c r="K15" s="31"/>
      <c r="L15" s="58"/>
      <c r="M15" s="65"/>
      <c r="N15" s="71">
        <v>214</v>
      </c>
      <c r="O15" s="66">
        <v>39</v>
      </c>
    </row>
    <row r="16" spans="2:15" x14ac:dyDescent="0.35">
      <c r="B16" s="32" t="s">
        <v>86</v>
      </c>
      <c r="C16" s="28" t="s">
        <v>10</v>
      </c>
      <c r="D16" s="38"/>
      <c r="E16" s="38"/>
      <c r="F16" s="28"/>
      <c r="G16" s="28"/>
      <c r="H16" s="43"/>
      <c r="I16" s="43"/>
      <c r="J16" s="28"/>
      <c r="K16" s="28"/>
      <c r="L16" s="59"/>
      <c r="M16" s="67"/>
      <c r="N16" s="72">
        <v>262</v>
      </c>
      <c r="O16" s="68">
        <v>51</v>
      </c>
    </row>
    <row r="17" spans="2:15" ht="15" thickBot="1" x14ac:dyDescent="0.4">
      <c r="B17" s="33"/>
      <c r="C17" s="34" t="s">
        <v>11</v>
      </c>
      <c r="D17" s="39"/>
      <c r="E17" s="39"/>
      <c r="F17" s="34"/>
      <c r="G17" s="34"/>
      <c r="H17" s="44"/>
      <c r="I17" s="44"/>
      <c r="J17" s="34"/>
      <c r="K17" s="34"/>
      <c r="L17" s="60"/>
      <c r="M17" s="69"/>
      <c r="N17" s="73">
        <v>198</v>
      </c>
      <c r="O17" s="70">
        <v>85</v>
      </c>
    </row>
    <row r="19" spans="2:15" x14ac:dyDescent="0.35">
      <c r="D19" t="s">
        <v>43</v>
      </c>
      <c r="E19" t="s">
        <v>44</v>
      </c>
      <c r="F19" t="s">
        <v>46</v>
      </c>
      <c r="G19" t="s">
        <v>45</v>
      </c>
      <c r="H19" t="s">
        <v>47</v>
      </c>
      <c r="I19" t="s">
        <v>48</v>
      </c>
      <c r="J19" t="s">
        <v>49</v>
      </c>
      <c r="K19" t="s">
        <v>50</v>
      </c>
      <c r="L19" t="s">
        <v>51</v>
      </c>
      <c r="M19" t="s">
        <v>52</v>
      </c>
      <c r="N19" t="s">
        <v>30</v>
      </c>
      <c r="O19" t="s">
        <v>53</v>
      </c>
    </row>
    <row r="20" spans="2:15" x14ac:dyDescent="0.35">
      <c r="C20" t="s">
        <v>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71</v>
      </c>
      <c r="O20">
        <v>14</v>
      </c>
    </row>
    <row r="21" spans="2:15" x14ac:dyDescent="0.35">
      <c r="C21" t="s">
        <v>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99</v>
      </c>
      <c r="O21">
        <v>18</v>
      </c>
    </row>
    <row r="22" spans="2:15" x14ac:dyDescent="0.35">
      <c r="C22" t="s">
        <v>11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79</v>
      </c>
      <c r="O22">
        <v>33</v>
      </c>
    </row>
  </sheetData>
  <pageMargins left="0.7" right="0.7" top="0.75" bottom="0.75" header="0.3" footer="0.3"/>
  <pageSetup paperSize="9" scale="83" orientation="landscape" horizontalDpi="4294967293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50" zoomScaleNormal="50" workbookViewId="0">
      <selection activeCell="C19" sqref="C19:O22"/>
    </sheetView>
  </sheetViews>
  <sheetFormatPr defaultRowHeight="14.5" x14ac:dyDescent="0.35"/>
  <cols>
    <col min="2" max="2" width="19.6328125" bestFit="1" customWidth="1"/>
    <col min="4" max="4" width="8.36328125" bestFit="1" customWidth="1"/>
    <col min="5" max="5" width="10.08984375" bestFit="1" customWidth="1"/>
    <col min="6" max="6" width="13.81640625" bestFit="1" customWidth="1"/>
    <col min="7" max="7" width="13.6328125" bestFit="1" customWidth="1"/>
    <col min="8" max="8" width="8.453125" bestFit="1" customWidth="1"/>
    <col min="9" max="9" width="9.7265625" bestFit="1" customWidth="1"/>
    <col min="10" max="10" width="7.81640625" bestFit="1" customWidth="1"/>
    <col min="11" max="11" width="9.08984375" bestFit="1" customWidth="1"/>
    <col min="12" max="12" width="7.6328125" bestFit="1" customWidth="1"/>
    <col min="13" max="13" width="8.90625" bestFit="1" customWidth="1"/>
    <col min="14" max="14" width="10.54296875" bestFit="1" customWidth="1"/>
    <col min="15" max="15" width="11.81640625" bestFit="1" customWidth="1"/>
  </cols>
  <sheetData>
    <row r="1" spans="2:15" ht="15" thickBot="1" x14ac:dyDescent="0.4"/>
    <row r="2" spans="2:15" ht="15" thickBot="1" x14ac:dyDescent="0.4">
      <c r="B2" s="49"/>
      <c r="C2" s="50"/>
      <c r="D2" s="51" t="s">
        <v>43</v>
      </c>
      <c r="E2" s="51" t="s">
        <v>44</v>
      </c>
      <c r="F2" s="52" t="s">
        <v>46</v>
      </c>
      <c r="G2" s="52" t="s">
        <v>45</v>
      </c>
      <c r="H2" s="53" t="s">
        <v>47</v>
      </c>
      <c r="I2" s="53" t="s">
        <v>48</v>
      </c>
      <c r="J2" s="52" t="s">
        <v>49</v>
      </c>
      <c r="K2" s="52" t="s">
        <v>50</v>
      </c>
      <c r="L2" s="54" t="s">
        <v>51</v>
      </c>
      <c r="M2" s="57" t="s">
        <v>52</v>
      </c>
      <c r="N2" s="63" t="s">
        <v>30</v>
      </c>
      <c r="O2" s="64" t="s">
        <v>53</v>
      </c>
    </row>
    <row r="3" spans="2:15" x14ac:dyDescent="0.35">
      <c r="B3" s="35" t="s">
        <v>37</v>
      </c>
      <c r="C3" s="31" t="s">
        <v>9</v>
      </c>
      <c r="D3" s="37">
        <v>157</v>
      </c>
      <c r="E3" s="37">
        <v>37</v>
      </c>
      <c r="F3" s="31"/>
      <c r="G3" s="31"/>
      <c r="H3" s="42"/>
      <c r="I3" s="42"/>
      <c r="J3" s="31"/>
      <c r="K3" s="31"/>
      <c r="L3" s="58"/>
      <c r="M3" s="65"/>
      <c r="N3" s="71"/>
      <c r="O3" s="66"/>
    </row>
    <row r="4" spans="2:15" x14ac:dyDescent="0.35">
      <c r="B4" s="32" t="s">
        <v>112</v>
      </c>
      <c r="C4" s="28" t="s">
        <v>10</v>
      </c>
      <c r="D4" s="38">
        <v>165</v>
      </c>
      <c r="E4" s="38">
        <v>40</v>
      </c>
      <c r="F4" s="28"/>
      <c r="G4" s="28"/>
      <c r="H4" s="43"/>
      <c r="I4" s="43"/>
      <c r="J4" s="28"/>
      <c r="K4" s="28"/>
      <c r="L4" s="59"/>
      <c r="M4" s="67"/>
      <c r="N4" s="72"/>
      <c r="O4" s="68"/>
    </row>
    <row r="5" spans="2:15" ht="15" thickBot="1" x14ac:dyDescent="0.4">
      <c r="B5" s="33"/>
      <c r="C5" s="34" t="s">
        <v>11</v>
      </c>
      <c r="D5" s="39">
        <v>102</v>
      </c>
      <c r="E5" s="39">
        <v>74</v>
      </c>
      <c r="F5" s="34"/>
      <c r="G5" s="34"/>
      <c r="H5" s="44"/>
      <c r="I5" s="44"/>
      <c r="J5" s="34"/>
      <c r="K5" s="34"/>
      <c r="L5" s="60"/>
      <c r="M5" s="69"/>
      <c r="N5" s="73"/>
      <c r="O5" s="70"/>
    </row>
    <row r="6" spans="2:15" x14ac:dyDescent="0.35">
      <c r="B6" s="55" t="s">
        <v>39</v>
      </c>
      <c r="C6" s="30" t="s">
        <v>9</v>
      </c>
      <c r="D6" s="40">
        <v>127</v>
      </c>
      <c r="E6" s="40">
        <v>45</v>
      </c>
      <c r="F6" s="30"/>
      <c r="G6" s="30"/>
      <c r="H6" s="45"/>
      <c r="I6" s="45"/>
      <c r="J6" s="30"/>
      <c r="K6" s="30"/>
      <c r="L6" s="48"/>
      <c r="M6" s="61"/>
      <c r="N6" s="74"/>
      <c r="O6" s="75"/>
    </row>
    <row r="7" spans="2:15" x14ac:dyDescent="0.35">
      <c r="B7" s="32" t="s">
        <v>113</v>
      </c>
      <c r="C7" s="28" t="s">
        <v>10</v>
      </c>
      <c r="D7" s="38">
        <v>133</v>
      </c>
      <c r="E7" s="38"/>
      <c r="F7" s="28"/>
      <c r="G7" s="28"/>
      <c r="H7" s="43"/>
      <c r="I7" s="43"/>
      <c r="J7" s="28"/>
      <c r="K7" s="28"/>
      <c r="L7" s="47"/>
      <c r="M7" s="59"/>
      <c r="N7" s="72"/>
      <c r="O7" s="68"/>
    </row>
    <row r="8" spans="2:15" ht="15" thickBot="1" x14ac:dyDescent="0.4">
      <c r="B8" s="56"/>
      <c r="C8" s="29" t="s">
        <v>11</v>
      </c>
      <c r="D8" s="36">
        <v>81</v>
      </c>
      <c r="E8" s="36"/>
      <c r="F8" s="29"/>
      <c r="G8" s="29"/>
      <c r="H8" s="41"/>
      <c r="I8" s="41"/>
      <c r="J8" s="29"/>
      <c r="K8" s="29"/>
      <c r="L8" s="46"/>
      <c r="M8" s="62"/>
      <c r="N8" s="76"/>
      <c r="O8" s="77"/>
    </row>
    <row r="9" spans="2:15" x14ac:dyDescent="0.35">
      <c r="B9" s="35" t="s">
        <v>40</v>
      </c>
      <c r="C9" s="31" t="s">
        <v>9</v>
      </c>
      <c r="D9" s="37">
        <v>42</v>
      </c>
      <c r="E9" s="37">
        <v>10</v>
      </c>
      <c r="F9" s="31">
        <v>74</v>
      </c>
      <c r="G9" s="31">
        <v>28</v>
      </c>
      <c r="H9" s="42">
        <v>27</v>
      </c>
      <c r="I9" s="42">
        <v>32</v>
      </c>
      <c r="J9" s="31">
        <v>54</v>
      </c>
      <c r="K9" s="31">
        <v>32</v>
      </c>
      <c r="L9" s="58">
        <v>55</v>
      </c>
      <c r="M9" s="65"/>
      <c r="N9" s="71"/>
      <c r="O9" s="66"/>
    </row>
    <row r="10" spans="2:15" x14ac:dyDescent="0.35">
      <c r="B10" s="32" t="s">
        <v>114</v>
      </c>
      <c r="C10" s="28" t="s">
        <v>10</v>
      </c>
      <c r="D10" s="38">
        <v>45</v>
      </c>
      <c r="E10" s="38">
        <v>13</v>
      </c>
      <c r="F10" s="28">
        <v>94</v>
      </c>
      <c r="G10" s="28">
        <v>35</v>
      </c>
      <c r="H10" s="43">
        <v>44</v>
      </c>
      <c r="I10" s="43">
        <v>40</v>
      </c>
      <c r="J10" s="28">
        <v>78</v>
      </c>
      <c r="K10" s="28">
        <v>40</v>
      </c>
      <c r="L10" s="59">
        <v>70</v>
      </c>
      <c r="M10" s="67"/>
      <c r="N10" s="72"/>
      <c r="O10" s="68"/>
    </row>
    <row r="11" spans="2:15" ht="15" thickBot="1" x14ac:dyDescent="0.4">
      <c r="B11" s="33"/>
      <c r="C11" s="34" t="s">
        <v>11</v>
      </c>
      <c r="D11" s="39">
        <v>28</v>
      </c>
      <c r="E11" s="39">
        <v>20</v>
      </c>
      <c r="F11" s="34">
        <v>89</v>
      </c>
      <c r="G11" s="34">
        <v>41</v>
      </c>
      <c r="H11" s="44">
        <v>83</v>
      </c>
      <c r="I11" s="44">
        <v>21</v>
      </c>
      <c r="J11" s="34">
        <v>54</v>
      </c>
      <c r="K11" s="34">
        <v>21</v>
      </c>
      <c r="L11" s="60">
        <v>66</v>
      </c>
      <c r="M11" s="69"/>
      <c r="N11" s="73"/>
      <c r="O11" s="70"/>
    </row>
    <row r="12" spans="2:15" x14ac:dyDescent="0.35">
      <c r="B12" s="55" t="s">
        <v>41</v>
      </c>
      <c r="C12" s="30" t="s">
        <v>9</v>
      </c>
      <c r="D12" s="40">
        <v>70</v>
      </c>
      <c r="E12" s="40">
        <v>17</v>
      </c>
      <c r="F12" s="30">
        <v>156</v>
      </c>
      <c r="G12" s="30">
        <v>46</v>
      </c>
      <c r="H12" s="45">
        <v>49</v>
      </c>
      <c r="I12" s="45">
        <v>57</v>
      </c>
      <c r="J12" s="30">
        <v>106</v>
      </c>
      <c r="K12" s="30">
        <v>38</v>
      </c>
      <c r="L12" s="48">
        <v>92</v>
      </c>
      <c r="M12" s="61"/>
      <c r="N12" s="74"/>
      <c r="O12" s="75"/>
    </row>
    <row r="13" spans="2:15" x14ac:dyDescent="0.35">
      <c r="B13" s="32" t="s">
        <v>115</v>
      </c>
      <c r="C13" s="28" t="s">
        <v>10</v>
      </c>
      <c r="D13" s="38">
        <v>74</v>
      </c>
      <c r="E13" s="38">
        <v>21</v>
      </c>
      <c r="F13" s="28">
        <v>123</v>
      </c>
      <c r="G13" s="28">
        <v>59</v>
      </c>
      <c r="H13" s="43">
        <v>80</v>
      </c>
      <c r="I13" s="43">
        <v>56</v>
      </c>
      <c r="J13" s="28">
        <v>94</v>
      </c>
      <c r="K13" s="28">
        <v>49</v>
      </c>
      <c r="L13" s="47">
        <v>116</v>
      </c>
      <c r="M13" s="59"/>
      <c r="N13" s="72"/>
      <c r="O13" s="68"/>
    </row>
    <row r="14" spans="2:15" ht="15" thickBot="1" x14ac:dyDescent="0.4">
      <c r="B14" s="56"/>
      <c r="C14" s="29" t="s">
        <v>11</v>
      </c>
      <c r="D14" s="36">
        <v>47</v>
      </c>
      <c r="E14" s="36">
        <v>33</v>
      </c>
      <c r="F14" s="29">
        <v>147</v>
      </c>
      <c r="G14" s="29">
        <v>69</v>
      </c>
      <c r="H14" s="41">
        <v>149</v>
      </c>
      <c r="I14" s="41">
        <v>106</v>
      </c>
      <c r="J14" s="29">
        <v>65</v>
      </c>
      <c r="K14" s="29">
        <v>86</v>
      </c>
      <c r="L14" s="46">
        <v>110</v>
      </c>
      <c r="M14" s="62"/>
      <c r="N14" s="76"/>
      <c r="O14" s="77"/>
    </row>
    <row r="15" spans="2:15" x14ac:dyDescent="0.35">
      <c r="B15" s="35" t="s">
        <v>42</v>
      </c>
      <c r="C15" s="31" t="s">
        <v>9</v>
      </c>
      <c r="D15" s="37"/>
      <c r="E15" s="37"/>
      <c r="F15" s="31"/>
      <c r="G15" s="31"/>
      <c r="H15" s="42"/>
      <c r="I15" s="42"/>
      <c r="J15" s="31"/>
      <c r="K15" s="31"/>
      <c r="L15" s="58"/>
      <c r="M15" s="65"/>
      <c r="N15" s="71">
        <v>119</v>
      </c>
      <c r="O15" s="66">
        <v>17</v>
      </c>
    </row>
    <row r="16" spans="2:15" x14ac:dyDescent="0.35">
      <c r="B16" s="32" t="s">
        <v>59</v>
      </c>
      <c r="C16" s="28" t="s">
        <v>10</v>
      </c>
      <c r="D16" s="38"/>
      <c r="E16" s="38"/>
      <c r="F16" s="28"/>
      <c r="G16" s="28"/>
      <c r="H16" s="43"/>
      <c r="I16" s="43"/>
      <c r="J16" s="28"/>
      <c r="K16" s="28"/>
      <c r="L16" s="59"/>
      <c r="M16" s="67"/>
      <c r="N16" s="72">
        <v>143</v>
      </c>
      <c r="O16" s="68">
        <v>28</v>
      </c>
    </row>
    <row r="17" spans="2:15" ht="15" thickBot="1" x14ac:dyDescent="0.4">
      <c r="B17" s="33"/>
      <c r="C17" s="34" t="s">
        <v>11</v>
      </c>
      <c r="D17" s="39"/>
      <c r="E17" s="39"/>
      <c r="F17" s="34"/>
      <c r="G17" s="34"/>
      <c r="H17" s="44"/>
      <c r="I17" s="44"/>
      <c r="J17" s="34"/>
      <c r="K17" s="34"/>
      <c r="L17" s="60"/>
      <c r="M17" s="69"/>
      <c r="N17" s="73">
        <v>119</v>
      </c>
      <c r="O17" s="70">
        <v>51</v>
      </c>
    </row>
    <row r="18" spans="2:15" ht="15" thickBot="1" x14ac:dyDescent="0.4"/>
    <row r="19" spans="2:15" x14ac:dyDescent="0.35">
      <c r="C19" s="31"/>
      <c r="D19" t="s">
        <v>43</v>
      </c>
      <c r="E19" t="s">
        <v>44</v>
      </c>
      <c r="F19" t="s">
        <v>46</v>
      </c>
      <c r="G19" t="s">
        <v>45</v>
      </c>
      <c r="H19" t="s">
        <v>47</v>
      </c>
      <c r="I19" t="s">
        <v>48</v>
      </c>
      <c r="J19" t="s">
        <v>49</v>
      </c>
      <c r="K19" t="s">
        <v>50</v>
      </c>
      <c r="L19" t="s">
        <v>51</v>
      </c>
      <c r="M19" s="78" t="s">
        <v>52</v>
      </c>
      <c r="N19" t="s">
        <v>30</v>
      </c>
      <c r="O19" t="s">
        <v>53</v>
      </c>
    </row>
    <row r="20" spans="2:15" x14ac:dyDescent="0.35">
      <c r="C20" s="28" t="s">
        <v>9</v>
      </c>
      <c r="D20">
        <f>SUM(D3,D6,D9,D12,D15)</f>
        <v>396</v>
      </c>
      <c r="E20">
        <f>SUM(E3,E6,E9,E12,E15)</f>
        <v>109</v>
      </c>
      <c r="F20">
        <f t="shared" ref="F20:O20" si="0">SUM(F3,F6,F9,F12,F15)</f>
        <v>230</v>
      </c>
      <c r="G20">
        <f t="shared" si="0"/>
        <v>74</v>
      </c>
      <c r="H20">
        <f t="shared" si="0"/>
        <v>76</v>
      </c>
      <c r="I20">
        <f t="shared" si="0"/>
        <v>89</v>
      </c>
      <c r="J20">
        <f t="shared" si="0"/>
        <v>160</v>
      </c>
      <c r="K20">
        <f t="shared" si="0"/>
        <v>70</v>
      </c>
      <c r="L20">
        <f t="shared" si="0"/>
        <v>147</v>
      </c>
      <c r="M20">
        <f t="shared" si="0"/>
        <v>0</v>
      </c>
      <c r="N20">
        <f t="shared" si="0"/>
        <v>119</v>
      </c>
      <c r="O20">
        <f t="shared" si="0"/>
        <v>17</v>
      </c>
    </row>
    <row r="21" spans="2:15" ht="15" thickBot="1" x14ac:dyDescent="0.4">
      <c r="C21" s="34" t="s">
        <v>10</v>
      </c>
      <c r="D21">
        <f t="shared" ref="D21:O22" si="1">SUM(D4,D7,D10,D13,D16)</f>
        <v>417</v>
      </c>
      <c r="E21">
        <f t="shared" si="1"/>
        <v>74</v>
      </c>
      <c r="F21">
        <f t="shared" si="1"/>
        <v>217</v>
      </c>
      <c r="G21">
        <f t="shared" si="1"/>
        <v>94</v>
      </c>
      <c r="H21">
        <f t="shared" si="1"/>
        <v>124</v>
      </c>
      <c r="I21">
        <f t="shared" si="1"/>
        <v>96</v>
      </c>
      <c r="J21">
        <f t="shared" si="1"/>
        <v>172</v>
      </c>
      <c r="K21">
        <f t="shared" si="1"/>
        <v>89</v>
      </c>
      <c r="L21">
        <f t="shared" si="1"/>
        <v>186</v>
      </c>
      <c r="M21">
        <f t="shared" si="1"/>
        <v>0</v>
      </c>
      <c r="N21">
        <f t="shared" si="1"/>
        <v>143</v>
      </c>
      <c r="O21">
        <f t="shared" si="1"/>
        <v>28</v>
      </c>
    </row>
    <row r="22" spans="2:15" x14ac:dyDescent="0.35">
      <c r="C22" t="s">
        <v>11</v>
      </c>
      <c r="D22">
        <f t="shared" si="1"/>
        <v>258</v>
      </c>
      <c r="E22">
        <f t="shared" si="1"/>
        <v>127</v>
      </c>
      <c r="F22">
        <f t="shared" si="1"/>
        <v>236</v>
      </c>
      <c r="G22">
        <f t="shared" si="1"/>
        <v>110</v>
      </c>
      <c r="H22">
        <f t="shared" si="1"/>
        <v>232</v>
      </c>
      <c r="I22">
        <f t="shared" si="1"/>
        <v>127</v>
      </c>
      <c r="J22">
        <f t="shared" si="1"/>
        <v>119</v>
      </c>
      <c r="K22">
        <f t="shared" si="1"/>
        <v>107</v>
      </c>
      <c r="L22">
        <f t="shared" si="1"/>
        <v>176</v>
      </c>
      <c r="M22">
        <f t="shared" si="1"/>
        <v>0</v>
      </c>
      <c r="N22">
        <f t="shared" si="1"/>
        <v>119</v>
      </c>
      <c r="O22">
        <f t="shared" si="1"/>
        <v>51</v>
      </c>
    </row>
  </sheetData>
  <pageMargins left="0.7" right="0.7" top="0.75" bottom="0.75" header="0.3" footer="0.3"/>
  <pageSetup paperSize="9" scale="83" fitToHeight="0" orientation="landscape" horizontalDpi="4294967293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zoomScale="50" zoomScaleNormal="50" workbookViewId="0">
      <selection activeCell="L15" sqref="L15"/>
    </sheetView>
  </sheetViews>
  <sheetFormatPr defaultRowHeight="14.5" x14ac:dyDescent="0.35"/>
  <cols>
    <col min="2" max="2" width="19.6328125" bestFit="1" customWidth="1"/>
    <col min="4" max="4" width="8.36328125" bestFit="1" customWidth="1"/>
    <col min="5" max="5" width="10.08984375" bestFit="1" customWidth="1"/>
    <col min="6" max="6" width="13.81640625" bestFit="1" customWidth="1"/>
    <col min="7" max="7" width="13.6328125" bestFit="1" customWidth="1"/>
    <col min="8" max="8" width="8.453125" bestFit="1" customWidth="1"/>
    <col min="9" max="9" width="9.7265625" bestFit="1" customWidth="1"/>
    <col min="10" max="10" width="7.81640625" bestFit="1" customWidth="1"/>
    <col min="11" max="11" width="9.08984375" bestFit="1" customWidth="1"/>
    <col min="12" max="12" width="7.6328125" bestFit="1" customWidth="1"/>
    <col min="13" max="13" width="8.90625" bestFit="1" customWidth="1"/>
    <col min="14" max="14" width="10.54296875" bestFit="1" customWidth="1"/>
    <col min="15" max="15" width="11.81640625" bestFit="1" customWidth="1"/>
  </cols>
  <sheetData>
    <row r="1" spans="2:15" ht="15" thickBot="1" x14ac:dyDescent="0.4"/>
    <row r="2" spans="2:15" ht="15" thickBot="1" x14ac:dyDescent="0.4">
      <c r="B2" s="49"/>
      <c r="C2" s="50"/>
      <c r="D2" s="51" t="s">
        <v>43</v>
      </c>
      <c r="E2" s="51" t="s">
        <v>44</v>
      </c>
      <c r="F2" s="52" t="s">
        <v>46</v>
      </c>
      <c r="G2" s="52" t="s">
        <v>45</v>
      </c>
      <c r="H2" s="53" t="s">
        <v>47</v>
      </c>
      <c r="I2" s="53" t="s">
        <v>48</v>
      </c>
      <c r="J2" s="52" t="s">
        <v>49</v>
      </c>
      <c r="K2" s="52" t="s">
        <v>50</v>
      </c>
      <c r="L2" s="54" t="s">
        <v>51</v>
      </c>
      <c r="M2" s="57" t="s">
        <v>52</v>
      </c>
      <c r="N2" s="63" t="s">
        <v>30</v>
      </c>
      <c r="O2" s="64" t="s">
        <v>53</v>
      </c>
    </row>
    <row r="3" spans="2:15" x14ac:dyDescent="0.35">
      <c r="B3" s="35" t="s">
        <v>37</v>
      </c>
      <c r="C3" s="31" t="s">
        <v>9</v>
      </c>
      <c r="D3" s="37">
        <v>45</v>
      </c>
      <c r="E3" s="37">
        <v>11</v>
      </c>
      <c r="F3" s="31"/>
      <c r="G3" s="31"/>
      <c r="H3" s="42"/>
      <c r="I3" s="42"/>
      <c r="J3" s="31"/>
      <c r="K3" s="31"/>
      <c r="L3" s="58"/>
      <c r="M3" s="65"/>
      <c r="N3" s="71"/>
      <c r="O3" s="66"/>
    </row>
    <row r="4" spans="2:15" x14ac:dyDescent="0.35">
      <c r="B4" s="32" t="s">
        <v>94</v>
      </c>
      <c r="C4" s="28" t="s">
        <v>10</v>
      </c>
      <c r="D4" s="38">
        <v>47</v>
      </c>
      <c r="E4" s="38">
        <v>14</v>
      </c>
      <c r="F4" s="28"/>
      <c r="G4" s="28"/>
      <c r="H4" s="43"/>
      <c r="I4" s="43"/>
      <c r="J4" s="28"/>
      <c r="K4" s="28"/>
      <c r="L4" s="59"/>
      <c r="M4" s="67"/>
      <c r="N4" s="72"/>
      <c r="O4" s="68"/>
    </row>
    <row r="5" spans="2:15" ht="15" thickBot="1" x14ac:dyDescent="0.4">
      <c r="B5" s="33"/>
      <c r="C5" s="34" t="s">
        <v>11</v>
      </c>
      <c r="D5" s="39">
        <v>26</v>
      </c>
      <c r="E5" s="39">
        <v>19</v>
      </c>
      <c r="F5" s="34"/>
      <c r="G5" s="34"/>
      <c r="H5" s="44"/>
      <c r="I5" s="44"/>
      <c r="J5" s="34"/>
      <c r="K5" s="34"/>
      <c r="L5" s="60"/>
      <c r="M5" s="69"/>
      <c r="N5" s="73"/>
      <c r="O5" s="70"/>
    </row>
    <row r="6" spans="2:15" x14ac:dyDescent="0.35">
      <c r="B6" s="55" t="s">
        <v>54</v>
      </c>
      <c r="C6" s="30" t="s">
        <v>9</v>
      </c>
      <c r="D6" s="40">
        <v>46</v>
      </c>
      <c r="E6" s="40">
        <v>17</v>
      </c>
      <c r="F6" s="30"/>
      <c r="G6" s="30"/>
      <c r="H6" s="45"/>
      <c r="I6" s="45"/>
      <c r="J6" s="30"/>
      <c r="K6" s="30"/>
      <c r="L6" s="48"/>
      <c r="M6" s="61"/>
      <c r="N6" s="74"/>
      <c r="O6" s="75"/>
    </row>
    <row r="7" spans="2:15" x14ac:dyDescent="0.35">
      <c r="B7" s="32" t="s">
        <v>77</v>
      </c>
      <c r="C7" s="28" t="s">
        <v>10</v>
      </c>
      <c r="D7" s="38">
        <v>49</v>
      </c>
      <c r="E7" s="38">
        <v>21</v>
      </c>
      <c r="F7" s="28"/>
      <c r="G7" s="28"/>
      <c r="H7" s="43"/>
      <c r="I7" s="43"/>
      <c r="J7" s="28"/>
      <c r="K7" s="28"/>
      <c r="L7" s="47"/>
      <c r="M7" s="59"/>
      <c r="N7" s="72"/>
      <c r="O7" s="68"/>
    </row>
    <row r="8" spans="2:15" ht="15" thickBot="1" x14ac:dyDescent="0.4">
      <c r="B8" s="56"/>
      <c r="C8" s="29" t="s">
        <v>11</v>
      </c>
      <c r="D8" s="36">
        <v>30</v>
      </c>
      <c r="E8" s="36">
        <v>33</v>
      </c>
      <c r="F8" s="29"/>
      <c r="G8" s="29"/>
      <c r="H8" s="41"/>
      <c r="I8" s="41"/>
      <c r="J8" s="29"/>
      <c r="K8" s="29"/>
      <c r="L8" s="46"/>
      <c r="M8" s="62"/>
      <c r="N8" s="76"/>
      <c r="O8" s="77"/>
    </row>
    <row r="9" spans="2:15" ht="15" thickBot="1" x14ac:dyDescent="0.4">
      <c r="B9" s="35" t="s">
        <v>40</v>
      </c>
      <c r="C9" s="31" t="s">
        <v>9</v>
      </c>
      <c r="D9" s="37">
        <v>9</v>
      </c>
      <c r="E9" s="37">
        <v>2</v>
      </c>
      <c r="F9" s="31">
        <v>15</v>
      </c>
      <c r="G9" s="31">
        <v>6</v>
      </c>
      <c r="H9" s="42">
        <v>11</v>
      </c>
      <c r="I9" s="42">
        <v>7</v>
      </c>
      <c r="J9" s="31">
        <v>6</v>
      </c>
      <c r="K9" s="31">
        <v>7</v>
      </c>
      <c r="L9" s="58">
        <v>18</v>
      </c>
      <c r="M9" s="58" t="s">
        <v>61</v>
      </c>
      <c r="N9" s="71"/>
      <c r="O9" s="66"/>
    </row>
    <row r="10" spans="2:15" ht="15" thickBot="1" x14ac:dyDescent="0.4">
      <c r="B10" s="32" t="s">
        <v>95</v>
      </c>
      <c r="C10" s="28" t="s">
        <v>10</v>
      </c>
      <c r="D10" s="38">
        <v>9</v>
      </c>
      <c r="E10" s="38">
        <v>3</v>
      </c>
      <c r="F10" s="28">
        <v>19</v>
      </c>
      <c r="G10" s="28">
        <v>7</v>
      </c>
      <c r="H10" s="43">
        <v>9</v>
      </c>
      <c r="I10" s="43">
        <v>8</v>
      </c>
      <c r="J10" s="28">
        <v>16</v>
      </c>
      <c r="K10" s="28">
        <v>8</v>
      </c>
      <c r="L10" s="58">
        <v>14</v>
      </c>
      <c r="M10" s="58" t="s">
        <v>61</v>
      </c>
      <c r="N10" s="72"/>
      <c r="O10" s="68"/>
    </row>
    <row r="11" spans="2:15" ht="15" thickBot="1" x14ac:dyDescent="0.4">
      <c r="B11" s="33"/>
      <c r="C11" s="34" t="s">
        <v>11</v>
      </c>
      <c r="D11" s="39">
        <v>6</v>
      </c>
      <c r="E11" s="39">
        <v>3</v>
      </c>
      <c r="F11" s="34">
        <v>18</v>
      </c>
      <c r="G11" s="34">
        <v>9</v>
      </c>
      <c r="H11" s="44">
        <v>17</v>
      </c>
      <c r="I11" s="44">
        <v>4</v>
      </c>
      <c r="J11" s="34">
        <v>11</v>
      </c>
      <c r="K11" s="34">
        <v>15</v>
      </c>
      <c r="L11" s="58">
        <v>14</v>
      </c>
      <c r="M11" s="58" t="s">
        <v>61</v>
      </c>
      <c r="N11" s="73"/>
      <c r="O11" s="70"/>
    </row>
    <row r="12" spans="2:15" ht="15" thickBot="1" x14ac:dyDescent="0.4">
      <c r="B12" s="55" t="s">
        <v>41</v>
      </c>
      <c r="C12" s="30" t="s">
        <v>9</v>
      </c>
      <c r="D12" s="40">
        <v>84</v>
      </c>
      <c r="E12" s="40">
        <v>19</v>
      </c>
      <c r="F12" s="30">
        <v>169</v>
      </c>
      <c r="G12" s="30">
        <v>64</v>
      </c>
      <c r="H12" s="45">
        <v>58</v>
      </c>
      <c r="I12" s="45">
        <v>66</v>
      </c>
      <c r="J12" s="30">
        <v>126</v>
      </c>
      <c r="K12" s="30">
        <v>46</v>
      </c>
      <c r="L12" s="58">
        <v>109</v>
      </c>
      <c r="M12" s="58" t="s">
        <v>61</v>
      </c>
      <c r="N12" s="74"/>
      <c r="O12" s="75"/>
    </row>
    <row r="13" spans="2:15" ht="15" thickBot="1" x14ac:dyDescent="0.4">
      <c r="B13" s="32" t="s">
        <v>96</v>
      </c>
      <c r="C13" s="28" t="s">
        <v>10</v>
      </c>
      <c r="D13" s="38">
        <v>88</v>
      </c>
      <c r="E13" s="38">
        <v>25</v>
      </c>
      <c r="F13" s="28">
        <v>214</v>
      </c>
      <c r="G13" s="28">
        <v>80</v>
      </c>
      <c r="H13" s="43">
        <v>95</v>
      </c>
      <c r="I13" s="43">
        <v>68</v>
      </c>
      <c r="J13" s="28">
        <v>111</v>
      </c>
      <c r="K13" s="28">
        <v>58</v>
      </c>
      <c r="L13" s="58">
        <v>138</v>
      </c>
      <c r="M13" s="58" t="s">
        <v>61</v>
      </c>
      <c r="N13" s="72"/>
      <c r="O13" s="68"/>
    </row>
    <row r="14" spans="2:15" ht="15" thickBot="1" x14ac:dyDescent="0.4">
      <c r="B14" s="56"/>
      <c r="C14" s="29" t="s">
        <v>11</v>
      </c>
      <c r="D14" s="36">
        <v>55</v>
      </c>
      <c r="E14" s="36">
        <v>40</v>
      </c>
      <c r="F14" s="29">
        <v>201</v>
      </c>
      <c r="G14" s="29">
        <v>94</v>
      </c>
      <c r="H14" s="41">
        <v>177</v>
      </c>
      <c r="I14" s="41">
        <v>127</v>
      </c>
      <c r="J14" s="29">
        <v>77</v>
      </c>
      <c r="K14" s="29">
        <v>102</v>
      </c>
      <c r="L14" s="58">
        <v>130</v>
      </c>
      <c r="M14" s="58" t="s">
        <v>61</v>
      </c>
      <c r="N14" s="76"/>
      <c r="O14" s="77"/>
    </row>
    <row r="15" spans="2:15" x14ac:dyDescent="0.35">
      <c r="B15" s="35" t="s">
        <v>63</v>
      </c>
      <c r="C15" s="31" t="s">
        <v>9</v>
      </c>
      <c r="D15" s="37"/>
      <c r="E15" s="37"/>
      <c r="F15" s="31"/>
      <c r="G15" s="31"/>
      <c r="H15" s="42"/>
      <c r="I15" s="42"/>
      <c r="J15" s="31"/>
      <c r="K15" s="31"/>
      <c r="L15" s="58"/>
      <c r="M15" s="65"/>
      <c r="N15" s="71">
        <v>119</v>
      </c>
      <c r="O15" s="66">
        <v>21</v>
      </c>
    </row>
    <row r="16" spans="2:15" x14ac:dyDescent="0.35">
      <c r="B16" s="32" t="s">
        <v>59</v>
      </c>
      <c r="C16" s="28" t="s">
        <v>10</v>
      </c>
      <c r="D16" s="38"/>
      <c r="E16" s="38"/>
      <c r="F16" s="28"/>
      <c r="G16" s="28"/>
      <c r="H16" s="43"/>
      <c r="I16" s="43"/>
      <c r="J16" s="28"/>
      <c r="K16" s="28"/>
      <c r="L16" s="59"/>
      <c r="M16" s="67"/>
      <c r="N16" s="72">
        <v>143</v>
      </c>
      <c r="O16" s="68">
        <v>28</v>
      </c>
    </row>
    <row r="17" spans="2:15" ht="15" thickBot="1" x14ac:dyDescent="0.4">
      <c r="B17" s="33"/>
      <c r="C17" s="34" t="s">
        <v>11</v>
      </c>
      <c r="D17" s="39"/>
      <c r="E17" s="39"/>
      <c r="F17" s="34"/>
      <c r="G17" s="34"/>
      <c r="H17" s="44"/>
      <c r="I17" s="44"/>
      <c r="J17" s="34"/>
      <c r="K17" s="34"/>
      <c r="L17" s="60"/>
      <c r="M17" s="69"/>
      <c r="N17" s="73">
        <v>119</v>
      </c>
      <c r="O17" s="70">
        <v>51</v>
      </c>
    </row>
    <row r="18" spans="2:15" ht="15" thickBot="1" x14ac:dyDescent="0.4"/>
    <row r="19" spans="2:15" x14ac:dyDescent="0.35">
      <c r="C19" s="31"/>
      <c r="D19" t="s">
        <v>43</v>
      </c>
      <c r="E19" t="s">
        <v>44</v>
      </c>
      <c r="F19" t="s">
        <v>46</v>
      </c>
      <c r="G19" t="s">
        <v>45</v>
      </c>
      <c r="H19" t="s">
        <v>47</v>
      </c>
      <c r="I19" t="s">
        <v>48</v>
      </c>
      <c r="J19" t="s">
        <v>49</v>
      </c>
      <c r="K19" t="s">
        <v>50</v>
      </c>
      <c r="L19" t="s">
        <v>51</v>
      </c>
      <c r="M19" s="78" t="s">
        <v>52</v>
      </c>
      <c r="N19" t="s">
        <v>30</v>
      </c>
      <c r="O19" t="s">
        <v>53</v>
      </c>
    </row>
    <row r="20" spans="2:15" x14ac:dyDescent="0.35">
      <c r="C20" s="28" t="s">
        <v>9</v>
      </c>
      <c r="D20">
        <f>SUM(D3,D6,D9,D12,D15)</f>
        <v>184</v>
      </c>
      <c r="E20">
        <f>SUM(E3,E6,E9,E12,E15)</f>
        <v>49</v>
      </c>
      <c r="F20">
        <f t="shared" ref="F20:O20" si="0">SUM(F3,F6,F9,F12,F15)</f>
        <v>184</v>
      </c>
      <c r="G20">
        <f t="shared" si="0"/>
        <v>70</v>
      </c>
      <c r="H20">
        <f t="shared" si="0"/>
        <v>69</v>
      </c>
      <c r="I20">
        <f t="shared" si="0"/>
        <v>73</v>
      </c>
      <c r="J20">
        <f t="shared" si="0"/>
        <v>132</v>
      </c>
      <c r="K20">
        <f t="shared" si="0"/>
        <v>53</v>
      </c>
      <c r="L20">
        <f t="shared" si="0"/>
        <v>127</v>
      </c>
      <c r="M20">
        <f t="shared" si="0"/>
        <v>0</v>
      </c>
      <c r="N20">
        <f t="shared" si="0"/>
        <v>119</v>
      </c>
      <c r="O20">
        <f t="shared" si="0"/>
        <v>21</v>
      </c>
    </row>
    <row r="21" spans="2:15" ht="15" thickBot="1" x14ac:dyDescent="0.4">
      <c r="C21" s="34" t="s">
        <v>10</v>
      </c>
      <c r="D21">
        <f t="shared" ref="D21:O22" si="1">SUM(D4,D7,D10,D13,D16)</f>
        <v>193</v>
      </c>
      <c r="E21">
        <f t="shared" si="1"/>
        <v>63</v>
      </c>
      <c r="F21">
        <f t="shared" si="1"/>
        <v>233</v>
      </c>
      <c r="G21">
        <f t="shared" si="1"/>
        <v>87</v>
      </c>
      <c r="H21">
        <f t="shared" si="1"/>
        <v>104</v>
      </c>
      <c r="I21">
        <f t="shared" si="1"/>
        <v>76</v>
      </c>
      <c r="J21">
        <f t="shared" si="1"/>
        <v>127</v>
      </c>
      <c r="K21">
        <f t="shared" si="1"/>
        <v>66</v>
      </c>
      <c r="L21">
        <f t="shared" si="1"/>
        <v>152</v>
      </c>
      <c r="M21">
        <f t="shared" si="1"/>
        <v>0</v>
      </c>
      <c r="N21">
        <f t="shared" si="1"/>
        <v>143</v>
      </c>
      <c r="O21">
        <f t="shared" si="1"/>
        <v>28</v>
      </c>
    </row>
    <row r="22" spans="2:15" x14ac:dyDescent="0.35">
      <c r="C22" t="s">
        <v>11</v>
      </c>
      <c r="D22">
        <f t="shared" si="1"/>
        <v>117</v>
      </c>
      <c r="E22">
        <f t="shared" si="1"/>
        <v>95</v>
      </c>
      <c r="F22">
        <f t="shared" si="1"/>
        <v>219</v>
      </c>
      <c r="G22">
        <f t="shared" si="1"/>
        <v>103</v>
      </c>
      <c r="H22">
        <f t="shared" si="1"/>
        <v>194</v>
      </c>
      <c r="I22">
        <f t="shared" si="1"/>
        <v>131</v>
      </c>
      <c r="J22">
        <f t="shared" si="1"/>
        <v>88</v>
      </c>
      <c r="K22">
        <f t="shared" si="1"/>
        <v>117</v>
      </c>
      <c r="L22">
        <f t="shared" si="1"/>
        <v>144</v>
      </c>
      <c r="M22">
        <f t="shared" si="1"/>
        <v>0</v>
      </c>
      <c r="N22">
        <f t="shared" si="1"/>
        <v>119</v>
      </c>
      <c r="O22">
        <f t="shared" si="1"/>
        <v>51</v>
      </c>
    </row>
  </sheetData>
  <pageMargins left="0.7" right="0.7" top="0.75" bottom="0.75" header="0.3" footer="0.3"/>
  <pageSetup paperSize="9" scale="83" fitToHeight="0" orientation="landscape" horizontalDpi="4294967293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23"/>
  <sheetViews>
    <sheetView topLeftCell="A2" zoomScale="50" zoomScaleNormal="50" workbookViewId="0">
      <selection activeCell="O21" sqref="O21"/>
    </sheetView>
  </sheetViews>
  <sheetFormatPr defaultRowHeight="14.5" x14ac:dyDescent="0.35"/>
  <cols>
    <col min="2" max="2" width="21" customWidth="1"/>
    <col min="4" max="4" width="9.90625" customWidth="1"/>
    <col min="5" max="5" width="10.7265625" customWidth="1"/>
    <col min="6" max="6" width="14.1796875" customWidth="1"/>
    <col min="7" max="7" width="13.36328125" customWidth="1"/>
    <col min="8" max="8" width="8.26953125" customWidth="1"/>
    <col min="9" max="9" width="9.90625" customWidth="1"/>
    <col min="14" max="14" width="12.36328125" customWidth="1"/>
    <col min="15" max="15" width="13.36328125" customWidth="1"/>
  </cols>
  <sheetData>
    <row r="2" spans="2:15" ht="15" thickBot="1" x14ac:dyDescent="0.4"/>
    <row r="3" spans="2:15" ht="15" thickBot="1" x14ac:dyDescent="0.4">
      <c r="B3" s="49"/>
      <c r="C3" s="50"/>
      <c r="D3" s="51" t="s">
        <v>43</v>
      </c>
      <c r="E3" s="51" t="s">
        <v>44</v>
      </c>
      <c r="F3" s="52" t="s">
        <v>46</v>
      </c>
      <c r="G3" s="52" t="s">
        <v>45</v>
      </c>
      <c r="H3" s="53" t="s">
        <v>47</v>
      </c>
      <c r="I3" s="53" t="s">
        <v>48</v>
      </c>
      <c r="J3" s="52" t="s">
        <v>49</v>
      </c>
      <c r="K3" s="52" t="s">
        <v>50</v>
      </c>
      <c r="L3" s="54" t="s">
        <v>51</v>
      </c>
      <c r="M3" s="57" t="s">
        <v>52</v>
      </c>
      <c r="N3" s="63" t="s">
        <v>30</v>
      </c>
      <c r="O3" s="64" t="s">
        <v>53</v>
      </c>
    </row>
    <row r="4" spans="2:15" x14ac:dyDescent="0.35">
      <c r="B4" s="35" t="s">
        <v>37</v>
      </c>
      <c r="C4" s="31" t="s">
        <v>9</v>
      </c>
      <c r="D4" s="37">
        <v>41</v>
      </c>
      <c r="E4" s="37">
        <v>9</v>
      </c>
      <c r="F4" s="31"/>
      <c r="G4" s="31"/>
      <c r="H4" s="42"/>
      <c r="I4" s="42"/>
      <c r="J4" s="31"/>
      <c r="K4" s="31"/>
      <c r="L4" s="58"/>
      <c r="M4" s="65"/>
      <c r="N4" s="71"/>
      <c r="O4" s="66"/>
    </row>
    <row r="5" spans="2:15" x14ac:dyDescent="0.35">
      <c r="B5" s="32" t="s">
        <v>65</v>
      </c>
      <c r="C5" s="28" t="s">
        <v>10</v>
      </c>
      <c r="D5" s="38">
        <v>42</v>
      </c>
      <c r="E5" s="38">
        <v>12</v>
      </c>
      <c r="F5" s="28"/>
      <c r="G5" s="28"/>
      <c r="H5" s="43"/>
      <c r="I5" s="43"/>
      <c r="J5" s="28"/>
      <c r="K5" s="28"/>
      <c r="L5" s="59"/>
      <c r="M5" s="67"/>
      <c r="N5" s="72"/>
      <c r="O5" s="68"/>
    </row>
    <row r="6" spans="2:15" ht="15" thickBot="1" x14ac:dyDescent="0.4">
      <c r="B6" s="33"/>
      <c r="C6" s="34" t="s">
        <v>11</v>
      </c>
      <c r="D6" s="39">
        <v>26</v>
      </c>
      <c r="E6" s="39">
        <v>19</v>
      </c>
      <c r="F6" s="34"/>
      <c r="G6" s="34"/>
      <c r="H6" s="44"/>
      <c r="I6" s="44"/>
      <c r="J6" s="34"/>
      <c r="K6" s="34"/>
      <c r="L6" s="60"/>
      <c r="M6" s="69"/>
      <c r="N6" s="73"/>
      <c r="O6" s="70"/>
    </row>
    <row r="7" spans="2:15" x14ac:dyDescent="0.35">
      <c r="B7" s="55" t="s">
        <v>54</v>
      </c>
      <c r="C7" s="30" t="s">
        <v>9</v>
      </c>
      <c r="D7" s="40">
        <v>68</v>
      </c>
      <c r="E7" s="40">
        <v>24</v>
      </c>
      <c r="F7" s="30"/>
      <c r="G7" s="30"/>
      <c r="H7" s="45"/>
      <c r="I7" s="45"/>
      <c r="J7" s="30"/>
      <c r="K7" s="30"/>
      <c r="L7" s="48"/>
      <c r="M7" s="61"/>
      <c r="N7" s="74"/>
      <c r="O7" s="75"/>
    </row>
    <row r="8" spans="2:15" x14ac:dyDescent="0.35">
      <c r="B8" s="32" t="s">
        <v>100</v>
      </c>
      <c r="C8" s="28" t="s">
        <v>10</v>
      </c>
      <c r="D8" s="38">
        <v>72</v>
      </c>
      <c r="E8" s="38">
        <v>31</v>
      </c>
      <c r="F8" s="28"/>
      <c r="G8" s="28"/>
      <c r="H8" s="43"/>
      <c r="I8" s="43"/>
      <c r="J8" s="28"/>
      <c r="K8" s="28"/>
      <c r="L8" s="47"/>
      <c r="M8" s="59"/>
      <c r="N8" s="72"/>
      <c r="O8" s="68"/>
    </row>
    <row r="9" spans="2:15" ht="15" thickBot="1" x14ac:dyDescent="0.4">
      <c r="B9" s="56"/>
      <c r="C9" s="29" t="s">
        <v>11</v>
      </c>
      <c r="D9" s="36">
        <v>46</v>
      </c>
      <c r="E9" s="36">
        <v>49</v>
      </c>
      <c r="F9" s="29"/>
      <c r="G9" s="29"/>
      <c r="H9" s="41"/>
      <c r="I9" s="41"/>
      <c r="J9" s="29"/>
      <c r="K9" s="29"/>
      <c r="L9" s="46"/>
      <c r="M9" s="62"/>
      <c r="N9" s="76"/>
      <c r="O9" s="77"/>
    </row>
    <row r="10" spans="2:15" x14ac:dyDescent="0.35">
      <c r="B10" s="35" t="s">
        <v>40</v>
      </c>
      <c r="C10" s="31" t="s">
        <v>9</v>
      </c>
      <c r="D10" s="37">
        <v>11</v>
      </c>
      <c r="E10" s="37">
        <v>3</v>
      </c>
      <c r="F10" s="31">
        <v>23</v>
      </c>
      <c r="G10" s="31">
        <v>9</v>
      </c>
      <c r="H10" s="42">
        <v>7</v>
      </c>
      <c r="I10" s="42">
        <v>9</v>
      </c>
      <c r="J10" s="31">
        <v>24</v>
      </c>
      <c r="K10" s="31">
        <v>9</v>
      </c>
      <c r="L10" s="58">
        <v>15</v>
      </c>
      <c r="M10" s="65"/>
      <c r="N10" s="71"/>
      <c r="O10" s="66"/>
    </row>
    <row r="11" spans="2:15" x14ac:dyDescent="0.35">
      <c r="B11" s="32" t="s">
        <v>101</v>
      </c>
      <c r="C11" s="28" t="s">
        <v>10</v>
      </c>
      <c r="D11" s="38">
        <v>12</v>
      </c>
      <c r="E11" s="38">
        <v>3</v>
      </c>
      <c r="F11" s="28">
        <v>25</v>
      </c>
      <c r="G11" s="28">
        <v>9</v>
      </c>
      <c r="H11" s="43">
        <v>12</v>
      </c>
      <c r="I11" s="43">
        <v>11</v>
      </c>
      <c r="J11" s="28">
        <v>21</v>
      </c>
      <c r="K11" s="28">
        <v>11</v>
      </c>
      <c r="L11" s="59">
        <v>19</v>
      </c>
      <c r="M11" s="59" t="s">
        <v>61</v>
      </c>
      <c r="N11" s="72"/>
      <c r="O11" s="68"/>
    </row>
    <row r="12" spans="2:15" ht="15" thickBot="1" x14ac:dyDescent="0.4">
      <c r="B12" s="33"/>
      <c r="C12" s="34" t="s">
        <v>11</v>
      </c>
      <c r="D12" s="39">
        <v>8</v>
      </c>
      <c r="E12" s="39">
        <v>5</v>
      </c>
      <c r="F12" s="34">
        <v>24</v>
      </c>
      <c r="G12" s="34">
        <v>10</v>
      </c>
      <c r="H12" s="44">
        <v>22</v>
      </c>
      <c r="I12" s="44">
        <v>96</v>
      </c>
      <c r="J12" s="34">
        <v>14</v>
      </c>
      <c r="K12" s="34">
        <v>19</v>
      </c>
      <c r="L12" s="59">
        <v>18</v>
      </c>
      <c r="M12" s="59" t="s">
        <v>61</v>
      </c>
      <c r="N12" s="73"/>
      <c r="O12" s="70"/>
    </row>
    <row r="13" spans="2:15" x14ac:dyDescent="0.35">
      <c r="B13" s="55" t="s">
        <v>41</v>
      </c>
      <c r="C13" s="30" t="s">
        <v>9</v>
      </c>
      <c r="D13" s="40">
        <v>41</v>
      </c>
      <c r="E13" s="40">
        <v>10</v>
      </c>
      <c r="F13" s="30">
        <v>83</v>
      </c>
      <c r="G13" s="30">
        <v>31</v>
      </c>
      <c r="H13" s="45">
        <v>29</v>
      </c>
      <c r="I13" s="45">
        <v>32</v>
      </c>
      <c r="J13" s="30">
        <v>62</v>
      </c>
      <c r="K13" s="30">
        <v>22</v>
      </c>
      <c r="L13" s="59">
        <v>54</v>
      </c>
      <c r="M13" s="59" t="s">
        <v>61</v>
      </c>
      <c r="N13" s="74"/>
      <c r="O13" s="75"/>
    </row>
    <row r="14" spans="2:15" x14ac:dyDescent="0.35">
      <c r="B14" s="32" t="s">
        <v>102</v>
      </c>
      <c r="C14" s="28" t="s">
        <v>10</v>
      </c>
      <c r="D14" s="38">
        <v>43</v>
      </c>
      <c r="E14" s="38">
        <v>12</v>
      </c>
      <c r="F14" s="28">
        <v>105</v>
      </c>
      <c r="G14" s="28">
        <v>40</v>
      </c>
      <c r="H14" s="43">
        <v>47</v>
      </c>
      <c r="I14" s="43">
        <v>33</v>
      </c>
      <c r="J14" s="28">
        <v>55</v>
      </c>
      <c r="K14" s="28">
        <v>28</v>
      </c>
      <c r="L14" s="59">
        <v>68</v>
      </c>
      <c r="M14" s="59" t="s">
        <v>61</v>
      </c>
      <c r="N14" s="72"/>
      <c r="O14" s="68"/>
    </row>
    <row r="15" spans="2:15" ht="15" thickBot="1" x14ac:dyDescent="0.4">
      <c r="B15" s="56"/>
      <c r="C15" s="29" t="s">
        <v>11</v>
      </c>
      <c r="D15" s="36">
        <v>27</v>
      </c>
      <c r="E15" s="36">
        <v>19</v>
      </c>
      <c r="F15" s="29">
        <v>99</v>
      </c>
      <c r="G15" s="29">
        <v>47</v>
      </c>
      <c r="H15" s="41">
        <v>87</v>
      </c>
      <c r="I15" s="41">
        <v>63</v>
      </c>
      <c r="J15" s="29">
        <v>38</v>
      </c>
      <c r="K15" s="29">
        <v>50</v>
      </c>
      <c r="L15" s="59">
        <v>64</v>
      </c>
      <c r="M15" s="59" t="s">
        <v>61</v>
      </c>
      <c r="N15" s="76"/>
      <c r="O15" s="77"/>
    </row>
    <row r="16" spans="2:15" x14ac:dyDescent="0.35">
      <c r="B16" s="35" t="s">
        <v>63</v>
      </c>
      <c r="C16" s="31" t="s">
        <v>9</v>
      </c>
      <c r="D16" s="37"/>
      <c r="E16" s="37"/>
      <c r="F16" s="31"/>
      <c r="G16" s="31"/>
      <c r="H16" s="42"/>
      <c r="I16" s="42"/>
      <c r="J16" s="31"/>
      <c r="K16" s="31"/>
      <c r="L16" s="58"/>
      <c r="M16" s="65"/>
      <c r="N16" s="71">
        <v>143</v>
      </c>
      <c r="O16" s="66">
        <v>26</v>
      </c>
    </row>
    <row r="17" spans="2:15" x14ac:dyDescent="0.35">
      <c r="B17" s="32" t="s">
        <v>85</v>
      </c>
      <c r="C17" s="28" t="s">
        <v>10</v>
      </c>
      <c r="D17" s="38"/>
      <c r="E17" s="38"/>
      <c r="F17" s="28"/>
      <c r="G17" s="28"/>
      <c r="H17" s="43"/>
      <c r="I17" s="43"/>
      <c r="J17" s="28"/>
      <c r="K17" s="28"/>
      <c r="L17" s="59"/>
      <c r="M17" s="67"/>
      <c r="N17" s="72">
        <v>167</v>
      </c>
      <c r="O17" s="68">
        <v>32</v>
      </c>
    </row>
    <row r="18" spans="2:15" ht="15" thickBot="1" x14ac:dyDescent="0.4">
      <c r="B18" s="33"/>
      <c r="C18" s="34" t="s">
        <v>11</v>
      </c>
      <c r="D18" s="39"/>
      <c r="E18" s="39"/>
      <c r="F18" s="34"/>
      <c r="G18" s="34"/>
      <c r="H18" s="44"/>
      <c r="I18" s="44"/>
      <c r="J18" s="34"/>
      <c r="K18" s="34"/>
      <c r="L18" s="60"/>
      <c r="M18" s="69"/>
      <c r="N18" s="73">
        <v>119</v>
      </c>
      <c r="O18" s="70">
        <v>60</v>
      </c>
    </row>
    <row r="19" spans="2:15" ht="15" thickBot="1" x14ac:dyDescent="0.4"/>
    <row r="20" spans="2:15" x14ac:dyDescent="0.35">
      <c r="C20" s="31"/>
      <c r="D20" t="s">
        <v>43</v>
      </c>
      <c r="E20" t="s">
        <v>44</v>
      </c>
      <c r="F20" t="s">
        <v>46</v>
      </c>
      <c r="G20" t="s">
        <v>45</v>
      </c>
      <c r="H20" t="s">
        <v>47</v>
      </c>
      <c r="I20" t="s">
        <v>48</v>
      </c>
      <c r="J20" t="s">
        <v>49</v>
      </c>
      <c r="K20" t="s">
        <v>50</v>
      </c>
      <c r="L20" t="s">
        <v>51</v>
      </c>
      <c r="M20" s="78" t="s">
        <v>52</v>
      </c>
      <c r="N20" t="s">
        <v>30</v>
      </c>
      <c r="O20" t="s">
        <v>53</v>
      </c>
    </row>
    <row r="21" spans="2:15" x14ac:dyDescent="0.35">
      <c r="C21" s="28" t="s">
        <v>9</v>
      </c>
      <c r="D21">
        <f>SUM(D4,D7,D10,D13,D16)</f>
        <v>161</v>
      </c>
      <c r="E21">
        <f>SUM(E4,E7,E10,E13,E16)</f>
        <v>46</v>
      </c>
      <c r="F21">
        <f t="shared" ref="F21:O21" si="0">SUM(F4,F7,F10,F13,F16)</f>
        <v>106</v>
      </c>
      <c r="G21">
        <f t="shared" si="0"/>
        <v>40</v>
      </c>
      <c r="H21">
        <f t="shared" si="0"/>
        <v>36</v>
      </c>
      <c r="I21">
        <f t="shared" si="0"/>
        <v>41</v>
      </c>
      <c r="J21">
        <f t="shared" si="0"/>
        <v>86</v>
      </c>
      <c r="K21">
        <f t="shared" si="0"/>
        <v>31</v>
      </c>
      <c r="L21">
        <f t="shared" si="0"/>
        <v>69</v>
      </c>
      <c r="M21">
        <f t="shared" si="0"/>
        <v>0</v>
      </c>
      <c r="N21">
        <f t="shared" si="0"/>
        <v>143</v>
      </c>
      <c r="O21">
        <f t="shared" si="0"/>
        <v>26</v>
      </c>
    </row>
    <row r="22" spans="2:15" ht="15" thickBot="1" x14ac:dyDescent="0.4">
      <c r="C22" s="34" t="s">
        <v>10</v>
      </c>
      <c r="D22">
        <f t="shared" ref="D22:O23" si="1">SUM(D5,D8,D11,D14,D17)</f>
        <v>169</v>
      </c>
      <c r="E22">
        <f t="shared" si="1"/>
        <v>58</v>
      </c>
      <c r="F22">
        <f t="shared" si="1"/>
        <v>130</v>
      </c>
      <c r="G22">
        <f t="shared" si="1"/>
        <v>49</v>
      </c>
      <c r="H22">
        <f t="shared" si="1"/>
        <v>59</v>
      </c>
      <c r="I22">
        <f t="shared" si="1"/>
        <v>44</v>
      </c>
      <c r="J22">
        <f t="shared" si="1"/>
        <v>76</v>
      </c>
      <c r="K22">
        <f t="shared" si="1"/>
        <v>39</v>
      </c>
      <c r="L22">
        <f t="shared" si="1"/>
        <v>87</v>
      </c>
      <c r="M22">
        <f t="shared" si="1"/>
        <v>0</v>
      </c>
      <c r="N22">
        <f t="shared" si="1"/>
        <v>167</v>
      </c>
      <c r="O22">
        <f t="shared" si="1"/>
        <v>32</v>
      </c>
    </row>
    <row r="23" spans="2:15" x14ac:dyDescent="0.35">
      <c r="C23" t="s">
        <v>11</v>
      </c>
      <c r="D23">
        <f t="shared" si="1"/>
        <v>107</v>
      </c>
      <c r="E23">
        <f t="shared" si="1"/>
        <v>92</v>
      </c>
      <c r="F23">
        <f t="shared" si="1"/>
        <v>123</v>
      </c>
      <c r="G23">
        <f t="shared" si="1"/>
        <v>57</v>
      </c>
      <c r="H23">
        <f t="shared" si="1"/>
        <v>109</v>
      </c>
      <c r="I23">
        <f t="shared" si="1"/>
        <v>159</v>
      </c>
      <c r="J23">
        <f t="shared" si="1"/>
        <v>52</v>
      </c>
      <c r="K23">
        <f t="shared" si="1"/>
        <v>69</v>
      </c>
      <c r="L23">
        <f t="shared" si="1"/>
        <v>82</v>
      </c>
      <c r="M23">
        <f t="shared" si="1"/>
        <v>0</v>
      </c>
      <c r="N23">
        <f t="shared" si="1"/>
        <v>119</v>
      </c>
      <c r="O23">
        <f t="shared" si="1"/>
        <v>60</v>
      </c>
    </row>
  </sheetData>
  <pageMargins left="0.7" right="0.7" top="0.75" bottom="0.75" header="0.3" footer="0.3"/>
  <pageSetup paperSize="9" scale="79" fitToHeight="0" orientation="landscape" horizontalDpi="4294967293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2"/>
  <sheetViews>
    <sheetView topLeftCell="A10" zoomScale="58" zoomScaleNormal="58" workbookViewId="0">
      <selection activeCell="O27" sqref="O27"/>
    </sheetView>
  </sheetViews>
  <sheetFormatPr defaultRowHeight="14.5" x14ac:dyDescent="0.35"/>
  <cols>
    <col min="2" max="2" width="19.6328125" bestFit="1" customWidth="1"/>
    <col min="4" max="4" width="8.36328125" bestFit="1" customWidth="1"/>
    <col min="5" max="5" width="10.08984375" bestFit="1" customWidth="1"/>
    <col min="6" max="6" width="14" bestFit="1" customWidth="1"/>
    <col min="7" max="7" width="14.6328125" bestFit="1" customWidth="1"/>
    <col min="8" max="8" width="14.54296875" bestFit="1" customWidth="1"/>
    <col min="9" max="10" width="10" bestFit="1" customWidth="1"/>
    <col min="11" max="11" width="9.36328125" bestFit="1" customWidth="1"/>
    <col min="12" max="12" width="9.453125" bestFit="1" customWidth="1"/>
    <col min="13" max="13" width="9.36328125" bestFit="1" customWidth="1"/>
    <col min="14" max="14" width="10.7265625" bestFit="1" customWidth="1"/>
    <col min="15" max="15" width="12" bestFit="1" customWidth="1"/>
  </cols>
  <sheetData>
    <row r="1" spans="2:15" ht="15" thickBot="1" x14ac:dyDescent="0.4"/>
    <row r="2" spans="2:15" ht="15" thickBot="1" x14ac:dyDescent="0.4">
      <c r="B2" s="49"/>
      <c r="C2" s="50"/>
      <c r="D2" s="51" t="s">
        <v>43</v>
      </c>
      <c r="E2" s="51" t="s">
        <v>44</v>
      </c>
      <c r="F2" s="52" t="s">
        <v>46</v>
      </c>
      <c r="G2" s="52" t="s">
        <v>45</v>
      </c>
      <c r="H2" s="53" t="s">
        <v>47</v>
      </c>
      <c r="I2" s="53" t="s">
        <v>48</v>
      </c>
      <c r="J2" s="52" t="s">
        <v>49</v>
      </c>
      <c r="K2" s="52" t="s">
        <v>50</v>
      </c>
      <c r="L2" s="54" t="s">
        <v>51</v>
      </c>
      <c r="M2" s="57" t="s">
        <v>52</v>
      </c>
      <c r="N2" s="63" t="s">
        <v>30</v>
      </c>
      <c r="O2" s="64" t="s">
        <v>53</v>
      </c>
    </row>
    <row r="3" spans="2:15" x14ac:dyDescent="0.35">
      <c r="B3" s="35" t="s">
        <v>37</v>
      </c>
      <c r="C3" s="31" t="s">
        <v>9</v>
      </c>
      <c r="D3" s="37">
        <v>125</v>
      </c>
      <c r="E3" s="37">
        <v>30</v>
      </c>
      <c r="F3" s="31"/>
      <c r="G3" s="31"/>
      <c r="H3" s="42"/>
      <c r="I3" s="42"/>
      <c r="J3" s="31"/>
      <c r="K3" s="31"/>
      <c r="L3" s="58"/>
      <c r="M3" s="65"/>
      <c r="N3" s="71"/>
      <c r="O3" s="66"/>
    </row>
    <row r="4" spans="2:15" x14ac:dyDescent="0.35">
      <c r="B4" s="32" t="s">
        <v>97</v>
      </c>
      <c r="C4" s="28" t="s">
        <v>10</v>
      </c>
      <c r="D4" s="38">
        <v>132</v>
      </c>
      <c r="E4" s="38">
        <v>38</v>
      </c>
      <c r="F4" s="28"/>
      <c r="G4" s="28"/>
      <c r="H4" s="43"/>
      <c r="I4" s="43"/>
      <c r="J4" s="28"/>
      <c r="K4" s="28"/>
      <c r="L4" s="59"/>
      <c r="M4" s="67"/>
      <c r="N4" s="72"/>
      <c r="O4" s="68"/>
    </row>
    <row r="5" spans="2:15" ht="15" thickBot="1" x14ac:dyDescent="0.4">
      <c r="B5" s="33"/>
      <c r="C5" s="34" t="s">
        <v>11</v>
      </c>
      <c r="D5" s="39">
        <v>83</v>
      </c>
      <c r="E5" s="39">
        <v>59</v>
      </c>
      <c r="F5" s="34"/>
      <c r="G5" s="34"/>
      <c r="H5" s="44"/>
      <c r="I5" s="44"/>
      <c r="J5" s="34"/>
      <c r="K5" s="34"/>
      <c r="L5" s="60"/>
      <c r="M5" s="69"/>
      <c r="N5" s="73"/>
      <c r="O5" s="70"/>
    </row>
    <row r="6" spans="2:15" x14ac:dyDescent="0.35">
      <c r="B6" s="55" t="s">
        <v>54</v>
      </c>
      <c r="C6" s="30" t="s">
        <v>9</v>
      </c>
      <c r="D6" s="40">
        <v>109</v>
      </c>
      <c r="E6" s="40">
        <v>40</v>
      </c>
      <c r="F6" s="30"/>
      <c r="G6" s="30"/>
      <c r="H6" s="45"/>
      <c r="I6" s="45"/>
      <c r="J6" s="30"/>
      <c r="K6" s="30"/>
      <c r="L6" s="48"/>
      <c r="M6" s="61"/>
      <c r="N6" s="74"/>
      <c r="O6" s="75"/>
    </row>
    <row r="7" spans="2:15" x14ac:dyDescent="0.35">
      <c r="B7" s="32" t="s">
        <v>78</v>
      </c>
      <c r="C7" s="28" t="s">
        <v>10</v>
      </c>
      <c r="D7" s="38">
        <v>91</v>
      </c>
      <c r="E7" s="38">
        <v>40</v>
      </c>
      <c r="F7" s="28"/>
      <c r="G7" s="28"/>
      <c r="H7" s="43"/>
      <c r="I7" s="43"/>
      <c r="J7" s="28"/>
      <c r="K7" s="28"/>
      <c r="L7" s="47"/>
      <c r="M7" s="59"/>
      <c r="N7" s="72"/>
      <c r="O7" s="68"/>
    </row>
    <row r="8" spans="2:15" ht="15" thickBot="1" x14ac:dyDescent="0.4">
      <c r="B8" s="56"/>
      <c r="C8" s="29" t="s">
        <v>11</v>
      </c>
      <c r="D8" s="36">
        <v>76</v>
      </c>
      <c r="E8" s="36">
        <v>79</v>
      </c>
      <c r="F8" s="29"/>
      <c r="G8" s="29"/>
      <c r="H8" s="41"/>
      <c r="I8" s="41"/>
      <c r="J8" s="29"/>
      <c r="K8" s="29"/>
      <c r="L8" s="46"/>
      <c r="M8" s="62"/>
      <c r="N8" s="76"/>
      <c r="O8" s="77"/>
    </row>
    <row r="9" spans="2:15" ht="15" thickBot="1" x14ac:dyDescent="0.4">
      <c r="B9" s="35" t="s">
        <v>40</v>
      </c>
      <c r="C9" s="31" t="s">
        <v>9</v>
      </c>
      <c r="D9" s="37">
        <v>22</v>
      </c>
      <c r="E9" s="37">
        <v>5</v>
      </c>
      <c r="F9" s="31">
        <v>39</v>
      </c>
      <c r="G9" s="31">
        <v>15</v>
      </c>
      <c r="H9" s="42">
        <v>14</v>
      </c>
      <c r="I9" s="42">
        <v>17</v>
      </c>
      <c r="J9" s="31">
        <v>46</v>
      </c>
      <c r="K9" s="31">
        <v>17</v>
      </c>
      <c r="L9" s="58">
        <v>29</v>
      </c>
      <c r="M9" s="58" t="s">
        <v>61</v>
      </c>
      <c r="N9" s="71"/>
      <c r="O9" s="66"/>
    </row>
    <row r="10" spans="2:15" ht="15" thickBot="1" x14ac:dyDescent="0.4">
      <c r="B10" s="32" t="s">
        <v>98</v>
      </c>
      <c r="C10" s="28" t="s">
        <v>10</v>
      </c>
      <c r="D10" s="38">
        <v>23</v>
      </c>
      <c r="E10" s="38">
        <v>7</v>
      </c>
      <c r="F10" s="28">
        <v>49</v>
      </c>
      <c r="G10" s="28">
        <v>18</v>
      </c>
      <c r="H10" s="43">
        <v>23</v>
      </c>
      <c r="I10" s="43">
        <v>21</v>
      </c>
      <c r="J10" s="28">
        <v>41</v>
      </c>
      <c r="K10" s="28">
        <v>21</v>
      </c>
      <c r="L10" s="58">
        <v>37</v>
      </c>
      <c r="M10" s="58" t="s">
        <v>61</v>
      </c>
      <c r="N10" s="72"/>
      <c r="O10" s="68"/>
    </row>
    <row r="11" spans="2:15" ht="15" thickBot="1" x14ac:dyDescent="0.4">
      <c r="B11" s="33"/>
      <c r="C11" s="34" t="s">
        <v>11</v>
      </c>
      <c r="D11" s="39">
        <v>14</v>
      </c>
      <c r="E11" s="39">
        <v>11</v>
      </c>
      <c r="F11" s="34">
        <v>46</v>
      </c>
      <c r="G11" s="34">
        <v>22</v>
      </c>
      <c r="H11" s="44">
        <v>42</v>
      </c>
      <c r="I11" s="44">
        <v>11</v>
      </c>
      <c r="J11" s="34">
        <v>28</v>
      </c>
      <c r="K11" s="34">
        <v>11</v>
      </c>
      <c r="L11" s="58">
        <v>34</v>
      </c>
      <c r="M11" s="58" t="s">
        <v>61</v>
      </c>
      <c r="N11" s="73"/>
      <c r="O11" s="70"/>
    </row>
    <row r="12" spans="2:15" ht="15" thickBot="1" x14ac:dyDescent="0.4">
      <c r="B12" s="55" t="s">
        <v>41</v>
      </c>
      <c r="C12" s="30" t="s">
        <v>9</v>
      </c>
      <c r="D12" s="40">
        <v>66</v>
      </c>
      <c r="E12" s="40">
        <v>16</v>
      </c>
      <c r="F12" s="30">
        <v>133</v>
      </c>
      <c r="G12" s="30">
        <v>50</v>
      </c>
      <c r="H12" s="45">
        <v>46</v>
      </c>
      <c r="I12" s="45">
        <v>52</v>
      </c>
      <c r="J12" s="30">
        <v>99</v>
      </c>
      <c r="K12" s="30">
        <v>36</v>
      </c>
      <c r="L12" s="58">
        <v>28</v>
      </c>
      <c r="M12" s="58" t="s">
        <v>61</v>
      </c>
      <c r="N12" s="74"/>
      <c r="O12" s="75"/>
    </row>
    <row r="13" spans="2:15" ht="15" thickBot="1" x14ac:dyDescent="0.4">
      <c r="B13" s="32" t="s">
        <v>99</v>
      </c>
      <c r="C13" s="28" t="s">
        <v>10</v>
      </c>
      <c r="D13" s="38">
        <v>69</v>
      </c>
      <c r="E13" s="38">
        <v>20</v>
      </c>
      <c r="F13" s="28">
        <v>168</v>
      </c>
      <c r="G13" s="28">
        <v>63</v>
      </c>
      <c r="H13" s="43">
        <v>75</v>
      </c>
      <c r="I13" s="43">
        <v>53</v>
      </c>
      <c r="J13" s="28">
        <v>88</v>
      </c>
      <c r="K13" s="28">
        <v>46</v>
      </c>
      <c r="L13" s="58">
        <v>109</v>
      </c>
      <c r="M13" s="58" t="s">
        <v>61</v>
      </c>
      <c r="N13" s="72"/>
      <c r="O13" s="68"/>
    </row>
    <row r="14" spans="2:15" ht="15" thickBot="1" x14ac:dyDescent="0.4">
      <c r="B14" s="56"/>
      <c r="C14" s="29" t="s">
        <v>11</v>
      </c>
      <c r="D14" s="36">
        <v>43</v>
      </c>
      <c r="E14" s="36">
        <v>31</v>
      </c>
      <c r="F14" s="29">
        <v>158</v>
      </c>
      <c r="G14" s="29">
        <v>75</v>
      </c>
      <c r="H14" s="41">
        <v>139</v>
      </c>
      <c r="I14" s="41">
        <v>100</v>
      </c>
      <c r="J14" s="29">
        <v>60</v>
      </c>
      <c r="K14" s="29">
        <v>80</v>
      </c>
      <c r="L14" s="58">
        <v>102</v>
      </c>
      <c r="M14" s="58" t="s">
        <v>61</v>
      </c>
      <c r="N14" s="76"/>
      <c r="O14" s="77"/>
    </row>
    <row r="15" spans="2:15" x14ac:dyDescent="0.35">
      <c r="B15" s="35" t="s">
        <v>63</v>
      </c>
      <c r="C15" s="31" t="s">
        <v>9</v>
      </c>
      <c r="D15" s="37"/>
      <c r="E15" s="37"/>
      <c r="F15" s="31"/>
      <c r="G15" s="31"/>
      <c r="H15" s="42"/>
      <c r="I15" s="42"/>
      <c r="J15" s="31"/>
      <c r="K15" s="31"/>
      <c r="L15" s="58"/>
      <c r="M15" s="65"/>
      <c r="N15" s="71">
        <v>143</v>
      </c>
      <c r="O15" s="66">
        <v>30</v>
      </c>
    </row>
    <row r="16" spans="2:15" x14ac:dyDescent="0.35">
      <c r="B16" s="32" t="s">
        <v>76</v>
      </c>
      <c r="C16" s="28" t="s">
        <v>10</v>
      </c>
      <c r="D16" s="38"/>
      <c r="E16" s="38"/>
      <c r="F16" s="28"/>
      <c r="G16" s="28"/>
      <c r="H16" s="43"/>
      <c r="I16" s="43"/>
      <c r="J16" s="28"/>
      <c r="K16" s="28"/>
      <c r="L16" s="59"/>
      <c r="M16" s="67"/>
      <c r="N16" s="72">
        <v>190</v>
      </c>
      <c r="O16" s="68">
        <v>37</v>
      </c>
    </row>
    <row r="17" spans="2:15" ht="15" thickBot="1" x14ac:dyDescent="0.4">
      <c r="B17" s="33"/>
      <c r="C17" s="34" t="s">
        <v>11</v>
      </c>
      <c r="D17" s="39"/>
      <c r="E17" s="39"/>
      <c r="F17" s="34"/>
      <c r="G17" s="34"/>
      <c r="H17" s="44"/>
      <c r="I17" s="44"/>
      <c r="J17" s="34"/>
      <c r="K17" s="34"/>
      <c r="L17" s="60"/>
      <c r="M17" s="69"/>
      <c r="N17" s="73">
        <v>159</v>
      </c>
      <c r="O17" s="70">
        <v>68</v>
      </c>
    </row>
    <row r="18" spans="2:15" ht="15" thickBot="1" x14ac:dyDescent="0.4"/>
    <row r="19" spans="2:15" x14ac:dyDescent="0.35">
      <c r="C19" s="31"/>
      <c r="D19" t="s">
        <v>43</v>
      </c>
      <c r="E19" t="s">
        <v>44</v>
      </c>
      <c r="F19" t="s">
        <v>46</v>
      </c>
      <c r="G19" t="s">
        <v>45</v>
      </c>
      <c r="H19" t="s">
        <v>47</v>
      </c>
      <c r="I19" t="s">
        <v>48</v>
      </c>
      <c r="J19" t="s">
        <v>49</v>
      </c>
      <c r="K19" t="s">
        <v>50</v>
      </c>
      <c r="L19" t="s">
        <v>51</v>
      </c>
      <c r="M19" s="78" t="s">
        <v>52</v>
      </c>
      <c r="N19" t="s">
        <v>30</v>
      </c>
      <c r="O19" t="s">
        <v>53</v>
      </c>
    </row>
    <row r="20" spans="2:15" x14ac:dyDescent="0.35">
      <c r="C20" s="28" t="s">
        <v>9</v>
      </c>
      <c r="D20">
        <f>SUM(D3,D6,D9,D12,D15)</f>
        <v>322</v>
      </c>
      <c r="E20">
        <f>SUM(E3,E6,E9,E12,E15)</f>
        <v>91</v>
      </c>
      <c r="F20">
        <f t="shared" ref="F20:O20" si="0">SUM(F3,F6,F9,F12,F15)</f>
        <v>172</v>
      </c>
      <c r="G20">
        <f t="shared" si="0"/>
        <v>65</v>
      </c>
      <c r="H20">
        <f t="shared" si="0"/>
        <v>60</v>
      </c>
      <c r="I20">
        <f t="shared" si="0"/>
        <v>69</v>
      </c>
      <c r="J20">
        <f t="shared" si="0"/>
        <v>145</v>
      </c>
      <c r="K20">
        <f t="shared" si="0"/>
        <v>53</v>
      </c>
      <c r="L20">
        <f t="shared" si="0"/>
        <v>57</v>
      </c>
      <c r="M20">
        <f t="shared" si="0"/>
        <v>0</v>
      </c>
      <c r="N20">
        <f t="shared" si="0"/>
        <v>143</v>
      </c>
      <c r="O20">
        <f t="shared" si="0"/>
        <v>30</v>
      </c>
    </row>
    <row r="21" spans="2:15" ht="15" thickBot="1" x14ac:dyDescent="0.4">
      <c r="C21" s="34" t="s">
        <v>10</v>
      </c>
      <c r="D21">
        <f t="shared" ref="D21:O22" si="1">SUM(D4,D7,D10,D13,D16)</f>
        <v>315</v>
      </c>
      <c r="E21">
        <f t="shared" si="1"/>
        <v>105</v>
      </c>
      <c r="F21">
        <f t="shared" si="1"/>
        <v>217</v>
      </c>
      <c r="G21">
        <f t="shared" si="1"/>
        <v>81</v>
      </c>
      <c r="H21">
        <f t="shared" si="1"/>
        <v>98</v>
      </c>
      <c r="I21">
        <f t="shared" si="1"/>
        <v>74</v>
      </c>
      <c r="J21">
        <f t="shared" si="1"/>
        <v>129</v>
      </c>
      <c r="K21">
        <f t="shared" si="1"/>
        <v>67</v>
      </c>
      <c r="L21">
        <f t="shared" si="1"/>
        <v>146</v>
      </c>
      <c r="M21">
        <f t="shared" si="1"/>
        <v>0</v>
      </c>
      <c r="N21">
        <f t="shared" si="1"/>
        <v>190</v>
      </c>
      <c r="O21">
        <f t="shared" si="1"/>
        <v>37</v>
      </c>
    </row>
    <row r="22" spans="2:15" x14ac:dyDescent="0.35">
      <c r="C22" t="s">
        <v>11</v>
      </c>
      <c r="D22">
        <f t="shared" si="1"/>
        <v>216</v>
      </c>
      <c r="E22">
        <f t="shared" si="1"/>
        <v>180</v>
      </c>
      <c r="F22">
        <f t="shared" si="1"/>
        <v>204</v>
      </c>
      <c r="G22">
        <f t="shared" si="1"/>
        <v>97</v>
      </c>
      <c r="H22">
        <f t="shared" si="1"/>
        <v>181</v>
      </c>
      <c r="I22">
        <f t="shared" si="1"/>
        <v>111</v>
      </c>
      <c r="J22">
        <f t="shared" si="1"/>
        <v>88</v>
      </c>
      <c r="K22">
        <f t="shared" si="1"/>
        <v>91</v>
      </c>
      <c r="L22">
        <f t="shared" si="1"/>
        <v>136</v>
      </c>
      <c r="M22">
        <f t="shared" si="1"/>
        <v>0</v>
      </c>
      <c r="N22">
        <f t="shared" si="1"/>
        <v>159</v>
      </c>
      <c r="O22">
        <f t="shared" si="1"/>
        <v>68</v>
      </c>
    </row>
  </sheetData>
  <pageMargins left="0.7" right="0.7" top="0.75" bottom="0.75" header="0.3" footer="0.3"/>
  <pageSetup paperSize="9" scale="75" fitToHeight="0" orientation="landscape" horizontalDpi="4294967293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31"/>
  <sheetViews>
    <sheetView zoomScale="50" zoomScaleNormal="50" workbookViewId="0">
      <selection activeCell="C6" sqref="C6"/>
    </sheetView>
  </sheetViews>
  <sheetFormatPr defaultRowHeight="14.5" x14ac:dyDescent="0.35"/>
  <cols>
    <col min="3" max="3" width="18.6328125" customWidth="1"/>
    <col min="4" max="4" width="10.6328125" customWidth="1"/>
    <col min="5" max="5" width="7.90625" bestFit="1" customWidth="1"/>
    <col min="6" max="6" width="11.453125" bestFit="1" customWidth="1"/>
    <col min="7" max="7" width="10.08984375" bestFit="1" customWidth="1"/>
    <col min="8" max="8" width="16.08984375" bestFit="1" customWidth="1"/>
    <col min="9" max="9" width="5.54296875" bestFit="1" customWidth="1"/>
    <col min="10" max="10" width="8.6328125" bestFit="1" customWidth="1"/>
    <col min="11" max="11" width="6" bestFit="1" customWidth="1"/>
    <col min="12" max="12" width="8.26953125" bestFit="1" customWidth="1"/>
    <col min="13" max="13" width="7" bestFit="1" customWidth="1"/>
    <col min="14" max="14" width="10.08984375" bestFit="1" customWidth="1"/>
    <col min="15" max="15" width="10.36328125" bestFit="1" customWidth="1"/>
  </cols>
  <sheetData>
    <row r="2" spans="3:15" ht="15" thickBot="1" x14ac:dyDescent="0.4"/>
    <row r="3" spans="3:15" ht="15" thickBot="1" x14ac:dyDescent="0.4">
      <c r="C3" s="116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8"/>
    </row>
    <row r="4" spans="3:15" x14ac:dyDescent="0.35">
      <c r="C4" s="119" t="s">
        <v>0</v>
      </c>
      <c r="D4" s="121"/>
      <c r="E4" s="2" t="s">
        <v>1</v>
      </c>
      <c r="F4" s="2"/>
      <c r="G4" s="2" t="s">
        <v>2</v>
      </c>
      <c r="H4" s="2"/>
      <c r="I4" s="2" t="s">
        <v>3</v>
      </c>
      <c r="J4" s="2"/>
      <c r="K4" s="2" t="s">
        <v>4</v>
      </c>
      <c r="L4" s="2"/>
      <c r="M4" s="2" t="s">
        <v>5</v>
      </c>
      <c r="N4" s="2"/>
      <c r="O4" s="119" t="s">
        <v>31</v>
      </c>
    </row>
    <row r="5" spans="3:15" ht="29.5" thickBot="1" x14ac:dyDescent="0.4">
      <c r="C5" s="120"/>
      <c r="D5" s="122"/>
      <c r="E5" s="3" t="s">
        <v>23</v>
      </c>
      <c r="F5" s="3" t="s">
        <v>24</v>
      </c>
      <c r="G5" s="3" t="s">
        <v>23</v>
      </c>
      <c r="H5" s="3" t="s">
        <v>25</v>
      </c>
      <c r="I5" s="3" t="s">
        <v>26</v>
      </c>
      <c r="J5" s="3" t="s">
        <v>27</v>
      </c>
      <c r="K5" s="3" t="s">
        <v>23</v>
      </c>
      <c r="L5" s="3" t="s">
        <v>28</v>
      </c>
      <c r="M5" s="3" t="s">
        <v>29</v>
      </c>
      <c r="N5" s="3" t="s">
        <v>30</v>
      </c>
      <c r="O5" s="120"/>
    </row>
    <row r="6" spans="3:15" ht="29.5" thickBot="1" x14ac:dyDescent="0.4">
      <c r="C6" s="4" t="s">
        <v>6</v>
      </c>
      <c r="D6" s="6" t="s">
        <v>9</v>
      </c>
      <c r="E6" s="7">
        <v>65</v>
      </c>
      <c r="F6" s="7">
        <v>15</v>
      </c>
      <c r="G6" s="7"/>
      <c r="H6" s="7"/>
      <c r="I6" s="7"/>
      <c r="J6" s="7"/>
      <c r="K6" s="7"/>
      <c r="L6" s="22"/>
      <c r="M6" s="8"/>
      <c r="N6" s="8"/>
      <c r="O6" s="8"/>
    </row>
    <row r="7" spans="3:15" ht="29.5" thickBot="1" x14ac:dyDescent="0.4">
      <c r="C7" s="4" t="s">
        <v>7</v>
      </c>
      <c r="D7" s="9" t="s">
        <v>10</v>
      </c>
      <c r="E7" s="10">
        <v>69</v>
      </c>
      <c r="F7" s="10">
        <v>20</v>
      </c>
      <c r="G7" s="10"/>
      <c r="H7" s="10"/>
      <c r="I7" s="10"/>
      <c r="J7" s="10"/>
      <c r="K7" s="10"/>
      <c r="L7" s="23"/>
      <c r="M7" s="11"/>
      <c r="N7" s="11"/>
      <c r="O7" s="11"/>
    </row>
    <row r="8" spans="3:15" ht="29.5" thickBot="1" x14ac:dyDescent="0.4">
      <c r="C8" s="5" t="s">
        <v>8</v>
      </c>
      <c r="D8" s="12" t="s">
        <v>11</v>
      </c>
      <c r="E8" s="13">
        <v>41</v>
      </c>
      <c r="F8" s="13">
        <v>30</v>
      </c>
      <c r="G8" s="13"/>
      <c r="H8" s="13"/>
      <c r="I8" s="13"/>
      <c r="J8" s="13"/>
      <c r="K8" s="13"/>
      <c r="L8" s="24"/>
      <c r="M8" s="14"/>
      <c r="N8" s="14"/>
      <c r="O8" s="14"/>
    </row>
    <row r="9" spans="3:15" ht="15" thickBot="1" x14ac:dyDescent="0.4">
      <c r="C9" s="1" t="s">
        <v>12</v>
      </c>
      <c r="D9" s="9" t="s">
        <v>9</v>
      </c>
      <c r="E9" s="10">
        <v>91</v>
      </c>
      <c r="F9" s="10">
        <v>32</v>
      </c>
      <c r="G9" s="10"/>
      <c r="H9" s="10"/>
      <c r="I9" s="10"/>
      <c r="J9" s="10"/>
      <c r="K9" s="10"/>
      <c r="L9" s="10"/>
      <c r="M9" s="10"/>
      <c r="N9" s="10"/>
      <c r="O9" s="10"/>
    </row>
    <row r="10" spans="3:15" ht="29.5" thickBot="1" x14ac:dyDescent="0.4">
      <c r="C10" s="1" t="s">
        <v>7</v>
      </c>
      <c r="D10" s="6" t="s">
        <v>10</v>
      </c>
      <c r="E10" s="7">
        <v>95</v>
      </c>
      <c r="F10" s="7">
        <v>41</v>
      </c>
      <c r="G10" s="7"/>
      <c r="H10" s="7"/>
      <c r="I10" s="7"/>
      <c r="J10" s="7"/>
      <c r="K10" s="7"/>
      <c r="L10" s="7"/>
      <c r="M10" s="7"/>
      <c r="N10" s="7"/>
      <c r="O10" s="7"/>
    </row>
    <row r="11" spans="3:15" ht="29.5" thickBot="1" x14ac:dyDescent="0.4">
      <c r="C11" s="15" t="s">
        <v>13</v>
      </c>
      <c r="D11" s="16" t="s">
        <v>11</v>
      </c>
      <c r="E11" s="17">
        <v>61</v>
      </c>
      <c r="F11" s="17">
        <v>63</v>
      </c>
      <c r="G11" s="17"/>
      <c r="H11" s="17"/>
      <c r="I11" s="17"/>
      <c r="J11" s="17"/>
      <c r="K11" s="17"/>
      <c r="L11" s="17"/>
      <c r="M11" s="17"/>
      <c r="N11" s="17"/>
      <c r="O11" s="17"/>
    </row>
    <row r="12" spans="3:15" ht="73" thickBot="1" x14ac:dyDescent="0.4">
      <c r="C12" s="4" t="s">
        <v>14</v>
      </c>
      <c r="D12" s="6" t="s">
        <v>9</v>
      </c>
      <c r="E12" s="7">
        <v>29</v>
      </c>
      <c r="F12" s="7">
        <v>7</v>
      </c>
      <c r="G12" s="7">
        <v>50</v>
      </c>
      <c r="H12" s="7">
        <v>19</v>
      </c>
      <c r="I12" s="7">
        <v>18</v>
      </c>
      <c r="J12" s="7">
        <v>22</v>
      </c>
      <c r="K12" s="7">
        <v>59</v>
      </c>
      <c r="L12" s="22">
        <v>22</v>
      </c>
      <c r="M12" s="8">
        <v>37</v>
      </c>
      <c r="N12" s="8"/>
      <c r="O12" s="8"/>
    </row>
    <row r="13" spans="3:15" ht="29.5" thickBot="1" x14ac:dyDescent="0.4">
      <c r="C13" s="4" t="s">
        <v>15</v>
      </c>
      <c r="D13" s="9" t="s">
        <v>10</v>
      </c>
      <c r="E13" s="10">
        <v>30</v>
      </c>
      <c r="F13" s="10">
        <v>9</v>
      </c>
      <c r="G13" s="10">
        <v>64</v>
      </c>
      <c r="H13" s="10">
        <v>24</v>
      </c>
      <c r="I13" s="10">
        <v>30</v>
      </c>
      <c r="J13" s="10">
        <v>27</v>
      </c>
      <c r="K13" s="10">
        <v>53</v>
      </c>
      <c r="L13" s="23">
        <v>27</v>
      </c>
      <c r="M13" s="11">
        <v>48</v>
      </c>
      <c r="N13" s="11"/>
      <c r="O13" s="11"/>
    </row>
    <row r="14" spans="3:15" ht="29.5" thickBot="1" x14ac:dyDescent="0.4">
      <c r="C14" s="5" t="s">
        <v>16</v>
      </c>
      <c r="D14" s="12" t="s">
        <v>11</v>
      </c>
      <c r="E14" s="13">
        <v>19</v>
      </c>
      <c r="F14" s="13">
        <v>14</v>
      </c>
      <c r="G14" s="13">
        <v>60</v>
      </c>
      <c r="H14" s="13">
        <v>28</v>
      </c>
      <c r="I14" s="13">
        <v>50</v>
      </c>
      <c r="J14" s="13">
        <v>15</v>
      </c>
      <c r="K14" s="13">
        <v>36</v>
      </c>
      <c r="L14" s="24">
        <v>48</v>
      </c>
      <c r="M14" s="14">
        <v>45</v>
      </c>
      <c r="N14" s="14"/>
      <c r="O14" s="14"/>
    </row>
    <row r="15" spans="3:15" ht="15" thickBot="1" x14ac:dyDescent="0.4">
      <c r="C15" s="1" t="s">
        <v>17</v>
      </c>
      <c r="D15" s="123" t="s">
        <v>9</v>
      </c>
      <c r="E15" s="114">
        <v>27</v>
      </c>
      <c r="F15" s="20"/>
      <c r="G15" s="114">
        <v>48</v>
      </c>
      <c r="H15" s="20"/>
      <c r="I15" s="114">
        <v>19</v>
      </c>
      <c r="J15" s="20"/>
      <c r="K15" s="114">
        <v>41</v>
      </c>
      <c r="L15" s="27"/>
      <c r="M15" s="114">
        <v>36</v>
      </c>
      <c r="N15" s="20"/>
      <c r="O15" s="114"/>
    </row>
    <row r="16" spans="3:15" ht="44" thickBot="1" x14ac:dyDescent="0.4">
      <c r="C16" s="1" t="s">
        <v>18</v>
      </c>
      <c r="D16" s="124"/>
      <c r="E16" s="115"/>
      <c r="F16" s="21">
        <v>7</v>
      </c>
      <c r="G16" s="115"/>
      <c r="H16" s="21">
        <v>18</v>
      </c>
      <c r="I16" s="115"/>
      <c r="J16" s="21">
        <v>22</v>
      </c>
      <c r="K16" s="115"/>
      <c r="L16" s="20">
        <v>15</v>
      </c>
      <c r="M16" s="115"/>
      <c r="N16" s="21"/>
      <c r="O16" s="115"/>
    </row>
    <row r="17" spans="3:15" ht="29.5" thickBot="1" x14ac:dyDescent="0.4">
      <c r="C17" s="1" t="s">
        <v>7</v>
      </c>
      <c r="D17" s="6" t="s">
        <v>10</v>
      </c>
      <c r="E17" s="7">
        <v>29</v>
      </c>
      <c r="F17" s="7">
        <v>8</v>
      </c>
      <c r="G17" s="7">
        <v>60</v>
      </c>
      <c r="H17" s="7">
        <v>23</v>
      </c>
      <c r="I17" s="7">
        <v>31</v>
      </c>
      <c r="J17" s="7">
        <v>22</v>
      </c>
      <c r="K17" s="7">
        <v>36</v>
      </c>
      <c r="L17" s="21">
        <v>19</v>
      </c>
      <c r="M17" s="7">
        <v>45</v>
      </c>
      <c r="N17" s="7"/>
      <c r="O17" s="7"/>
    </row>
    <row r="18" spans="3:15" ht="29.5" thickBot="1" x14ac:dyDescent="0.4">
      <c r="C18" s="15" t="s">
        <v>19</v>
      </c>
      <c r="D18" s="16" t="s">
        <v>11</v>
      </c>
      <c r="E18" s="17">
        <v>18</v>
      </c>
      <c r="F18" s="17">
        <v>13</v>
      </c>
      <c r="G18" s="17">
        <v>57</v>
      </c>
      <c r="H18" s="17">
        <v>27</v>
      </c>
      <c r="I18" s="17">
        <v>58</v>
      </c>
      <c r="J18" s="17">
        <v>42</v>
      </c>
      <c r="K18" s="17">
        <v>25</v>
      </c>
      <c r="L18" s="7">
        <v>33</v>
      </c>
      <c r="M18" s="17">
        <v>43</v>
      </c>
      <c r="N18" s="17"/>
      <c r="O18" s="17"/>
    </row>
    <row r="19" spans="3:15" ht="15" thickBot="1" x14ac:dyDescent="0.4">
      <c r="C19" s="4" t="s">
        <v>20</v>
      </c>
      <c r="D19" s="6" t="s">
        <v>9</v>
      </c>
      <c r="E19" s="7"/>
      <c r="F19" s="7"/>
      <c r="G19" s="7"/>
      <c r="H19" s="7"/>
      <c r="I19" s="7"/>
      <c r="J19" s="7"/>
      <c r="K19" s="7"/>
      <c r="L19" s="22"/>
      <c r="M19" s="8"/>
      <c r="N19" s="8">
        <v>99</v>
      </c>
      <c r="O19" s="8"/>
    </row>
    <row r="20" spans="3:15" ht="29.5" thickBot="1" x14ac:dyDescent="0.4">
      <c r="C20" s="4" t="s">
        <v>21</v>
      </c>
      <c r="D20" s="9" t="s">
        <v>10</v>
      </c>
      <c r="E20" s="18"/>
      <c r="F20" s="18"/>
      <c r="G20" s="18"/>
      <c r="H20" s="18"/>
      <c r="I20" s="18"/>
      <c r="J20" s="18"/>
      <c r="K20" s="18"/>
      <c r="L20" s="25"/>
      <c r="M20" s="11"/>
      <c r="N20" s="11">
        <v>119</v>
      </c>
      <c r="O20" s="11"/>
    </row>
    <row r="21" spans="3:15" ht="29.5" thickBot="1" x14ac:dyDescent="0.4">
      <c r="C21" s="5" t="s">
        <v>22</v>
      </c>
      <c r="D21" s="12" t="s">
        <v>11</v>
      </c>
      <c r="E21" s="19"/>
      <c r="F21" s="19"/>
      <c r="G21" s="19"/>
      <c r="H21" s="19"/>
      <c r="I21" s="19"/>
      <c r="J21" s="19"/>
      <c r="K21" s="19"/>
      <c r="L21" s="26"/>
      <c r="M21" s="14"/>
      <c r="N21" s="14">
        <v>99</v>
      </c>
      <c r="O21" s="14"/>
    </row>
    <row r="24" spans="3:15" x14ac:dyDescent="0.35">
      <c r="D24" t="s">
        <v>32</v>
      </c>
      <c r="E24">
        <f>E6+E9+E12+R23</f>
        <v>185</v>
      </c>
      <c r="F24">
        <f>F6+F9+F12+S23</f>
        <v>54</v>
      </c>
    </row>
    <row r="25" spans="3:15" x14ac:dyDescent="0.35">
      <c r="C25" t="s">
        <v>35</v>
      </c>
      <c r="D25" t="s">
        <v>33</v>
      </c>
      <c r="E25">
        <f>E7+E10+E13+R24</f>
        <v>194</v>
      </c>
      <c r="F25">
        <f t="shared" ref="F25:F26" si="0">F7+F10+F13+S24</f>
        <v>70</v>
      </c>
    </row>
    <row r="26" spans="3:15" x14ac:dyDescent="0.35">
      <c r="D26" t="s">
        <v>34</v>
      </c>
      <c r="E26">
        <f t="shared" ref="E26" si="1">E8+E11+E14+R25</f>
        <v>121</v>
      </c>
      <c r="F26">
        <f t="shared" si="0"/>
        <v>107</v>
      </c>
    </row>
    <row r="29" spans="3:15" x14ac:dyDescent="0.35">
      <c r="C29" t="s">
        <v>36</v>
      </c>
      <c r="D29" t="s">
        <v>32</v>
      </c>
      <c r="E29">
        <f>AVERAGE(E12,E15)</f>
        <v>28</v>
      </c>
      <c r="F29">
        <f>AVERAGE(F12,F16)</f>
        <v>7</v>
      </c>
      <c r="G29">
        <f t="shared" ref="G29:M29" si="2">AVERAGE(G12,G15)</f>
        <v>49</v>
      </c>
      <c r="H29">
        <f>AVERAGE(H12,H15:H16)</f>
        <v>18.5</v>
      </c>
      <c r="I29">
        <f t="shared" si="2"/>
        <v>18.5</v>
      </c>
      <c r="J29">
        <f t="shared" si="2"/>
        <v>22</v>
      </c>
      <c r="K29">
        <f t="shared" si="2"/>
        <v>50</v>
      </c>
      <c r="L29">
        <f t="shared" si="2"/>
        <v>22</v>
      </c>
      <c r="M29">
        <f t="shared" si="2"/>
        <v>36.5</v>
      </c>
    </row>
    <row r="30" spans="3:15" x14ac:dyDescent="0.35">
      <c r="D30" t="s">
        <v>33</v>
      </c>
      <c r="E30">
        <f t="shared" ref="E30:E31" si="3">AVERAGE(E13,E16)</f>
        <v>30</v>
      </c>
      <c r="F30">
        <f>AVERAGE(F13,F17)</f>
        <v>8.5</v>
      </c>
      <c r="G30">
        <f t="shared" ref="G30:M30" si="4">AVERAGE(G13,G16)</f>
        <v>64</v>
      </c>
      <c r="H30">
        <f t="shared" ref="H30:H31" si="5">AVERAGE(H13,H16:H17)</f>
        <v>21.666666666666668</v>
      </c>
      <c r="I30">
        <f t="shared" si="4"/>
        <v>30</v>
      </c>
      <c r="J30">
        <f t="shared" si="4"/>
        <v>24.5</v>
      </c>
      <c r="K30">
        <f t="shared" si="4"/>
        <v>53</v>
      </c>
      <c r="L30">
        <f t="shared" si="4"/>
        <v>21</v>
      </c>
      <c r="M30">
        <f t="shared" si="4"/>
        <v>48</v>
      </c>
    </row>
    <row r="31" spans="3:15" x14ac:dyDescent="0.35">
      <c r="D31" t="s">
        <v>34</v>
      </c>
      <c r="E31">
        <f t="shared" si="3"/>
        <v>24</v>
      </c>
      <c r="F31">
        <f>AVERAGE(F14,F18)</f>
        <v>13.5</v>
      </c>
      <c r="G31">
        <f t="shared" ref="G31:M31" si="6">AVERAGE(G14,G17)</f>
        <v>60</v>
      </c>
      <c r="H31">
        <f t="shared" si="5"/>
        <v>26</v>
      </c>
      <c r="I31">
        <f t="shared" si="6"/>
        <v>40.5</v>
      </c>
      <c r="J31">
        <f t="shared" si="6"/>
        <v>18.5</v>
      </c>
      <c r="K31">
        <f t="shared" si="6"/>
        <v>36</v>
      </c>
      <c r="L31">
        <f t="shared" si="6"/>
        <v>33.5</v>
      </c>
      <c r="M31">
        <f t="shared" si="6"/>
        <v>45</v>
      </c>
    </row>
  </sheetData>
  <mergeCells count="11">
    <mergeCell ref="O15:O16"/>
    <mergeCell ref="C3:O3"/>
    <mergeCell ref="C4:C5"/>
    <mergeCell ref="D4:D5"/>
    <mergeCell ref="O4:O5"/>
    <mergeCell ref="D15:D16"/>
    <mergeCell ref="E15:E16"/>
    <mergeCell ref="G15:G16"/>
    <mergeCell ref="I15:I16"/>
    <mergeCell ref="K15:K16"/>
    <mergeCell ref="M15:M16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ANGOLA</vt:lpstr>
      <vt:lpstr>BOTSWANA</vt:lpstr>
      <vt:lpstr>COMOROS</vt:lpstr>
      <vt:lpstr>DRC</vt:lpstr>
      <vt:lpstr>ESWATINI</vt:lpstr>
      <vt:lpstr>LESOTHO</vt:lpstr>
      <vt:lpstr>MADAGASCAR</vt:lpstr>
      <vt:lpstr>MALAWI</vt:lpstr>
      <vt:lpstr>MAURITIUS</vt:lpstr>
      <vt:lpstr>MOZAMBIQUE</vt:lpstr>
      <vt:lpstr>NAMIBIA</vt:lpstr>
      <vt:lpstr>SEYCHELLES</vt:lpstr>
      <vt:lpstr>SOUTH AFRICA</vt:lpstr>
      <vt:lpstr>ZAMBIA</vt:lpstr>
      <vt:lpstr>TANZANIA</vt:lpstr>
      <vt:lpstr>ZIMBABWE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Makhumula</dc:creator>
  <cp:lastModifiedBy>Phillip Makhumula</cp:lastModifiedBy>
  <cp:lastPrinted>2020-08-26T05:48:47Z</cp:lastPrinted>
  <dcterms:created xsi:type="dcterms:W3CDTF">2020-08-18T11:07:58Z</dcterms:created>
  <dcterms:modified xsi:type="dcterms:W3CDTF">2020-09-21T11:22:38Z</dcterms:modified>
</cp:coreProperties>
</file>