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arencodling/Dropbox/Namibia/NHIES 2015-16 datasets &amp; files/Salt/"/>
    </mc:Choice>
  </mc:AlternateContent>
  <xr:revisionPtr revIDLastSave="0" documentId="13_ncr:1_{80328B4D-F6FA-F542-9B14-B68E62300226}" xr6:coauthVersionLast="45" xr6:coauthVersionMax="45" xr10:uidLastSave="{00000000-0000-0000-0000-000000000000}"/>
  <bookViews>
    <workbookView xWindow="11980" yWindow="1920" windowWidth="25900" windowHeight="16700" tabRatio="853" xr2:uid="{627296B3-77E8-4A0C-BC45-435627EB0E66}"/>
  </bookViews>
  <sheets>
    <sheet name="OPTION 1 - Working Tab" sheetId="54" r:id="rId1"/>
    <sheet name="OPTION 1 - Data for Figures" sheetId="47" r:id="rId2"/>
    <sheet name="Fig1a Iodine intake by product" sheetId="51" r:id="rId3"/>
    <sheet name="Fig1b Iodine intake no SR" sheetId="52" r:id="rId4"/>
    <sheet name="Fig 2a Iodine intake HH v PF" sheetId="50" r:id="rId5"/>
    <sheet name="Fig 2b Iodine HH v PF no SR" sheetId="53" r:id="rId6"/>
    <sheet name="Lists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" i="54" l="1"/>
  <c r="C20" i="54"/>
  <c r="B36" i="47" l="1"/>
  <c r="B35" i="47"/>
  <c r="D7" i="47"/>
  <c r="D6" i="47"/>
  <c r="C7" i="47"/>
  <c r="C6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E43" i="54"/>
  <c r="E42" i="54"/>
  <c r="E41" i="54"/>
  <c r="E40" i="54"/>
  <c r="E39" i="54"/>
  <c r="E38" i="54"/>
  <c r="E37" i="54"/>
  <c r="E36" i="54"/>
  <c r="E35" i="54"/>
  <c r="E34" i="54"/>
  <c r="E33" i="54"/>
  <c r="C45" i="54"/>
  <c r="C44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B8" i="54"/>
  <c r="B7" i="54"/>
  <c r="G6" i="54"/>
  <c r="F30" i="54" s="1"/>
  <c r="B6" i="54"/>
  <c r="F39" i="54" l="1"/>
  <c r="G39" i="54" s="1"/>
  <c r="F42" i="54"/>
  <c r="G42" i="54" s="1"/>
  <c r="F34" i="54"/>
  <c r="G34" i="54" s="1"/>
  <c r="F36" i="54"/>
  <c r="G36" i="54" s="1"/>
  <c r="F33" i="54"/>
  <c r="G33" i="54" s="1"/>
  <c r="F40" i="54"/>
  <c r="G40" i="54" s="1"/>
  <c r="F35" i="54"/>
  <c r="G35" i="54" s="1"/>
  <c r="F41" i="54"/>
  <c r="G41" i="54" s="1"/>
  <c r="H41" i="54" s="1"/>
  <c r="F37" i="54"/>
  <c r="G37" i="54" s="1"/>
  <c r="F38" i="54"/>
  <c r="G38" i="54" s="1"/>
  <c r="C27" i="47" s="1"/>
  <c r="F43" i="54"/>
  <c r="G43" i="54" s="1"/>
  <c r="H39" i="54"/>
  <c r="H43" i="54"/>
  <c r="I39" i="54"/>
  <c r="F32" i="54"/>
  <c r="G32" i="54" s="1"/>
  <c r="I32" i="54" s="1"/>
  <c r="F29" i="54"/>
  <c r="G29" i="54" s="1"/>
  <c r="Q29" i="54" s="1"/>
  <c r="F25" i="54"/>
  <c r="G25" i="54" s="1"/>
  <c r="C14" i="47" s="1"/>
  <c r="F28" i="54"/>
  <c r="G28" i="54" s="1"/>
  <c r="C17" i="47" s="1"/>
  <c r="G30" i="54"/>
  <c r="H30" i="54" s="1"/>
  <c r="F21" i="54"/>
  <c r="G21" i="54" s="1"/>
  <c r="F24" i="54"/>
  <c r="G24" i="54" s="1"/>
  <c r="C13" i="47" s="1"/>
  <c r="F20" i="54"/>
  <c r="G20" i="54" s="1"/>
  <c r="E44" i="54"/>
  <c r="E45" i="54"/>
  <c r="F19" i="54"/>
  <c r="G19" i="54" s="1"/>
  <c r="C8" i="47" s="1"/>
  <c r="G23" i="54"/>
  <c r="C12" i="47" s="1"/>
  <c r="F27" i="54"/>
  <c r="G27" i="54" s="1"/>
  <c r="C16" i="47" s="1"/>
  <c r="F31" i="54"/>
  <c r="G31" i="54" s="1"/>
  <c r="C20" i="47" s="1"/>
  <c r="F22" i="54"/>
  <c r="G22" i="54" s="1"/>
  <c r="C11" i="47" s="1"/>
  <c r="F26" i="54"/>
  <c r="G26" i="54" s="1"/>
  <c r="C15" i="47" s="1"/>
  <c r="J35" i="54" l="1"/>
  <c r="I35" i="54"/>
  <c r="L30" i="54"/>
  <c r="D19" i="47" s="1"/>
  <c r="I41" i="54"/>
  <c r="C26" i="47"/>
  <c r="H37" i="54"/>
  <c r="J37" i="54"/>
  <c r="I37" i="54"/>
  <c r="L37" i="54"/>
  <c r="R37" i="54" s="1"/>
  <c r="Q37" i="54"/>
  <c r="L34" i="54"/>
  <c r="Q34" i="54"/>
  <c r="I34" i="54"/>
  <c r="C23" i="47"/>
  <c r="H34" i="54"/>
  <c r="J34" i="54"/>
  <c r="L40" i="54"/>
  <c r="C29" i="47"/>
  <c r="Q40" i="54"/>
  <c r="E29" i="47" s="1"/>
  <c r="H40" i="54"/>
  <c r="I40" i="54"/>
  <c r="J40" i="54"/>
  <c r="C22" i="47"/>
  <c r="L33" i="54"/>
  <c r="O33" i="54" s="1"/>
  <c r="H33" i="54"/>
  <c r="Q33" i="54"/>
  <c r="I33" i="54"/>
  <c r="J33" i="54"/>
  <c r="C25" i="47"/>
  <c r="Q36" i="54"/>
  <c r="H36" i="54"/>
  <c r="L36" i="54"/>
  <c r="O36" i="54" s="1"/>
  <c r="J36" i="54"/>
  <c r="I36" i="54"/>
  <c r="C31" i="47"/>
  <c r="Q42" i="54"/>
  <c r="E31" i="47" s="1"/>
  <c r="L42" i="54"/>
  <c r="J42" i="54"/>
  <c r="H42" i="54"/>
  <c r="I42" i="54"/>
  <c r="J38" i="54"/>
  <c r="H38" i="54"/>
  <c r="L38" i="54"/>
  <c r="O38" i="54" s="1"/>
  <c r="Q38" i="54"/>
  <c r="J43" i="54"/>
  <c r="L43" i="54"/>
  <c r="Q43" i="54"/>
  <c r="E32" i="47" s="1"/>
  <c r="C32" i="47"/>
  <c r="L35" i="54"/>
  <c r="N35" i="54" s="1"/>
  <c r="C24" i="47"/>
  <c r="Q35" i="54"/>
  <c r="J39" i="54"/>
  <c r="C28" i="47"/>
  <c r="Q39" i="54"/>
  <c r="E28" i="47" s="1"/>
  <c r="L39" i="54"/>
  <c r="H35" i="54"/>
  <c r="J41" i="54"/>
  <c r="L41" i="54"/>
  <c r="C30" i="47"/>
  <c r="Q41" i="54"/>
  <c r="E30" i="47" s="1"/>
  <c r="I43" i="54"/>
  <c r="I38" i="54"/>
  <c r="J32" i="54"/>
  <c r="C21" i="47"/>
  <c r="L32" i="54"/>
  <c r="D21" i="47" s="1"/>
  <c r="I30" i="54"/>
  <c r="C19" i="47"/>
  <c r="Q30" i="54"/>
  <c r="L29" i="54"/>
  <c r="D18" i="47" s="1"/>
  <c r="C18" i="47"/>
  <c r="J29" i="54"/>
  <c r="H29" i="54"/>
  <c r="I21" i="54"/>
  <c r="C10" i="47"/>
  <c r="L21" i="54"/>
  <c r="D10" i="47" s="1"/>
  <c r="H20" i="54"/>
  <c r="C9" i="47"/>
  <c r="I29" i="54"/>
  <c r="I28" i="54"/>
  <c r="H28" i="54"/>
  <c r="Q28" i="54"/>
  <c r="L28" i="54"/>
  <c r="J28" i="54"/>
  <c r="J21" i="54"/>
  <c r="H21" i="54"/>
  <c r="H32" i="54"/>
  <c r="Q21" i="54"/>
  <c r="J30" i="54"/>
  <c r="I25" i="54"/>
  <c r="J25" i="54"/>
  <c r="Q25" i="54"/>
  <c r="H25" i="54"/>
  <c r="L25" i="54"/>
  <c r="D14" i="47" s="1"/>
  <c r="Q32" i="54"/>
  <c r="Q20" i="54"/>
  <c r="I24" i="54"/>
  <c r="J24" i="54"/>
  <c r="H24" i="54"/>
  <c r="Q24" i="54"/>
  <c r="L24" i="54"/>
  <c r="O24" i="54" s="1"/>
  <c r="J20" i="54"/>
  <c r="I20" i="54"/>
  <c r="L20" i="54"/>
  <c r="Q23" i="54"/>
  <c r="L23" i="54"/>
  <c r="D12" i="47" s="1"/>
  <c r="I23" i="54"/>
  <c r="J23" i="54"/>
  <c r="H23" i="54"/>
  <c r="G45" i="54"/>
  <c r="Q19" i="54"/>
  <c r="L19" i="54"/>
  <c r="D8" i="47" s="1"/>
  <c r="J19" i="54"/>
  <c r="I19" i="54"/>
  <c r="G44" i="54"/>
  <c r="H19" i="54"/>
  <c r="J26" i="54"/>
  <c r="H26" i="54"/>
  <c r="I26" i="54"/>
  <c r="L26" i="54"/>
  <c r="D15" i="47" s="1"/>
  <c r="Q26" i="54"/>
  <c r="Q27" i="54"/>
  <c r="L27" i="54"/>
  <c r="D16" i="47" s="1"/>
  <c r="J27" i="54"/>
  <c r="I27" i="54"/>
  <c r="H27" i="54"/>
  <c r="J22" i="54"/>
  <c r="I22" i="54"/>
  <c r="H22" i="54"/>
  <c r="L22" i="54"/>
  <c r="D11" i="47" s="1"/>
  <c r="Q22" i="54"/>
  <c r="Q31" i="54"/>
  <c r="L31" i="54"/>
  <c r="D20" i="47" s="1"/>
  <c r="J31" i="54"/>
  <c r="I31" i="54"/>
  <c r="H31" i="54"/>
  <c r="D25" i="47" l="1"/>
  <c r="R35" i="54"/>
  <c r="M35" i="54"/>
  <c r="R32" i="54"/>
  <c r="M32" i="54"/>
  <c r="M30" i="54"/>
  <c r="N30" i="54"/>
  <c r="R30" i="54"/>
  <c r="O30" i="54"/>
  <c r="O21" i="54"/>
  <c r="R21" i="54"/>
  <c r="R36" i="54"/>
  <c r="N21" i="54"/>
  <c r="R38" i="54"/>
  <c r="M21" i="54"/>
  <c r="M24" i="54"/>
  <c r="O29" i="54"/>
  <c r="N34" i="54"/>
  <c r="M34" i="54"/>
  <c r="D23" i="47"/>
  <c r="O34" i="54"/>
  <c r="R34" i="54"/>
  <c r="O42" i="54"/>
  <c r="D31" i="47"/>
  <c r="R42" i="54"/>
  <c r="F31" i="47" s="1"/>
  <c r="N42" i="54"/>
  <c r="M42" i="54"/>
  <c r="O41" i="54"/>
  <c r="R41" i="54"/>
  <c r="F30" i="47" s="1"/>
  <c r="D30" i="47"/>
  <c r="N41" i="54"/>
  <c r="M41" i="54"/>
  <c r="O35" i="54"/>
  <c r="R29" i="54"/>
  <c r="M29" i="54"/>
  <c r="N37" i="54"/>
  <c r="M37" i="54"/>
  <c r="D26" i="47"/>
  <c r="O39" i="54"/>
  <c r="D28" i="47"/>
  <c r="R39" i="54"/>
  <c r="F28" i="47" s="1"/>
  <c r="N39" i="54"/>
  <c r="M39" i="54"/>
  <c r="N38" i="54"/>
  <c r="M38" i="54"/>
  <c r="N33" i="54"/>
  <c r="M33" i="54"/>
  <c r="O43" i="54"/>
  <c r="D32" i="47"/>
  <c r="R43" i="54"/>
  <c r="F32" i="47" s="1"/>
  <c r="N43" i="54"/>
  <c r="M43" i="54"/>
  <c r="N29" i="54"/>
  <c r="M36" i="54"/>
  <c r="N36" i="54"/>
  <c r="O32" i="54"/>
  <c r="R33" i="54"/>
  <c r="O37" i="54"/>
  <c r="D24" i="47"/>
  <c r="D22" i="47"/>
  <c r="D27" i="47"/>
  <c r="O40" i="54"/>
  <c r="D29" i="47"/>
  <c r="R40" i="54"/>
  <c r="F29" i="47" s="1"/>
  <c r="N40" i="54"/>
  <c r="M40" i="54"/>
  <c r="N32" i="54"/>
  <c r="N28" i="54"/>
  <c r="D17" i="47"/>
  <c r="O28" i="54"/>
  <c r="O25" i="54"/>
  <c r="N25" i="54"/>
  <c r="R25" i="54"/>
  <c r="M25" i="54"/>
  <c r="M20" i="54"/>
  <c r="D9" i="47"/>
  <c r="R24" i="54"/>
  <c r="D13" i="47"/>
  <c r="N20" i="54"/>
  <c r="M28" i="54"/>
  <c r="R28" i="54"/>
  <c r="N24" i="54"/>
  <c r="O20" i="54"/>
  <c r="R20" i="54"/>
  <c r="O26" i="54"/>
  <c r="N26" i="54"/>
  <c r="M26" i="54"/>
  <c r="R26" i="54"/>
  <c r="L45" i="54"/>
  <c r="R19" i="54"/>
  <c r="O19" i="54"/>
  <c r="N19" i="54"/>
  <c r="M19" i="54"/>
  <c r="L44" i="54"/>
  <c r="R27" i="54"/>
  <c r="O27" i="54"/>
  <c r="N27" i="54"/>
  <c r="M27" i="54"/>
  <c r="J44" i="54"/>
  <c r="I44" i="54"/>
  <c r="H44" i="54"/>
  <c r="Q45" i="54"/>
  <c r="Q44" i="54"/>
  <c r="J45" i="54"/>
  <c r="I45" i="54"/>
  <c r="H45" i="54"/>
  <c r="R23" i="54"/>
  <c r="O23" i="54"/>
  <c r="N23" i="54"/>
  <c r="M23" i="54"/>
  <c r="O22" i="54"/>
  <c r="M22" i="54"/>
  <c r="N22" i="54"/>
  <c r="R22" i="54"/>
  <c r="R31" i="54"/>
  <c r="O31" i="54"/>
  <c r="N31" i="54"/>
  <c r="M31" i="54"/>
  <c r="O44" i="54" l="1"/>
  <c r="N44" i="54"/>
  <c r="M44" i="54"/>
  <c r="R45" i="54"/>
  <c r="R44" i="54"/>
  <c r="O45" i="54"/>
  <c r="N45" i="54"/>
  <c r="M45" i="54"/>
  <c r="C35" i="47" l="1"/>
  <c r="D35" i="47" s="1"/>
  <c r="C36" i="47"/>
  <c r="D36" i="47" s="1"/>
  <c r="F35" i="47" l="1"/>
  <c r="G35" i="47" s="1"/>
  <c r="E35" i="47"/>
  <c r="F36" i="47"/>
  <c r="G36" i="47" s="1"/>
  <c r="E36" i="47"/>
  <c r="E33" i="47" l="1"/>
  <c r="C33" i="47"/>
  <c r="D33" i="47" l="1"/>
  <c r="F33" i="47"/>
  <c r="C34" i="47"/>
  <c r="E34" i="47"/>
  <c r="D34" i="47" l="1"/>
  <c r="F34" i="47" l="1"/>
</calcChain>
</file>

<file path=xl/sharedStrings.xml><?xml version="1.0" encoding="utf-8"?>
<sst xmlns="http://schemas.openxmlformats.org/spreadsheetml/2006/main" count="148" uniqueCount="139">
  <si>
    <t>Minimum</t>
  </si>
  <si>
    <t>Maximum</t>
  </si>
  <si>
    <t>Mean</t>
  </si>
  <si>
    <t>Non-pregnant adult</t>
  </si>
  <si>
    <t>Children 6-12 years</t>
  </si>
  <si>
    <t>Children 0-5 years</t>
  </si>
  <si>
    <t>Population group</t>
  </si>
  <si>
    <t>Click on dark grey shaded cells for instructions on information to insert in the corresponding light blue cell</t>
  </si>
  <si>
    <t>Geographic area (define)</t>
  </si>
  <si>
    <t>SES group (define)</t>
  </si>
  <si>
    <r>
      <t xml:space="preserve">National salt iodine standards 
(mg/kg or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g/g)</t>
    </r>
  </si>
  <si>
    <t>Not specified</t>
  </si>
  <si>
    <t>Additional description of data shown in each table</t>
  </si>
  <si>
    <t>Recommended daily iodine intake (RNI) (µg)</t>
  </si>
  <si>
    <t>Source references</t>
  </si>
  <si>
    <t>Code</t>
  </si>
  <si>
    <t>Source reference code</t>
  </si>
  <si>
    <t>Reference - add reference and year for data source</t>
  </si>
  <si>
    <t>Pregnant women</t>
  </si>
  <si>
    <t>National</t>
  </si>
  <si>
    <t>Estimated Average Requirement iodine (EAR) (µg)</t>
  </si>
  <si>
    <t xml:space="preserve">Potential % RNI iodine </t>
  </si>
  <si>
    <t xml:space="preserve">Potential % EAR iodine </t>
  </si>
  <si>
    <t>Current % RNI iodine</t>
  </si>
  <si>
    <t>Current % EAR iodine</t>
  </si>
  <si>
    <t>Food type</t>
  </si>
  <si>
    <t xml:space="preserve">Potential % UL iodine </t>
  </si>
  <si>
    <t>Tolerable upper limit iodine (UL)</t>
  </si>
  <si>
    <t>Current % UL iodine</t>
  </si>
  <si>
    <t>EAR iodine</t>
  </si>
  <si>
    <r>
      <t xml:space="preserve">A </t>
    </r>
    <r>
      <rPr>
        <sz val="12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</t>
    </r>
  </si>
  <si>
    <r>
      <t>UL iodine (</t>
    </r>
    <r>
      <rPr>
        <sz val="11"/>
        <color theme="1"/>
        <rFont val="Calibri"/>
        <family val="2"/>
      </rPr>
      <t>µg)</t>
    </r>
  </si>
  <si>
    <t>Lactating women</t>
  </si>
  <si>
    <t xml:space="preserve">Where data are available for different groups, copy this sheet together with the associated (working) charts , label and complete for: population age/sex group; geographic areas; different socio-economic (SES) groups. </t>
  </si>
  <si>
    <t>Add sheet rows and change formulae in TOTAL row where more food types are required</t>
  </si>
  <si>
    <r>
      <rPr>
        <b/>
        <sz val="14"/>
        <color rgb="FFFF0000"/>
        <rFont val="Calibri"/>
        <family val="2"/>
        <scheme val="minor"/>
      </rPr>
      <t xml:space="preserve">OPTION 1 - Daily intake estimates </t>
    </r>
    <r>
      <rPr>
        <b/>
        <sz val="14"/>
        <rFont val="Calibri"/>
        <family val="2"/>
        <scheme val="minor"/>
      </rPr>
      <t xml:space="preserve"> - compared with RNI, EAR, UL iodine - Input data according to the national situation.</t>
    </r>
  </si>
  <si>
    <r>
      <t>EAR iodine (</t>
    </r>
    <r>
      <rPr>
        <sz val="11"/>
        <color theme="1"/>
        <rFont val="Calibri"/>
        <family val="2"/>
      </rPr>
      <t>µg)</t>
    </r>
  </si>
  <si>
    <t>N/A</t>
  </si>
  <si>
    <t>Use non-pregnant adult ref values</t>
  </si>
  <si>
    <t>Text in brown font = instruction</t>
  </si>
  <si>
    <t>Calculation for each column:</t>
  </si>
  <si>
    <t>For all selected products</t>
  </si>
  <si>
    <t>A</t>
  </si>
  <si>
    <t>Column label:</t>
  </si>
  <si>
    <r>
      <t xml:space="preserve">Estimated average </t>
    </r>
    <r>
      <rPr>
        <b/>
        <u/>
        <sz val="11"/>
        <color theme="1"/>
        <rFont val="Calibri"/>
        <family val="2"/>
        <scheme val="minor"/>
      </rPr>
      <t>daily per capita consumption</t>
    </r>
    <r>
      <rPr>
        <b/>
        <sz val="11"/>
        <color theme="1"/>
        <rFont val="Calibri"/>
        <family val="2"/>
        <scheme val="minor"/>
      </rPr>
      <t xml:space="preserve"> (g)</t>
    </r>
  </si>
  <si>
    <t xml:space="preserve">B </t>
  </si>
  <si>
    <t xml:space="preserve">C </t>
  </si>
  <si>
    <t>N</t>
  </si>
  <si>
    <t>O</t>
  </si>
  <si>
    <t>P</t>
  </si>
  <si>
    <r>
      <t xml:space="preserve">Estimated </t>
    </r>
    <r>
      <rPr>
        <b/>
        <u/>
        <sz val="11"/>
        <color theme="1"/>
        <rFont val="Calibri"/>
        <family val="2"/>
        <scheme val="minor"/>
      </rPr>
      <t>daily salt intake</t>
    </r>
    <r>
      <rPr>
        <b/>
        <sz val="11"/>
        <color theme="1"/>
        <rFont val="Calibri"/>
        <family val="2"/>
        <scheme val="minor"/>
      </rPr>
      <t xml:space="preserve"> from the product (g)</t>
    </r>
  </si>
  <si>
    <r>
      <t xml:space="preserve">Potential iodine intake (µg) from </t>
    </r>
    <r>
      <rPr>
        <b/>
        <u/>
        <sz val="11"/>
        <color theme="1"/>
        <rFont val="Calibri"/>
        <family val="2"/>
        <scheme val="minor"/>
      </rPr>
      <t>daily intake</t>
    </r>
    <r>
      <rPr>
        <b/>
        <sz val="11"/>
        <color theme="1"/>
        <rFont val="Calibri"/>
        <family val="2"/>
        <scheme val="minor"/>
      </rPr>
      <t xml:space="preserve"> (g) of the product </t>
    </r>
  </si>
  <si>
    <t>Estimated percent of total salt used in the product that is iodised</t>
  </si>
  <si>
    <t>Target reduction in salt content of the product (%)</t>
  </si>
  <si>
    <r>
      <t>RNI iodine (</t>
    </r>
    <r>
      <rPr>
        <sz val="11"/>
        <color theme="1"/>
        <rFont val="Calibri"/>
        <family val="2"/>
      </rPr>
      <t>µg)</t>
    </r>
    <r>
      <rPr>
        <sz val="11"/>
        <color theme="1"/>
        <rFont val="Calibri"/>
        <family val="2"/>
        <scheme val="minor"/>
      </rPr>
      <t xml:space="preserve">
Also known as RDA</t>
    </r>
  </si>
  <si>
    <t>Salt content 
(% product weight)</t>
  </si>
  <si>
    <r>
      <t>Potential iodine intake (</t>
    </r>
    <r>
      <rPr>
        <b/>
        <sz val="11"/>
        <rFont val="Calibri"/>
        <family val="2"/>
      </rPr>
      <t>µg</t>
    </r>
    <r>
      <rPr>
        <b/>
        <sz val="7.7"/>
        <rFont val="Calibri"/>
        <family val="2"/>
      </rPr>
      <t>)</t>
    </r>
  </si>
  <si>
    <t>Estimated Average Requirement</t>
  </si>
  <si>
    <t>Recommended Nutrient Intake</t>
  </si>
  <si>
    <t>Tolerable upper limit for iodine intake</t>
  </si>
  <si>
    <t xml:space="preserve">RNI (RDA) iodine </t>
  </si>
  <si>
    <r>
      <t xml:space="preserve">Potential % EAR for </t>
    </r>
    <r>
      <rPr>
        <b/>
        <u/>
        <sz val="11"/>
        <color theme="1"/>
        <rFont val="Calibri"/>
        <family val="2"/>
        <scheme val="minor"/>
      </rPr>
      <t xml:space="preserve">iodine </t>
    </r>
    <r>
      <rPr>
        <b/>
        <sz val="11"/>
        <color theme="1"/>
        <rFont val="Calibri"/>
        <family val="2"/>
        <scheme val="minor"/>
      </rPr>
      <t xml:space="preserve">from </t>
    </r>
    <r>
      <rPr>
        <b/>
        <u/>
        <sz val="11"/>
        <color theme="1"/>
        <rFont val="Calibri"/>
        <family val="2"/>
        <scheme val="minor"/>
      </rPr>
      <t xml:space="preserve">typical daily intake </t>
    </r>
    <r>
      <rPr>
        <b/>
        <sz val="11"/>
        <color theme="1"/>
        <rFont val="Calibri"/>
        <family val="2"/>
        <scheme val="minor"/>
      </rPr>
      <t>of the product</t>
    </r>
  </si>
  <si>
    <r>
      <t xml:space="preserve">Potential % UL for </t>
    </r>
    <r>
      <rPr>
        <b/>
        <u/>
        <sz val="11"/>
        <color theme="1"/>
        <rFont val="Calibri"/>
        <family val="2"/>
        <scheme val="minor"/>
      </rPr>
      <t xml:space="preserve">iodine </t>
    </r>
    <r>
      <rPr>
        <b/>
        <sz val="11"/>
        <color theme="1"/>
        <rFont val="Calibri"/>
        <family val="2"/>
        <scheme val="minor"/>
      </rPr>
      <t xml:space="preserve">from </t>
    </r>
    <r>
      <rPr>
        <b/>
        <u/>
        <sz val="11"/>
        <color theme="1"/>
        <rFont val="Calibri"/>
        <family val="2"/>
        <scheme val="minor"/>
      </rPr>
      <t xml:space="preserve">typical daily intake </t>
    </r>
    <r>
      <rPr>
        <b/>
        <sz val="11"/>
        <color theme="1"/>
        <rFont val="Calibri"/>
        <family val="2"/>
        <scheme val="minor"/>
      </rPr>
      <t>of the product</t>
    </r>
  </si>
  <si>
    <r>
      <t xml:space="preserve">Potential % RNI for </t>
    </r>
    <r>
      <rPr>
        <b/>
        <u/>
        <sz val="11"/>
        <color theme="1"/>
        <rFont val="Calibri"/>
        <family val="2"/>
        <scheme val="minor"/>
      </rPr>
      <t xml:space="preserve">iodine </t>
    </r>
    <r>
      <rPr>
        <b/>
        <sz val="11"/>
        <color theme="1"/>
        <rFont val="Calibri"/>
        <family val="2"/>
        <scheme val="minor"/>
      </rPr>
      <t xml:space="preserve">from </t>
    </r>
    <r>
      <rPr>
        <b/>
        <u/>
        <sz val="11"/>
        <color theme="1"/>
        <rFont val="Calibri"/>
        <family val="2"/>
        <scheme val="minor"/>
      </rPr>
      <t xml:space="preserve">typical daily intake </t>
    </r>
    <r>
      <rPr>
        <b/>
        <sz val="11"/>
        <color theme="1"/>
        <rFont val="Calibri"/>
        <family val="2"/>
        <scheme val="minor"/>
      </rPr>
      <t>of the product</t>
    </r>
  </si>
  <si>
    <r>
      <t xml:space="preserve">Estimated current % UL for </t>
    </r>
    <r>
      <rPr>
        <b/>
        <u/>
        <sz val="11"/>
        <color theme="9" tint="-0.499984740745262"/>
        <rFont val="Calibri"/>
        <family val="2"/>
        <scheme val="minor"/>
      </rPr>
      <t xml:space="preserve">iodine </t>
    </r>
    <r>
      <rPr>
        <b/>
        <sz val="11"/>
        <color theme="9" tint="-0.499984740745262"/>
        <rFont val="Calibri"/>
        <family val="2"/>
        <scheme val="minor"/>
      </rPr>
      <t xml:space="preserve">from </t>
    </r>
    <r>
      <rPr>
        <b/>
        <u/>
        <sz val="11"/>
        <color theme="9" tint="-0.499984740745262"/>
        <rFont val="Calibri"/>
        <family val="2"/>
        <scheme val="minor"/>
      </rPr>
      <t xml:space="preserve">typical daily intake </t>
    </r>
    <r>
      <rPr>
        <b/>
        <sz val="11"/>
        <color theme="9" tint="-0.499984740745262"/>
        <rFont val="Calibri"/>
        <family val="2"/>
        <scheme val="minor"/>
      </rPr>
      <t>of the product</t>
    </r>
  </si>
  <si>
    <r>
      <t xml:space="preserve">Estimated current iodine intake (µg) from </t>
    </r>
    <r>
      <rPr>
        <b/>
        <u/>
        <sz val="11"/>
        <color theme="9" tint="-0.499984740745262"/>
        <rFont val="Calibri"/>
        <family val="2"/>
        <scheme val="minor"/>
      </rPr>
      <t xml:space="preserve">daily intake </t>
    </r>
    <r>
      <rPr>
        <b/>
        <sz val="11"/>
        <color theme="9" tint="-0.499984740745262"/>
        <rFont val="Calibri"/>
        <family val="2"/>
        <scheme val="minor"/>
      </rPr>
      <t>of the product (g)</t>
    </r>
  </si>
  <si>
    <r>
      <t xml:space="preserve">Estimated current % EAR for </t>
    </r>
    <r>
      <rPr>
        <b/>
        <u/>
        <sz val="11"/>
        <color theme="9" tint="-0.499984740745262"/>
        <rFont val="Calibri"/>
        <family val="2"/>
        <scheme val="minor"/>
      </rPr>
      <t xml:space="preserve">iodine </t>
    </r>
    <r>
      <rPr>
        <b/>
        <sz val="11"/>
        <color theme="9" tint="-0.499984740745262"/>
        <rFont val="Calibri"/>
        <family val="2"/>
        <scheme val="minor"/>
      </rPr>
      <t xml:space="preserve">from </t>
    </r>
    <r>
      <rPr>
        <b/>
        <u/>
        <sz val="11"/>
        <color theme="9" tint="-0.499984740745262"/>
        <rFont val="Calibri"/>
        <family val="2"/>
        <scheme val="minor"/>
      </rPr>
      <t xml:space="preserve">typical daily intake </t>
    </r>
    <r>
      <rPr>
        <b/>
        <sz val="11"/>
        <color theme="9" tint="-0.499984740745262"/>
        <rFont val="Calibri"/>
        <family val="2"/>
        <scheme val="minor"/>
      </rPr>
      <t>of the product</t>
    </r>
  </si>
  <si>
    <r>
      <t xml:space="preserve">Estimated current % RNI for </t>
    </r>
    <r>
      <rPr>
        <b/>
        <u/>
        <sz val="11"/>
        <color theme="9" tint="-0.499984740745262"/>
        <rFont val="Calibri"/>
        <family val="2"/>
        <scheme val="minor"/>
      </rPr>
      <t xml:space="preserve">iodine </t>
    </r>
    <r>
      <rPr>
        <b/>
        <sz val="11"/>
        <color theme="9" tint="-0.499984740745262"/>
        <rFont val="Calibri"/>
        <family val="2"/>
        <scheme val="minor"/>
      </rPr>
      <t xml:space="preserve">from </t>
    </r>
    <r>
      <rPr>
        <b/>
        <u/>
        <sz val="11"/>
        <color theme="9" tint="-0.499984740745262"/>
        <rFont val="Calibri"/>
        <family val="2"/>
        <scheme val="minor"/>
      </rPr>
      <t xml:space="preserve">typical daily intake </t>
    </r>
    <r>
      <rPr>
        <b/>
        <sz val="11"/>
        <color theme="9" tint="-0.499984740745262"/>
        <rFont val="Calibri"/>
        <family val="2"/>
        <scheme val="minor"/>
      </rPr>
      <t>of the product</t>
    </r>
  </si>
  <si>
    <t>Household salt</t>
  </si>
  <si>
    <t>For all products except HH salt</t>
  </si>
  <si>
    <t>Food product 
(aim for at least 4 products).
Include household (HH) salt where possible</t>
  </si>
  <si>
    <t>For HH salt</t>
  </si>
  <si>
    <t xml:space="preserve">Data to generate a chart showing estimated iodine intake from household (HH) salt compared with from processed food salt for the 3 different situations </t>
  </si>
  <si>
    <t>Household salt must be the first food in the "Food Type" list for the formulae and charts to work. Reorder the list - that is currently auto-inserted here from the previous sheet - as needed</t>
  </si>
  <si>
    <r>
      <t>Estimated Average Requirement (</t>
    </r>
    <r>
      <rPr>
        <sz val="11"/>
        <color theme="1"/>
        <rFont val="Calibri"/>
        <family val="2"/>
      </rPr>
      <t>µg)</t>
    </r>
  </si>
  <si>
    <r>
      <t>Recommended Nutrient Intake (</t>
    </r>
    <r>
      <rPr>
        <sz val="11"/>
        <color theme="1"/>
        <rFont val="Calibri"/>
        <family val="2"/>
      </rPr>
      <t>µg)</t>
    </r>
  </si>
  <si>
    <t>If this information doesn't transfer from the first sheet correctly, either re-do the formulae or overwrite the formulae and type in food types and figures for the columns separately.</t>
  </si>
  <si>
    <t>Please check all figures match those in previous sheet</t>
  </si>
  <si>
    <t>For all seleccted processed foods excluding HH salt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</si>
  <si>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</si>
  <si>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</si>
  <si>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</si>
  <si>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</si>
  <si>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</si>
  <si>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</si>
  <si>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</si>
  <si>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</si>
  <si>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</si>
  <si>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</si>
  <si>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CHARTS in following sheets will update automatically when data are entered below. See EXPLAIN sheet for more information on adapting the charts</t>
  </si>
  <si>
    <t xml:space="preserve">Data inputs required ONLY in light blue shaded cells. Other data will automatically update. 
</t>
  </si>
  <si>
    <t>Exception to above is for light green shading for salt iodine standard. This is autofilled, but can be overwritten where a different standard applies</t>
  </si>
  <si>
    <r>
      <t xml:space="preserve">C  </t>
    </r>
    <r>
      <rPr>
        <sz val="12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 xml:space="preserve"> *</t>
    </r>
    <r>
      <rPr>
        <sz val="11"/>
        <color theme="1"/>
        <rFont val="Calibri"/>
        <family val="2"/>
        <scheme val="minor"/>
      </rPr>
      <t xml:space="preserve"> 70% (for losses)</t>
    </r>
  </si>
  <si>
    <t>E / EAR iodine for population group</t>
  </si>
  <si>
    <t>E / RNI iodine for population group</t>
  </si>
  <si>
    <t>E / UL iodine for population group</t>
  </si>
  <si>
    <r>
      <t>E</t>
    </r>
    <r>
      <rPr>
        <sz val="12"/>
        <color theme="9" tint="-0.499984740745262"/>
        <rFont val="Calibri"/>
        <family val="2"/>
        <scheme val="minor"/>
      </rPr>
      <t xml:space="preserve"> *</t>
    </r>
    <r>
      <rPr>
        <sz val="11"/>
        <color theme="9" tint="-0.499984740745262"/>
        <rFont val="Calibri"/>
        <family val="2"/>
        <scheme val="minor"/>
      </rPr>
      <t xml:space="preserve"> I</t>
    </r>
  </si>
  <si>
    <t>J / EAR iodine for population group</t>
  </si>
  <si>
    <t>J / RNI iodine for population group</t>
  </si>
  <si>
    <t>J / UL iodine for population group</t>
  </si>
  <si>
    <t>J * N</t>
  </si>
  <si>
    <r>
      <rPr>
        <sz val="12"/>
        <color theme="4" tint="-0.499984740745262"/>
        <rFont val="Calibri"/>
        <family val="2"/>
        <scheme val="minor"/>
      </rPr>
      <t xml:space="preserve">E * </t>
    </r>
    <r>
      <rPr>
        <sz val="11"/>
        <color theme="4" tint="-0.499984740745262"/>
        <rFont val="Calibri"/>
        <family val="2"/>
        <scheme val="minor"/>
      </rPr>
      <t>N</t>
    </r>
  </si>
  <si>
    <t>Potential iodine intake (µg) after SR</t>
  </si>
  <si>
    <r>
      <t xml:space="preserve">Potential iodine intake (µg) from </t>
    </r>
    <r>
      <rPr>
        <b/>
        <u/>
        <sz val="11"/>
        <color theme="4" tint="-0.499984740745262"/>
        <rFont val="Calibri"/>
        <family val="2"/>
        <scheme val="minor"/>
      </rPr>
      <t xml:space="preserve">daily intake </t>
    </r>
    <r>
      <rPr>
        <b/>
        <sz val="11"/>
        <color theme="4" tint="-0.499984740745262"/>
        <rFont val="Calibri"/>
        <family val="2"/>
        <scheme val="minor"/>
      </rPr>
      <t>of the product (g) based on ALL salt iodised and after SR</t>
    </r>
  </si>
  <si>
    <t>Main Outcome: 
If all food grade salt is iodised at mean mg/kg of the national salt iodine standard (adjusted for imports as needed), and assuming 30% loss of iodine</t>
  </si>
  <si>
    <r>
      <t xml:space="preserve">Optional - iodine intake if salt reduction (SR) achieved with variable SR targets by food type, if known.
Based on </t>
    </r>
    <r>
      <rPr>
        <i/>
        <sz val="11"/>
        <color theme="4" tint="-0.499984740745262"/>
        <rFont val="Calibri"/>
        <family val="2"/>
        <scheme val="minor"/>
      </rPr>
      <t xml:space="preserve">potential </t>
    </r>
    <r>
      <rPr>
        <b/>
        <sz val="11"/>
        <color theme="4" tint="-0.499984740745262"/>
        <rFont val="Calibri"/>
        <family val="2"/>
        <scheme val="minor"/>
      </rPr>
      <t xml:space="preserve">iodine intake if all food grade salt iodised (O) and on iodine intake with </t>
    </r>
    <r>
      <rPr>
        <i/>
        <sz val="11"/>
        <color theme="4" tint="-0.499984740745262"/>
        <rFont val="Calibri"/>
        <family val="2"/>
        <scheme val="minor"/>
      </rPr>
      <t xml:space="preserve">estimated current </t>
    </r>
    <r>
      <rPr>
        <b/>
        <sz val="11"/>
        <color theme="4" tint="-0.499984740745262"/>
        <rFont val="Calibri"/>
        <family val="2"/>
        <scheme val="minor"/>
      </rPr>
      <t xml:space="preserve">% salt iodised (P). </t>
    </r>
  </si>
  <si>
    <t>Optional - estimated current iodine intake: 
If data on current household and food industry use of iodised salt known
Based on estimated current % salt iodised with assumed mean (mg/kg) national salt iodine standard  (adjusted for imports as needed) and 30% iodine loss</t>
  </si>
  <si>
    <r>
      <t>Estimated current iodine intake (</t>
    </r>
    <r>
      <rPr>
        <b/>
        <sz val="11"/>
        <color theme="9" tint="-0.499984740745262"/>
        <rFont val="Calibri"/>
        <family val="2"/>
      </rPr>
      <t>µg</t>
    </r>
    <r>
      <rPr>
        <b/>
        <sz val="7.7"/>
        <color theme="9" tint="-0.499984740745262"/>
        <rFont val="Calibri"/>
        <family val="2"/>
      </rPr>
      <t>)</t>
    </r>
  </si>
  <si>
    <t>Estimated current iodine intake (µg) after SR</t>
  </si>
  <si>
    <r>
      <t>Salt iodine standard 
(mg/kg or µg/g)</t>
    </r>
    <r>
      <rPr>
        <b/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Overwrite the autofill where different standard applies, e.g. for imported foods</t>
    </r>
  </si>
  <si>
    <t>Food 21</t>
  </si>
  <si>
    <t>Food 22</t>
  </si>
  <si>
    <t>Food 23</t>
  </si>
  <si>
    <t>Food 24</t>
  </si>
  <si>
    <t>Food 25</t>
  </si>
  <si>
    <r>
      <t xml:space="preserve">Estimated iodine intake (µg) from </t>
    </r>
    <r>
      <rPr>
        <b/>
        <u/>
        <sz val="11"/>
        <color theme="4" tint="-0.499984740745262"/>
        <rFont val="Calibri"/>
        <family val="2"/>
        <scheme val="minor"/>
      </rPr>
      <t xml:space="preserve">daily intake </t>
    </r>
    <r>
      <rPr>
        <b/>
        <sz val="11"/>
        <color theme="4" tint="-0.499984740745262"/>
        <rFont val="Calibri"/>
        <family val="2"/>
        <scheme val="minor"/>
      </rPr>
      <t>of the product (g) based on estimated current levels iodisation and after SR</t>
    </r>
  </si>
  <si>
    <t>Bread &amp; brotchen</t>
  </si>
  <si>
    <t>Dried fish</t>
  </si>
  <si>
    <t>Powdered soup</t>
  </si>
  <si>
    <t>Sausages, other than polony</t>
  </si>
  <si>
    <t>Traditional bread</t>
  </si>
  <si>
    <t>Chips &amp; crisps</t>
  </si>
  <si>
    <t>Smoked fish</t>
  </si>
  <si>
    <t>Polony</t>
  </si>
  <si>
    <t>Cheese, all types</t>
  </si>
  <si>
    <t>Canned meat</t>
  </si>
  <si>
    <t>Biltong</t>
  </si>
  <si>
    <t>Smoked meat, other than bacon &amp; ham</t>
  </si>
  <si>
    <t>Tomato sauce</t>
  </si>
  <si>
    <t>Bacon</t>
  </si>
  <si>
    <t>Ham</t>
  </si>
  <si>
    <t>Pies &amp; pizza</t>
  </si>
  <si>
    <t>Biscuits, rusks</t>
  </si>
  <si>
    <t>Ready made soup</t>
  </si>
  <si>
    <t>Spices &amp; condiments</t>
  </si>
  <si>
    <t>Potential iodine intake (µg) from daily intake of the product (g) based on ALL salt iodized and lower iodine level</t>
  </si>
  <si>
    <t>Potential iodine intake (µg) from daily intake of the product (g) based on estimated current levels of iodisation and lower iodine level</t>
  </si>
  <si>
    <t>Potential iodine intake (µg) with lower iodine level</t>
  </si>
  <si>
    <t>Estimated iodine intake (µg) with lower iodine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</si>
</sst>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u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1"/>
      <color theme="9" tint="-0.499984740745262"/>
      <name val="Calibri"/>
      <family val="2"/>
    </font>
    <font>
      <b/>
      <sz val="7.7"/>
      <color theme="9" tint="-0.499984740745262"/>
      <name val="Calibri"/>
      <family val="2"/>
    </font>
    <font>
      <b/>
      <sz val="11"/>
      <name val="Calibri"/>
      <family val="2"/>
    </font>
    <font>
      <b/>
      <sz val="7.7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 applyProtection="1">
      <alignment vertical="center" wrapText="1"/>
      <protection locked="0"/>
    </xf>
    <xf numFmtId="0" fontId="0" fillId="4" borderId="1" xfId="0" applyFill="1" applyBorder="1" applyAlignment="1" applyProtection="1">
      <alignment vertical="center"/>
      <protection locked="0"/>
    </xf>
    <xf numFmtId="0" fontId="6" fillId="3" borderId="1" xfId="0" applyFont="1" applyFill="1" applyBorder="1" applyAlignment="1">
      <alignment vertical="center"/>
    </xf>
    <xf numFmtId="0" fontId="6" fillId="0" borderId="0" xfId="0" applyFont="1"/>
    <xf numFmtId="0" fontId="0" fillId="3" borderId="1" xfId="0" applyFill="1" applyBorder="1" applyAlignment="1" applyProtection="1">
      <alignment vertical="center" wrapText="1"/>
      <protection locked="0"/>
    </xf>
    <xf numFmtId="0" fontId="0" fillId="0" borderId="0" xfId="0" applyFont="1" applyAlignment="1">
      <alignment vertical="center" wrapText="1"/>
    </xf>
    <xf numFmtId="0" fontId="0" fillId="4" borderId="2" xfId="0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vertical="center"/>
      <protection locked="0"/>
    </xf>
    <xf numFmtId="0" fontId="0" fillId="3" borderId="2" xfId="0" applyFont="1" applyFill="1" applyBorder="1" applyAlignment="1" applyProtection="1">
      <alignment vertical="center"/>
      <protection locked="0"/>
    </xf>
    <xf numFmtId="0" fontId="0" fillId="3" borderId="1" xfId="0" applyFont="1" applyFill="1" applyBorder="1" applyAlignment="1" applyProtection="1">
      <alignment vertical="center"/>
    </xf>
    <xf numFmtId="0" fontId="3" fillId="3" borderId="1" xfId="0" applyFont="1" applyFill="1" applyBorder="1" applyAlignment="1" applyProtection="1">
      <alignment vertical="center" wrapText="1"/>
    </xf>
    <xf numFmtId="0" fontId="0" fillId="0" borderId="0" xfId="0" applyProtection="1"/>
    <xf numFmtId="0" fontId="3" fillId="3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vertical="center" wrapText="1"/>
    </xf>
    <xf numFmtId="0" fontId="0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0" fontId="11" fillId="6" borderId="0" xfId="0" applyFont="1" applyFill="1" applyBorder="1" applyAlignment="1" applyProtection="1">
      <alignment vertical="center"/>
      <protection locked="0"/>
    </xf>
    <xf numFmtId="0" fontId="3" fillId="6" borderId="1" xfId="0" applyFont="1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right"/>
      <protection locked="0"/>
    </xf>
    <xf numFmtId="0" fontId="3" fillId="4" borderId="1" xfId="0" applyFont="1" applyFill="1" applyBorder="1" applyProtection="1">
      <protection locked="0"/>
    </xf>
    <xf numFmtId="0" fontId="3" fillId="0" borderId="9" xfId="0" applyFont="1" applyFill="1" applyBorder="1" applyAlignment="1" applyProtection="1">
      <alignment vertical="center"/>
      <protection locked="0"/>
    </xf>
    <xf numFmtId="0" fontId="0" fillId="0" borderId="9" xfId="0" applyFill="1" applyBorder="1" applyAlignment="1" applyProtection="1">
      <alignment vertical="center" wrapText="1"/>
      <protection locked="0"/>
    </xf>
    <xf numFmtId="0" fontId="0" fillId="4" borderId="1" xfId="0" applyFont="1" applyFill="1" applyBorder="1" applyAlignment="1" applyProtection="1">
      <alignment horizontal="right" vertical="center"/>
      <protection locked="0"/>
    </xf>
    <xf numFmtId="0" fontId="13" fillId="0" borderId="0" xfId="0" applyFont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3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/>
    </xf>
    <xf numFmtId="0" fontId="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Border="1"/>
    <xf numFmtId="0" fontId="3" fillId="0" borderId="9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6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 wrapText="1"/>
    </xf>
    <xf numFmtId="0" fontId="0" fillId="7" borderId="1" xfId="0" quotePrefix="1" applyFill="1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vertical="center"/>
    </xf>
    <xf numFmtId="0" fontId="9" fillId="0" borderId="0" xfId="0" applyFont="1" applyAlignment="1">
      <alignment vertical="center"/>
    </xf>
    <xf numFmtId="0" fontId="16" fillId="3" borderId="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right" vertical="center" wrapText="1"/>
    </xf>
    <xf numFmtId="0" fontId="0" fillId="3" borderId="1" xfId="0" applyFill="1" applyBorder="1" applyProtection="1"/>
    <xf numFmtId="0" fontId="3" fillId="3" borderId="1" xfId="0" applyFont="1" applyFill="1" applyBorder="1" applyAlignment="1" applyProtection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166" fontId="22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6" fontId="0" fillId="4" borderId="1" xfId="0" applyNumberFormat="1" applyFill="1" applyBorder="1" applyAlignment="1" applyProtection="1">
      <alignment horizontal="center" vertical="center"/>
      <protection locked="0"/>
    </xf>
    <xf numFmtId="165" fontId="0" fillId="4" borderId="1" xfId="0" applyNumberFormat="1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18" fillId="4" borderId="1" xfId="0" applyNumberFormat="1" applyFont="1" applyFill="1" applyBorder="1" applyAlignment="1" applyProtection="1">
      <alignment horizontal="center" vertical="center"/>
      <protection locked="0"/>
    </xf>
    <xf numFmtId="9" fontId="22" fillId="4" borderId="1" xfId="0" applyNumberFormat="1" applyFont="1" applyFill="1" applyBorder="1" applyAlignment="1" applyProtection="1">
      <alignment horizontal="center" vertical="center"/>
      <protection locked="0"/>
    </xf>
    <xf numFmtId="165" fontId="28" fillId="4" borderId="1" xfId="0" applyNumberFormat="1" applyFont="1" applyFill="1" applyBorder="1" applyAlignment="1" applyProtection="1">
      <alignment horizontal="center" vertical="center"/>
      <protection locked="0"/>
    </xf>
    <xf numFmtId="166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6" fontId="16" fillId="3" borderId="1" xfId="0" applyNumberFormat="1" applyFont="1" applyFill="1" applyBorder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166" fontId="20" fillId="3" borderId="1" xfId="0" applyNumberFormat="1" applyFont="1" applyFill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0" fillId="0" borderId="0" xfId="0" applyAlignment="1"/>
    <xf numFmtId="0" fontId="3" fillId="3" borderId="0" xfId="0" applyFont="1" applyFill="1" applyAlignment="1">
      <alignment horizontal="center" vertical="center" wrapText="1"/>
    </xf>
    <xf numFmtId="0" fontId="3" fillId="3" borderId="11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3" borderId="12" xfId="0" applyFill="1" applyBorder="1" applyAlignment="1">
      <alignment wrapText="1"/>
    </xf>
    <xf numFmtId="0" fontId="3" fillId="3" borderId="9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4" fillId="0" borderId="0" xfId="0" applyFont="1" applyAlignment="1"/>
    <xf numFmtId="0" fontId="6" fillId="3" borderId="3" xfId="0" applyFont="1" applyFill="1" applyBorder="1" applyAlignment="1">
      <alignment vertical="center" wrapText="1"/>
    </xf>
    <xf numFmtId="0" fontId="0" fillId="3" borderId="13" xfId="0" applyFill="1" applyBorder="1" applyAlignment="1">
      <alignment wrapText="1"/>
    </xf>
    <xf numFmtId="0" fontId="3" fillId="3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3" borderId="11" xfId="0" applyFill="1" applyBorder="1" applyAlignment="1">
      <alignment wrapText="1"/>
    </xf>
    <xf numFmtId="166" fontId="3" fillId="3" borderId="4" xfId="0" applyNumberFormat="1" applyFont="1" applyFill="1" applyBorder="1" applyAlignment="1">
      <alignment horizontal="center" vertical="center" wrapText="1"/>
    </xf>
    <xf numFmtId="166" fontId="3" fillId="3" borderId="5" xfId="0" applyNumberFormat="1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 applyProtection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0" fillId="0" borderId="0" xfId="0" applyFont="1" applyFill="1" applyAlignment="1" applyProtection="1">
      <alignment horizontal="center" vertical="center" wrapText="1"/>
    </xf>
    <xf numFmtId="164" fontId="0" fillId="8" borderId="1" xfId="0" applyNumberFormat="1" applyFill="1" applyBorder="1" applyAlignment="1">
      <alignment horizontal="center" vertical="center"/>
    </xf>
    <xf numFmtId="0" fontId="0" fillId="4" borderId="3" xfId="0" applyFill="1" applyBorder="1" applyAlignment="1" applyProtection="1">
      <alignment horizontal="left" wrapText="1"/>
      <protection locked="0"/>
    </xf>
    <xf numFmtId="0" fontId="0" fillId="4" borderId="4" xfId="0" applyFill="1" applyBorder="1" applyAlignment="1" applyProtection="1">
      <alignment horizontal="left" wrapText="1"/>
      <protection locked="0"/>
    </xf>
    <xf numFmtId="0" fontId="0" fillId="4" borderId="5" xfId="0" applyFill="1" applyBorder="1" applyAlignment="1" applyProtection="1">
      <alignment horizontal="left" wrapText="1"/>
      <protection locked="0"/>
    </xf>
    <xf numFmtId="0" fontId="20" fillId="3" borderId="3" xfId="0" applyFont="1" applyFill="1" applyBorder="1" applyAlignment="1" applyProtection="1">
      <alignment horizontal="center" vertical="center" wrapText="1"/>
    </xf>
    <xf numFmtId="0" fontId="20" fillId="3" borderId="4" xfId="0" applyFont="1" applyFill="1" applyBorder="1" applyAlignment="1" applyProtection="1">
      <alignment horizontal="center" vertical="center" wrapText="1"/>
    </xf>
    <xf numFmtId="0" fontId="20" fillId="3" borderId="5" xfId="0" applyFont="1" applyFill="1" applyBorder="1" applyAlignment="1" applyProtection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left" vertical="center"/>
    </xf>
    <xf numFmtId="0" fontId="0" fillId="5" borderId="5" xfId="0" applyFont="1" applyFill="1" applyBorder="1" applyAlignment="1">
      <alignment horizontal="left" vertical="center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16" fillId="3" borderId="3" xfId="0" applyFont="1" applyFill="1" applyBorder="1" applyAlignment="1" applyProtection="1">
      <alignment horizontal="center" vertical="center" wrapText="1"/>
    </xf>
    <xf numFmtId="0" fontId="16" fillId="3" borderId="4" xfId="0" applyFont="1" applyFill="1" applyBorder="1" applyAlignment="1" applyProtection="1">
      <alignment horizontal="center" vertical="center" wrapText="1"/>
    </xf>
    <xf numFmtId="0" fontId="16" fillId="3" borderId="5" xfId="0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D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alcChain" Target="calcChain.xml"/><Relationship Id="rId5" Type="http://schemas.openxmlformats.org/officeDocument/2006/relationships/chartsheet" Target="chart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86856736431896E-2"/>
          <c:y val="4.3769798408706768E-2"/>
          <c:w val="0.89677897523796124"/>
          <c:h val="0.635970647648101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'OPTION 1 - Data for Figures'!$A$8</c:f>
              <c:strCache>
                <c:ptCount val="1"/>
                <c:pt idx="0">
                  <c:v>Household salt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Figures'!$B$8:$G$8</c:f>
              <c:numCache>
                <c:formatCode>0.0</c:formatCode>
                <c:ptCount val="6"/>
                <c:pt idx="1">
                  <c:v>59.15</c:v>
                </c:pt>
                <c:pt idx="2">
                  <c:v>44.954000000000001</c:v>
                </c:pt>
                <c:pt idx="3">
                  <c:v>27.299999999999997</c:v>
                </c:pt>
                <c:pt idx="4">
                  <c:v>20.747999999999998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A-46D5-848E-72A7D953355C}"/>
            </c:ext>
          </c:extLst>
        </c:ser>
        <c:ser>
          <c:idx val="1"/>
          <c:order val="1"/>
          <c:tx>
            <c:strRef>
              <c:f>'OPTION 1 - Data for Figures'!$A$9</c:f>
              <c:strCache>
                <c:ptCount val="1"/>
                <c:pt idx="0">
                  <c:v>Bread &amp; brotchen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Figures'!$B$9:$G$9</c:f>
              <c:numCache>
                <c:formatCode>0.0</c:formatCode>
                <c:ptCount val="6"/>
                <c:pt idx="1">
                  <c:v>122.98831999999999</c:v>
                </c:pt>
                <c:pt idx="2">
                  <c:v>122.98831999999999</c:v>
                </c:pt>
                <c:pt idx="3">
                  <c:v>56.763839999999995</c:v>
                </c:pt>
                <c:pt idx="4">
                  <c:v>56.763839999999995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A-46D5-848E-72A7D953355C}"/>
            </c:ext>
          </c:extLst>
        </c:ser>
        <c:ser>
          <c:idx val="2"/>
          <c:order val="2"/>
          <c:tx>
            <c:strRef>
              <c:f>'OPTION 1 - Data for Figures'!$A$10</c:f>
              <c:strCache>
                <c:ptCount val="1"/>
                <c:pt idx="0">
                  <c:v>Dried fish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Figures'!$B$10:$G$10</c:f>
              <c:numCache>
                <c:formatCode>0.0</c:formatCode>
                <c:ptCount val="6"/>
                <c:pt idx="1">
                  <c:v>17.076150000000002</c:v>
                </c:pt>
                <c:pt idx="2">
                  <c:v>17.076150000000002</c:v>
                </c:pt>
                <c:pt idx="3">
                  <c:v>7.8813000000000013</c:v>
                </c:pt>
                <c:pt idx="4">
                  <c:v>7.8813000000000013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A-46D5-848E-72A7D953355C}"/>
            </c:ext>
          </c:extLst>
        </c:ser>
        <c:ser>
          <c:idx val="3"/>
          <c:order val="3"/>
          <c:tx>
            <c:strRef>
              <c:f>'OPTION 1 - Data for Figures'!$A$11</c:f>
              <c:strCache>
                <c:ptCount val="1"/>
                <c:pt idx="0">
                  <c:v>Powdered soup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Figures'!$B$11:$G$11</c:f>
              <c:numCache>
                <c:formatCode>0.0</c:formatCode>
                <c:ptCount val="6"/>
                <c:pt idx="1">
                  <c:v>8.19</c:v>
                </c:pt>
                <c:pt idx="2">
                  <c:v>8.19</c:v>
                </c:pt>
                <c:pt idx="3">
                  <c:v>3.7799999999999994</c:v>
                </c:pt>
                <c:pt idx="4">
                  <c:v>3.7799999999999994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A-46D5-848E-72A7D953355C}"/>
            </c:ext>
          </c:extLst>
        </c:ser>
        <c:ser>
          <c:idx val="4"/>
          <c:order val="4"/>
          <c:tx>
            <c:strRef>
              <c:f>'OPTION 1 - Data for Figures'!$A$12</c:f>
              <c:strCache>
                <c:ptCount val="1"/>
                <c:pt idx="0">
                  <c:v>Sausages, other than polony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Figures'!$B$12:$G$12</c:f>
              <c:numCache>
                <c:formatCode>0.0</c:formatCode>
                <c:ptCount val="6"/>
                <c:pt idx="1">
                  <c:v>5.5327999999999999</c:v>
                </c:pt>
                <c:pt idx="2">
                  <c:v>5.5327999999999999</c:v>
                </c:pt>
                <c:pt idx="3">
                  <c:v>2.5535999999999999</c:v>
                </c:pt>
                <c:pt idx="4">
                  <c:v>2.5535999999999999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A-46D5-848E-72A7D953355C}"/>
            </c:ext>
          </c:extLst>
        </c:ser>
        <c:ser>
          <c:idx val="5"/>
          <c:order val="5"/>
          <c:tx>
            <c:strRef>
              <c:f>'OPTION 1 - Data for Figures'!$A$13</c:f>
              <c:strCache>
                <c:ptCount val="1"/>
                <c:pt idx="0">
                  <c:v>Spices &amp; condiments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Figures'!$B$13:$G$13</c:f>
              <c:numCache>
                <c:formatCode>0.0</c:formatCode>
                <c:ptCount val="6"/>
                <c:pt idx="1">
                  <c:v>2.73</c:v>
                </c:pt>
                <c:pt idx="2">
                  <c:v>2.73</c:v>
                </c:pt>
                <c:pt idx="3">
                  <c:v>1.2599999999999998</c:v>
                </c:pt>
                <c:pt idx="4">
                  <c:v>1.2599999999999998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AA-46D5-848E-72A7D953355C}"/>
            </c:ext>
          </c:extLst>
        </c:ser>
        <c:ser>
          <c:idx val="6"/>
          <c:order val="6"/>
          <c:tx>
            <c:strRef>
              <c:f>'OPTION 1 - Data for Figures'!$A$14</c:f>
              <c:strCache>
                <c:ptCount val="1"/>
                <c:pt idx="0">
                  <c:v>Traditional bread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Figures'!$B$14:$G$14</c:f>
              <c:numCache>
                <c:formatCode>0.0</c:formatCode>
                <c:ptCount val="6"/>
                <c:pt idx="1">
                  <c:v>2.8391999999999999</c:v>
                </c:pt>
                <c:pt idx="2">
                  <c:v>2.8391999999999999</c:v>
                </c:pt>
                <c:pt idx="3">
                  <c:v>1.3103999999999998</c:v>
                </c:pt>
                <c:pt idx="4">
                  <c:v>1.3103999999999998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D-4E9E-8887-F76FE532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414352"/>
        <c:axId val="59841205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'OPTION 1 - Data for Figures'!$A$15</c15:sqref>
                        </c15:formulaRef>
                      </c:ext>
                    </c:extLst>
                    <c:strCache>
                      <c:ptCount val="1"/>
                      <c:pt idx="0">
                        <c:v>Chips &amp; crisps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'OPTION 1 - Data for Figures'!$B$15:$G$15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2.73</c:v>
                      </c:pt>
                      <c:pt idx="2">
                        <c:v>2.73</c:v>
                      </c:pt>
                      <c:pt idx="3">
                        <c:v>1.2599999999999998</c:v>
                      </c:pt>
                      <c:pt idx="4">
                        <c:v>1.2599999999999998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CD-4E9E-8887-F76FE532C86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Figures'!$A$16</c15:sqref>
                        </c15:formulaRef>
                      </c:ext>
                    </c:extLst>
                    <c:strCache>
                      <c:ptCount val="1"/>
                      <c:pt idx="0">
                        <c:v>Smoked fish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Figures'!$B$16:$G$16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1.4696500000000001</c:v>
                      </c:pt>
                      <c:pt idx="2">
                        <c:v>1.4696500000000001</c:v>
                      </c:pt>
                      <c:pt idx="3">
                        <c:v>0.67830000000000001</c:v>
                      </c:pt>
                      <c:pt idx="4">
                        <c:v>0.67830000000000001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CD-4E9E-8887-F76FE532C86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Figures'!$A$17</c15:sqref>
                        </c15:formulaRef>
                      </c:ext>
                    </c:extLst>
                    <c:strCache>
                      <c:ptCount val="1"/>
                      <c:pt idx="0">
                        <c:v>Polony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Figures'!$B$17:$G$17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1.4196</c:v>
                      </c:pt>
                      <c:pt idx="2">
                        <c:v>1.4196</c:v>
                      </c:pt>
                      <c:pt idx="3">
                        <c:v>0.65519999999999989</c:v>
                      </c:pt>
                      <c:pt idx="4">
                        <c:v>0.65519999999999989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0CD-4E9E-8887-F76FE532C86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Figures'!$A$18</c15:sqref>
                        </c15:formulaRef>
                      </c:ext>
                    </c:extLst>
                    <c:strCache>
                      <c:ptCount val="1"/>
                      <c:pt idx="0">
                        <c:v>Cheese, all types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Figures'!$B$18:$G$18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1.0010000000000001</c:v>
                      </c:pt>
                      <c:pt idx="2">
                        <c:v>1.0010000000000001</c:v>
                      </c:pt>
                      <c:pt idx="3">
                        <c:v>0.46199999999999997</c:v>
                      </c:pt>
                      <c:pt idx="4">
                        <c:v>0.46199999999999997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0CD-4E9E-8887-F76FE532C86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Figures'!$A$19</c15:sqref>
                        </c15:formulaRef>
                      </c:ext>
                    </c:extLst>
                    <c:strCache>
                      <c:ptCount val="1"/>
                      <c:pt idx="0">
                        <c:v>Canned meat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Figures'!$B$19:$G$19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0.6825</c:v>
                      </c:pt>
                      <c:pt idx="2">
                        <c:v>0.6825</c:v>
                      </c:pt>
                      <c:pt idx="3">
                        <c:v>0.31499999999999995</c:v>
                      </c:pt>
                      <c:pt idx="4">
                        <c:v>0.31499999999999995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0CD-4E9E-8887-F76FE532C86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Figures'!$A$20</c15:sqref>
                        </c15:formulaRef>
                      </c:ext>
                    </c:extLst>
                    <c:strCache>
                      <c:ptCount val="1"/>
                      <c:pt idx="0">
                        <c:v>Biltong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Figures'!$B$20:$G$20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0.72344999999999982</c:v>
                      </c:pt>
                      <c:pt idx="2">
                        <c:v>0.72344999999999982</c:v>
                      </c:pt>
                      <c:pt idx="3">
                        <c:v>0.33389999999999992</c:v>
                      </c:pt>
                      <c:pt idx="4">
                        <c:v>0.33389999999999992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0CD-4E9E-8887-F76FE532C86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Figures'!$A$21</c15:sqref>
                        </c15:formulaRef>
                      </c:ext>
                    </c:extLst>
                    <c:strCache>
                      <c:ptCount val="1"/>
                      <c:pt idx="0">
                        <c:v>Smoked meat, other than bacon &amp; ham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Figures'!$B$21:$G$21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0.43680000000000008</c:v>
                      </c:pt>
                      <c:pt idx="2">
                        <c:v>0.43680000000000008</c:v>
                      </c:pt>
                      <c:pt idx="3">
                        <c:v>0.2016</c:v>
                      </c:pt>
                      <c:pt idx="4">
                        <c:v>0.2016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0CD-4E9E-8887-F76FE532C86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Figures'!$A$22</c15:sqref>
                        </c15:formulaRef>
                      </c:ext>
                    </c:extLst>
                    <c:strCache>
                      <c:ptCount val="1"/>
                      <c:pt idx="0">
                        <c:v>Tomato sauce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Figures'!$B$22:$G$22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0.38219999999999993</c:v>
                      </c:pt>
                      <c:pt idx="2">
                        <c:v>0.38219999999999993</c:v>
                      </c:pt>
                      <c:pt idx="3">
                        <c:v>0.1764</c:v>
                      </c:pt>
                      <c:pt idx="4">
                        <c:v>0.1764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0CD-4E9E-8887-F76FE532C86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5"/>
          <c:order val="25"/>
          <c:tx>
            <c:strRef>
              <c:f>'OPTION 1 - Data for Figures'!$A$35</c:f>
              <c:strCache>
                <c:ptCount val="1"/>
                <c:pt idx="0">
                  <c:v>Estimated Average Requirement (µg)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Figures'!$B$35:$G$35</c:f>
              <c:numCache>
                <c:formatCode>General</c:formatCode>
                <c:ptCount val="6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F1-4426-AC7D-DCED639C98D4}"/>
            </c:ext>
          </c:extLst>
        </c:ser>
        <c:ser>
          <c:idx val="26"/>
          <c:order val="26"/>
          <c:tx>
            <c:strRef>
              <c:f>'OPTION 1 - Data for Figures'!$A$36</c:f>
              <c:strCache>
                <c:ptCount val="1"/>
                <c:pt idx="0">
                  <c:v>Recommended Nutrient Intake (µg)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Figures'!$B$36:$G$36</c:f>
              <c:numCache>
                <c:formatCode>General</c:formatCode>
                <c:ptCount val="6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F1-4426-AC7D-DCED639C9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414352"/>
        <c:axId val="598412056"/>
        <c:extLst>
          <c:ext xmlns:c15="http://schemas.microsoft.com/office/drawing/2012/chart" uri="{02D57815-91ED-43cb-92C2-25804820EDAC}">
            <c15:filteredLineSeries>
              <c15:ser>
                <c:idx val="15"/>
                <c:order val="15"/>
                <c:tx>
                  <c:strRef>
                    <c:extLst>
                      <c:ext uri="{02D57815-91ED-43cb-92C2-25804820EDAC}">
                        <c15:formulaRef>
                          <c15:sqref>'OPTION 1 - Data for Figures'!$A$23</c15:sqref>
                        </c15:formulaRef>
                      </c:ext>
                    </c:extLst>
                    <c:strCache>
                      <c:ptCount val="1"/>
                      <c:pt idx="0">
                        <c:v>Bacon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'OPTION 1 - Data for Figures'!$B$23:$G$23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0.27299999999999996</c:v>
                      </c:pt>
                      <c:pt idx="2">
                        <c:v>0.27299999999999996</c:v>
                      </c:pt>
                      <c:pt idx="3">
                        <c:v>0.126</c:v>
                      </c:pt>
                      <c:pt idx="4">
                        <c:v>0.126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C0CD-4E9E-8887-F76FE532C86B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Figures'!$A$24</c15:sqref>
                        </c15:formulaRef>
                      </c:ext>
                    </c:extLst>
                    <c:strCache>
                      <c:ptCount val="1"/>
                      <c:pt idx="0">
                        <c:v>Ham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Figures'!$B$24:$G$24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0.15015000000000001</c:v>
                      </c:pt>
                      <c:pt idx="2">
                        <c:v>0.15015000000000001</c:v>
                      </c:pt>
                      <c:pt idx="3">
                        <c:v>6.9300000000000014E-2</c:v>
                      </c:pt>
                      <c:pt idx="4">
                        <c:v>6.9300000000000014E-2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0CD-4E9E-8887-F76FE532C86B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Figures'!$A$25</c15:sqref>
                        </c15:formulaRef>
                      </c:ext>
                    </c:extLst>
                    <c:strCache>
                      <c:ptCount val="1"/>
                      <c:pt idx="0">
                        <c:v>Pies &amp; pizza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Figures'!$B$25:$G$25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0.13649999999999998</c:v>
                      </c:pt>
                      <c:pt idx="2">
                        <c:v>0.13649999999999998</c:v>
                      </c:pt>
                      <c:pt idx="3">
                        <c:v>6.3E-2</c:v>
                      </c:pt>
                      <c:pt idx="4">
                        <c:v>6.3E-2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5F1-4426-AC7D-DCED639C98D4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Figures'!$A$26</c15:sqref>
                        </c15:formulaRef>
                      </c:ext>
                    </c:extLst>
                    <c:strCache>
                      <c:ptCount val="1"/>
                      <c:pt idx="0">
                        <c:v>Biscuits, rusks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Figures'!$B$26:$G$26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9.5549999999999982E-2</c:v>
                      </c:pt>
                      <c:pt idx="2">
                        <c:v>9.5549999999999982E-2</c:v>
                      </c:pt>
                      <c:pt idx="3">
                        <c:v>4.41E-2</c:v>
                      </c:pt>
                      <c:pt idx="4">
                        <c:v>4.41E-2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F1-4426-AC7D-DCED639C98D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Figures'!$A$27</c15:sqref>
                        </c15:formulaRef>
                      </c:ext>
                    </c:extLst>
                    <c:strCache>
                      <c:ptCount val="1"/>
                      <c:pt idx="0">
                        <c:v>Ready made soup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Figures'!$B$27:$G$27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8.1899999999999987E-2</c:v>
                      </c:pt>
                      <c:pt idx="2">
                        <c:v>8.1899999999999987E-2</c:v>
                      </c:pt>
                      <c:pt idx="3">
                        <c:v>3.78E-2</c:v>
                      </c:pt>
                      <c:pt idx="4">
                        <c:v>3.78E-2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5F1-4426-AC7D-DCED639C98D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Figures'!$A$28</c15:sqref>
                        </c15:formulaRef>
                      </c:ext>
                    </c:extLst>
                    <c:strCache>
                      <c:ptCount val="1"/>
                      <c:pt idx="0">
                        <c:v>Food 21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Figures'!$B$28:$G$28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5F1-4426-AC7D-DCED639C98D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Figures'!$A$29</c15:sqref>
                        </c15:formulaRef>
                      </c:ext>
                    </c:extLst>
                    <c:strCache>
                      <c:ptCount val="1"/>
                      <c:pt idx="0">
                        <c:v>Food 22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Figures'!$B$29:$G$29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5F1-4426-AC7D-DCED639C98D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Figures'!$A$30</c15:sqref>
                        </c15:formulaRef>
                      </c:ext>
                    </c:extLst>
                    <c:strCache>
                      <c:ptCount val="1"/>
                      <c:pt idx="0">
                        <c:v>Food 23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Figures'!$B$30:$G$30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5F1-4426-AC7D-DCED639C98D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Figures'!$A$31</c15:sqref>
                        </c15:formulaRef>
                      </c:ext>
                    </c:extLst>
                    <c:strCache>
                      <c:ptCount val="1"/>
                      <c:pt idx="0">
                        <c:v>Food 24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Figures'!$B$31:$G$31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5F1-4426-AC7D-DCED639C98D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Figures'!$A$32</c15:sqref>
                        </c15:formulaRef>
                      </c:ext>
                    </c:extLst>
                    <c:strCache>
                      <c:ptCount val="1"/>
                      <c:pt idx="0">
                        <c:v>Food 25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Figures'!$B$7:$G$7</c15:sqref>
                        </c15:formulaRef>
                      </c:ext>
                    </c:extLst>
                    <c:strCache>
                      <c:ptCount val="5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  <c:pt idx="3">
                        <c:v>Potential iodine intake (µg) with lower iodine level</c:v>
                      </c:pt>
                      <c:pt idx="4">
                        <c:v>Estimated iodine intake (µg) with lower iodine level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Figures'!$B$32:$G$32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5F1-4426-AC7D-DCED639C98D4}"/>
                  </c:ext>
                </c:extLst>
              </c15:ser>
            </c15:filteredLineSeries>
          </c:ext>
        </c:extLst>
      </c:lineChart>
      <c:catAx>
        <c:axId val="59841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2056"/>
        <c:crosses val="autoZero"/>
        <c:auto val="1"/>
        <c:lblAlgn val="ctr"/>
        <c:lblOffset val="100"/>
        <c:noMultiLvlLbl val="0"/>
      </c:catAx>
      <c:valAx>
        <c:axId val="59841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Estiamted iodine intake (µg)</a:t>
                </a:r>
              </a:p>
            </c:rich>
          </c:tx>
          <c:layout>
            <c:manualLayout>
              <c:xMode val="edge"/>
              <c:yMode val="edge"/>
              <c:x val="1.3667425477824494E-2"/>
              <c:y val="0.30546712289236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973596255857195E-3"/>
          <c:y val="0.81464484478707178"/>
          <c:w val="0.99560264037441426"/>
          <c:h val="0.18535515521292822"/>
        </c:manualLayout>
      </c:layout>
      <c:overlay val="0"/>
      <c:spPr>
        <a:noFill/>
        <a:ln>
          <a:solidFill>
            <a:schemeClr val="bg2">
              <a:lumMod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NA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86856736431896E-2"/>
          <c:y val="8.1466133487240799E-2"/>
          <c:w val="0.89677897523796124"/>
          <c:h val="0.667384260213546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'OPTION 1 - Data for Figures'!$A$8</c:f>
              <c:strCache>
                <c:ptCount val="1"/>
                <c:pt idx="0">
                  <c:v>Household salt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Figures'!$B$8:$G$8</c15:sqref>
                  </c15:fullRef>
                </c:ext>
              </c:extLst>
              <c:f>('OPTION 1 - Data for Figures'!$B$8:$D$8,'OPTION 1 - Data for Figures'!$G$8)</c:f>
              <c:numCache>
                <c:formatCode>0.0</c:formatCode>
                <c:ptCount val="4"/>
                <c:pt idx="1">
                  <c:v>59.15</c:v>
                </c:pt>
                <c:pt idx="2">
                  <c:v>44.954000000000001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1-4068-8275-15F0E209113A}"/>
            </c:ext>
          </c:extLst>
        </c:ser>
        <c:ser>
          <c:idx val="1"/>
          <c:order val="1"/>
          <c:tx>
            <c:strRef>
              <c:f>'OPTION 1 - Data for Figures'!$A$9</c:f>
              <c:strCache>
                <c:ptCount val="1"/>
                <c:pt idx="0">
                  <c:v>Bread &amp; brotchen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Figures'!$B$9:$G$9</c15:sqref>
                  </c15:fullRef>
                </c:ext>
              </c:extLst>
              <c:f>('OPTION 1 - Data for Figures'!$B$9:$D$9,'OPTION 1 - Data for Figures'!$G$9)</c:f>
              <c:numCache>
                <c:formatCode>0.0</c:formatCode>
                <c:ptCount val="4"/>
                <c:pt idx="1">
                  <c:v>122.98831999999999</c:v>
                </c:pt>
                <c:pt idx="2">
                  <c:v>122.98831999999999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1-4068-8275-15F0E209113A}"/>
            </c:ext>
          </c:extLst>
        </c:ser>
        <c:ser>
          <c:idx val="2"/>
          <c:order val="2"/>
          <c:tx>
            <c:strRef>
              <c:f>'OPTION 1 - Data for Figures'!$A$10</c:f>
              <c:strCache>
                <c:ptCount val="1"/>
                <c:pt idx="0">
                  <c:v>Dried fish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Figures'!$B$10:$G$10</c15:sqref>
                  </c15:fullRef>
                </c:ext>
              </c:extLst>
              <c:f>('OPTION 1 - Data for Figures'!$B$10:$D$10,'OPTION 1 - Data for Figures'!$G$10)</c:f>
              <c:numCache>
                <c:formatCode>0.0</c:formatCode>
                <c:ptCount val="4"/>
                <c:pt idx="1">
                  <c:v>17.076150000000002</c:v>
                </c:pt>
                <c:pt idx="2">
                  <c:v>17.076150000000002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1-4068-8275-15F0E209113A}"/>
            </c:ext>
          </c:extLst>
        </c:ser>
        <c:ser>
          <c:idx val="3"/>
          <c:order val="3"/>
          <c:tx>
            <c:strRef>
              <c:f>'OPTION 1 - Data for Figures'!$A$11</c:f>
              <c:strCache>
                <c:ptCount val="1"/>
                <c:pt idx="0">
                  <c:v>Powdered soup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Figures'!$B$11:$G$11</c15:sqref>
                  </c15:fullRef>
                </c:ext>
              </c:extLst>
              <c:f>('OPTION 1 - Data for Figures'!$B$11:$D$11,'OPTION 1 - Data for Figures'!$G$11)</c:f>
              <c:numCache>
                <c:formatCode>0.0</c:formatCode>
                <c:ptCount val="4"/>
                <c:pt idx="1">
                  <c:v>8.19</c:v>
                </c:pt>
                <c:pt idx="2">
                  <c:v>8.19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21-4068-8275-15F0E209113A}"/>
            </c:ext>
          </c:extLst>
        </c:ser>
        <c:ser>
          <c:idx val="4"/>
          <c:order val="4"/>
          <c:tx>
            <c:strRef>
              <c:f>'OPTION 1 - Data for Figures'!$A$12</c:f>
              <c:strCache>
                <c:ptCount val="1"/>
                <c:pt idx="0">
                  <c:v>Sausages, other than polony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Figures'!$B$12:$G$12</c15:sqref>
                  </c15:fullRef>
                </c:ext>
              </c:extLst>
              <c:f>('OPTION 1 - Data for Figures'!$B$12:$D$12,'OPTION 1 - Data for Figures'!$G$12)</c:f>
              <c:numCache>
                <c:formatCode>0.0</c:formatCode>
                <c:ptCount val="4"/>
                <c:pt idx="1">
                  <c:v>5.5327999999999999</c:v>
                </c:pt>
                <c:pt idx="2">
                  <c:v>5.5327999999999999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21-4068-8275-15F0E209113A}"/>
            </c:ext>
          </c:extLst>
        </c:ser>
        <c:ser>
          <c:idx val="5"/>
          <c:order val="5"/>
          <c:tx>
            <c:strRef>
              <c:f>'OPTION 1 - Data for Figures'!$A$13</c:f>
              <c:strCache>
                <c:ptCount val="1"/>
                <c:pt idx="0">
                  <c:v>Spices &amp; condiments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Figures'!$B$13:$G$13</c15:sqref>
                  </c15:fullRef>
                </c:ext>
              </c:extLst>
              <c:f>('OPTION 1 - Data for Figures'!$B$13:$D$13,'OPTION 1 - Data for Figures'!$G$13)</c:f>
              <c:numCache>
                <c:formatCode>0.0</c:formatCode>
                <c:ptCount val="4"/>
                <c:pt idx="1">
                  <c:v>2.73</c:v>
                </c:pt>
                <c:pt idx="2">
                  <c:v>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21-4068-8275-15F0E209113A}"/>
            </c:ext>
          </c:extLst>
        </c:ser>
        <c:ser>
          <c:idx val="6"/>
          <c:order val="6"/>
          <c:tx>
            <c:strRef>
              <c:f>'OPTION 1 - Data for Figures'!$A$14</c:f>
              <c:strCache>
                <c:ptCount val="1"/>
                <c:pt idx="0">
                  <c:v>Traditional bread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Figures'!$B$14:$G$14</c15:sqref>
                  </c15:fullRef>
                </c:ext>
              </c:extLst>
              <c:f>('OPTION 1 - Data for Figures'!$B$14:$D$14,'OPTION 1 - Data for Figures'!$G$14)</c:f>
              <c:numCache>
                <c:formatCode>0.0</c:formatCode>
                <c:ptCount val="4"/>
                <c:pt idx="1">
                  <c:v>2.8391999999999999</c:v>
                </c:pt>
                <c:pt idx="2">
                  <c:v>2.8391999999999999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6-49A1-AA03-1A5AA2C9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414352"/>
        <c:axId val="59841205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'OPTION 1 - Data for Figures'!$A$15</c15:sqref>
                        </c15:formulaRef>
                      </c:ext>
                    </c:extLst>
                    <c:strCache>
                      <c:ptCount val="1"/>
                      <c:pt idx="0">
                        <c:v>Chips &amp; crisps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'OPTION 1 - Data for Figures'!$B$15:$G$15</c15:sqref>
                        </c15:fullRef>
                        <c15:formulaRef>
                          <c15:sqref>('OPTION 1 - Data for Figures'!$B$15:$D$15,'OPTION 1 - Data for Figures'!$G$15)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2.73</c:v>
                      </c:pt>
                      <c:pt idx="2">
                        <c:v>2.73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046-49A1-AA03-1A5AA2C958F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Figures'!$A$16</c15:sqref>
                        </c15:formulaRef>
                      </c:ext>
                    </c:extLst>
                    <c:strCache>
                      <c:ptCount val="1"/>
                      <c:pt idx="0">
                        <c:v>Smoked fish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Figures'!$B$16:$G$16</c15:sqref>
                        </c15:fullRef>
                        <c15:formulaRef>
                          <c15:sqref>('OPTION 1 - Data for Figures'!$B$16:$D$16,'OPTION 1 - Data for Figures'!$G$16)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1.4696500000000001</c:v>
                      </c:pt>
                      <c:pt idx="2">
                        <c:v>1.4696500000000001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046-49A1-AA03-1A5AA2C958F7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Figures'!$A$17</c15:sqref>
                        </c15:formulaRef>
                      </c:ext>
                    </c:extLst>
                    <c:strCache>
                      <c:ptCount val="1"/>
                      <c:pt idx="0">
                        <c:v>Polony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Figures'!$B$17:$G$17</c15:sqref>
                        </c15:fullRef>
                        <c15:formulaRef>
                          <c15:sqref>('OPTION 1 - Data for Figures'!$B$17:$D$17,'OPTION 1 - Data for Figures'!$G$17)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1.4196</c:v>
                      </c:pt>
                      <c:pt idx="2">
                        <c:v>1.4196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046-49A1-AA03-1A5AA2C958F7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Figures'!$A$18</c15:sqref>
                        </c15:formulaRef>
                      </c:ext>
                    </c:extLst>
                    <c:strCache>
                      <c:ptCount val="1"/>
                      <c:pt idx="0">
                        <c:v>Cheese, all types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Figures'!$B$18:$G$18</c15:sqref>
                        </c15:fullRef>
                        <c15:formulaRef>
                          <c15:sqref>('OPTION 1 - Data for Figures'!$B$18:$D$18,'OPTION 1 - Data for Figures'!$G$18)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1.0010000000000001</c:v>
                      </c:pt>
                      <c:pt idx="2">
                        <c:v>1.0010000000000001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046-49A1-AA03-1A5AA2C958F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5"/>
          <c:order val="25"/>
          <c:tx>
            <c:strRef>
              <c:f>'OPTION 1 - Data for Figures'!$A$35</c:f>
              <c:strCache>
                <c:ptCount val="1"/>
                <c:pt idx="0">
                  <c:v>Estimated Average Requirement (µg)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Figures'!$B$35:$G$35</c15:sqref>
                  </c15:fullRef>
                </c:ext>
              </c:extLst>
              <c:f>('OPTION 1 - Data for Figures'!$B$35:$D$35,'OPTION 1 - Data for Figures'!$G$35)</c:f>
              <c:numCache>
                <c:formatCode>General</c:formatCode>
                <c:ptCount val="4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3D-45FA-AAB3-8E729A33E09A}"/>
            </c:ext>
          </c:extLst>
        </c:ser>
        <c:ser>
          <c:idx val="26"/>
          <c:order val="26"/>
          <c:tx>
            <c:strRef>
              <c:f>'OPTION 1 - Data for Figures'!$A$36</c:f>
              <c:strCache>
                <c:ptCount val="1"/>
                <c:pt idx="0">
                  <c:v>Recommended Nutrient Intake (µg)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Figures'!$B$36:$G$36</c15:sqref>
                  </c15:fullRef>
                </c:ext>
              </c:extLst>
              <c:f>('OPTION 1 - Data for Figures'!$B$36:$D$36,'OPTION 1 - Data for Figures'!$G$36)</c:f>
              <c:numCache>
                <c:formatCode>General</c:formatCode>
                <c:ptCount val="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3D-45FA-AAB3-8E729A33E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414352"/>
        <c:axId val="598412056"/>
        <c:extLst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'OPTION 1 - Data for Figures'!$A$19</c15:sqref>
                        </c15:formulaRef>
                      </c:ext>
                    </c:extLst>
                    <c:strCache>
                      <c:ptCount val="1"/>
                      <c:pt idx="0">
                        <c:v>Canned meat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'OPTION 1 - Data for Figures'!$B$19:$G$19</c15:sqref>
                        </c15:fullRef>
                        <c15:formulaRef>
                          <c15:sqref>('OPTION 1 - Data for Figures'!$B$19:$D$19,'OPTION 1 - Data for Figures'!$G$19)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0.6825</c:v>
                      </c:pt>
                      <c:pt idx="2">
                        <c:v>0.6825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046-49A1-AA03-1A5AA2C958F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Figures'!$A$20</c15:sqref>
                        </c15:formulaRef>
                      </c:ext>
                    </c:extLst>
                    <c:strCache>
                      <c:ptCount val="1"/>
                      <c:pt idx="0">
                        <c:v>Biltong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Figures'!$B$20:$G$20</c15:sqref>
                        </c15:fullRef>
                        <c15:formulaRef>
                          <c15:sqref>('OPTION 1 - Data for Figures'!$B$20:$D$20,'OPTION 1 - Data for Figures'!$G$20)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0.72344999999999982</c:v>
                      </c:pt>
                      <c:pt idx="2">
                        <c:v>0.72344999999999982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046-49A1-AA03-1A5AA2C958F7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Figures'!$A$21</c15:sqref>
                        </c15:formulaRef>
                      </c:ext>
                    </c:extLst>
                    <c:strCache>
                      <c:ptCount val="1"/>
                      <c:pt idx="0">
                        <c:v>Smoked meat, other than bacon &amp; ham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Figures'!$B$21:$G$21</c15:sqref>
                        </c15:fullRef>
                        <c15:formulaRef>
                          <c15:sqref>('OPTION 1 - Data for Figures'!$B$21:$D$21,'OPTION 1 - Data for Figures'!$G$21)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0.43680000000000008</c:v>
                      </c:pt>
                      <c:pt idx="2">
                        <c:v>0.43680000000000008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F3D-45FA-AAB3-8E729A33E09A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Figures'!$A$22</c15:sqref>
                        </c15:formulaRef>
                      </c:ext>
                    </c:extLst>
                    <c:strCache>
                      <c:ptCount val="1"/>
                      <c:pt idx="0">
                        <c:v>Tomato sauce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Figures'!$B$22:$G$22</c15:sqref>
                        </c15:fullRef>
                        <c15:formulaRef>
                          <c15:sqref>('OPTION 1 - Data for Figures'!$B$22:$D$22,'OPTION 1 - Data for Figures'!$G$22)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0.38219999999999993</c:v>
                      </c:pt>
                      <c:pt idx="2">
                        <c:v>0.38219999999999993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3D-45FA-AAB3-8E729A33E09A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Figures'!$A$23</c15:sqref>
                        </c15:formulaRef>
                      </c:ext>
                    </c:extLst>
                    <c:strCache>
                      <c:ptCount val="1"/>
                      <c:pt idx="0">
                        <c:v>Bacon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Figures'!$B$23:$G$23</c15:sqref>
                        </c15:fullRef>
                        <c15:formulaRef>
                          <c15:sqref>('OPTION 1 - Data for Figures'!$B$23:$D$23,'OPTION 1 - Data for Figures'!$G$23)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0.27299999999999996</c:v>
                      </c:pt>
                      <c:pt idx="2">
                        <c:v>0.27299999999999996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F3D-45FA-AAB3-8E729A33E09A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Figures'!$A$24</c15:sqref>
                        </c15:formulaRef>
                      </c:ext>
                    </c:extLst>
                    <c:strCache>
                      <c:ptCount val="1"/>
                      <c:pt idx="0">
                        <c:v>Ham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Figures'!$B$24:$G$24</c15:sqref>
                        </c15:fullRef>
                        <c15:formulaRef>
                          <c15:sqref>('OPTION 1 - Data for Figures'!$B$24:$D$24,'OPTION 1 - Data for Figures'!$G$24)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0.15015000000000001</c:v>
                      </c:pt>
                      <c:pt idx="2">
                        <c:v>0.15015000000000001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F3D-45FA-AAB3-8E729A33E09A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Figures'!$A$25</c15:sqref>
                        </c15:formulaRef>
                      </c:ext>
                    </c:extLst>
                    <c:strCache>
                      <c:ptCount val="1"/>
                      <c:pt idx="0">
                        <c:v>Pies &amp; pizza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Figures'!$B$25:$G$25</c15:sqref>
                        </c15:fullRef>
                        <c15:formulaRef>
                          <c15:sqref>('OPTION 1 - Data for Figures'!$B$25:$D$25,'OPTION 1 - Data for Figures'!$G$25)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0.13649999999999998</c:v>
                      </c:pt>
                      <c:pt idx="2">
                        <c:v>0.13649999999999998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F3D-45FA-AAB3-8E729A33E09A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Figures'!$A$26</c15:sqref>
                        </c15:formulaRef>
                      </c:ext>
                    </c:extLst>
                    <c:strCache>
                      <c:ptCount val="1"/>
                      <c:pt idx="0">
                        <c:v>Biscuits, rusks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Figures'!$B$26:$G$26</c15:sqref>
                        </c15:fullRef>
                        <c15:formulaRef>
                          <c15:sqref>('OPTION 1 - Data for Figures'!$B$26:$D$26,'OPTION 1 - Data for Figures'!$G$26)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9.5549999999999982E-2</c:v>
                      </c:pt>
                      <c:pt idx="2">
                        <c:v>9.5549999999999982E-2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F3D-45FA-AAB3-8E729A33E09A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Figures'!$A$27</c15:sqref>
                        </c15:formulaRef>
                      </c:ext>
                    </c:extLst>
                    <c:strCache>
                      <c:ptCount val="1"/>
                      <c:pt idx="0">
                        <c:v>Ready made soup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Figures'!$B$27:$G$27</c15:sqref>
                        </c15:fullRef>
                        <c15:formulaRef>
                          <c15:sqref>('OPTION 1 - Data for Figures'!$B$27:$D$27,'OPTION 1 - Data for Figures'!$G$27)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8.1899999999999987E-2</c:v>
                      </c:pt>
                      <c:pt idx="2">
                        <c:v>8.1899999999999987E-2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F3D-45FA-AAB3-8E729A33E09A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Figures'!$A$28</c15:sqref>
                        </c15:formulaRef>
                      </c:ext>
                    </c:extLst>
                    <c:strCache>
                      <c:ptCount val="1"/>
                      <c:pt idx="0">
                        <c:v>Food 21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Figures'!$B$28:$G$28</c15:sqref>
                        </c15:fullRef>
                        <c15:formulaRef>
                          <c15:sqref>('OPTION 1 - Data for Figures'!$B$28:$D$28,'OPTION 1 - Data for Figures'!$G$28)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F3D-45FA-AAB3-8E729A33E09A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Figures'!$A$29</c15:sqref>
                        </c15:formulaRef>
                      </c:ext>
                    </c:extLst>
                    <c:strCache>
                      <c:ptCount val="1"/>
                      <c:pt idx="0">
                        <c:v>Food 22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Figures'!$B$29:$G$29</c15:sqref>
                        </c15:fullRef>
                        <c15:formulaRef>
                          <c15:sqref>('OPTION 1 - Data for Figures'!$B$29:$D$29,'OPTION 1 - Data for Figures'!$G$29)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F3D-45FA-AAB3-8E729A33E09A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Figures'!$A$30</c15:sqref>
                        </c15:formulaRef>
                      </c:ext>
                    </c:extLst>
                    <c:strCache>
                      <c:ptCount val="1"/>
                      <c:pt idx="0">
                        <c:v>Food 23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Figures'!$B$30:$G$30</c15:sqref>
                        </c15:fullRef>
                        <c15:formulaRef>
                          <c15:sqref>('OPTION 1 - Data for Figures'!$B$30:$D$30,'OPTION 1 - Data for Figures'!$G$30)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F3D-45FA-AAB3-8E729A33E09A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Figures'!$A$31</c15:sqref>
                        </c15:formulaRef>
                      </c:ext>
                    </c:extLst>
                    <c:strCache>
                      <c:ptCount val="1"/>
                      <c:pt idx="0">
                        <c:v>Food 24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Figures'!$B$31:$G$31</c15:sqref>
                        </c15:fullRef>
                        <c15:formulaRef>
                          <c15:sqref>('OPTION 1 - Data for Figures'!$B$31:$D$31,'OPTION 1 - Data for Figures'!$G$31)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F3D-45FA-AAB3-8E729A33E09A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'OPTION 1 - Data for Figures'!$A$32</c15:sqref>
                        </c15:formulaRef>
                      </c:ext>
                    </c:extLst>
                    <c:strCache>
                      <c:ptCount val="1"/>
                      <c:pt idx="0">
                        <c:v>Food 25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Figures'!$B$7:$G$7</c15:sqref>
                        </c15:fullRef>
                        <c15:formulaRef>
                          <c15:sqref>('OPTION 1 - Data for Figures'!$B$7:$D$7,'OPTION 1 - Data for Figures'!$G$7)</c15:sqref>
                        </c15:formulaRef>
                      </c:ext>
                    </c:extLst>
                    <c:strCache>
                      <c:ptCount val="3"/>
                      <c:pt idx="1">
                        <c:v>Potential iodine intake (µg)</c:v>
                      </c:pt>
                      <c:pt idx="2">
                        <c:v>Estimated current iodine intake (µg)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'OPTION 1 - Data for Figures'!$B$32:$G$32</c15:sqref>
                        </c15:fullRef>
                        <c15:formulaRef>
                          <c15:sqref>('OPTION 1 - Data for Figures'!$B$32:$D$32,'OPTION 1 - Data for Figures'!$G$32)</c15:sqref>
                        </c15:formulaRef>
                      </c:ext>
                    </c:extLst>
                    <c:numCache>
                      <c:formatCode>0.0</c:formatCode>
                      <c:ptCount val="4"/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F3D-45FA-AAB3-8E729A33E09A}"/>
                  </c:ext>
                </c:extLst>
              </c15:ser>
            </c15:filteredLineSeries>
          </c:ext>
        </c:extLst>
      </c:lineChart>
      <c:catAx>
        <c:axId val="59841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2056"/>
        <c:crosses val="autoZero"/>
        <c:auto val="1"/>
        <c:lblAlgn val="ctr"/>
        <c:lblOffset val="100"/>
        <c:noMultiLvlLbl val="0"/>
      </c:catAx>
      <c:valAx>
        <c:axId val="59841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Estiamted iodine intake (µg)</a:t>
                </a:r>
              </a:p>
            </c:rich>
          </c:tx>
          <c:layout>
            <c:manualLayout>
              <c:xMode val="edge"/>
              <c:yMode val="edge"/>
              <c:x val="1.3667425477824494E-2"/>
              <c:y val="0.30546712289236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7199180772364511E-2"/>
          <c:y val="0.84605845735251684"/>
          <c:w val="0.95651595585830518"/>
          <c:h val="0.15394154264748322"/>
        </c:manualLayout>
      </c:layout>
      <c:overlay val="0"/>
      <c:spPr>
        <a:noFill/>
        <a:ln>
          <a:solidFill>
            <a:schemeClr val="bg2">
              <a:lumMod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NA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264306054766345E-2"/>
          <c:y val="8.1466133487240799E-2"/>
          <c:w val="0.91270152591962672"/>
          <c:h val="0.712587541740528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'OPTION 1 - Data for Figures'!$A$33</c:f>
              <c:strCache>
                <c:ptCount val="1"/>
                <c:pt idx="0">
                  <c:v>For HH salt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Figures'!$B$33:$G$33</c:f>
              <c:numCache>
                <c:formatCode>0.0</c:formatCode>
                <c:ptCount val="6"/>
                <c:pt idx="1">
                  <c:v>59.15</c:v>
                </c:pt>
                <c:pt idx="2">
                  <c:v>44.954000000000001</c:v>
                </c:pt>
                <c:pt idx="3">
                  <c:v>27.299999999999997</c:v>
                </c:pt>
                <c:pt idx="4">
                  <c:v>20.747999999999998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2-4937-B45F-482B7FCC3DC0}"/>
            </c:ext>
          </c:extLst>
        </c:ser>
        <c:ser>
          <c:idx val="1"/>
          <c:order val="1"/>
          <c:tx>
            <c:strRef>
              <c:f>'OPTION 1 - Data for Figures'!$A$34</c:f>
              <c:strCache>
                <c:ptCount val="1"/>
                <c:pt idx="0">
                  <c:v>For all seleccted processed foods excluding HH salt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Figures'!$B$34:$G$34</c:f>
              <c:numCache>
                <c:formatCode>0.0</c:formatCode>
                <c:ptCount val="6"/>
                <c:pt idx="1">
                  <c:v>168.93877000000003</c:v>
                </c:pt>
                <c:pt idx="2">
                  <c:v>168.93877000000003</c:v>
                </c:pt>
                <c:pt idx="3">
                  <c:v>77.971740000000011</c:v>
                </c:pt>
                <c:pt idx="4">
                  <c:v>77.971740000000011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3-46D0-B9A1-C961EBE9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98414680"/>
        <c:axId val="598419600"/>
      </c:barChart>
      <c:lineChart>
        <c:grouping val="standard"/>
        <c:varyColors val="0"/>
        <c:ser>
          <c:idx val="2"/>
          <c:order val="2"/>
          <c:tx>
            <c:strRef>
              <c:f>'OPTION 1 - Data for Figures'!$A$35</c:f>
              <c:strCache>
                <c:ptCount val="1"/>
                <c:pt idx="0">
                  <c:v>Estimated Average Requirement (µg)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Figures'!$B$35:$G$35</c:f>
              <c:numCache>
                <c:formatCode>General</c:formatCode>
                <c:ptCount val="6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3-46D0-B9A1-C961EBE92C95}"/>
            </c:ext>
          </c:extLst>
        </c:ser>
        <c:ser>
          <c:idx val="3"/>
          <c:order val="3"/>
          <c:tx>
            <c:strRef>
              <c:f>'OPTION 1 - Data for Figures'!$A$36</c:f>
              <c:strCache>
                <c:ptCount val="1"/>
                <c:pt idx="0">
                  <c:v>Recommended Nutrient Intake (µg)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'OPTION 1 - Data for Figures'!$B$7:$G$7</c:f>
              <c:strCache>
                <c:ptCount val="5"/>
                <c:pt idx="1">
                  <c:v>Potential iodine intake (µg)</c:v>
                </c:pt>
                <c:pt idx="2">
                  <c:v>Estimated current iodine intake (µg)</c:v>
                </c:pt>
                <c:pt idx="3">
                  <c:v>Potential iodine intake (µg) with lower iodine level</c:v>
                </c:pt>
                <c:pt idx="4">
                  <c:v>Estimated iodine intake (µg) with lower iodine level</c:v>
                </c:pt>
              </c:strCache>
            </c:strRef>
          </c:cat>
          <c:val>
            <c:numRef>
              <c:f>'OPTION 1 - Data for Figures'!$B$36:$G$36</c:f>
              <c:numCache>
                <c:formatCode>General</c:formatCode>
                <c:ptCount val="6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3-46D0-B9A1-C961EBE9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414680"/>
        <c:axId val="598419600"/>
      </c:lineChart>
      <c:catAx>
        <c:axId val="59841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9600"/>
        <c:crosses val="autoZero"/>
        <c:auto val="1"/>
        <c:lblAlgn val="ctr"/>
        <c:lblOffset val="100"/>
        <c:noMultiLvlLbl val="0"/>
      </c:catAx>
      <c:valAx>
        <c:axId val="5984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iodine intake (µg)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7827236639203753E-2"/>
          <c:y val="0.90469720080801419"/>
          <c:w val="0.9529637166443522"/>
          <c:h val="8.7795852743537947E-2"/>
        </c:manualLayout>
      </c:layout>
      <c:overlay val="0"/>
      <c:spPr>
        <a:noFill/>
        <a:ln>
          <a:solidFill>
            <a:schemeClr val="bg2">
              <a:lumMod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NA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264306054766345E-2"/>
          <c:y val="8.1466133487240799E-2"/>
          <c:w val="0.91270152591962672"/>
          <c:h val="0.712587541740528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'OPTION 1 - Data for Figures'!$A$33</c:f>
              <c:strCache>
                <c:ptCount val="1"/>
                <c:pt idx="0">
                  <c:v>For HH salt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Figures'!$B$33:$G$33</c15:sqref>
                  </c15:fullRef>
                </c:ext>
              </c:extLst>
              <c:f>('OPTION 1 - Data for Figures'!$B$33:$D$33,'OPTION 1 - Data for Figures'!$G$33)</c:f>
              <c:numCache>
                <c:formatCode>0.0</c:formatCode>
                <c:ptCount val="4"/>
                <c:pt idx="1">
                  <c:v>59.15</c:v>
                </c:pt>
                <c:pt idx="2">
                  <c:v>44.954000000000001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B-4F73-8852-270486BDB09A}"/>
            </c:ext>
          </c:extLst>
        </c:ser>
        <c:ser>
          <c:idx val="1"/>
          <c:order val="1"/>
          <c:tx>
            <c:strRef>
              <c:f>'OPTION 1 - Data for Figures'!$A$34</c:f>
              <c:strCache>
                <c:ptCount val="1"/>
                <c:pt idx="0">
                  <c:v>For all seleccted processed foods excluding HH salt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Figures'!$B$34:$G$34</c15:sqref>
                  </c15:fullRef>
                </c:ext>
              </c:extLst>
              <c:f>('OPTION 1 - Data for Figures'!$B$34:$D$34,'OPTION 1 - Data for Figures'!$G$34)</c:f>
              <c:numCache>
                <c:formatCode>0.0</c:formatCode>
                <c:ptCount val="4"/>
                <c:pt idx="1">
                  <c:v>168.93877000000003</c:v>
                </c:pt>
                <c:pt idx="2">
                  <c:v>168.93877000000003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B-4F73-8852-270486BD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98414680"/>
        <c:axId val="598419600"/>
      </c:barChart>
      <c:lineChart>
        <c:grouping val="standard"/>
        <c:varyColors val="0"/>
        <c:ser>
          <c:idx val="2"/>
          <c:order val="2"/>
          <c:tx>
            <c:strRef>
              <c:f>'OPTION 1 - Data for Figures'!$A$35</c:f>
              <c:strCache>
                <c:ptCount val="1"/>
                <c:pt idx="0">
                  <c:v>Estimated Average Requirement (µg)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Figures'!$B$35:$G$35</c15:sqref>
                  </c15:fullRef>
                </c:ext>
              </c:extLst>
              <c:f>('OPTION 1 - Data for Figures'!$B$35:$D$35,'OPTION 1 - Data for Figures'!$G$35)</c:f>
              <c:numCache>
                <c:formatCode>General</c:formatCode>
                <c:ptCount val="4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B-4F73-8852-270486BDB09A}"/>
            </c:ext>
          </c:extLst>
        </c:ser>
        <c:ser>
          <c:idx val="3"/>
          <c:order val="3"/>
          <c:tx>
            <c:strRef>
              <c:f>'OPTION 1 - Data for Figures'!$A$36</c:f>
              <c:strCache>
                <c:ptCount val="1"/>
                <c:pt idx="0">
                  <c:v>Recommended Nutrient Intake (µg)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'OPTION 1 - Data for Figures'!$B$7:$G$7</c15:sqref>
                  </c15:fullRef>
                </c:ext>
              </c:extLst>
              <c:f>('OPTION 1 - Data for Figures'!$B$7:$D$7,'OPTION 1 - Data for Figures'!$G$7)</c:f>
              <c:strCache>
                <c:ptCount val="3"/>
                <c:pt idx="1">
                  <c:v>Potential iodine intake (µg)</c:v>
                </c:pt>
                <c:pt idx="2">
                  <c:v>Estimated current iodine intake (µg)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'OPTION 1 - Data for Figures'!$B$36:$G$36</c15:sqref>
                  </c15:fullRef>
                </c:ext>
              </c:extLst>
              <c:f>('OPTION 1 - Data for Figures'!$B$36:$D$36,'OPTION 1 - Data for Figures'!$G$36)</c:f>
              <c:numCache>
                <c:formatCode>General</c:formatCode>
                <c:ptCount val="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5B-4F73-8852-270486BD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414680"/>
        <c:axId val="598419600"/>
      </c:lineChart>
      <c:catAx>
        <c:axId val="59841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9600"/>
        <c:crosses val="autoZero"/>
        <c:auto val="1"/>
        <c:lblAlgn val="ctr"/>
        <c:lblOffset val="100"/>
        <c:noMultiLvlLbl val="0"/>
      </c:catAx>
      <c:valAx>
        <c:axId val="5984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iodine intake (µg)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59841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692840970249456E-2"/>
          <c:y val="0.90469720080801419"/>
          <c:w val="0.96253091447882932"/>
          <c:h val="8.7795852743537947E-2"/>
        </c:manualLayout>
      </c:layout>
      <c:overlay val="0"/>
      <c:spPr>
        <a:noFill/>
        <a:ln>
          <a:solidFill>
            <a:schemeClr val="bg2">
              <a:lumMod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NA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4A5782-AAAF-46F9-8E8B-7048998FC304}">
  <sheetPr codeName="Chart3"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BE8B82-DFAD-4190-9FF8-E22B662E3D62}">
  <sheetPr codeName="Chart4"/>
  <sheetViews>
    <sheetView zoomScale="12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392857-7C4C-4935-9E20-082742000151}">
  <sheetPr codeName="Chart5"/>
  <sheetViews>
    <sheetView zoomScale="12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D31F6E-ADFB-4B65-A046-BBB7C3FEA2B7}">
  <sheetPr codeName="Chart6"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835" cy="60666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E9CFC-1711-4C43-BA19-33CBEE562D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3008" cy="6071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E1551-562F-4E9E-9130-981D6C7699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9835" cy="60666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B5C84-B762-406A-B454-D72921F571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6719" cy="60721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FB4E6-80FA-4990-BB38-718B566F04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B872-FF7F-4243-802C-EEF0F530F9ED}">
  <sheetPr>
    <tabColor rgb="FF00B0F0"/>
    <pageSetUpPr fitToPage="1"/>
  </sheetPr>
  <dimension ref="A1:T56"/>
  <sheetViews>
    <sheetView tabSelected="1" topLeftCell="A11" zoomScale="70" zoomScaleNormal="70" workbookViewId="0">
      <selection activeCell="F11" sqref="F11"/>
    </sheetView>
  </sheetViews>
  <sheetFormatPr baseColWidth="10" defaultColWidth="8.83203125" defaultRowHeight="15" x14ac:dyDescent="0.2"/>
  <cols>
    <col min="1" max="1" width="29" customWidth="1"/>
    <col min="2" max="2" width="21.83203125" customWidth="1"/>
    <col min="3" max="3" width="15.6640625" customWidth="1"/>
    <col min="4" max="4" width="19.6640625" customWidth="1"/>
    <col min="5" max="5" width="19.5" customWidth="1"/>
    <col min="6" max="6" width="20.1640625" customWidth="1"/>
    <col min="7" max="7" width="23.33203125" customWidth="1"/>
    <col min="8" max="8" width="21.1640625" customWidth="1"/>
    <col min="9" max="9" width="17.83203125" customWidth="1"/>
    <col min="10" max="10" width="18.1640625" customWidth="1"/>
    <col min="11" max="11" width="21.6640625" customWidth="1"/>
    <col min="12" max="12" width="24.6640625" style="4" customWidth="1"/>
    <col min="13" max="13" width="23.5" style="4" customWidth="1"/>
    <col min="14" max="14" width="23.5" customWidth="1"/>
    <col min="15" max="15" width="22.6640625" customWidth="1"/>
    <col min="16" max="16" width="24" customWidth="1"/>
    <col min="17" max="17" width="26.1640625" customWidth="1"/>
    <col min="18" max="18" width="25.83203125" customWidth="1"/>
    <col min="19" max="19" width="23.83203125" customWidth="1"/>
    <col min="20" max="20" width="24.5" customWidth="1"/>
    <col min="21" max="21" width="37.33203125" customWidth="1"/>
  </cols>
  <sheetData>
    <row r="1" spans="1:19" s="1" customFormat="1" ht="54" customHeight="1" x14ac:dyDescent="0.2">
      <c r="A1" s="151" t="s">
        <v>35</v>
      </c>
      <c r="B1" s="151"/>
      <c r="C1" s="151"/>
      <c r="D1" s="151"/>
      <c r="E1" s="151"/>
      <c r="F1" s="152"/>
      <c r="G1" s="153" t="s">
        <v>90</v>
      </c>
      <c r="H1" s="154"/>
      <c r="I1" s="154"/>
      <c r="J1" s="154"/>
      <c r="K1" s="154"/>
      <c r="L1" s="63" t="s">
        <v>39</v>
      </c>
      <c r="M1" s="33"/>
    </row>
    <row r="2" spans="1:19" s="1" customFormat="1" ht="38.25" customHeight="1" x14ac:dyDescent="0.2">
      <c r="A2" s="155" t="s">
        <v>7</v>
      </c>
      <c r="B2" s="155"/>
      <c r="C2" s="155"/>
      <c r="D2" s="155"/>
      <c r="E2" s="155"/>
      <c r="F2" s="155"/>
      <c r="G2" s="156" t="s">
        <v>91</v>
      </c>
      <c r="H2" s="157"/>
      <c r="I2" s="157"/>
      <c r="J2" s="157"/>
      <c r="K2" s="158"/>
      <c r="L2" s="4"/>
      <c r="M2" s="4"/>
    </row>
    <row r="3" spans="1:19" s="1" customFormat="1" ht="38.25" customHeight="1" x14ac:dyDescent="0.2">
      <c r="A3" s="159" t="s">
        <v>33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1"/>
      <c r="O3" s="11"/>
    </row>
    <row r="4" spans="1:19" ht="50.25" customHeight="1" x14ac:dyDescent="0.2">
      <c r="A4" s="148" t="s">
        <v>89</v>
      </c>
      <c r="B4" s="148"/>
      <c r="C4" s="148"/>
      <c r="D4" s="148"/>
      <c r="E4" s="148"/>
      <c r="F4" s="148"/>
      <c r="G4" s="148"/>
      <c r="H4" s="45"/>
      <c r="J4" s="149"/>
      <c r="K4" s="149"/>
      <c r="L4" s="149"/>
      <c r="M4" s="149"/>
      <c r="N4" s="150"/>
      <c r="O4" s="57" t="s">
        <v>38</v>
      </c>
    </row>
    <row r="5" spans="1:19" s="1" customFormat="1" ht="45" customHeight="1" x14ac:dyDescent="0.2">
      <c r="A5" s="13" t="s">
        <v>6</v>
      </c>
      <c r="B5" s="61" t="s">
        <v>3</v>
      </c>
      <c r="C5" s="3"/>
      <c r="D5" s="5"/>
      <c r="E5" s="60" t="s">
        <v>0</v>
      </c>
      <c r="F5" s="60" t="s">
        <v>1</v>
      </c>
      <c r="G5" s="60" t="s">
        <v>2</v>
      </c>
      <c r="H5" s="46"/>
      <c r="J5" s="48" t="s">
        <v>18</v>
      </c>
      <c r="K5" s="49" t="s">
        <v>32</v>
      </c>
      <c r="L5" s="49" t="s">
        <v>3</v>
      </c>
      <c r="M5" s="49" t="s">
        <v>4</v>
      </c>
      <c r="N5" s="49" t="s">
        <v>5</v>
      </c>
      <c r="O5" s="56" t="s">
        <v>11</v>
      </c>
    </row>
    <row r="6" spans="1:19" s="1" customFormat="1" ht="62.25" customHeight="1" x14ac:dyDescent="0.2">
      <c r="A6" s="10" t="s">
        <v>20</v>
      </c>
      <c r="B6" s="53">
        <f>_xlfn.IFS($B$5=$J$5,J6, $B$5=$K$5,K6, $B$5=$L$5,L6, $B$5=$M$5,M6, $B$5=$N$5,N6, $B$5=$O$5,O6)</f>
        <v>95</v>
      </c>
      <c r="D6" s="16" t="s">
        <v>10</v>
      </c>
      <c r="E6" s="58">
        <v>50</v>
      </c>
      <c r="F6" s="58">
        <v>80</v>
      </c>
      <c r="G6" s="59">
        <f>IF(AND(E6&gt;0,F6&gt;0),(E6+F6)/2, E6)</f>
        <v>65</v>
      </c>
      <c r="H6" s="44"/>
      <c r="I6" s="42" t="s">
        <v>36</v>
      </c>
      <c r="J6" s="39">
        <v>160</v>
      </c>
      <c r="K6" s="40" t="s">
        <v>37</v>
      </c>
      <c r="L6" s="41">
        <v>95</v>
      </c>
      <c r="M6" s="41">
        <v>65</v>
      </c>
      <c r="N6" s="41">
        <v>65</v>
      </c>
      <c r="O6" s="127">
        <v>95</v>
      </c>
    </row>
    <row r="7" spans="1:19" s="1" customFormat="1" ht="62.25" customHeight="1" x14ac:dyDescent="0.2">
      <c r="A7" s="10" t="s">
        <v>13</v>
      </c>
      <c r="B7" s="53">
        <f>_xlfn.IFS($B$5=$J$5,J7, $B$5=$K$5,K7, $B$5=$L$5,L7, $B$5=$M$5,M7, $B$5=$N$5,N7, $B$5=$O$5,O7)</f>
        <v>150</v>
      </c>
      <c r="E7" s="43"/>
      <c r="F7" s="43"/>
      <c r="G7" s="44"/>
      <c r="H7" s="44"/>
      <c r="I7" s="75" t="s">
        <v>54</v>
      </c>
      <c r="J7" s="39">
        <v>250</v>
      </c>
      <c r="K7" s="41">
        <v>250</v>
      </c>
      <c r="L7" s="41">
        <v>150</v>
      </c>
      <c r="M7" s="41">
        <v>120</v>
      </c>
      <c r="N7" s="41">
        <v>90</v>
      </c>
      <c r="O7" s="127">
        <v>150</v>
      </c>
    </row>
    <row r="8" spans="1:19" ht="36.75" customHeight="1" x14ac:dyDescent="0.2">
      <c r="A8" s="10" t="s">
        <v>27</v>
      </c>
      <c r="B8" s="53">
        <f>_xlfn.IFS($B$5=$J$5,J8, $B$5=$K$5,K8, $B$5=$L$5,L8, $B$5=$M$5,M8, $B$5=$N$5,N8, $B$5=$O$5,O8)</f>
        <v>600</v>
      </c>
      <c r="C8" s="32"/>
      <c r="I8" s="42" t="s">
        <v>31</v>
      </c>
      <c r="J8" s="50">
        <v>600</v>
      </c>
      <c r="K8" s="51">
        <v>600</v>
      </c>
      <c r="L8" s="51">
        <v>600</v>
      </c>
      <c r="M8" s="52">
        <v>300</v>
      </c>
      <c r="N8" s="55" t="s">
        <v>37</v>
      </c>
      <c r="O8" s="128">
        <v>600</v>
      </c>
    </row>
    <row r="9" spans="1:19" x14ac:dyDescent="0.2">
      <c r="A9" s="29"/>
      <c r="B9" s="30"/>
      <c r="J9" s="47"/>
      <c r="K9" s="47"/>
      <c r="L9" s="47"/>
      <c r="M9" s="47"/>
      <c r="N9" s="54"/>
    </row>
    <row r="10" spans="1:19" ht="36.75" customHeight="1" x14ac:dyDescent="0.2">
      <c r="A10" s="138" t="s">
        <v>12</v>
      </c>
      <c r="B10" s="139"/>
      <c r="I10" s="77" t="s">
        <v>29</v>
      </c>
      <c r="J10" s="140" t="s">
        <v>57</v>
      </c>
      <c r="K10" s="141"/>
    </row>
    <row r="11" spans="1:19" ht="36.75" customHeight="1" x14ac:dyDescent="0.2">
      <c r="A11" s="15" t="s">
        <v>8</v>
      </c>
      <c r="B11" s="12" t="s">
        <v>19</v>
      </c>
      <c r="I11" s="78" t="s">
        <v>60</v>
      </c>
      <c r="J11" s="140" t="s">
        <v>58</v>
      </c>
      <c r="K11" s="141"/>
    </row>
    <row r="12" spans="1:19" ht="29.25" customHeight="1" x14ac:dyDescent="0.2">
      <c r="A12" s="14" t="s">
        <v>9</v>
      </c>
      <c r="B12" s="7"/>
      <c r="I12" s="77" t="s">
        <v>31</v>
      </c>
      <c r="J12" s="140" t="s">
        <v>59</v>
      </c>
      <c r="K12" s="141"/>
    </row>
    <row r="13" spans="1:19" s="1" customFormat="1" ht="34.5" customHeight="1" x14ac:dyDescent="0.2"/>
    <row r="14" spans="1:19" s="17" customFormat="1" ht="109.5" customHeight="1" x14ac:dyDescent="0.2">
      <c r="A14" s="62" t="s">
        <v>34</v>
      </c>
      <c r="G14" s="142" t="s">
        <v>104</v>
      </c>
      <c r="H14" s="143"/>
      <c r="I14" s="143"/>
      <c r="J14" s="144"/>
      <c r="K14" s="145" t="s">
        <v>106</v>
      </c>
      <c r="L14" s="146"/>
      <c r="M14" s="146"/>
      <c r="N14" s="146"/>
      <c r="O14" s="147"/>
      <c r="P14" s="134" t="s">
        <v>105</v>
      </c>
      <c r="Q14" s="135"/>
      <c r="R14" s="136"/>
      <c r="S14" s="129"/>
    </row>
    <row r="15" spans="1:19" s="17" customFormat="1" ht="59.25" customHeight="1" x14ac:dyDescent="0.2">
      <c r="A15" s="72" t="s">
        <v>43</v>
      </c>
      <c r="B15" s="73"/>
      <c r="C15" s="74" t="s">
        <v>42</v>
      </c>
      <c r="D15" s="18" t="s">
        <v>45</v>
      </c>
      <c r="E15" s="74" t="s">
        <v>46</v>
      </c>
      <c r="F15" s="74" t="s">
        <v>79</v>
      </c>
      <c r="G15" s="74" t="s">
        <v>80</v>
      </c>
      <c r="H15" s="74" t="s">
        <v>81</v>
      </c>
      <c r="I15" s="74" t="s">
        <v>82</v>
      </c>
      <c r="J15" s="74" t="s">
        <v>83</v>
      </c>
      <c r="K15" s="74" t="s">
        <v>84</v>
      </c>
      <c r="L15" s="74" t="s">
        <v>85</v>
      </c>
      <c r="M15" s="74" t="s">
        <v>86</v>
      </c>
      <c r="N15" s="74" t="s">
        <v>87</v>
      </c>
      <c r="O15" s="74" t="s">
        <v>88</v>
      </c>
      <c r="P15" s="126" t="s">
        <v>47</v>
      </c>
      <c r="Q15" s="126" t="s">
        <v>48</v>
      </c>
      <c r="R15" s="74" t="s">
        <v>49</v>
      </c>
    </row>
    <row r="16" spans="1:19" s="19" customFormat="1" ht="141" customHeight="1" x14ac:dyDescent="0.2">
      <c r="A16" s="122" t="s">
        <v>70</v>
      </c>
      <c r="B16" s="18" t="s">
        <v>16</v>
      </c>
      <c r="C16" s="18" t="s">
        <v>44</v>
      </c>
      <c r="D16" s="18" t="s">
        <v>55</v>
      </c>
      <c r="E16" s="18" t="s">
        <v>50</v>
      </c>
      <c r="F16" s="18" t="s">
        <v>109</v>
      </c>
      <c r="G16" s="123" t="s">
        <v>51</v>
      </c>
      <c r="H16" s="37" t="s">
        <v>61</v>
      </c>
      <c r="I16" s="37" t="s">
        <v>63</v>
      </c>
      <c r="J16" s="124" t="s">
        <v>62</v>
      </c>
      <c r="K16" s="64" t="s">
        <v>52</v>
      </c>
      <c r="L16" s="65" t="s">
        <v>65</v>
      </c>
      <c r="M16" s="65" t="s">
        <v>66</v>
      </c>
      <c r="N16" s="65" t="s">
        <v>67</v>
      </c>
      <c r="O16" s="64" t="s">
        <v>64</v>
      </c>
      <c r="P16" s="68" t="s">
        <v>53</v>
      </c>
      <c r="Q16" s="69" t="s">
        <v>103</v>
      </c>
      <c r="R16" s="69" t="s">
        <v>115</v>
      </c>
    </row>
    <row r="17" spans="1:18" s="19" customFormat="1" ht="57" customHeight="1" x14ac:dyDescent="0.2">
      <c r="A17" s="72" t="s">
        <v>40</v>
      </c>
      <c r="B17" s="18"/>
      <c r="C17" s="18"/>
      <c r="D17" s="18"/>
      <c r="E17" s="34" t="s">
        <v>30</v>
      </c>
      <c r="F17" s="34"/>
      <c r="G17" s="36" t="s">
        <v>92</v>
      </c>
      <c r="H17" s="38" t="s">
        <v>93</v>
      </c>
      <c r="I17" s="38" t="s">
        <v>94</v>
      </c>
      <c r="J17" s="38" t="s">
        <v>95</v>
      </c>
      <c r="K17" s="64"/>
      <c r="L17" s="66" t="s">
        <v>96</v>
      </c>
      <c r="M17" s="66" t="s">
        <v>97</v>
      </c>
      <c r="N17" s="66" t="s">
        <v>98</v>
      </c>
      <c r="O17" s="66" t="s">
        <v>99</v>
      </c>
      <c r="P17" s="68"/>
      <c r="Q17" s="70" t="s">
        <v>101</v>
      </c>
      <c r="R17" s="125" t="s">
        <v>100</v>
      </c>
    </row>
    <row r="18" spans="1:18" s="23" customFormat="1" ht="56.25" customHeight="1" x14ac:dyDescent="0.2">
      <c r="A18" s="21" t="s">
        <v>25</v>
      </c>
      <c r="B18" s="21"/>
      <c r="C18" s="22"/>
      <c r="D18" s="22"/>
      <c r="E18" s="20"/>
      <c r="F18" s="20"/>
      <c r="G18" s="76" t="s">
        <v>56</v>
      </c>
      <c r="H18" s="20" t="s">
        <v>22</v>
      </c>
      <c r="I18" s="20" t="s">
        <v>21</v>
      </c>
      <c r="J18" s="20" t="s">
        <v>26</v>
      </c>
      <c r="K18" s="67"/>
      <c r="L18" s="67" t="s">
        <v>107</v>
      </c>
      <c r="M18" s="67" t="s">
        <v>24</v>
      </c>
      <c r="N18" s="67" t="s">
        <v>23</v>
      </c>
      <c r="O18" s="67" t="s">
        <v>28</v>
      </c>
      <c r="P18" s="71"/>
      <c r="Q18" s="71" t="s">
        <v>102</v>
      </c>
      <c r="R18" s="71" t="s">
        <v>108</v>
      </c>
    </row>
    <row r="19" spans="1:18" ht="25" customHeight="1" x14ac:dyDescent="0.2">
      <c r="A19" s="7" t="s">
        <v>68</v>
      </c>
      <c r="B19" s="31"/>
      <c r="C19" s="82">
        <v>1.3</v>
      </c>
      <c r="D19" s="83">
        <v>1</v>
      </c>
      <c r="E19" s="84">
        <f t="shared" ref="E19:E32" si="0">C19*D19</f>
        <v>1.3</v>
      </c>
      <c r="F19" s="130">
        <f>$G$6</f>
        <v>65</v>
      </c>
      <c r="G19" s="85">
        <f t="shared" ref="G19:G26" si="1">E19*F19*0.7</f>
        <v>59.15</v>
      </c>
      <c r="H19" s="86">
        <f>G19/$B$6</f>
        <v>0.62263157894736842</v>
      </c>
      <c r="I19" s="86">
        <f>G19/$B$7</f>
        <v>0.39433333333333331</v>
      </c>
      <c r="J19" s="86">
        <f>G19/$B$8</f>
        <v>9.8583333333333328E-2</v>
      </c>
      <c r="K19" s="87">
        <v>0.76</v>
      </c>
      <c r="L19" s="80">
        <f>G19*K19</f>
        <v>44.954000000000001</v>
      </c>
      <c r="M19" s="81">
        <f>L19/$B$6</f>
        <v>0.47320000000000001</v>
      </c>
      <c r="N19" s="81">
        <f>L19/$B$7</f>
        <v>0.29969333333333331</v>
      </c>
      <c r="O19" s="81">
        <f>L19/$B$8</f>
        <v>7.4923333333333328E-2</v>
      </c>
      <c r="P19" s="88">
        <v>0.05</v>
      </c>
      <c r="Q19" s="79">
        <f>G19*(1-P19)</f>
        <v>56.192499999999995</v>
      </c>
      <c r="R19" s="79">
        <f t="shared" ref="R19:R32" si="2">L19*(1-P19)</f>
        <v>42.706299999999999</v>
      </c>
    </row>
    <row r="20" spans="1:18" ht="25" customHeight="1" x14ac:dyDescent="0.2">
      <c r="A20" s="7" t="s">
        <v>116</v>
      </c>
      <c r="B20" s="7"/>
      <c r="C20" s="82">
        <f>168.44+0.5</f>
        <v>168.94</v>
      </c>
      <c r="D20" s="83">
        <v>1.6E-2</v>
      </c>
      <c r="E20" s="84">
        <f t="shared" si="0"/>
        <v>2.7030400000000001</v>
      </c>
      <c r="F20" s="130">
        <f t="shared" ref="F20:F43" si="3">$G$6</f>
        <v>65</v>
      </c>
      <c r="G20" s="85">
        <f t="shared" si="1"/>
        <v>122.98831999999999</v>
      </c>
      <c r="H20" s="86">
        <f t="shared" ref="H20:H32" si="4">G20/$B$6</f>
        <v>1.294613894736842</v>
      </c>
      <c r="I20" s="86">
        <f t="shared" ref="I20:I32" si="5">G20/$B$7</f>
        <v>0.8199221333333333</v>
      </c>
      <c r="J20" s="86">
        <f t="shared" ref="J20:J32" si="6">G20/$B$8</f>
        <v>0.20498053333333333</v>
      </c>
      <c r="K20" s="87">
        <v>1</v>
      </c>
      <c r="L20" s="80">
        <f t="shared" ref="L20:L32" si="7">G20*K20</f>
        <v>122.98831999999999</v>
      </c>
      <c r="M20" s="81">
        <f t="shared" ref="M20:M32" si="8">L20/$B$6</f>
        <v>1.294613894736842</v>
      </c>
      <c r="N20" s="81">
        <f t="shared" ref="N20:N32" si="9">L20/$B$7</f>
        <v>0.8199221333333333</v>
      </c>
      <c r="O20" s="81">
        <f t="shared" ref="O20:O32" si="10">L20/$B$8</f>
        <v>0.20498053333333333</v>
      </c>
      <c r="P20" s="88">
        <v>0.15</v>
      </c>
      <c r="Q20" s="79">
        <f t="shared" ref="Q20:Q32" si="11">G20*(1-P20)</f>
        <v>104.54007199999998</v>
      </c>
      <c r="R20" s="79">
        <f t="shared" si="2"/>
        <v>104.54007199999998</v>
      </c>
    </row>
    <row r="21" spans="1:18" ht="25" customHeight="1" x14ac:dyDescent="0.2">
      <c r="A21" s="7" t="s">
        <v>117</v>
      </c>
      <c r="B21" s="6"/>
      <c r="C21" s="82">
        <v>2.7</v>
      </c>
      <c r="D21" s="83">
        <v>0.13900000000000001</v>
      </c>
      <c r="E21" s="84">
        <f t="shared" si="0"/>
        <v>0.37530000000000008</v>
      </c>
      <c r="F21" s="130">
        <f t="shared" si="3"/>
        <v>65</v>
      </c>
      <c r="G21" s="85">
        <f t="shared" si="1"/>
        <v>17.076150000000002</v>
      </c>
      <c r="H21" s="86">
        <f t="shared" si="4"/>
        <v>0.17974894736842106</v>
      </c>
      <c r="I21" s="86">
        <f t="shared" si="5"/>
        <v>0.11384100000000001</v>
      </c>
      <c r="J21" s="86">
        <f t="shared" si="6"/>
        <v>2.8460250000000003E-2</v>
      </c>
      <c r="K21" s="87">
        <v>1</v>
      </c>
      <c r="L21" s="80">
        <f t="shared" si="7"/>
        <v>17.076150000000002</v>
      </c>
      <c r="M21" s="81">
        <f t="shared" si="8"/>
        <v>0.17974894736842106</v>
      </c>
      <c r="N21" s="81">
        <f t="shared" si="9"/>
        <v>0.11384100000000001</v>
      </c>
      <c r="O21" s="81">
        <f t="shared" si="10"/>
        <v>2.8460250000000003E-2</v>
      </c>
      <c r="P21" s="88">
        <v>0.03</v>
      </c>
      <c r="Q21" s="79">
        <f t="shared" si="11"/>
        <v>16.563865500000002</v>
      </c>
      <c r="R21" s="79">
        <f t="shared" si="2"/>
        <v>16.563865500000002</v>
      </c>
    </row>
    <row r="22" spans="1:18" ht="25" customHeight="1" x14ac:dyDescent="0.2">
      <c r="A22" s="7" t="s">
        <v>118</v>
      </c>
      <c r="B22" s="7"/>
      <c r="C22" s="82">
        <v>1.2</v>
      </c>
      <c r="D22" s="89">
        <v>0.15</v>
      </c>
      <c r="E22" s="84">
        <f t="shared" si="0"/>
        <v>0.18</v>
      </c>
      <c r="F22" s="130">
        <f t="shared" si="3"/>
        <v>65</v>
      </c>
      <c r="G22" s="85">
        <f t="shared" si="1"/>
        <v>8.19</v>
      </c>
      <c r="H22" s="86">
        <f t="shared" si="4"/>
        <v>8.6210526315789474E-2</v>
      </c>
      <c r="I22" s="86">
        <f t="shared" si="5"/>
        <v>5.4599999999999996E-2</v>
      </c>
      <c r="J22" s="86">
        <f t="shared" si="6"/>
        <v>1.3649999999999999E-2</v>
      </c>
      <c r="K22" s="87">
        <v>1</v>
      </c>
      <c r="L22" s="80">
        <f t="shared" si="7"/>
        <v>8.19</v>
      </c>
      <c r="M22" s="81">
        <f t="shared" si="8"/>
        <v>8.6210526315789474E-2</v>
      </c>
      <c r="N22" s="81">
        <f t="shared" si="9"/>
        <v>5.4599999999999996E-2</v>
      </c>
      <c r="O22" s="81">
        <f t="shared" si="10"/>
        <v>1.3649999999999999E-2</v>
      </c>
      <c r="P22" s="88">
        <v>0.15</v>
      </c>
      <c r="Q22" s="79">
        <f t="shared" si="11"/>
        <v>6.9614999999999991</v>
      </c>
      <c r="R22" s="79">
        <f t="shared" si="2"/>
        <v>6.9614999999999991</v>
      </c>
    </row>
    <row r="23" spans="1:18" ht="25" customHeight="1" x14ac:dyDescent="0.2">
      <c r="A23" s="7" t="s">
        <v>119</v>
      </c>
      <c r="B23" s="7"/>
      <c r="C23" s="82">
        <v>3.8</v>
      </c>
      <c r="D23" s="83">
        <v>3.2000000000000001E-2</v>
      </c>
      <c r="E23" s="84">
        <f t="shared" si="0"/>
        <v>0.1216</v>
      </c>
      <c r="F23" s="130">
        <f t="shared" si="3"/>
        <v>65</v>
      </c>
      <c r="G23" s="85">
        <f t="shared" si="1"/>
        <v>5.5327999999999999</v>
      </c>
      <c r="H23" s="86">
        <f t="shared" si="4"/>
        <v>5.824E-2</v>
      </c>
      <c r="I23" s="86">
        <f t="shared" si="5"/>
        <v>3.6885333333333332E-2</v>
      </c>
      <c r="J23" s="86">
        <f t="shared" si="6"/>
        <v>9.2213333333333331E-3</v>
      </c>
      <c r="K23" s="87">
        <v>1</v>
      </c>
      <c r="L23" s="80">
        <f t="shared" si="7"/>
        <v>5.5327999999999999</v>
      </c>
      <c r="M23" s="81">
        <f t="shared" si="8"/>
        <v>5.824E-2</v>
      </c>
      <c r="N23" s="81">
        <f t="shared" si="9"/>
        <v>3.6885333333333332E-2</v>
      </c>
      <c r="O23" s="81">
        <f t="shared" si="10"/>
        <v>9.2213333333333331E-3</v>
      </c>
      <c r="P23" s="88">
        <v>0</v>
      </c>
      <c r="Q23" s="79">
        <f t="shared" si="11"/>
        <v>5.5327999999999999</v>
      </c>
      <c r="R23" s="79">
        <f t="shared" si="2"/>
        <v>5.5327999999999999</v>
      </c>
    </row>
    <row r="24" spans="1:18" ht="25" customHeight="1" x14ac:dyDescent="0.2">
      <c r="A24" s="7" t="s">
        <v>134</v>
      </c>
      <c r="B24" s="7"/>
      <c r="C24" s="82">
        <v>0.2</v>
      </c>
      <c r="D24" s="83">
        <v>0.3</v>
      </c>
      <c r="E24" s="84">
        <f t="shared" si="0"/>
        <v>0.06</v>
      </c>
      <c r="F24" s="130">
        <f t="shared" si="3"/>
        <v>65</v>
      </c>
      <c r="G24" s="85">
        <f t="shared" si="1"/>
        <v>2.73</v>
      </c>
      <c r="H24" s="86">
        <f t="shared" si="4"/>
        <v>2.8736842105263158E-2</v>
      </c>
      <c r="I24" s="86">
        <f t="shared" si="5"/>
        <v>1.8200000000000001E-2</v>
      </c>
      <c r="J24" s="86">
        <f t="shared" si="6"/>
        <v>4.5500000000000002E-3</v>
      </c>
      <c r="K24" s="87">
        <v>1</v>
      </c>
      <c r="L24" s="80">
        <f t="shared" si="7"/>
        <v>2.73</v>
      </c>
      <c r="M24" s="81">
        <f t="shared" si="8"/>
        <v>2.8736842105263158E-2</v>
      </c>
      <c r="N24" s="81">
        <f t="shared" si="9"/>
        <v>1.8200000000000001E-2</v>
      </c>
      <c r="O24" s="81">
        <f t="shared" si="10"/>
        <v>4.5500000000000002E-3</v>
      </c>
      <c r="P24" s="88">
        <v>0.1</v>
      </c>
      <c r="Q24" s="79">
        <f t="shared" si="11"/>
        <v>2.4569999999999999</v>
      </c>
      <c r="R24" s="79">
        <f t="shared" si="2"/>
        <v>2.4569999999999999</v>
      </c>
    </row>
    <row r="25" spans="1:18" ht="25" customHeight="1" x14ac:dyDescent="0.2">
      <c r="A25" s="7" t="s">
        <v>120</v>
      </c>
      <c r="B25" s="7"/>
      <c r="C25" s="82">
        <v>3.9</v>
      </c>
      <c r="D25" s="83">
        <v>1.6E-2</v>
      </c>
      <c r="E25" s="84">
        <f t="shared" si="0"/>
        <v>6.2399999999999997E-2</v>
      </c>
      <c r="F25" s="130">
        <f t="shared" si="3"/>
        <v>65</v>
      </c>
      <c r="G25" s="85">
        <f t="shared" si="1"/>
        <v>2.8391999999999999</v>
      </c>
      <c r="H25" s="86">
        <f t="shared" si="4"/>
        <v>2.9886315789473684E-2</v>
      </c>
      <c r="I25" s="86">
        <f t="shared" si="5"/>
        <v>1.8928E-2</v>
      </c>
      <c r="J25" s="86">
        <f t="shared" si="6"/>
        <v>4.7320000000000001E-3</v>
      </c>
      <c r="K25" s="87">
        <v>1</v>
      </c>
      <c r="L25" s="80">
        <f t="shared" si="7"/>
        <v>2.8391999999999999</v>
      </c>
      <c r="M25" s="81">
        <f t="shared" si="8"/>
        <v>2.9886315789473684E-2</v>
      </c>
      <c r="N25" s="81">
        <f t="shared" si="9"/>
        <v>1.8928E-2</v>
      </c>
      <c r="O25" s="81">
        <f t="shared" si="10"/>
        <v>4.7320000000000001E-3</v>
      </c>
      <c r="P25" s="88">
        <v>0.05</v>
      </c>
      <c r="Q25" s="79">
        <f t="shared" si="11"/>
        <v>2.6972399999999999</v>
      </c>
      <c r="R25" s="79">
        <f t="shared" si="2"/>
        <v>2.6972399999999999</v>
      </c>
    </row>
    <row r="26" spans="1:18" ht="25" customHeight="1" x14ac:dyDescent="0.2">
      <c r="A26" s="7" t="s">
        <v>121</v>
      </c>
      <c r="B26" s="7"/>
      <c r="C26" s="82">
        <v>2.4</v>
      </c>
      <c r="D26" s="83">
        <v>2.5000000000000001E-2</v>
      </c>
      <c r="E26" s="84">
        <f t="shared" si="0"/>
        <v>0.06</v>
      </c>
      <c r="F26" s="130">
        <f t="shared" si="3"/>
        <v>65</v>
      </c>
      <c r="G26" s="85">
        <f t="shared" si="1"/>
        <v>2.73</v>
      </c>
      <c r="H26" s="86">
        <f t="shared" si="4"/>
        <v>2.8736842105263158E-2</v>
      </c>
      <c r="I26" s="86">
        <f t="shared" si="5"/>
        <v>1.8200000000000001E-2</v>
      </c>
      <c r="J26" s="86">
        <f t="shared" si="6"/>
        <v>4.5500000000000002E-3</v>
      </c>
      <c r="K26" s="87">
        <v>1</v>
      </c>
      <c r="L26" s="80">
        <f t="shared" si="7"/>
        <v>2.73</v>
      </c>
      <c r="M26" s="81">
        <f t="shared" si="8"/>
        <v>2.8736842105263158E-2</v>
      </c>
      <c r="N26" s="81">
        <f t="shared" si="9"/>
        <v>1.8200000000000001E-2</v>
      </c>
      <c r="O26" s="81">
        <f t="shared" si="10"/>
        <v>4.5500000000000002E-3</v>
      </c>
      <c r="P26" s="88"/>
      <c r="Q26" s="79">
        <f t="shared" si="11"/>
        <v>2.73</v>
      </c>
      <c r="R26" s="79">
        <f t="shared" si="2"/>
        <v>2.73</v>
      </c>
    </row>
    <row r="27" spans="1:18" ht="25" customHeight="1" x14ac:dyDescent="0.2">
      <c r="A27" s="7" t="s">
        <v>122</v>
      </c>
      <c r="B27" s="7"/>
      <c r="C27" s="82">
        <v>1.9</v>
      </c>
      <c r="D27" s="83">
        <v>1.7000000000000001E-2</v>
      </c>
      <c r="E27" s="84">
        <f t="shared" si="0"/>
        <v>3.2300000000000002E-2</v>
      </c>
      <c r="F27" s="130">
        <f t="shared" si="3"/>
        <v>65</v>
      </c>
      <c r="G27" s="85">
        <f t="shared" ref="G27:G32" si="12">E27*F27*0.7</f>
        <v>1.4696500000000001</v>
      </c>
      <c r="H27" s="86">
        <f t="shared" si="4"/>
        <v>1.5470000000000001E-2</v>
      </c>
      <c r="I27" s="86">
        <f t="shared" si="5"/>
        <v>9.7976666666666681E-3</v>
      </c>
      <c r="J27" s="86">
        <f t="shared" si="6"/>
        <v>2.449416666666667E-3</v>
      </c>
      <c r="K27" s="87">
        <v>1</v>
      </c>
      <c r="L27" s="80">
        <f t="shared" si="7"/>
        <v>1.4696500000000001</v>
      </c>
      <c r="M27" s="81">
        <f t="shared" si="8"/>
        <v>1.5470000000000001E-2</v>
      </c>
      <c r="N27" s="81">
        <f t="shared" si="9"/>
        <v>9.7976666666666681E-3</v>
      </c>
      <c r="O27" s="81">
        <f t="shared" si="10"/>
        <v>2.449416666666667E-3</v>
      </c>
      <c r="P27" s="88"/>
      <c r="Q27" s="79">
        <f t="shared" si="11"/>
        <v>1.4696500000000001</v>
      </c>
      <c r="R27" s="79">
        <f t="shared" si="2"/>
        <v>1.4696500000000001</v>
      </c>
    </row>
    <row r="28" spans="1:18" ht="25" customHeight="1" x14ac:dyDescent="0.2">
      <c r="A28" s="7" t="s">
        <v>123</v>
      </c>
      <c r="B28" s="7"/>
      <c r="C28" s="82">
        <v>1.2</v>
      </c>
      <c r="D28" s="83">
        <v>2.5999999999999999E-2</v>
      </c>
      <c r="E28" s="84">
        <f t="shared" si="0"/>
        <v>3.1199999999999999E-2</v>
      </c>
      <c r="F28" s="130">
        <f t="shared" si="3"/>
        <v>65</v>
      </c>
      <c r="G28" s="85">
        <f t="shared" si="12"/>
        <v>1.4196</v>
      </c>
      <c r="H28" s="86">
        <f t="shared" si="4"/>
        <v>1.4943157894736842E-2</v>
      </c>
      <c r="I28" s="86">
        <f t="shared" si="5"/>
        <v>9.4640000000000002E-3</v>
      </c>
      <c r="J28" s="86">
        <f t="shared" si="6"/>
        <v>2.366E-3</v>
      </c>
      <c r="K28" s="87">
        <v>1</v>
      </c>
      <c r="L28" s="80">
        <f t="shared" si="7"/>
        <v>1.4196</v>
      </c>
      <c r="M28" s="81">
        <f t="shared" si="8"/>
        <v>1.4943157894736842E-2</v>
      </c>
      <c r="N28" s="81">
        <f t="shared" si="9"/>
        <v>9.4640000000000002E-3</v>
      </c>
      <c r="O28" s="81">
        <f t="shared" si="10"/>
        <v>2.366E-3</v>
      </c>
      <c r="P28" s="88"/>
      <c r="Q28" s="79">
        <f t="shared" si="11"/>
        <v>1.4196</v>
      </c>
      <c r="R28" s="79">
        <f t="shared" si="2"/>
        <v>1.4196</v>
      </c>
    </row>
    <row r="29" spans="1:18" ht="25" customHeight="1" x14ac:dyDescent="0.2">
      <c r="A29" s="7" t="s">
        <v>124</v>
      </c>
      <c r="B29" s="7"/>
      <c r="C29" s="82">
        <v>1.1000000000000001</v>
      </c>
      <c r="D29" s="83">
        <v>0.02</v>
      </c>
      <c r="E29" s="84">
        <f t="shared" si="0"/>
        <v>2.2000000000000002E-2</v>
      </c>
      <c r="F29" s="130">
        <f t="shared" si="3"/>
        <v>65</v>
      </c>
      <c r="G29" s="85">
        <f t="shared" si="12"/>
        <v>1.0010000000000001</v>
      </c>
      <c r="H29" s="86">
        <f t="shared" si="4"/>
        <v>1.0536842105263159E-2</v>
      </c>
      <c r="I29" s="86">
        <f t="shared" si="5"/>
        <v>6.6733333333333341E-3</v>
      </c>
      <c r="J29" s="86">
        <f t="shared" si="6"/>
        <v>1.6683333333333335E-3</v>
      </c>
      <c r="K29" s="87">
        <v>1</v>
      </c>
      <c r="L29" s="80">
        <f t="shared" si="7"/>
        <v>1.0010000000000001</v>
      </c>
      <c r="M29" s="81">
        <f t="shared" si="8"/>
        <v>1.0536842105263159E-2</v>
      </c>
      <c r="N29" s="81">
        <f t="shared" si="9"/>
        <v>6.6733333333333341E-3</v>
      </c>
      <c r="O29" s="81">
        <f t="shared" si="10"/>
        <v>1.6683333333333335E-3</v>
      </c>
      <c r="P29" s="88"/>
      <c r="Q29" s="79">
        <f t="shared" si="11"/>
        <v>1.0010000000000001</v>
      </c>
      <c r="R29" s="79">
        <f t="shared" si="2"/>
        <v>1.0010000000000001</v>
      </c>
    </row>
    <row r="30" spans="1:18" ht="25" customHeight="1" x14ac:dyDescent="0.2">
      <c r="A30" s="7" t="s">
        <v>125</v>
      </c>
      <c r="B30" s="7"/>
      <c r="C30" s="82">
        <v>0.6</v>
      </c>
      <c r="D30" s="83">
        <v>2.5000000000000001E-2</v>
      </c>
      <c r="E30" s="84">
        <f t="shared" si="0"/>
        <v>1.4999999999999999E-2</v>
      </c>
      <c r="F30" s="130">
        <f t="shared" si="3"/>
        <v>65</v>
      </c>
      <c r="G30" s="85">
        <f t="shared" si="12"/>
        <v>0.6825</v>
      </c>
      <c r="H30" s="86">
        <f t="shared" si="4"/>
        <v>7.1842105263157895E-3</v>
      </c>
      <c r="I30" s="86">
        <f t="shared" si="5"/>
        <v>4.5500000000000002E-3</v>
      </c>
      <c r="J30" s="86">
        <f t="shared" si="6"/>
        <v>1.1375000000000001E-3</v>
      </c>
      <c r="K30" s="87">
        <v>1</v>
      </c>
      <c r="L30" s="80">
        <f t="shared" si="7"/>
        <v>0.6825</v>
      </c>
      <c r="M30" s="81">
        <f t="shared" si="8"/>
        <v>7.1842105263157895E-3</v>
      </c>
      <c r="N30" s="81">
        <f t="shared" si="9"/>
        <v>4.5500000000000002E-3</v>
      </c>
      <c r="O30" s="81">
        <f t="shared" si="10"/>
        <v>1.1375000000000001E-3</v>
      </c>
      <c r="P30" s="88"/>
      <c r="Q30" s="79">
        <f t="shared" si="11"/>
        <v>0.6825</v>
      </c>
      <c r="R30" s="79">
        <f t="shared" si="2"/>
        <v>0.6825</v>
      </c>
    </row>
    <row r="31" spans="1:18" ht="25" customHeight="1" x14ac:dyDescent="0.2">
      <c r="A31" s="7" t="s">
        <v>126</v>
      </c>
      <c r="B31" s="7"/>
      <c r="C31" s="82">
        <v>0.3</v>
      </c>
      <c r="D31" s="83">
        <v>5.2999999999999999E-2</v>
      </c>
      <c r="E31" s="84">
        <f t="shared" si="0"/>
        <v>1.5899999999999997E-2</v>
      </c>
      <c r="F31" s="130">
        <f t="shared" si="3"/>
        <v>65</v>
      </c>
      <c r="G31" s="85">
        <f t="shared" si="12"/>
        <v>0.72344999999999982</v>
      </c>
      <c r="H31" s="86">
        <f t="shared" si="4"/>
        <v>7.6152631578947352E-3</v>
      </c>
      <c r="I31" s="86">
        <f t="shared" si="5"/>
        <v>4.8229999999999992E-3</v>
      </c>
      <c r="J31" s="86">
        <f t="shared" si="6"/>
        <v>1.2057499999999998E-3</v>
      </c>
      <c r="K31" s="87">
        <v>1</v>
      </c>
      <c r="L31" s="80">
        <f t="shared" si="7"/>
        <v>0.72344999999999982</v>
      </c>
      <c r="M31" s="81">
        <f t="shared" si="8"/>
        <v>7.6152631578947352E-3</v>
      </c>
      <c r="N31" s="81">
        <f t="shared" si="9"/>
        <v>4.8229999999999992E-3</v>
      </c>
      <c r="O31" s="81">
        <f t="shared" si="10"/>
        <v>1.2057499999999998E-3</v>
      </c>
      <c r="P31" s="88"/>
      <c r="Q31" s="79">
        <f t="shared" si="11"/>
        <v>0.72344999999999982</v>
      </c>
      <c r="R31" s="79">
        <f t="shared" si="2"/>
        <v>0.72344999999999982</v>
      </c>
    </row>
    <row r="32" spans="1:18" ht="25" customHeight="1" x14ac:dyDescent="0.2">
      <c r="A32" s="7" t="s">
        <v>127</v>
      </c>
      <c r="B32" s="7"/>
      <c r="C32" s="82">
        <v>0.4</v>
      </c>
      <c r="D32" s="83">
        <v>2.4E-2</v>
      </c>
      <c r="E32" s="84">
        <f t="shared" si="0"/>
        <v>9.6000000000000009E-3</v>
      </c>
      <c r="F32" s="130">
        <f t="shared" si="3"/>
        <v>65</v>
      </c>
      <c r="G32" s="85">
        <f t="shared" si="12"/>
        <v>0.43680000000000008</v>
      </c>
      <c r="H32" s="86">
        <f t="shared" si="4"/>
        <v>4.5978947368421064E-3</v>
      </c>
      <c r="I32" s="86">
        <f t="shared" si="5"/>
        <v>2.9120000000000005E-3</v>
      </c>
      <c r="J32" s="86">
        <f t="shared" si="6"/>
        <v>7.2800000000000013E-4</v>
      </c>
      <c r="K32" s="87">
        <v>1</v>
      </c>
      <c r="L32" s="80">
        <f t="shared" si="7"/>
        <v>0.43680000000000008</v>
      </c>
      <c r="M32" s="81">
        <f t="shared" si="8"/>
        <v>4.5978947368421064E-3</v>
      </c>
      <c r="N32" s="81">
        <f t="shared" si="9"/>
        <v>2.9120000000000005E-3</v>
      </c>
      <c r="O32" s="81">
        <f t="shared" si="10"/>
        <v>7.2800000000000013E-4</v>
      </c>
      <c r="P32" s="88"/>
      <c r="Q32" s="79">
        <f t="shared" si="11"/>
        <v>0.43680000000000008</v>
      </c>
      <c r="R32" s="79">
        <f t="shared" si="2"/>
        <v>0.43680000000000008</v>
      </c>
    </row>
    <row r="33" spans="1:18" ht="25" customHeight="1" x14ac:dyDescent="0.2">
      <c r="A33" s="7" t="s">
        <v>128</v>
      </c>
      <c r="B33" s="7"/>
      <c r="C33" s="82">
        <v>0.6</v>
      </c>
      <c r="D33" s="83">
        <v>1.4E-2</v>
      </c>
      <c r="E33" s="84">
        <f t="shared" ref="E33:E43" si="13">C33*D33</f>
        <v>8.3999999999999995E-3</v>
      </c>
      <c r="F33" s="130">
        <f t="shared" si="3"/>
        <v>65</v>
      </c>
      <c r="G33" s="85">
        <f t="shared" ref="G33:G43" si="14">E33*F33*0.7</f>
        <v>0.38219999999999993</v>
      </c>
      <c r="H33" s="86">
        <f t="shared" ref="H33:H43" si="15">G33/$B$6</f>
        <v>4.0231578947368413E-3</v>
      </c>
      <c r="I33" s="86">
        <f t="shared" ref="I33:I43" si="16">G33/$B$7</f>
        <v>2.5479999999999995E-3</v>
      </c>
      <c r="J33" s="86">
        <f t="shared" ref="J33:J43" si="17">G33/$B$8</f>
        <v>6.3699999999999987E-4</v>
      </c>
      <c r="K33" s="87">
        <v>1</v>
      </c>
      <c r="L33" s="80">
        <f t="shared" ref="L33:L43" si="18">G33*K33</f>
        <v>0.38219999999999993</v>
      </c>
      <c r="M33" s="81">
        <f t="shared" ref="M33:M43" si="19">L33/$B$6</f>
        <v>4.0231578947368413E-3</v>
      </c>
      <c r="N33" s="81">
        <f t="shared" ref="N33:N43" si="20">L33/$B$7</f>
        <v>2.5479999999999995E-3</v>
      </c>
      <c r="O33" s="81">
        <f t="shared" ref="O33:O43" si="21">L33/$B$8</f>
        <v>6.3699999999999987E-4</v>
      </c>
      <c r="P33" s="88"/>
      <c r="Q33" s="79">
        <f t="shared" ref="Q33:Q43" si="22">G33*(1-P33)</f>
        <v>0.38219999999999993</v>
      </c>
      <c r="R33" s="79">
        <f t="shared" ref="R33:R43" si="23">L33*(1-P33)</f>
        <v>0.38219999999999993</v>
      </c>
    </row>
    <row r="34" spans="1:18" ht="25" customHeight="1" x14ac:dyDescent="0.2">
      <c r="A34" s="7" t="s">
        <v>129</v>
      </c>
      <c r="B34" s="7"/>
      <c r="C34" s="82">
        <v>0.2</v>
      </c>
      <c r="D34" s="83">
        <v>0.03</v>
      </c>
      <c r="E34" s="84">
        <f t="shared" si="13"/>
        <v>6.0000000000000001E-3</v>
      </c>
      <c r="F34" s="130">
        <f t="shared" si="3"/>
        <v>65</v>
      </c>
      <c r="G34" s="85">
        <f t="shared" si="14"/>
        <v>0.27299999999999996</v>
      </c>
      <c r="H34" s="86">
        <f t="shared" si="15"/>
        <v>2.8736842105263156E-3</v>
      </c>
      <c r="I34" s="86">
        <f t="shared" si="16"/>
        <v>1.8199999999999998E-3</v>
      </c>
      <c r="J34" s="86">
        <f t="shared" si="17"/>
        <v>4.5499999999999995E-4</v>
      </c>
      <c r="K34" s="87">
        <v>1</v>
      </c>
      <c r="L34" s="80">
        <f t="shared" si="18"/>
        <v>0.27299999999999996</v>
      </c>
      <c r="M34" s="81">
        <f t="shared" si="19"/>
        <v>2.8736842105263156E-3</v>
      </c>
      <c r="N34" s="81">
        <f t="shared" si="20"/>
        <v>1.8199999999999998E-3</v>
      </c>
      <c r="O34" s="81">
        <f t="shared" si="21"/>
        <v>4.5499999999999995E-4</v>
      </c>
      <c r="P34" s="88"/>
      <c r="Q34" s="79">
        <f t="shared" si="22"/>
        <v>0.27299999999999996</v>
      </c>
      <c r="R34" s="79">
        <f t="shared" si="23"/>
        <v>0.27299999999999996</v>
      </c>
    </row>
    <row r="35" spans="1:18" ht="25" customHeight="1" x14ac:dyDescent="0.2">
      <c r="A35" s="7" t="s">
        <v>130</v>
      </c>
      <c r="B35" s="7"/>
      <c r="C35" s="82">
        <v>0.1</v>
      </c>
      <c r="D35" s="83">
        <v>3.3000000000000002E-2</v>
      </c>
      <c r="E35" s="84">
        <f t="shared" si="13"/>
        <v>3.3000000000000004E-3</v>
      </c>
      <c r="F35" s="130">
        <f t="shared" si="3"/>
        <v>65</v>
      </c>
      <c r="G35" s="85">
        <f t="shared" si="14"/>
        <v>0.15015000000000001</v>
      </c>
      <c r="H35" s="86">
        <f t="shared" si="15"/>
        <v>1.5805263157894738E-3</v>
      </c>
      <c r="I35" s="86">
        <f t="shared" si="16"/>
        <v>1.0009999999999999E-3</v>
      </c>
      <c r="J35" s="86">
        <f t="shared" si="17"/>
        <v>2.5024999999999998E-4</v>
      </c>
      <c r="K35" s="87">
        <v>1</v>
      </c>
      <c r="L35" s="80">
        <f t="shared" si="18"/>
        <v>0.15015000000000001</v>
      </c>
      <c r="M35" s="81">
        <f t="shared" si="19"/>
        <v>1.5805263157894738E-3</v>
      </c>
      <c r="N35" s="81">
        <f t="shared" si="20"/>
        <v>1.0009999999999999E-3</v>
      </c>
      <c r="O35" s="81">
        <f t="shared" si="21"/>
        <v>2.5024999999999998E-4</v>
      </c>
      <c r="P35" s="88"/>
      <c r="Q35" s="79">
        <f t="shared" si="22"/>
        <v>0.15015000000000001</v>
      </c>
      <c r="R35" s="79">
        <f t="shared" si="23"/>
        <v>0.15015000000000001</v>
      </c>
    </row>
    <row r="36" spans="1:18" ht="25" customHeight="1" x14ac:dyDescent="0.2">
      <c r="A36" s="7" t="s">
        <v>131</v>
      </c>
      <c r="B36" s="7"/>
      <c r="C36" s="82">
        <v>0.3</v>
      </c>
      <c r="D36" s="83">
        <v>0.01</v>
      </c>
      <c r="E36" s="84">
        <f t="shared" si="13"/>
        <v>3.0000000000000001E-3</v>
      </c>
      <c r="F36" s="130">
        <f t="shared" si="3"/>
        <v>65</v>
      </c>
      <c r="G36" s="85">
        <f t="shared" si="14"/>
        <v>0.13649999999999998</v>
      </c>
      <c r="H36" s="86">
        <f t="shared" si="15"/>
        <v>1.4368421052631578E-3</v>
      </c>
      <c r="I36" s="86">
        <f t="shared" si="16"/>
        <v>9.0999999999999989E-4</v>
      </c>
      <c r="J36" s="86">
        <f t="shared" si="17"/>
        <v>2.2749999999999997E-4</v>
      </c>
      <c r="K36" s="87">
        <v>1</v>
      </c>
      <c r="L36" s="80">
        <f t="shared" si="18"/>
        <v>0.13649999999999998</v>
      </c>
      <c r="M36" s="81">
        <f t="shared" si="19"/>
        <v>1.4368421052631578E-3</v>
      </c>
      <c r="N36" s="81">
        <f t="shared" si="20"/>
        <v>9.0999999999999989E-4</v>
      </c>
      <c r="O36" s="81">
        <f t="shared" si="21"/>
        <v>2.2749999999999997E-4</v>
      </c>
      <c r="P36" s="88"/>
      <c r="Q36" s="79">
        <f t="shared" si="22"/>
        <v>0.13649999999999998</v>
      </c>
      <c r="R36" s="79">
        <f t="shared" si="23"/>
        <v>0.13649999999999998</v>
      </c>
    </row>
    <row r="37" spans="1:18" ht="25" customHeight="1" x14ac:dyDescent="0.2">
      <c r="A37" s="7" t="s">
        <v>132</v>
      </c>
      <c r="B37" s="7"/>
      <c r="C37" s="82">
        <v>0.7</v>
      </c>
      <c r="D37" s="83">
        <v>3.0000000000000001E-3</v>
      </c>
      <c r="E37" s="84">
        <f t="shared" si="13"/>
        <v>2.0999999999999999E-3</v>
      </c>
      <c r="F37" s="130">
        <f t="shared" si="3"/>
        <v>65</v>
      </c>
      <c r="G37" s="85">
        <f t="shared" si="14"/>
        <v>9.5549999999999982E-2</v>
      </c>
      <c r="H37" s="86">
        <f t="shared" si="15"/>
        <v>1.0057894736842103E-3</v>
      </c>
      <c r="I37" s="86">
        <f t="shared" si="16"/>
        <v>6.3699999999999987E-4</v>
      </c>
      <c r="J37" s="86">
        <f t="shared" si="17"/>
        <v>1.5924999999999997E-4</v>
      </c>
      <c r="K37" s="87">
        <v>1</v>
      </c>
      <c r="L37" s="80">
        <f t="shared" si="18"/>
        <v>9.5549999999999982E-2</v>
      </c>
      <c r="M37" s="81">
        <f t="shared" si="19"/>
        <v>1.0057894736842103E-3</v>
      </c>
      <c r="N37" s="81">
        <f t="shared" si="20"/>
        <v>6.3699999999999987E-4</v>
      </c>
      <c r="O37" s="81">
        <f t="shared" si="21"/>
        <v>1.5924999999999997E-4</v>
      </c>
      <c r="P37" s="88"/>
      <c r="Q37" s="79">
        <f t="shared" si="22"/>
        <v>9.5549999999999982E-2</v>
      </c>
      <c r="R37" s="79">
        <f t="shared" si="23"/>
        <v>9.5549999999999982E-2</v>
      </c>
    </row>
    <row r="38" spans="1:18" ht="25" customHeight="1" x14ac:dyDescent="0.2">
      <c r="A38" s="7" t="s">
        <v>133</v>
      </c>
      <c r="B38" s="7"/>
      <c r="C38" s="82">
        <v>0.2</v>
      </c>
      <c r="D38" s="83">
        <v>8.9999999999999993E-3</v>
      </c>
      <c r="E38" s="84">
        <f t="shared" si="13"/>
        <v>1.8E-3</v>
      </c>
      <c r="F38" s="130">
        <f t="shared" si="3"/>
        <v>65</v>
      </c>
      <c r="G38" s="85">
        <f t="shared" si="14"/>
        <v>8.1899999999999987E-2</v>
      </c>
      <c r="H38" s="86">
        <f t="shared" si="15"/>
        <v>8.6210526315789462E-4</v>
      </c>
      <c r="I38" s="86">
        <f t="shared" si="16"/>
        <v>5.4599999999999994E-4</v>
      </c>
      <c r="J38" s="86">
        <f t="shared" si="17"/>
        <v>1.3649999999999998E-4</v>
      </c>
      <c r="K38" s="87">
        <v>1</v>
      </c>
      <c r="L38" s="80">
        <f t="shared" si="18"/>
        <v>8.1899999999999987E-2</v>
      </c>
      <c r="M38" s="81">
        <f t="shared" si="19"/>
        <v>8.6210526315789462E-4</v>
      </c>
      <c r="N38" s="81">
        <f t="shared" si="20"/>
        <v>5.4599999999999994E-4</v>
      </c>
      <c r="O38" s="81">
        <f t="shared" si="21"/>
        <v>1.3649999999999998E-4</v>
      </c>
      <c r="P38" s="88"/>
      <c r="Q38" s="79">
        <f t="shared" si="22"/>
        <v>8.1899999999999987E-2</v>
      </c>
      <c r="R38" s="79">
        <f t="shared" si="23"/>
        <v>8.1899999999999987E-2</v>
      </c>
    </row>
    <row r="39" spans="1:18" ht="25" customHeight="1" x14ac:dyDescent="0.2">
      <c r="A39" s="7" t="s">
        <v>110</v>
      </c>
      <c r="B39" s="7"/>
      <c r="C39" s="82"/>
      <c r="D39" s="83"/>
      <c r="E39" s="84">
        <f t="shared" si="13"/>
        <v>0</v>
      </c>
      <c r="F39" s="130">
        <f t="shared" si="3"/>
        <v>65</v>
      </c>
      <c r="G39" s="85">
        <f t="shared" si="14"/>
        <v>0</v>
      </c>
      <c r="H39" s="86">
        <f t="shared" si="15"/>
        <v>0</v>
      </c>
      <c r="I39" s="86">
        <f t="shared" si="16"/>
        <v>0</v>
      </c>
      <c r="J39" s="86">
        <f t="shared" si="17"/>
        <v>0</v>
      </c>
      <c r="K39" s="87"/>
      <c r="L39" s="80">
        <f t="shared" si="18"/>
        <v>0</v>
      </c>
      <c r="M39" s="81">
        <f t="shared" si="19"/>
        <v>0</v>
      </c>
      <c r="N39" s="81">
        <f t="shared" si="20"/>
        <v>0</v>
      </c>
      <c r="O39" s="81">
        <f t="shared" si="21"/>
        <v>0</v>
      </c>
      <c r="P39" s="88"/>
      <c r="Q39" s="79">
        <f t="shared" si="22"/>
        <v>0</v>
      </c>
      <c r="R39" s="79">
        <f t="shared" si="23"/>
        <v>0</v>
      </c>
    </row>
    <row r="40" spans="1:18" ht="25" customHeight="1" x14ac:dyDescent="0.2">
      <c r="A40" s="7" t="s">
        <v>111</v>
      </c>
      <c r="B40" s="7"/>
      <c r="C40" s="82"/>
      <c r="D40" s="83"/>
      <c r="E40" s="84">
        <f t="shared" si="13"/>
        <v>0</v>
      </c>
      <c r="F40" s="130">
        <f t="shared" si="3"/>
        <v>65</v>
      </c>
      <c r="G40" s="85">
        <f t="shared" si="14"/>
        <v>0</v>
      </c>
      <c r="H40" s="86">
        <f t="shared" si="15"/>
        <v>0</v>
      </c>
      <c r="I40" s="86">
        <f t="shared" si="16"/>
        <v>0</v>
      </c>
      <c r="J40" s="86">
        <f t="shared" si="17"/>
        <v>0</v>
      </c>
      <c r="K40" s="87"/>
      <c r="L40" s="80">
        <f t="shared" si="18"/>
        <v>0</v>
      </c>
      <c r="M40" s="81">
        <f t="shared" si="19"/>
        <v>0</v>
      </c>
      <c r="N40" s="81">
        <f t="shared" si="20"/>
        <v>0</v>
      </c>
      <c r="O40" s="81">
        <f t="shared" si="21"/>
        <v>0</v>
      </c>
      <c r="P40" s="88"/>
      <c r="Q40" s="79">
        <f t="shared" si="22"/>
        <v>0</v>
      </c>
      <c r="R40" s="79">
        <f t="shared" si="23"/>
        <v>0</v>
      </c>
    </row>
    <row r="41" spans="1:18" ht="25" customHeight="1" x14ac:dyDescent="0.2">
      <c r="A41" s="7" t="s">
        <v>112</v>
      </c>
      <c r="B41" s="7"/>
      <c r="C41" s="82"/>
      <c r="D41" s="83"/>
      <c r="E41" s="84">
        <f t="shared" si="13"/>
        <v>0</v>
      </c>
      <c r="F41" s="130">
        <f t="shared" si="3"/>
        <v>65</v>
      </c>
      <c r="G41" s="85">
        <f t="shared" si="14"/>
        <v>0</v>
      </c>
      <c r="H41" s="86">
        <f t="shared" si="15"/>
        <v>0</v>
      </c>
      <c r="I41" s="86">
        <f t="shared" si="16"/>
        <v>0</v>
      </c>
      <c r="J41" s="86">
        <f t="shared" si="17"/>
        <v>0</v>
      </c>
      <c r="K41" s="87"/>
      <c r="L41" s="80">
        <f t="shared" si="18"/>
        <v>0</v>
      </c>
      <c r="M41" s="81">
        <f t="shared" si="19"/>
        <v>0</v>
      </c>
      <c r="N41" s="81">
        <f t="shared" si="20"/>
        <v>0</v>
      </c>
      <c r="O41" s="81">
        <f t="shared" si="21"/>
        <v>0</v>
      </c>
      <c r="P41" s="88"/>
      <c r="Q41" s="79">
        <f t="shared" si="22"/>
        <v>0</v>
      </c>
      <c r="R41" s="79">
        <f t="shared" si="23"/>
        <v>0</v>
      </c>
    </row>
    <row r="42" spans="1:18" ht="25" customHeight="1" x14ac:dyDescent="0.2">
      <c r="A42" s="7" t="s">
        <v>113</v>
      </c>
      <c r="B42" s="7"/>
      <c r="C42" s="82"/>
      <c r="D42" s="83"/>
      <c r="E42" s="84">
        <f t="shared" si="13"/>
        <v>0</v>
      </c>
      <c r="F42" s="130">
        <f t="shared" si="3"/>
        <v>65</v>
      </c>
      <c r="G42" s="85">
        <f t="shared" si="14"/>
        <v>0</v>
      </c>
      <c r="H42" s="86">
        <f t="shared" si="15"/>
        <v>0</v>
      </c>
      <c r="I42" s="86">
        <f t="shared" si="16"/>
        <v>0</v>
      </c>
      <c r="J42" s="86">
        <f t="shared" si="17"/>
        <v>0</v>
      </c>
      <c r="K42" s="87"/>
      <c r="L42" s="80">
        <f t="shared" si="18"/>
        <v>0</v>
      </c>
      <c r="M42" s="81">
        <f t="shared" si="19"/>
        <v>0</v>
      </c>
      <c r="N42" s="81">
        <f t="shared" si="20"/>
        <v>0</v>
      </c>
      <c r="O42" s="81">
        <f t="shared" si="21"/>
        <v>0</v>
      </c>
      <c r="P42" s="88"/>
      <c r="Q42" s="79">
        <f t="shared" si="22"/>
        <v>0</v>
      </c>
      <c r="R42" s="79">
        <f t="shared" si="23"/>
        <v>0</v>
      </c>
    </row>
    <row r="43" spans="1:18" ht="25" customHeight="1" x14ac:dyDescent="0.2">
      <c r="A43" s="7" t="s">
        <v>114</v>
      </c>
      <c r="B43" s="7"/>
      <c r="C43" s="82"/>
      <c r="D43" s="83"/>
      <c r="E43" s="84">
        <f t="shared" si="13"/>
        <v>0</v>
      </c>
      <c r="F43" s="130">
        <f t="shared" si="3"/>
        <v>65</v>
      </c>
      <c r="G43" s="85">
        <f t="shared" si="14"/>
        <v>0</v>
      </c>
      <c r="H43" s="86">
        <f t="shared" si="15"/>
        <v>0</v>
      </c>
      <c r="I43" s="86">
        <f t="shared" si="16"/>
        <v>0</v>
      </c>
      <c r="J43" s="86">
        <f t="shared" si="17"/>
        <v>0</v>
      </c>
      <c r="K43" s="87"/>
      <c r="L43" s="80">
        <f t="shared" si="18"/>
        <v>0</v>
      </c>
      <c r="M43" s="81">
        <f t="shared" si="19"/>
        <v>0</v>
      </c>
      <c r="N43" s="81">
        <f t="shared" si="20"/>
        <v>0</v>
      </c>
      <c r="O43" s="81">
        <f t="shared" si="21"/>
        <v>0</v>
      </c>
      <c r="P43" s="88"/>
      <c r="Q43" s="79">
        <f t="shared" si="22"/>
        <v>0</v>
      </c>
      <c r="R43" s="79">
        <f t="shared" si="23"/>
        <v>0</v>
      </c>
    </row>
    <row r="44" spans="1:18" s="9" customFormat="1" ht="24.75" customHeight="1" x14ac:dyDescent="0.2">
      <c r="A44" s="8" t="s">
        <v>41</v>
      </c>
      <c r="B44" s="8"/>
      <c r="C44" s="90">
        <f>SUM(C19:C43)</f>
        <v>192.03999999999996</v>
      </c>
      <c r="D44" s="91"/>
      <c r="E44" s="90">
        <f>SUM(E19:E43)</f>
        <v>5.0129400000000013</v>
      </c>
      <c r="F44" s="90"/>
      <c r="G44" s="90">
        <f>SUM(G19:G43)</f>
        <v>228.08877000000004</v>
      </c>
      <c r="H44" s="91">
        <f>G44/$B$6</f>
        <v>2.4009344210526318</v>
      </c>
      <c r="I44" s="91">
        <f>G44/$B$7</f>
        <v>1.5205918000000003</v>
      </c>
      <c r="J44" s="91">
        <f>G44/$B$8</f>
        <v>0.38014795000000007</v>
      </c>
      <c r="K44" s="92"/>
      <c r="L44" s="93">
        <f>SUM(L19:L43)</f>
        <v>213.89277000000004</v>
      </c>
      <c r="M44" s="92">
        <f>L44/$B$6</f>
        <v>2.2515028421052636</v>
      </c>
      <c r="N44" s="92">
        <f>L44/$B$7</f>
        <v>1.4259518000000002</v>
      </c>
      <c r="O44" s="92">
        <f>L44/$B$8</f>
        <v>0.35648795000000005</v>
      </c>
      <c r="P44" s="94"/>
      <c r="Q44" s="95">
        <f>SUM(Q19:Q43)</f>
        <v>204.5272775</v>
      </c>
      <c r="R44" s="95">
        <f>SUM(R19:R43)</f>
        <v>191.0410775</v>
      </c>
    </row>
    <row r="45" spans="1:18" s="9" customFormat="1" ht="24.75" customHeight="1" x14ac:dyDescent="0.2">
      <c r="A45" s="8" t="s">
        <v>69</v>
      </c>
      <c r="B45" s="8"/>
      <c r="C45" s="90">
        <f>SUM(C19:C43) - SUMIF($A$19:$A$43, "Household salt", C19:C43)</f>
        <v>190.73999999999995</v>
      </c>
      <c r="D45" s="91"/>
      <c r="E45" s="90">
        <f>SUM(E19:E43) - SUMIF($A$19:$A$43, "Household salt", E19:E43)</f>
        <v>3.7129400000000015</v>
      </c>
      <c r="F45" s="90"/>
      <c r="G45" s="90">
        <f>SUM(G19:G43) - SUMIF($A$19:$A$43, "Household salt", G19:G43)</f>
        <v>168.93877000000003</v>
      </c>
      <c r="H45" s="91">
        <f>G45/$B$6</f>
        <v>1.7783028421052636</v>
      </c>
      <c r="I45" s="91">
        <f>G45/$B$7</f>
        <v>1.1262584666666668</v>
      </c>
      <c r="J45" s="91">
        <f>G45/$B$8</f>
        <v>0.28156461666666671</v>
      </c>
      <c r="K45" s="92"/>
      <c r="L45" s="93">
        <f>SUM(L19:L43) - SUMIF($A$19:$A$43, "Household salt", L19:L43)</f>
        <v>168.93877000000003</v>
      </c>
      <c r="M45" s="92">
        <f>L45/$B$6</f>
        <v>1.7783028421052636</v>
      </c>
      <c r="N45" s="92">
        <f>L45/$B$7</f>
        <v>1.1262584666666668</v>
      </c>
      <c r="O45" s="92">
        <f>L45/$B$8</f>
        <v>0.28156461666666671</v>
      </c>
      <c r="P45" s="94"/>
      <c r="Q45" s="95">
        <f>SUM(Q19:Q43) - SUMIF($A$19:$A$43, "Household salt", Q19:Q43)</f>
        <v>148.3347775</v>
      </c>
      <c r="R45" s="95">
        <f>SUM(R19:R43) - SUMIF($A$19:$A$43, "Household salt", R19:R43)</f>
        <v>148.3347775</v>
      </c>
    </row>
    <row r="46" spans="1:18" x14ac:dyDescent="0.2">
      <c r="A46" s="35"/>
    </row>
    <row r="47" spans="1:18" x14ac:dyDescent="0.2">
      <c r="A47" s="24" t="s">
        <v>14</v>
      </c>
    </row>
    <row r="48" spans="1:18" x14ac:dyDescent="0.2">
      <c r="A48" s="25" t="s">
        <v>15</v>
      </c>
      <c r="B48" s="137" t="s">
        <v>17</v>
      </c>
      <c r="C48" s="137"/>
      <c r="D48" s="137"/>
      <c r="E48" s="137"/>
      <c r="F48" s="137"/>
      <c r="G48" s="137"/>
      <c r="H48" s="137"/>
      <c r="I48" s="137"/>
      <c r="J48" s="137"/>
      <c r="K48" s="137"/>
    </row>
    <row r="49" spans="1:20" ht="20" customHeight="1" x14ac:dyDescent="0.2">
      <c r="A49" s="26"/>
      <c r="B49" s="131"/>
      <c r="C49" s="132"/>
      <c r="D49" s="132"/>
      <c r="E49" s="132"/>
      <c r="F49" s="132"/>
      <c r="G49" s="132"/>
      <c r="H49" s="132"/>
      <c r="I49" s="132"/>
      <c r="J49" s="132"/>
      <c r="K49" s="133"/>
    </row>
    <row r="50" spans="1:20" s="4" customFormat="1" ht="20" customHeight="1" x14ac:dyDescent="0.2">
      <c r="A50" s="27"/>
      <c r="B50" s="131"/>
      <c r="C50" s="132"/>
      <c r="D50" s="132"/>
      <c r="E50" s="132"/>
      <c r="F50" s="132"/>
      <c r="G50" s="132"/>
      <c r="H50" s="132"/>
      <c r="I50" s="132"/>
      <c r="J50" s="132"/>
      <c r="K50" s="133"/>
      <c r="N50"/>
      <c r="O50"/>
      <c r="P50"/>
      <c r="Q50"/>
      <c r="R50"/>
      <c r="T50"/>
    </row>
    <row r="51" spans="1:20" s="4" customFormat="1" ht="20" customHeight="1" x14ac:dyDescent="0.2">
      <c r="A51" s="26"/>
      <c r="B51" s="131"/>
      <c r="C51" s="132"/>
      <c r="D51" s="132"/>
      <c r="E51" s="132"/>
      <c r="F51" s="132"/>
      <c r="G51" s="132"/>
      <c r="H51" s="132"/>
      <c r="I51" s="132"/>
      <c r="J51" s="132"/>
      <c r="K51" s="133"/>
      <c r="N51"/>
      <c r="O51"/>
      <c r="P51"/>
      <c r="Q51"/>
      <c r="R51"/>
      <c r="T51"/>
    </row>
    <row r="52" spans="1:20" s="4" customFormat="1" ht="20" customHeight="1" x14ac:dyDescent="0.2">
      <c r="A52" s="28"/>
      <c r="B52" s="131"/>
      <c r="C52" s="132"/>
      <c r="D52" s="132"/>
      <c r="E52" s="132"/>
      <c r="F52" s="132"/>
      <c r="G52" s="132"/>
      <c r="H52" s="132"/>
      <c r="I52" s="132"/>
      <c r="J52" s="132"/>
      <c r="K52" s="133"/>
      <c r="N52"/>
      <c r="O52"/>
      <c r="P52"/>
      <c r="Q52"/>
      <c r="R52"/>
      <c r="T52"/>
    </row>
    <row r="53" spans="1:20" s="4" customFormat="1" ht="20" customHeight="1" x14ac:dyDescent="0.2">
      <c r="A53" s="26"/>
      <c r="B53" s="131"/>
      <c r="C53" s="132"/>
      <c r="D53" s="132"/>
      <c r="E53" s="132"/>
      <c r="F53" s="132"/>
      <c r="G53" s="132"/>
      <c r="H53" s="132"/>
      <c r="I53" s="132"/>
      <c r="J53" s="132"/>
      <c r="K53" s="133"/>
      <c r="N53"/>
      <c r="O53"/>
      <c r="P53"/>
      <c r="Q53"/>
      <c r="R53"/>
      <c r="T53"/>
    </row>
    <row r="54" spans="1:20" s="4" customFormat="1" ht="20" customHeight="1" x14ac:dyDescent="0.2">
      <c r="A54" s="26"/>
      <c r="B54" s="131"/>
      <c r="C54" s="132"/>
      <c r="D54" s="132"/>
      <c r="E54" s="132"/>
      <c r="F54" s="132"/>
      <c r="G54" s="132"/>
      <c r="H54" s="132"/>
      <c r="I54" s="132"/>
      <c r="J54" s="132"/>
      <c r="K54" s="133"/>
      <c r="N54"/>
      <c r="O54"/>
      <c r="P54"/>
      <c r="Q54"/>
      <c r="R54"/>
      <c r="T54"/>
    </row>
    <row r="55" spans="1:20" s="4" customFormat="1" ht="20" customHeight="1" x14ac:dyDescent="0.2">
      <c r="A55" s="26"/>
      <c r="B55" s="131"/>
      <c r="C55" s="132"/>
      <c r="D55" s="132"/>
      <c r="E55" s="132"/>
      <c r="F55" s="132"/>
      <c r="G55" s="132"/>
      <c r="H55" s="132"/>
      <c r="I55" s="132"/>
      <c r="J55" s="132"/>
      <c r="K55" s="133"/>
      <c r="N55"/>
      <c r="O55"/>
      <c r="P55"/>
      <c r="Q55"/>
      <c r="R55"/>
      <c r="T55"/>
    </row>
    <row r="56" spans="1:20" s="4" customFormat="1" ht="20" customHeight="1" x14ac:dyDescent="0.2">
      <c r="A56" s="26"/>
      <c r="B56" s="131"/>
      <c r="C56" s="132"/>
      <c r="D56" s="132"/>
      <c r="E56" s="132"/>
      <c r="F56" s="132"/>
      <c r="G56" s="132"/>
      <c r="H56" s="132"/>
      <c r="I56" s="132"/>
      <c r="J56" s="132"/>
      <c r="K56" s="133"/>
      <c r="N56"/>
      <c r="O56"/>
      <c r="P56"/>
      <c r="Q56"/>
      <c r="R56"/>
      <c r="T56"/>
    </row>
  </sheetData>
  <sheetProtection selectLockedCells="1"/>
  <mergeCells count="23">
    <mergeCell ref="A4:G4"/>
    <mergeCell ref="J4:N4"/>
    <mergeCell ref="A1:F1"/>
    <mergeCell ref="G1:K1"/>
    <mergeCell ref="A2:F2"/>
    <mergeCell ref="G2:K2"/>
    <mergeCell ref="A3:M3"/>
    <mergeCell ref="A10:B10"/>
    <mergeCell ref="J10:K10"/>
    <mergeCell ref="J11:K11"/>
    <mergeCell ref="J12:K12"/>
    <mergeCell ref="G14:J14"/>
    <mergeCell ref="K14:O14"/>
    <mergeCell ref="B53:K53"/>
    <mergeCell ref="B54:K54"/>
    <mergeCell ref="B55:K55"/>
    <mergeCell ref="B56:K56"/>
    <mergeCell ref="P14:R14"/>
    <mergeCell ref="B48:K48"/>
    <mergeCell ref="B49:K49"/>
    <mergeCell ref="B50:K50"/>
    <mergeCell ref="B51:K51"/>
    <mergeCell ref="B52:K52"/>
  </mergeCells>
  <dataValidations count="33">
    <dataValidation allowBlank="1" showInputMessage="1" showErrorMessage="1" promptTitle="Values excluding household salt" prompt="For the current formulae in this row to work,  &quot;Household salt&quot; as a food type above needs to be written in exactly this form_x000a_" sqref="A45" xr:uid="{53C55BBD-15D5-4C62-BDE9-13640AEBA377}"/>
    <dataValidation allowBlank="1" showInputMessage="1" showErrorMessage="1" promptTitle="Estimated current % UL iodine " prompt="Auto calculates using UL for the selected population group._x000a_ _x000a_Calculated based on:_x000a_Estimated current iodine intake Column J / UL for population group_x000a_" sqref="O16" xr:uid="{D8C60F72-DFFA-4C7D-A2FE-3E8D06A71E10}"/>
    <dataValidation allowBlank="1" showInputMessage="1" showErrorMessage="1" promptTitle="Estimated current % EAR iodine" prompt="Auto calculates using EAR  for the selected population group _x000a__x000a_Calculated based on:_x000a_Estimated current iodine intake Column J / EAR for population group" sqref="M16" xr:uid="{4AC0D3C8-C3B2-41E0-BC10-422391031203}"/>
    <dataValidation allowBlank="1" showInputMessage="1" showErrorMessage="1" promptTitle="Estimated current % EAR iodine" prompt="Auto calculates using EAR for the selected population group. _x000a__x000a_Calculated based on:_x000a_Estimated current iodine intake Column I / EAR for population group" sqref="M16" xr:uid="{FC999987-92DD-4099-AC0F-5F3BDFB56766}"/>
    <dataValidation allowBlank="1" showInputMessage="1" showErrorMessage="1" promptTitle="Estimated current % RNI iodine" prompt="Auto calculates using RNI for the selected population group. _x000a__x000a_Calculated based on:_x000a_Estimated current iodine intake Column J / RNI for population group" sqref="N16" xr:uid="{68F16828-0086-42A6-86D3-8958A86F126A}"/>
    <dataValidation allowBlank="1" showInputMessage="1" showErrorMessage="1" promptTitle="Current iodine intake after SR" prompt="Based on:_x000a_Current estimated iodine intake Column J * salt reduction target for the product Column N" sqref="R16" xr:uid="{3613E795-0C78-40A8-92DA-FC054860E89F}"/>
    <dataValidation allowBlank="1" showInputMessage="1" showErrorMessage="1" promptTitle="Current estimated iodine intake" prompt="Based on:_x000a_Potential iodine intake Column E * Current level iodisation Column I_x000a_" sqref="L16" xr:uid="{B51333C6-0192-49AD-93A4-199F5AE48143}"/>
    <dataValidation allowBlank="1" showInputMessage="1" showErrorMessage="1" promptTitle="Potential iodine intake" prompt="Calculated based on:_x000a_Value for salt intake in column C * D *70% to account for potential 30% loss in final product" sqref="G16" xr:uid="{EC33CA99-9EBD-4959-AFFE-1266662DA89F}"/>
    <dataValidation allowBlank="1" showErrorMessage="1" promptTitle="Data source" prompt="Insert a number by each food product to indicate the source of data for per capita intake and salt content (insert more than one code where a variety of data sources used). List the actual reference name and year in the space below this table" sqref="B17" xr:uid="{C7E7D0A2-9541-44CF-8C25-3D7A993F4B98}"/>
    <dataValidation allowBlank="1" showErrorMessage="1" promptTitle="Food product" prompt="Insert the name of (at least 4 to 8) food products identified as contributiing signficantly to salt intake across population groups. _x000a_Not all rows need to be completed." sqref="A17 A15" xr:uid="{5D78D05E-6465-419E-8665-B6A3BB618595}"/>
    <dataValidation allowBlank="1" showInputMessage="1" showErrorMessage="1" promptTitle="% salt reduction target" prompt="Where known, enter planned % salt reduction (from product reformulation or reduced intake) for each product" sqref="P16" xr:uid="{B7E30D7B-3EAC-45A2-8B7E-585F13244004}"/>
    <dataValidation allowBlank="1" showInputMessage="1" showErrorMessage="1" promptTitle="Geographic area" prompt="Insert a description in the light blue shaded cell. _x000a_National or a description of the geographic area the data represent" sqref="A11:A12" xr:uid="{ECACD332-BA54-452F-BCAB-84FA55E72D04}"/>
    <dataValidation allowBlank="1" showInputMessage="1" showErrorMessage="1" promptTitle="Data source" prompt="Insert a number by each food product to indicate the source of data for per capita intake and salt content (insert more than one code where a variety of data sources used). List the actual reference name and year in the space below this table" sqref="B16" xr:uid="{8EFDCDAF-340E-414F-AC9F-5317CADC645D}"/>
    <dataValidation allowBlank="1" showInputMessage="1" showErrorMessage="1" promptTitle="Population group" prompt="Change the population group using the picklist options in the next cell_x000a_" sqref="A5 A9" xr:uid="{1CDC7222-9D81-4733-9828-F0AC12B1D4CB}"/>
    <dataValidation allowBlank="1" showInputMessage="1" showErrorMessage="1" promptTitle="SES Group" prompt="Insert a description in the light blue shaded cell. _x000a_National or a description of the SES group that the data represent in terms of high/low, tertiles, quintiles, etc.)" sqref="A12" xr:uid="{BF0AA7B0-58A1-4BFC-B64D-224EF35ACE7E}"/>
    <dataValidation allowBlank="1" showInputMessage="1" showErrorMessage="1" promptTitle="% salt currently iodised" prompt="Where data are available, enter the current estimated percent of total salt used for manufacture of each food product that's iodised." sqref="K16" xr:uid="{7FC4273D-9861-46EA-83BE-789DF80D2FBD}"/>
    <dataValidation allowBlank="1" showInputMessage="1" showErrorMessage="1" promptTitle="Salt content" prompt="Insert product where known. Where unknown but sodium content is known - from the label or other - convert to g salt by multiplying by 2.54. Note that an assumption is made that all sodium from salt" sqref="D16:F16" xr:uid="{8E4E7B90-2165-4D64-804B-82FD49E46B56}"/>
    <dataValidation allowBlank="1" showInputMessage="1" showErrorMessage="1" promptTitle="Daily per capita consumption" prompt="Insert the estimated daily per capita consumption (g) of the identified food product for the population group defined above" sqref="C16" xr:uid="{CBEF8427-AECA-4F87-B741-815B3B005C06}"/>
    <dataValidation allowBlank="1" showInputMessage="1" showErrorMessage="1" promptTitle="Salt iodine standards" prompt="Insert salt iodine based on the national standard. e.g. _x000a_If the standard if 30-50 mg/kg, the min. would be 30 mg/kg, max 50 mg/kg_x000a_If the standard if 30 +/- 15mg/kg, the min would be 15 mg/kg, max 45 mg/kg_x000a_The mean will be calculated automatically " sqref="D6" xr:uid="{B7923742-C51A-4B9E-96B8-3911B7D7F331}"/>
    <dataValidation allowBlank="1" showInputMessage="1" showErrorMessage="1" promptTitle="Upper Level iodine intake" prompt="This value will change automatically based on the selected population group and accepted iodine UL, as detailed in the reference table on the right" sqref="A8" xr:uid="{BC9DE075-906A-4FFB-B99E-39B32E4B5B0F}"/>
    <dataValidation allowBlank="1" showInputMessage="1" showErrorMessage="1" promptTitle="Mean salt iodine content" prompt="Mean salt iodine will calculate automatially based on national standard min and max. Where only a minimum standard is specified, the mean will equal this minimum value" sqref="G6:H7" xr:uid="{9D99D0C3-DEB8-4996-B5A9-8AA5E1FA1391}"/>
    <dataValidation allowBlank="1" showErrorMessage="1" promptTitle="Maximum salt iodine content" prompt="Insert highest acceptable salt iodine content based on the national standard. e.g. _x000a_If the standard if 30-50 mg/kg, the maximum would be 50 mg/kg._x000a_If the standard if 30 +/- 15mg/kg, the maximum would be 45 mg/kg." sqref="F6:F7" xr:uid="{A9AB7E2F-6FDB-4DEF-B42D-46BB72085258}"/>
    <dataValidation allowBlank="1" showErrorMessage="1" promptTitle="Minimum salt iodine content" prompt="Insert lowest acceptable salt iodine content based on the national standard. e.g. _x000a_If the standard if 30-50 mg/kg, the minimum would be 30 mg/kg._x000a_If the standard if 30 +/- 15mg/kg, the minimum would be 15 mg/kg." sqref="E6:E7 B11:B12" xr:uid="{1D5A2B2C-BB55-4EC0-BABA-3A17BA1E62A3}"/>
    <dataValidation allowBlank="1" showInputMessage="1" showErrorMessage="1" promptTitle="Food product" prompt="Insert the name of (at least 4 to 8) food products identified as contributiing signficantly to salt intake across population groups. _x000a_Not all rows need to be completed." sqref="A16" xr:uid="{5C861F82-B082-412D-A949-9AD29D1DF354}"/>
    <dataValidation allowBlank="1" showInputMessage="1" showErrorMessage="1" promptTitle="Potential % EAR iodine" prompt="Auto calculates using EAR for the selected population group. _x000a__x000a_Calculated based on:_x000a_Potential iodine intake Column E / EAR for population group" sqref="H16" xr:uid="{963D0890-553B-4E55-98FC-4004405A6280}"/>
    <dataValidation allowBlank="1" showInputMessage="1" showErrorMessage="1" promptTitle="Estimated salt intake" prompt="Calculated based on:_x000a_Column A * Column B_x000a_Or Column A * Column C*2.54" sqref="E16:F16" xr:uid="{0DF9F10A-7EED-40AD-ADA4-72C5AB2B5314}"/>
    <dataValidation allowBlank="1" showInputMessage="1" showErrorMessage="1" promptTitle="Potential % RNI iodine" prompt="Auto calculates using RNI for the selected population group. _x000a__x000a_Calculated based on:_x000a_Potential iodine intake Column E / RNI for population group" sqref="I16" xr:uid="{F1B2B0E1-CFAD-4189-BD9F-9B6480D35BCE}"/>
    <dataValidation allowBlank="1" showInputMessage="1" showErrorMessage="1" promptTitle="Potential % EAR iodine" prompt="Auto calculates using EAR  for the selected population group _x000a__x000a_Calculated based on:_x000a_Potential iodine intake Column D / EAR for population group" sqref="H16" xr:uid="{C6852F66-6319-43A1-942F-B93329D1A445}"/>
    <dataValidation allowBlank="1" showInputMessage="1" showErrorMessage="1" promptTitle="Potential % UL iodine " prompt="Auto calculates using UL for the selected population group._x000a_ _x000a_Calculated based on:_x000a_Potential iodine intake Column E / UL for population group_x000a_" sqref="J16" xr:uid="{5DBA2AEB-C9F4-4132-A5A9-3ABFE47C0DF2}"/>
    <dataValidation allowBlank="1" showInputMessage="1" showErrorMessage="1" promptTitle="Recommended iodine intake RNI" prompt="This value will change automatically based on the selected population group and accepted iodine RNI, as detailed in the reference table on the right" sqref="A6:A7" xr:uid="{2D27AF0D-B157-45F7-A83F-6A9E36B3F2C6}"/>
    <dataValidation allowBlank="1" showInputMessage="1" showErrorMessage="1" promptTitle="Iodine EAR" prompt="This value will change automatically based on the selected population group and accepted iodine EAR, as detailed in the reference table on the right" sqref="A6" xr:uid="{88BC1772-2B78-49DA-A92F-733304778BEC}"/>
    <dataValidation allowBlank="1" showErrorMessage="1" sqref="C17:R17" xr:uid="{54501E84-F7AA-41BF-9BB7-1A5E97A3FC9F}"/>
    <dataValidation allowBlank="1" showInputMessage="1" showErrorMessage="1" promptTitle="Potential iodine intake after SR" prompt="Based on:_x000a_Potential iodine intake Column E * salt reduction target for the product Column N" sqref="Q16" xr:uid="{B08784AB-5013-45B0-8EB2-04273E3279DF}"/>
  </dataValidations>
  <pageMargins left="0.70866141732283472" right="0.70866141732283472" top="0.74803149606299213" bottom="0.74803149606299213" header="0.31496062992125984" footer="0.31496062992125984"/>
  <pageSetup paperSize="9" scale="56" fitToHeight="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promptTitle="Population group" prompt="Change the population group using the picklist options" xr:uid="{AC1AD755-2845-4792-AD6E-C9A75F6D7089}">
          <x14:formula1>
            <xm:f>Lists!$A$5:$A$10</xm:f>
          </x14:formula1>
          <xm:sqref>B5</xm:sqref>
        </x14:dataValidation>
        <x14:dataValidation type="list" allowBlank="1" showErrorMessage="1" promptTitle="Population group" prompt="Change the population group using the picklist options" xr:uid="{9FD8C6BC-2207-4A27-8494-77491E1C9615}">
          <x14:formula1>
            <xm:f>Lists!$A$3:$A$9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35A1-E9B8-4C89-BE9C-003307908962}">
  <sheetPr codeName="Sheet2"/>
  <dimension ref="A1:G37"/>
  <sheetViews>
    <sheetView workbookViewId="0">
      <selection activeCell="E10" sqref="E10"/>
    </sheetView>
  </sheetViews>
  <sheetFormatPr baseColWidth="10" defaultColWidth="8.83203125" defaultRowHeight="15" x14ac:dyDescent="0.2"/>
  <cols>
    <col min="1" max="1" width="35.5" style="2" customWidth="1"/>
    <col min="2" max="2" width="7.33203125" style="2" customWidth="1"/>
    <col min="3" max="3" width="20.5" style="2" customWidth="1"/>
    <col min="4" max="5" width="21.5" style="2" customWidth="1"/>
    <col min="6" max="6" width="22" style="2" customWidth="1"/>
  </cols>
  <sheetData>
    <row r="1" spans="1:7" ht="33.75" customHeight="1" x14ac:dyDescent="0.2">
      <c r="A1" s="104" t="s">
        <v>72</v>
      </c>
      <c r="B1" s="104"/>
    </row>
    <row r="2" spans="1:7" x14ac:dyDescent="0.2">
      <c r="A2" s="98" t="s">
        <v>73</v>
      </c>
      <c r="B2" s="98"/>
    </row>
    <row r="3" spans="1:7" x14ac:dyDescent="0.2">
      <c r="A3" s="98" t="s">
        <v>77</v>
      </c>
      <c r="B3" s="98"/>
    </row>
    <row r="4" spans="1:7" x14ac:dyDescent="0.2">
      <c r="A4" s="105" t="s">
        <v>76</v>
      </c>
      <c r="B4" s="105"/>
    </row>
    <row r="5" spans="1:7" ht="21" customHeight="1" x14ac:dyDescent="0.2">
      <c r="A5" s="104"/>
      <c r="B5" s="104"/>
    </row>
    <row r="6" spans="1:7" ht="90.75" customHeight="1" x14ac:dyDescent="0.2">
      <c r="A6" s="102"/>
      <c r="B6" s="107"/>
      <c r="C6" s="103" t="str">
        <f>'OPTION 1 - Working Tab'!G16</f>
        <v xml:space="preserve">Potential iodine intake (µg) from daily intake (g) of the product </v>
      </c>
      <c r="D6" s="103" t="str">
        <f>'OPTION 1 - Working Tab'!L16</f>
        <v>Estimated current iodine intake (µg) from daily intake of the product (g)</v>
      </c>
      <c r="E6" s="103" t="s">
        <v>135</v>
      </c>
      <c r="F6" s="103" t="s">
        <v>136</v>
      </c>
      <c r="G6" s="107"/>
    </row>
    <row r="7" spans="1:7" ht="52.5" customHeight="1" x14ac:dyDescent="0.2">
      <c r="A7" s="100" t="str">
        <f>'OPTION 1 - Working Tab'!A18</f>
        <v>Food type</v>
      </c>
      <c r="B7" s="108"/>
      <c r="C7" s="99" t="str">
        <f>'OPTION 1 - Working Tab'!G18</f>
        <v>Potential iodine intake (µg)</v>
      </c>
      <c r="D7" s="99" t="str">
        <f>'OPTION 1 - Working Tab'!L18</f>
        <v>Estimated current iodine intake (µg)</v>
      </c>
      <c r="E7" s="99" t="s">
        <v>137</v>
      </c>
      <c r="F7" s="99" t="s">
        <v>138</v>
      </c>
      <c r="G7" s="108"/>
    </row>
    <row r="8" spans="1:7" ht="16" x14ac:dyDescent="0.2">
      <c r="A8" s="101" t="str">
        <f>'OPTION 1 - Working Tab'!A19</f>
        <v>Household salt</v>
      </c>
      <c r="B8" s="109"/>
      <c r="C8" s="96">
        <f>'OPTION 1 - Working Tab'!G19</f>
        <v>59.15</v>
      </c>
      <c r="D8" s="96">
        <f>'OPTION 1 - Working Tab'!L19</f>
        <v>44.954000000000001</v>
      </c>
      <c r="E8" s="96">
        <v>27.299999999999997</v>
      </c>
      <c r="F8" s="96">
        <v>20.747999999999998</v>
      </c>
      <c r="G8" s="109"/>
    </row>
    <row r="9" spans="1:7" ht="16" x14ac:dyDescent="0.2">
      <c r="A9" s="101" t="str">
        <f>'OPTION 1 - Working Tab'!A20</f>
        <v>Bread &amp; brotchen</v>
      </c>
      <c r="B9" s="109"/>
      <c r="C9" s="96">
        <f>'OPTION 1 - Working Tab'!G20</f>
        <v>122.98831999999999</v>
      </c>
      <c r="D9" s="96">
        <f>'OPTION 1 - Working Tab'!L20</f>
        <v>122.98831999999999</v>
      </c>
      <c r="E9" s="96">
        <v>56.763839999999995</v>
      </c>
      <c r="F9" s="96">
        <v>56.763839999999995</v>
      </c>
      <c r="G9" s="109"/>
    </row>
    <row r="10" spans="1:7" ht="16" x14ac:dyDescent="0.2">
      <c r="A10" s="101" t="str">
        <f>'OPTION 1 - Working Tab'!A21</f>
        <v>Dried fish</v>
      </c>
      <c r="B10" s="109"/>
      <c r="C10" s="96">
        <f>'OPTION 1 - Working Tab'!G21</f>
        <v>17.076150000000002</v>
      </c>
      <c r="D10" s="96">
        <f>'OPTION 1 - Working Tab'!L21</f>
        <v>17.076150000000002</v>
      </c>
      <c r="E10" s="96">
        <v>7.8813000000000013</v>
      </c>
      <c r="F10" s="96">
        <v>7.8813000000000013</v>
      </c>
      <c r="G10" s="109"/>
    </row>
    <row r="11" spans="1:7" ht="16" x14ac:dyDescent="0.2">
      <c r="A11" s="101" t="str">
        <f>'OPTION 1 - Working Tab'!A22</f>
        <v>Powdered soup</v>
      </c>
      <c r="B11" s="109"/>
      <c r="C11" s="96">
        <f>'OPTION 1 - Working Tab'!G22</f>
        <v>8.19</v>
      </c>
      <c r="D11" s="96">
        <f>'OPTION 1 - Working Tab'!L22</f>
        <v>8.19</v>
      </c>
      <c r="E11" s="96">
        <v>3.7799999999999994</v>
      </c>
      <c r="F11" s="96">
        <v>3.7799999999999994</v>
      </c>
      <c r="G11" s="109"/>
    </row>
    <row r="12" spans="1:7" ht="16" x14ac:dyDescent="0.2">
      <c r="A12" s="101" t="str">
        <f>'OPTION 1 - Working Tab'!A23</f>
        <v>Sausages, other than polony</v>
      </c>
      <c r="B12" s="109"/>
      <c r="C12" s="96">
        <f>'OPTION 1 - Working Tab'!G23</f>
        <v>5.5327999999999999</v>
      </c>
      <c r="D12" s="96">
        <f>'OPTION 1 - Working Tab'!L23</f>
        <v>5.5327999999999999</v>
      </c>
      <c r="E12" s="96">
        <v>2.5535999999999999</v>
      </c>
      <c r="F12" s="96">
        <v>2.5535999999999999</v>
      </c>
      <c r="G12" s="109"/>
    </row>
    <row r="13" spans="1:7" ht="16" x14ac:dyDescent="0.2">
      <c r="A13" s="101" t="str">
        <f>'OPTION 1 - Working Tab'!A24</f>
        <v>Spices &amp; condiments</v>
      </c>
      <c r="B13" s="109"/>
      <c r="C13" s="96">
        <f>'OPTION 1 - Working Tab'!G24</f>
        <v>2.73</v>
      </c>
      <c r="D13" s="96">
        <f>'OPTION 1 - Working Tab'!L24</f>
        <v>2.73</v>
      </c>
      <c r="E13" s="96">
        <v>1.2599999999999998</v>
      </c>
      <c r="F13" s="96">
        <v>1.2599999999999998</v>
      </c>
      <c r="G13" s="109"/>
    </row>
    <row r="14" spans="1:7" ht="16" x14ac:dyDescent="0.2">
      <c r="A14" s="101" t="str">
        <f>'OPTION 1 - Working Tab'!A25</f>
        <v>Traditional bread</v>
      </c>
      <c r="B14" s="109"/>
      <c r="C14" s="96">
        <f>'OPTION 1 - Working Tab'!G25</f>
        <v>2.8391999999999999</v>
      </c>
      <c r="D14" s="96">
        <f>'OPTION 1 - Working Tab'!L25</f>
        <v>2.8391999999999999</v>
      </c>
      <c r="E14" s="96">
        <v>1.3103999999999998</v>
      </c>
      <c r="F14" s="96">
        <v>1.3103999999999998</v>
      </c>
      <c r="G14" s="109"/>
    </row>
    <row r="15" spans="1:7" ht="16" x14ac:dyDescent="0.2">
      <c r="A15" s="101" t="str">
        <f>'OPTION 1 - Working Tab'!A26</f>
        <v>Chips &amp; crisps</v>
      </c>
      <c r="B15" s="109"/>
      <c r="C15" s="96">
        <f>'OPTION 1 - Working Tab'!G26</f>
        <v>2.73</v>
      </c>
      <c r="D15" s="96">
        <f>'OPTION 1 - Working Tab'!L26</f>
        <v>2.73</v>
      </c>
      <c r="E15" s="96">
        <v>1.2599999999999998</v>
      </c>
      <c r="F15" s="96">
        <v>1.2599999999999998</v>
      </c>
      <c r="G15" s="109"/>
    </row>
    <row r="16" spans="1:7" ht="16" x14ac:dyDescent="0.2">
      <c r="A16" s="101" t="str">
        <f>'OPTION 1 - Working Tab'!A27</f>
        <v>Smoked fish</v>
      </c>
      <c r="B16" s="109"/>
      <c r="C16" s="96">
        <f>'OPTION 1 - Working Tab'!G27</f>
        <v>1.4696500000000001</v>
      </c>
      <c r="D16" s="96">
        <f>'OPTION 1 - Working Tab'!L27</f>
        <v>1.4696500000000001</v>
      </c>
      <c r="E16" s="96">
        <v>0.67830000000000001</v>
      </c>
      <c r="F16" s="96">
        <v>0.67830000000000001</v>
      </c>
      <c r="G16" s="109"/>
    </row>
    <row r="17" spans="1:7" ht="16" x14ac:dyDescent="0.2">
      <c r="A17" s="101" t="str">
        <f>'OPTION 1 - Working Tab'!A28</f>
        <v>Polony</v>
      </c>
      <c r="B17" s="109"/>
      <c r="C17" s="96">
        <f>'OPTION 1 - Working Tab'!G28</f>
        <v>1.4196</v>
      </c>
      <c r="D17" s="96">
        <f>'OPTION 1 - Working Tab'!L28</f>
        <v>1.4196</v>
      </c>
      <c r="E17" s="96">
        <v>0.65519999999999989</v>
      </c>
      <c r="F17" s="96">
        <v>0.65519999999999989</v>
      </c>
      <c r="G17" s="109"/>
    </row>
    <row r="18" spans="1:7" ht="16" x14ac:dyDescent="0.2">
      <c r="A18" s="101" t="str">
        <f>'OPTION 1 - Working Tab'!A29</f>
        <v>Cheese, all types</v>
      </c>
      <c r="B18" s="109"/>
      <c r="C18" s="96">
        <f>'OPTION 1 - Working Tab'!G29</f>
        <v>1.0010000000000001</v>
      </c>
      <c r="D18" s="96">
        <f>'OPTION 1 - Working Tab'!L29</f>
        <v>1.0010000000000001</v>
      </c>
      <c r="E18" s="96">
        <v>0.46199999999999997</v>
      </c>
      <c r="F18" s="96">
        <v>0.46199999999999997</v>
      </c>
      <c r="G18" s="109"/>
    </row>
    <row r="19" spans="1:7" ht="16" x14ac:dyDescent="0.2">
      <c r="A19" s="101" t="str">
        <f>'OPTION 1 - Working Tab'!A30</f>
        <v>Canned meat</v>
      </c>
      <c r="B19" s="109"/>
      <c r="C19" s="96">
        <f>'OPTION 1 - Working Tab'!G30</f>
        <v>0.6825</v>
      </c>
      <c r="D19" s="96">
        <f>'OPTION 1 - Working Tab'!L30</f>
        <v>0.6825</v>
      </c>
      <c r="E19" s="96">
        <v>0.31499999999999995</v>
      </c>
      <c r="F19" s="96">
        <v>0.31499999999999995</v>
      </c>
      <c r="G19" s="109"/>
    </row>
    <row r="20" spans="1:7" ht="16" x14ac:dyDescent="0.2">
      <c r="A20" s="101" t="str">
        <f>'OPTION 1 - Working Tab'!A31</f>
        <v>Biltong</v>
      </c>
      <c r="B20" s="109"/>
      <c r="C20" s="96">
        <f>'OPTION 1 - Working Tab'!G31</f>
        <v>0.72344999999999982</v>
      </c>
      <c r="D20" s="96">
        <f>'OPTION 1 - Working Tab'!L31</f>
        <v>0.72344999999999982</v>
      </c>
      <c r="E20" s="96">
        <v>0.33389999999999992</v>
      </c>
      <c r="F20" s="96">
        <v>0.33389999999999992</v>
      </c>
      <c r="G20" s="109"/>
    </row>
    <row r="21" spans="1:7" ht="16" x14ac:dyDescent="0.2">
      <c r="A21" s="101" t="str">
        <f>'OPTION 1 - Working Tab'!A32</f>
        <v>Smoked meat, other than bacon &amp; ham</v>
      </c>
      <c r="B21" s="109"/>
      <c r="C21" s="96">
        <f>'OPTION 1 - Working Tab'!G32</f>
        <v>0.43680000000000008</v>
      </c>
      <c r="D21" s="96">
        <f>'OPTION 1 - Working Tab'!L32</f>
        <v>0.43680000000000008</v>
      </c>
      <c r="E21" s="96">
        <v>0.2016</v>
      </c>
      <c r="F21" s="96">
        <v>0.2016</v>
      </c>
      <c r="G21" s="109"/>
    </row>
    <row r="22" spans="1:7" ht="16" x14ac:dyDescent="0.2">
      <c r="A22" s="101" t="str">
        <f>'OPTION 1 - Working Tab'!A33</f>
        <v>Tomato sauce</v>
      </c>
      <c r="B22" s="109"/>
      <c r="C22" s="96">
        <f>'OPTION 1 - Working Tab'!G33</f>
        <v>0.38219999999999993</v>
      </c>
      <c r="D22" s="96">
        <f>'OPTION 1 - Working Tab'!L33</f>
        <v>0.38219999999999993</v>
      </c>
      <c r="E22" s="96">
        <v>0.1764</v>
      </c>
      <c r="F22" s="96">
        <v>0.1764</v>
      </c>
      <c r="G22" s="109"/>
    </row>
    <row r="23" spans="1:7" ht="16" x14ac:dyDescent="0.2">
      <c r="A23" s="101" t="str">
        <f>'OPTION 1 - Working Tab'!A34</f>
        <v>Bacon</v>
      </c>
      <c r="B23" s="109"/>
      <c r="C23" s="96">
        <f>'OPTION 1 - Working Tab'!G34</f>
        <v>0.27299999999999996</v>
      </c>
      <c r="D23" s="96">
        <f>'OPTION 1 - Working Tab'!L34</f>
        <v>0.27299999999999996</v>
      </c>
      <c r="E23" s="96">
        <v>0.126</v>
      </c>
      <c r="F23" s="96">
        <v>0.126</v>
      </c>
      <c r="G23" s="109"/>
    </row>
    <row r="24" spans="1:7" ht="16" x14ac:dyDescent="0.2">
      <c r="A24" s="101" t="str">
        <f>'OPTION 1 - Working Tab'!A35</f>
        <v>Ham</v>
      </c>
      <c r="B24" s="109"/>
      <c r="C24" s="96">
        <f>'OPTION 1 - Working Tab'!G35</f>
        <v>0.15015000000000001</v>
      </c>
      <c r="D24" s="96">
        <f>'OPTION 1 - Working Tab'!L35</f>
        <v>0.15015000000000001</v>
      </c>
      <c r="E24" s="96">
        <v>6.9300000000000014E-2</v>
      </c>
      <c r="F24" s="96">
        <v>6.9300000000000014E-2</v>
      </c>
      <c r="G24" s="109"/>
    </row>
    <row r="25" spans="1:7" ht="16" x14ac:dyDescent="0.2">
      <c r="A25" s="101" t="str">
        <f>'OPTION 1 - Working Tab'!A36</f>
        <v>Pies &amp; pizza</v>
      </c>
      <c r="B25" s="109"/>
      <c r="C25" s="96">
        <f>'OPTION 1 - Working Tab'!G36</f>
        <v>0.13649999999999998</v>
      </c>
      <c r="D25" s="96">
        <f>'OPTION 1 - Working Tab'!L36</f>
        <v>0.13649999999999998</v>
      </c>
      <c r="E25" s="96">
        <v>6.3E-2</v>
      </c>
      <c r="F25" s="96">
        <v>6.3E-2</v>
      </c>
      <c r="G25" s="109"/>
    </row>
    <row r="26" spans="1:7" ht="16" x14ac:dyDescent="0.2">
      <c r="A26" s="101" t="str">
        <f>'OPTION 1 - Working Tab'!A37</f>
        <v>Biscuits, rusks</v>
      </c>
      <c r="B26" s="109"/>
      <c r="C26" s="96">
        <f>'OPTION 1 - Working Tab'!G37</f>
        <v>9.5549999999999982E-2</v>
      </c>
      <c r="D26" s="96">
        <f>'OPTION 1 - Working Tab'!L37</f>
        <v>9.5549999999999982E-2</v>
      </c>
      <c r="E26" s="96">
        <v>4.41E-2</v>
      </c>
      <c r="F26" s="96">
        <v>4.41E-2</v>
      </c>
      <c r="G26" s="109"/>
    </row>
    <row r="27" spans="1:7" ht="16" x14ac:dyDescent="0.2">
      <c r="A27" s="101" t="str">
        <f>'OPTION 1 - Working Tab'!A38</f>
        <v>Ready made soup</v>
      </c>
      <c r="B27" s="109"/>
      <c r="C27" s="96">
        <f>'OPTION 1 - Working Tab'!G38</f>
        <v>8.1899999999999987E-2</v>
      </c>
      <c r="D27" s="96">
        <f>'OPTION 1 - Working Tab'!L38</f>
        <v>8.1899999999999987E-2</v>
      </c>
      <c r="E27" s="96">
        <v>3.78E-2</v>
      </c>
      <c r="F27" s="96">
        <v>3.78E-2</v>
      </c>
      <c r="G27" s="109"/>
    </row>
    <row r="28" spans="1:7" ht="16" x14ac:dyDescent="0.2">
      <c r="A28" s="101" t="str">
        <f>'OPTION 1 - Working Tab'!A39</f>
        <v>Food 21</v>
      </c>
      <c r="B28" s="109"/>
      <c r="C28" s="96">
        <f>'OPTION 1 - Working Tab'!G39</f>
        <v>0</v>
      </c>
      <c r="D28" s="96">
        <f>'OPTION 1 - Working Tab'!L39</f>
        <v>0</v>
      </c>
      <c r="E28" s="96">
        <f>'OPTION 1 - Working Tab'!Q39</f>
        <v>0</v>
      </c>
      <c r="F28" s="96">
        <f>'OPTION 1 - Working Tab'!R39</f>
        <v>0</v>
      </c>
      <c r="G28" s="109"/>
    </row>
    <row r="29" spans="1:7" ht="16" x14ac:dyDescent="0.2">
      <c r="A29" s="101" t="str">
        <f>'OPTION 1 - Working Tab'!A40</f>
        <v>Food 22</v>
      </c>
      <c r="B29" s="109"/>
      <c r="C29" s="96">
        <f>'OPTION 1 - Working Tab'!G40</f>
        <v>0</v>
      </c>
      <c r="D29" s="96">
        <f>'OPTION 1 - Working Tab'!L40</f>
        <v>0</v>
      </c>
      <c r="E29" s="96">
        <f>'OPTION 1 - Working Tab'!Q40</f>
        <v>0</v>
      </c>
      <c r="F29" s="96">
        <f>'OPTION 1 - Working Tab'!R40</f>
        <v>0</v>
      </c>
      <c r="G29" s="109"/>
    </row>
    <row r="30" spans="1:7" ht="16" x14ac:dyDescent="0.2">
      <c r="A30" s="101" t="str">
        <f>'OPTION 1 - Working Tab'!A41</f>
        <v>Food 23</v>
      </c>
      <c r="B30" s="109"/>
      <c r="C30" s="96">
        <f>'OPTION 1 - Working Tab'!G41</f>
        <v>0</v>
      </c>
      <c r="D30" s="96">
        <f>'OPTION 1 - Working Tab'!L41</f>
        <v>0</v>
      </c>
      <c r="E30" s="96">
        <f>'OPTION 1 - Working Tab'!Q41</f>
        <v>0</v>
      </c>
      <c r="F30" s="96">
        <f>'OPTION 1 - Working Tab'!R41</f>
        <v>0</v>
      </c>
      <c r="G30" s="109"/>
    </row>
    <row r="31" spans="1:7" ht="16" x14ac:dyDescent="0.2">
      <c r="A31" s="101" t="str">
        <f>'OPTION 1 - Working Tab'!A42</f>
        <v>Food 24</v>
      </c>
      <c r="B31" s="109"/>
      <c r="C31" s="96">
        <f>'OPTION 1 - Working Tab'!G42</f>
        <v>0</v>
      </c>
      <c r="D31" s="96">
        <f>'OPTION 1 - Working Tab'!L42</f>
        <v>0</v>
      </c>
      <c r="E31" s="96">
        <f>'OPTION 1 - Working Tab'!Q42</f>
        <v>0</v>
      </c>
      <c r="F31" s="96">
        <f>'OPTION 1 - Working Tab'!R42</f>
        <v>0</v>
      </c>
      <c r="G31" s="109"/>
    </row>
    <row r="32" spans="1:7" ht="16" x14ac:dyDescent="0.2">
      <c r="A32" s="101" t="str">
        <f>'OPTION 1 - Working Tab'!A43</f>
        <v>Food 25</v>
      </c>
      <c r="B32" s="109"/>
      <c r="C32" s="96">
        <f>'OPTION 1 - Working Tab'!G43</f>
        <v>0</v>
      </c>
      <c r="D32" s="96">
        <f>'OPTION 1 - Working Tab'!L43</f>
        <v>0</v>
      </c>
      <c r="E32" s="96">
        <f>'OPTION 1 - Working Tab'!Q43</f>
        <v>0</v>
      </c>
      <c r="F32" s="96">
        <f>'OPTION 1 - Working Tab'!R43</f>
        <v>0</v>
      </c>
      <c r="G32" s="109"/>
    </row>
    <row r="33" spans="1:7" ht="16" x14ac:dyDescent="0.2">
      <c r="A33" s="97" t="s">
        <v>71</v>
      </c>
      <c r="B33" s="97"/>
      <c r="C33" s="111">
        <f>C8</f>
        <v>59.15</v>
      </c>
      <c r="D33" s="111">
        <f t="shared" ref="D33:F33" si="0">D8</f>
        <v>44.954000000000001</v>
      </c>
      <c r="E33" s="111">
        <f t="shared" si="0"/>
        <v>27.299999999999997</v>
      </c>
      <c r="F33" s="112">
        <f t="shared" si="0"/>
        <v>20.747999999999998</v>
      </c>
      <c r="G33" s="97"/>
    </row>
    <row r="34" spans="1:7" ht="32" x14ac:dyDescent="0.2">
      <c r="A34" s="97" t="s">
        <v>78</v>
      </c>
      <c r="B34" s="106"/>
      <c r="C34" s="113">
        <f>SUM(C9:C32)</f>
        <v>168.93877000000003</v>
      </c>
      <c r="D34" s="111">
        <f>SUM(D9:D32)</f>
        <v>168.93877000000003</v>
      </c>
      <c r="E34" s="111">
        <f>SUM(E9:E32)</f>
        <v>77.971740000000011</v>
      </c>
      <c r="F34" s="112">
        <f>SUM(F9:F32)</f>
        <v>77.971740000000011</v>
      </c>
      <c r="G34" s="97"/>
    </row>
    <row r="35" spans="1:7" ht="16.5" customHeight="1" x14ac:dyDescent="0.2">
      <c r="A35" s="102" t="s">
        <v>74</v>
      </c>
      <c r="B35" s="116">
        <f>'OPTION 1 - Working Tab'!B6</f>
        <v>95</v>
      </c>
      <c r="C35" s="117">
        <f t="shared" ref="C35:G36" si="1">+B35</f>
        <v>95</v>
      </c>
      <c r="D35" s="118">
        <f t="shared" si="1"/>
        <v>95</v>
      </c>
      <c r="E35" s="118">
        <f t="shared" si="1"/>
        <v>95</v>
      </c>
      <c r="F35" s="114">
        <f>+D35</f>
        <v>95</v>
      </c>
      <c r="G35" s="114">
        <f t="shared" si="1"/>
        <v>95</v>
      </c>
    </row>
    <row r="36" spans="1:7" ht="18" customHeight="1" x14ac:dyDescent="0.2">
      <c r="A36" s="110" t="s">
        <v>75</v>
      </c>
      <c r="B36" s="119">
        <f>'OPTION 1 - Working Tab'!B7</f>
        <v>150</v>
      </c>
      <c r="C36" s="120">
        <f t="shared" si="1"/>
        <v>150</v>
      </c>
      <c r="D36" s="121">
        <f t="shared" si="1"/>
        <v>150</v>
      </c>
      <c r="E36" s="121">
        <f t="shared" si="1"/>
        <v>150</v>
      </c>
      <c r="F36" s="115">
        <f>+D36</f>
        <v>150</v>
      </c>
      <c r="G36" s="115">
        <f t="shared" si="1"/>
        <v>150</v>
      </c>
    </row>
    <row r="37" spans="1:7" ht="33.75" customHeight="1" x14ac:dyDescent="0.2">
      <c r="A37" s="104"/>
      <c r="B37" s="104"/>
    </row>
  </sheetData>
  <dataValidations count="1">
    <dataValidation allowBlank="1" showErrorMessage="1" promptTitle="Values excluding household salt" prompt="For the current formulae in this row to work,  &quot;Household salt&quot; as a food type above needs to be written in exactly this form_x000a_" sqref="A34:B34 G34" xr:uid="{6CA0235D-759D-4221-80D0-C1A2F0E1FEC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113E-A94B-47CD-9DE8-2D290EBEB5FE}">
  <sheetPr codeName="Sheet11"/>
  <dimension ref="A3:A10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4" customWidth="1"/>
  </cols>
  <sheetData>
    <row r="3" spans="1:1" x14ac:dyDescent="0.2">
      <c r="A3" s="2"/>
    </row>
    <row r="5" spans="1:1" ht="16" x14ac:dyDescent="0.2">
      <c r="A5" s="2" t="s">
        <v>18</v>
      </c>
    </row>
    <row r="6" spans="1:1" ht="32" x14ac:dyDescent="0.2">
      <c r="A6" s="2" t="s">
        <v>32</v>
      </c>
    </row>
    <row r="7" spans="1:1" ht="32" x14ac:dyDescent="0.2">
      <c r="A7" s="2" t="s">
        <v>3</v>
      </c>
    </row>
    <row r="8" spans="1:1" ht="32" x14ac:dyDescent="0.2">
      <c r="A8" s="2" t="s">
        <v>4</v>
      </c>
    </row>
    <row r="9" spans="1:1" ht="32" x14ac:dyDescent="0.2">
      <c r="A9" s="2" t="s">
        <v>5</v>
      </c>
    </row>
    <row r="10" spans="1:1" ht="21" customHeight="1" x14ac:dyDescent="0.2">
      <c r="A1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OPTION 1 - Working Tab</vt:lpstr>
      <vt:lpstr>OPTION 1 - Data for Figures</vt:lpstr>
      <vt:lpstr>Lists</vt:lpstr>
      <vt:lpstr>Fig1a Iodine intake by product</vt:lpstr>
      <vt:lpstr>Fig1b Iodine intake no SR</vt:lpstr>
      <vt:lpstr>Fig 2a Iodine intake HH v PF</vt:lpstr>
      <vt:lpstr>Fig 2b Iodine HH v PF no 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Microsoft Office User</cp:lastModifiedBy>
  <cp:lastPrinted>2020-07-03T16:39:24Z</cp:lastPrinted>
  <dcterms:created xsi:type="dcterms:W3CDTF">2019-04-01T13:17:36Z</dcterms:created>
  <dcterms:modified xsi:type="dcterms:W3CDTF">2020-11-08T11:01:49Z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96 96 1440 900</vt:lpwstr>
  </property>
</Properties>
</file>