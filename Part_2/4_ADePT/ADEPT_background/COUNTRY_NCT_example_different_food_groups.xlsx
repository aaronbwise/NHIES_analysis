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autoCompressPictures="0" defaultThemeVersion="124226"/>
  <mc:AlternateContent xmlns:mc="http://schemas.openxmlformats.org/markup-compatibility/2006">
    <mc:Choice Requires="x15">
      <x15ac:absPath xmlns:x15ac="http://schemas.microsoft.com/office/spreadsheetml/2010/11/ac" url="/Users/anamoltedo/Documents/ADePT/Resources to help building the input files/FCTs/"/>
    </mc:Choice>
  </mc:AlternateContent>
  <xr:revisionPtr revIDLastSave="0" documentId="13_ncr:1_{2B9B2C7D-10C0-A248-9F9D-F16B2D88CFDB}" xr6:coauthVersionLast="45" xr6:coauthVersionMax="45" xr10:uidLastSave="{00000000-0000-0000-0000-000000000000}"/>
  <bookViews>
    <workbookView xWindow="2740" yWindow="460" windowWidth="31360" windowHeight="20340" activeTab="6" xr2:uid="{00000000-000D-0000-FFFF-FFFF00000000}"/>
  </bookViews>
  <sheets>
    <sheet name="Example" sheetId="4" r:id="rId1"/>
    <sheet name="Example Averages" sheetId="6" r:id="rId2"/>
    <sheet name="Archival" sheetId="1" r:id="rId3"/>
    <sheet name="Reference" sheetId="2" r:id="rId4"/>
    <sheet name="Upload" sheetId="5" r:id="rId5"/>
    <sheet name="Averages" sheetId="7" r:id="rId6"/>
    <sheet name="GIFT Groups" sheetId="8" r:id="rId7"/>
    <sheet name="Dietary Diversity Groups" sheetId="9" r:id="rId8"/>
    <sheet name="FBS Groups" sheetId="10" r:id="rId9"/>
  </sheets>
  <definedNames>
    <definedName name="_xlnm._FilterDatabase" localSheetId="2" hidden="1">Archival!$A$3:$AJ$213</definedName>
    <definedName name="_xlnm._FilterDatabase" localSheetId="5" hidden="1">Averages!$A$1:$AU$1</definedName>
    <definedName name="_xlnm._FilterDatabase" localSheetId="3" hidden="1">Reference!$A$3:$AJ$213</definedName>
    <definedName name="_xlnm._FilterDatabase" localSheetId="4" hidden="1">Upload!$A$1:$AJ$211</definedName>
    <definedName name="_ftn1" localSheetId="7">'Dietary Diversity Groups'!$F$48</definedName>
    <definedName name="_ftnref1" localSheetId="7">'Dietary Diversity Groups'!$F$11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S95" i="2" l="1"/>
  <c r="S13" i="2" l="1"/>
  <c r="Q21" i="1" l="1"/>
  <c r="S183" i="2"/>
  <c r="S182" i="2"/>
  <c r="G52" i="1"/>
  <c r="S63" i="2"/>
  <c r="Q61" i="2"/>
  <c r="S61" i="2"/>
  <c r="F115" i="7"/>
  <c r="F114" i="7"/>
  <c r="F113" i="7"/>
  <c r="F112" i="7"/>
  <c r="K117" i="7" s="1"/>
  <c r="O117" i="7"/>
  <c r="AD117" i="7"/>
  <c r="S99" i="2"/>
  <c r="S135" i="2"/>
  <c r="F357" i="7"/>
  <c r="S153" i="2"/>
  <c r="F311" i="7"/>
  <c r="S151" i="2"/>
  <c r="F301" i="7"/>
  <c r="S138" i="2"/>
  <c r="F290" i="7"/>
  <c r="S137" i="2"/>
  <c r="F280" i="7"/>
  <c r="S128" i="2"/>
  <c r="F266" i="7"/>
  <c r="S125" i="2"/>
  <c r="F251" i="7"/>
  <c r="S116" i="2"/>
  <c r="F225" i="7"/>
  <c r="S69" i="2"/>
  <c r="S68" i="2"/>
  <c r="F144" i="7"/>
  <c r="F128" i="7"/>
  <c r="S56" i="2"/>
  <c r="F104" i="7"/>
  <c r="S54" i="2"/>
  <c r="S53" i="2"/>
  <c r="S52" i="2"/>
  <c r="F93" i="7"/>
  <c r="S65" i="2"/>
  <c r="S28" i="2"/>
  <c r="G362" i="7"/>
  <c r="F362" i="7"/>
  <c r="AJ360" i="7"/>
  <c r="AH360" i="7"/>
  <c r="AG360" i="7"/>
  <c r="AF360" i="7"/>
  <c r="AE360" i="7"/>
  <c r="AD360" i="7"/>
  <c r="AC360" i="7"/>
  <c r="AB360" i="7"/>
  <c r="AA360" i="7"/>
  <c r="Z360" i="7"/>
  <c r="U360" i="7"/>
  <c r="T360" i="7"/>
  <c r="R360" i="7"/>
  <c r="R362" i="7" s="1"/>
  <c r="Q360" i="7"/>
  <c r="O360" i="7"/>
  <c r="N360" i="7"/>
  <c r="M360" i="7"/>
  <c r="L360" i="7"/>
  <c r="K360" i="7"/>
  <c r="J360" i="7"/>
  <c r="AJ359" i="7"/>
  <c r="AH359" i="7"/>
  <c r="AG359" i="7"/>
  <c r="AF359" i="7"/>
  <c r="AE359" i="7"/>
  <c r="AE362" i="7" s="1"/>
  <c r="AD359" i="7"/>
  <c r="AD362" i="7" s="1"/>
  <c r="AC359" i="7"/>
  <c r="AC362" i="7" s="1"/>
  <c r="AB359" i="7"/>
  <c r="AA359" i="7"/>
  <c r="Z359" i="7"/>
  <c r="U359" i="7"/>
  <c r="T359" i="7"/>
  <c r="R359" i="7"/>
  <c r="Q359" i="7"/>
  <c r="O359" i="7"/>
  <c r="N359" i="7"/>
  <c r="M359" i="7"/>
  <c r="L359" i="7"/>
  <c r="K359" i="7"/>
  <c r="J359" i="7"/>
  <c r="AJ358" i="7"/>
  <c r="AJ362" i="7"/>
  <c r="AH358" i="7"/>
  <c r="AG358" i="7"/>
  <c r="AF358" i="7"/>
  <c r="AF362" i="7"/>
  <c r="AE358" i="7"/>
  <c r="AD358" i="7"/>
  <c r="AC358" i="7"/>
  <c r="AB358" i="7"/>
  <c r="AB362" i="7" s="1"/>
  <c r="AA358" i="7"/>
  <c r="AA362" i="7"/>
  <c r="Z358" i="7"/>
  <c r="Z362" i="7"/>
  <c r="U358" i="7"/>
  <c r="U362" i="7" s="1"/>
  <c r="T358" i="7"/>
  <c r="T362" i="7"/>
  <c r="R358" i="7"/>
  <c r="Q358" i="7"/>
  <c r="O358" i="7"/>
  <c r="O362" i="7" s="1"/>
  <c r="N358" i="7"/>
  <c r="M358" i="7"/>
  <c r="L358" i="7"/>
  <c r="L362" i="7" s="1"/>
  <c r="K358" i="7"/>
  <c r="K362" i="7" s="1"/>
  <c r="J358" i="7"/>
  <c r="J362" i="7" s="1"/>
  <c r="AA384" i="7"/>
  <c r="AA383" i="7"/>
  <c r="AA386" i="7" s="1"/>
  <c r="Z384" i="7"/>
  <c r="Z383" i="7"/>
  <c r="AE34" i="1"/>
  <c r="AF34" i="1"/>
  <c r="AH38" i="1"/>
  <c r="AG38" i="1"/>
  <c r="S149" i="2"/>
  <c r="S142" i="2"/>
  <c r="AG89" i="2"/>
  <c r="AH89" i="2"/>
  <c r="Q89" i="2"/>
  <c r="S89" i="2" s="1"/>
  <c r="AJ79" i="1"/>
  <c r="AJ89" i="1" s="1"/>
  <c r="AH78" i="1"/>
  <c r="AH79" i="1"/>
  <c r="AG78" i="1"/>
  <c r="AG79" i="1"/>
  <c r="AF79" i="1"/>
  <c r="AF89" i="1" s="1"/>
  <c r="AE79" i="1"/>
  <c r="AE89" i="1" s="1"/>
  <c r="AD79" i="1"/>
  <c r="AD89" i="1" s="1"/>
  <c r="AC79" i="1"/>
  <c r="AC89" i="1"/>
  <c r="AB79" i="1"/>
  <c r="AB89" i="1"/>
  <c r="AA79" i="1"/>
  <c r="AA89" i="1"/>
  <c r="Z79" i="1"/>
  <c r="Z89" i="1" s="1"/>
  <c r="U79" i="1"/>
  <c r="U89" i="1"/>
  <c r="T79" i="1"/>
  <c r="T89" i="1"/>
  <c r="R79" i="1"/>
  <c r="R89" i="1" s="1"/>
  <c r="O79" i="1"/>
  <c r="O89" i="1"/>
  <c r="N79" i="1"/>
  <c r="N89" i="1"/>
  <c r="M79" i="1"/>
  <c r="M89" i="1"/>
  <c r="L79" i="1"/>
  <c r="L89" i="1"/>
  <c r="K79" i="1"/>
  <c r="K89" i="1" s="1"/>
  <c r="J79" i="1"/>
  <c r="J89" i="1"/>
  <c r="S70" i="2"/>
  <c r="S19" i="2"/>
  <c r="Q193" i="2"/>
  <c r="S193" i="2" s="1"/>
  <c r="Q213" i="2"/>
  <c r="S213" i="2"/>
  <c r="Q212" i="2"/>
  <c r="S212" i="2"/>
  <c r="Q211" i="2"/>
  <c r="S211" i="2"/>
  <c r="Q210" i="2"/>
  <c r="S210" i="2"/>
  <c r="Q209" i="2"/>
  <c r="S209" i="2" s="1"/>
  <c r="Q208" i="2"/>
  <c r="S208" i="2"/>
  <c r="S207" i="2"/>
  <c r="S206" i="2"/>
  <c r="S205" i="2"/>
  <c r="S204" i="2"/>
  <c r="Q203" i="2"/>
  <c r="S203" i="2"/>
  <c r="S202" i="2"/>
  <c r="S5" i="2"/>
  <c r="S6" i="2"/>
  <c r="S7" i="2"/>
  <c r="S8" i="2"/>
  <c r="S9" i="2"/>
  <c r="S10" i="2"/>
  <c r="S11" i="2"/>
  <c r="Q12" i="2"/>
  <c r="S12" i="2"/>
  <c r="S14" i="2"/>
  <c r="S15" i="2"/>
  <c r="S16" i="2"/>
  <c r="S17" i="2"/>
  <c r="S18" i="2"/>
  <c r="S20" i="2"/>
  <c r="S21" i="2"/>
  <c r="S22" i="2"/>
  <c r="S23" i="2"/>
  <c r="S24" i="2"/>
  <c r="S25" i="2"/>
  <c r="S26" i="2"/>
  <c r="S27" i="2"/>
  <c r="Q29" i="2"/>
  <c r="S29" i="2"/>
  <c r="S30" i="2"/>
  <c r="S31" i="2"/>
  <c r="S32" i="2"/>
  <c r="S33" i="2"/>
  <c r="S34" i="2"/>
  <c r="S35" i="2"/>
  <c r="S36" i="2"/>
  <c r="S37" i="2"/>
  <c r="S38" i="2"/>
  <c r="S39" i="2"/>
  <c r="S40" i="2"/>
  <c r="S41" i="2"/>
  <c r="S42" i="2"/>
  <c r="S43" i="2"/>
  <c r="S44" i="2"/>
  <c r="S45" i="2"/>
  <c r="S46" i="2"/>
  <c r="S47" i="2"/>
  <c r="S48" i="2"/>
  <c r="S49" i="2"/>
  <c r="S50" i="2"/>
  <c r="S51" i="2"/>
  <c r="S55" i="2"/>
  <c r="S57" i="2"/>
  <c r="S58" i="2"/>
  <c r="S59" i="2"/>
  <c r="S60" i="2"/>
  <c r="S62" i="2"/>
  <c r="S64" i="2"/>
  <c r="S66" i="2"/>
  <c r="Q67" i="2"/>
  <c r="S67" i="2"/>
  <c r="S71" i="2"/>
  <c r="S72" i="2"/>
  <c r="S73" i="2"/>
  <c r="S74" i="2"/>
  <c r="S75" i="2"/>
  <c r="S76" i="2"/>
  <c r="S77" i="2"/>
  <c r="Q78" i="2"/>
  <c r="S78" i="2"/>
  <c r="S79" i="2"/>
  <c r="S80" i="2"/>
  <c r="S81" i="2"/>
  <c r="S82" i="2"/>
  <c r="Q83" i="2"/>
  <c r="S83" i="2" s="1"/>
  <c r="Q84" i="2"/>
  <c r="S84" i="2"/>
  <c r="Q85" i="2"/>
  <c r="S85" i="2" s="1"/>
  <c r="S86" i="2"/>
  <c r="S87" i="2"/>
  <c r="S88" i="2"/>
  <c r="S90" i="2"/>
  <c r="S91" i="2"/>
  <c r="S92" i="2"/>
  <c r="S93" i="2"/>
  <c r="S94" i="2"/>
  <c r="S96" i="2"/>
  <c r="S97" i="2"/>
  <c r="S98" i="2"/>
  <c r="S100" i="2"/>
  <c r="S101" i="2"/>
  <c r="S102" i="2"/>
  <c r="S103" i="2"/>
  <c r="S104" i="2"/>
  <c r="S105" i="2"/>
  <c r="S106" i="2"/>
  <c r="S107" i="2"/>
  <c r="S108" i="2"/>
  <c r="S109" i="2"/>
  <c r="S110" i="2"/>
  <c r="S111" i="2"/>
  <c r="Q112" i="2"/>
  <c r="S112" i="2"/>
  <c r="S113" i="2"/>
  <c r="S114" i="2"/>
  <c r="S115" i="2"/>
  <c r="S117" i="2"/>
  <c r="S118" i="2"/>
  <c r="S119" i="2"/>
  <c r="S120" i="2"/>
  <c r="S121" i="2"/>
  <c r="S122" i="2"/>
  <c r="S123" i="2"/>
  <c r="S124" i="2"/>
  <c r="S126" i="2"/>
  <c r="S127" i="2"/>
  <c r="S129" i="2"/>
  <c r="S130" i="2"/>
  <c r="Q131" i="2"/>
  <c r="S131" i="2" s="1"/>
  <c r="S132" i="2"/>
  <c r="S133" i="2"/>
  <c r="S134" i="2"/>
  <c r="S136" i="2"/>
  <c r="S139" i="2"/>
  <c r="S140" i="2"/>
  <c r="S141" i="2"/>
  <c r="S143" i="2"/>
  <c r="S144" i="2"/>
  <c r="S145" i="2"/>
  <c r="S146" i="2"/>
  <c r="S147" i="2"/>
  <c r="S148" i="2"/>
  <c r="S150" i="2"/>
  <c r="S152" i="2"/>
  <c r="Q154" i="2"/>
  <c r="S154" i="2"/>
  <c r="S155" i="2"/>
  <c r="S156" i="2"/>
  <c r="Q157" i="2"/>
  <c r="S157" i="2" s="1"/>
  <c r="S158" i="2"/>
  <c r="S159" i="2"/>
  <c r="S160" i="2"/>
  <c r="Q161" i="2"/>
  <c r="S161" i="2"/>
  <c r="Q162" i="2"/>
  <c r="S162" i="2"/>
  <c r="S163" i="2"/>
  <c r="S164" i="2"/>
  <c r="Q165" i="2"/>
  <c r="S165" i="2" s="1"/>
  <c r="Q166" i="2"/>
  <c r="S166" i="2" s="1"/>
  <c r="S167" i="2"/>
  <c r="S168" i="2"/>
  <c r="S169" i="2"/>
  <c r="S170" i="2"/>
  <c r="Q171" i="2"/>
  <c r="S171" i="2" s="1"/>
  <c r="Q172" i="2"/>
  <c r="S172" i="2"/>
  <c r="S173" i="2"/>
  <c r="S174" i="2"/>
  <c r="S175" i="2"/>
  <c r="S176" i="2"/>
  <c r="Q177" i="2"/>
  <c r="S177" i="2" s="1"/>
  <c r="Q178" i="2"/>
  <c r="S178" i="2" s="1"/>
  <c r="Q179" i="2"/>
  <c r="S179" i="2"/>
  <c r="S180" i="2"/>
  <c r="S181" i="2"/>
  <c r="S184" i="2"/>
  <c r="S185" i="2"/>
  <c r="Q186" i="2"/>
  <c r="S186" i="2"/>
  <c r="S187" i="2"/>
  <c r="S188" i="2"/>
  <c r="Q189" i="2"/>
  <c r="S189" i="2"/>
  <c r="Q190" i="2"/>
  <c r="S190" i="2" s="1"/>
  <c r="S191" i="2"/>
  <c r="Q192" i="2"/>
  <c r="S192" i="2"/>
  <c r="S4" i="2"/>
  <c r="AG188" i="1"/>
  <c r="Q188" i="1"/>
  <c r="AG393" i="7"/>
  <c r="AH393" i="7"/>
  <c r="AH188" i="1"/>
  <c r="AJ393" i="7"/>
  <c r="AF393" i="7"/>
  <c r="AE393" i="7"/>
  <c r="AD393" i="7"/>
  <c r="AC393" i="7"/>
  <c r="AB393" i="7"/>
  <c r="AA393" i="7"/>
  <c r="Z393" i="7"/>
  <c r="U393" i="7"/>
  <c r="T393" i="7"/>
  <c r="R393" i="7"/>
  <c r="P393" i="7"/>
  <c r="O393" i="7"/>
  <c r="N393" i="7"/>
  <c r="M393" i="7"/>
  <c r="L393" i="7"/>
  <c r="K393" i="7"/>
  <c r="J393" i="7"/>
  <c r="G393" i="7"/>
  <c r="AH192" i="1"/>
  <c r="AG192" i="1"/>
  <c r="AH139" i="1"/>
  <c r="AG139" i="1"/>
  <c r="F386" i="7"/>
  <c r="J383" i="7"/>
  <c r="J384" i="7"/>
  <c r="K383" i="7"/>
  <c r="K384" i="7"/>
  <c r="L383" i="7"/>
  <c r="L384" i="7"/>
  <c r="M383" i="7"/>
  <c r="M384" i="7"/>
  <c r="N383" i="7"/>
  <c r="N384" i="7"/>
  <c r="O383" i="7"/>
  <c r="O384" i="7"/>
  <c r="AE383" i="7"/>
  <c r="AE384" i="7"/>
  <c r="AF383" i="7"/>
  <c r="AF384" i="7"/>
  <c r="AJ383" i="7"/>
  <c r="AJ384" i="7"/>
  <c r="AD383" i="7"/>
  <c r="AD384" i="7"/>
  <c r="AC383" i="7"/>
  <c r="AC384" i="7"/>
  <c r="AB383" i="7"/>
  <c r="AB384" i="7"/>
  <c r="Z386" i="7"/>
  <c r="U383" i="7"/>
  <c r="U384" i="7"/>
  <c r="T383" i="7"/>
  <c r="T384" i="7"/>
  <c r="R383" i="7"/>
  <c r="R384" i="7"/>
  <c r="G386" i="7"/>
  <c r="AH381" i="7"/>
  <c r="AH384" i="7" s="1"/>
  <c r="AG381" i="7"/>
  <c r="AG384" i="7" s="1"/>
  <c r="AH380" i="7"/>
  <c r="AH383" i="7" s="1"/>
  <c r="AG380" i="7"/>
  <c r="AG383" i="7" s="1"/>
  <c r="Q384" i="7"/>
  <c r="Q383" i="7"/>
  <c r="AJ97" i="1"/>
  <c r="AH93" i="1"/>
  <c r="AH97" i="1" s="1"/>
  <c r="AG93" i="1"/>
  <c r="AG97" i="1" s="1"/>
  <c r="AF97" i="1"/>
  <c r="AE97" i="1"/>
  <c r="AD97" i="1"/>
  <c r="AC97" i="1"/>
  <c r="AB97" i="1"/>
  <c r="AA97" i="1"/>
  <c r="Z97" i="1"/>
  <c r="U97" i="1"/>
  <c r="T97" i="1"/>
  <c r="R97" i="1"/>
  <c r="Q97" i="1"/>
  <c r="O97" i="1"/>
  <c r="N97" i="1"/>
  <c r="M97" i="1"/>
  <c r="L97" i="1"/>
  <c r="K97" i="1"/>
  <c r="J97" i="1"/>
  <c r="AH193" i="1"/>
  <c r="Q164" i="1"/>
  <c r="P167" i="1"/>
  <c r="N167" i="1"/>
  <c r="AJ167" i="1"/>
  <c r="AF167" i="1"/>
  <c r="AE167" i="1"/>
  <c r="AD167" i="1"/>
  <c r="AC167" i="1"/>
  <c r="AB167" i="1"/>
  <c r="AA167" i="1"/>
  <c r="Z167" i="1"/>
  <c r="U167" i="1"/>
  <c r="T167" i="1"/>
  <c r="R167" i="1"/>
  <c r="O167" i="1"/>
  <c r="M167" i="1"/>
  <c r="L167" i="1"/>
  <c r="O177" i="1"/>
  <c r="AF161" i="1"/>
  <c r="AH161" i="1" s="1"/>
  <c r="AF154" i="1"/>
  <c r="AH154" i="1" s="1"/>
  <c r="AF131" i="1"/>
  <c r="AH131" i="1"/>
  <c r="AH175" i="1"/>
  <c r="AG175" i="1"/>
  <c r="J377" i="7"/>
  <c r="K377" i="7"/>
  <c r="L377" i="7"/>
  <c r="M377" i="7"/>
  <c r="N377" i="7"/>
  <c r="O377" i="7"/>
  <c r="AJ377" i="7"/>
  <c r="AH377" i="7"/>
  <c r="AG377" i="7"/>
  <c r="AF377" i="7"/>
  <c r="AE377" i="7"/>
  <c r="AD377" i="7"/>
  <c r="AC377" i="7"/>
  <c r="AB377" i="7"/>
  <c r="AA377" i="7"/>
  <c r="Z377" i="7"/>
  <c r="U377" i="7"/>
  <c r="T377" i="7"/>
  <c r="R377" i="7"/>
  <c r="G377" i="7"/>
  <c r="AG352" i="7"/>
  <c r="J352" i="7"/>
  <c r="K352" i="7"/>
  <c r="L352" i="7"/>
  <c r="M352" i="7"/>
  <c r="N352" i="7"/>
  <c r="O352" i="7"/>
  <c r="AJ352" i="7"/>
  <c r="AH352" i="7"/>
  <c r="AF352" i="7"/>
  <c r="AE352" i="7"/>
  <c r="AD352" i="7"/>
  <c r="AC352" i="7"/>
  <c r="AB352" i="7"/>
  <c r="AA352" i="7"/>
  <c r="Z352" i="7"/>
  <c r="U352" i="7"/>
  <c r="T352" i="7"/>
  <c r="R352" i="7"/>
  <c r="P352" i="7"/>
  <c r="G352" i="7"/>
  <c r="AH172" i="1"/>
  <c r="AG172" i="1"/>
  <c r="AH165" i="1"/>
  <c r="AG165" i="1"/>
  <c r="AH85" i="1"/>
  <c r="AG85" i="1"/>
  <c r="AH84" i="1"/>
  <c r="AG84" i="1"/>
  <c r="J372" i="7"/>
  <c r="K372" i="7"/>
  <c r="L372" i="7"/>
  <c r="M372" i="7"/>
  <c r="N372" i="7"/>
  <c r="O372" i="7"/>
  <c r="AE372" i="7"/>
  <c r="AF372" i="7"/>
  <c r="AJ372" i="7"/>
  <c r="AD372" i="7"/>
  <c r="AC372" i="7"/>
  <c r="AB372" i="7"/>
  <c r="AA372" i="7"/>
  <c r="Z372" i="7"/>
  <c r="U372" i="7"/>
  <c r="T372" i="7"/>
  <c r="R372" i="7"/>
  <c r="P372" i="7"/>
  <c r="G372" i="7"/>
  <c r="AH371" i="7"/>
  <c r="AG371" i="7"/>
  <c r="AH370" i="7"/>
  <c r="AG370" i="7"/>
  <c r="J368" i="7"/>
  <c r="K368" i="7"/>
  <c r="L368" i="7"/>
  <c r="M368" i="7"/>
  <c r="N368" i="7"/>
  <c r="O368" i="7"/>
  <c r="AE368" i="7"/>
  <c r="AF368" i="7"/>
  <c r="AJ368" i="7"/>
  <c r="AD368" i="7"/>
  <c r="AC368" i="7"/>
  <c r="AB368" i="7"/>
  <c r="AA368" i="7"/>
  <c r="Z368" i="7"/>
  <c r="U368" i="7"/>
  <c r="T368" i="7"/>
  <c r="R368" i="7"/>
  <c r="P368" i="7"/>
  <c r="G368" i="7"/>
  <c r="AH366" i="7"/>
  <c r="AG366" i="7"/>
  <c r="J347" i="7"/>
  <c r="K347" i="7"/>
  <c r="L347" i="7"/>
  <c r="M347" i="7"/>
  <c r="N347" i="7"/>
  <c r="O347" i="7"/>
  <c r="AJ347" i="7"/>
  <c r="AH347" i="7"/>
  <c r="AG347" i="7"/>
  <c r="AF347" i="7"/>
  <c r="AE347" i="7"/>
  <c r="AD347" i="7"/>
  <c r="AC347" i="7"/>
  <c r="AB347" i="7"/>
  <c r="AA347" i="7"/>
  <c r="Z347" i="7"/>
  <c r="U347" i="7"/>
  <c r="T347" i="7"/>
  <c r="R347" i="7"/>
  <c r="G347" i="7"/>
  <c r="AE342" i="7"/>
  <c r="AF342" i="7"/>
  <c r="K342" i="7"/>
  <c r="L342" i="7"/>
  <c r="M342" i="7"/>
  <c r="N342" i="7"/>
  <c r="O342" i="7"/>
  <c r="P342" i="7"/>
  <c r="J342" i="7"/>
  <c r="AJ342" i="7"/>
  <c r="AD342" i="7"/>
  <c r="AC342" i="7"/>
  <c r="AB342" i="7"/>
  <c r="AA342" i="7"/>
  <c r="Z342" i="7"/>
  <c r="U342" i="7"/>
  <c r="T342" i="7"/>
  <c r="G342" i="7"/>
  <c r="AH340" i="7"/>
  <c r="AG340" i="7"/>
  <c r="AH339" i="7"/>
  <c r="AG339" i="7"/>
  <c r="AH338" i="7"/>
  <c r="AG338" i="7"/>
  <c r="J334" i="7"/>
  <c r="K334" i="7"/>
  <c r="L334" i="7"/>
  <c r="M334" i="7"/>
  <c r="N334" i="7"/>
  <c r="O334" i="7"/>
  <c r="AJ334" i="7"/>
  <c r="AH334" i="7"/>
  <c r="AG334" i="7"/>
  <c r="AF334" i="7"/>
  <c r="AE334" i="7"/>
  <c r="AD334" i="7"/>
  <c r="AC334" i="7"/>
  <c r="AB334" i="7"/>
  <c r="AA334" i="7"/>
  <c r="Z334" i="7"/>
  <c r="U334" i="7"/>
  <c r="T334" i="7"/>
  <c r="R334" i="7"/>
  <c r="G334" i="7"/>
  <c r="F117" i="7"/>
  <c r="AH115" i="7"/>
  <c r="AG115" i="7"/>
  <c r="AH65" i="1"/>
  <c r="AG65" i="1"/>
  <c r="AJ213" i="1"/>
  <c r="AJ193" i="1" s="1"/>
  <c r="AH213" i="1"/>
  <c r="AG213" i="1"/>
  <c r="AF213" i="1"/>
  <c r="AF193" i="1" s="1"/>
  <c r="AE213" i="1"/>
  <c r="AE193" i="1" s="1"/>
  <c r="AD213" i="1"/>
  <c r="AD193" i="1" s="1"/>
  <c r="AC213" i="1"/>
  <c r="AC193" i="1" s="1"/>
  <c r="AB213" i="1"/>
  <c r="AB193" i="1" s="1"/>
  <c r="AA213" i="1"/>
  <c r="AA193" i="1" s="1"/>
  <c r="Z213" i="1"/>
  <c r="Z193" i="1" s="1"/>
  <c r="U213" i="1"/>
  <c r="U193" i="1" s="1"/>
  <c r="T213" i="1"/>
  <c r="T193" i="1" s="1"/>
  <c r="R213" i="1"/>
  <c r="R193" i="1" s="1"/>
  <c r="O213" i="1"/>
  <c r="O193" i="1" s="1"/>
  <c r="N213" i="1"/>
  <c r="N193" i="1" s="1"/>
  <c r="M213" i="1"/>
  <c r="M193" i="1" s="1"/>
  <c r="L213" i="1"/>
  <c r="L193" i="1" s="1"/>
  <c r="K213" i="1"/>
  <c r="K193" i="1" s="1"/>
  <c r="J213" i="1"/>
  <c r="J193" i="1" s="1"/>
  <c r="AJ207" i="1"/>
  <c r="AH207" i="1"/>
  <c r="AG207" i="1"/>
  <c r="AF207" i="1"/>
  <c r="AE207" i="1"/>
  <c r="AD207" i="1"/>
  <c r="AC207" i="1"/>
  <c r="AB207" i="1"/>
  <c r="AA207" i="1"/>
  <c r="Z207" i="1"/>
  <c r="U207" i="1"/>
  <c r="T207" i="1"/>
  <c r="R207" i="1"/>
  <c r="Q207" i="1"/>
  <c r="O207" i="1"/>
  <c r="N207" i="1"/>
  <c r="M207" i="1"/>
  <c r="L207" i="1"/>
  <c r="K207" i="1"/>
  <c r="J207" i="1"/>
  <c r="AH29" i="1"/>
  <c r="AG29" i="1"/>
  <c r="AH12" i="1"/>
  <c r="AG12" i="1"/>
  <c r="AG5" i="1"/>
  <c r="F315" i="7"/>
  <c r="J312" i="7"/>
  <c r="J313" i="7"/>
  <c r="K312" i="7"/>
  <c r="K313" i="7"/>
  <c r="L312" i="7"/>
  <c r="L313" i="7"/>
  <c r="M312" i="7"/>
  <c r="M313" i="7"/>
  <c r="N312" i="7"/>
  <c r="N313" i="7"/>
  <c r="O312" i="7"/>
  <c r="O313" i="7"/>
  <c r="F306" i="7"/>
  <c r="J302" i="7"/>
  <c r="J303" i="7"/>
  <c r="J304" i="7"/>
  <c r="K302" i="7"/>
  <c r="K303" i="7"/>
  <c r="K304" i="7"/>
  <c r="L302" i="7"/>
  <c r="L303" i="7"/>
  <c r="L304" i="7"/>
  <c r="M302" i="7"/>
  <c r="M303" i="7"/>
  <c r="M304" i="7"/>
  <c r="N302" i="7"/>
  <c r="N303" i="7"/>
  <c r="N304" i="7"/>
  <c r="O302" i="7"/>
  <c r="O303" i="7"/>
  <c r="O304" i="7"/>
  <c r="F295" i="7"/>
  <c r="J291" i="7"/>
  <c r="J292" i="7"/>
  <c r="J293" i="7"/>
  <c r="K291" i="7"/>
  <c r="K292" i="7"/>
  <c r="K293" i="7"/>
  <c r="L291" i="7"/>
  <c r="L292" i="7"/>
  <c r="L293" i="7"/>
  <c r="M291" i="7"/>
  <c r="M292" i="7"/>
  <c r="M293" i="7"/>
  <c r="N291" i="7"/>
  <c r="N292" i="7"/>
  <c r="N293" i="7"/>
  <c r="O291" i="7"/>
  <c r="O292" i="7"/>
  <c r="O293" i="7"/>
  <c r="F284" i="7"/>
  <c r="J281" i="7"/>
  <c r="J282" i="7"/>
  <c r="K281" i="7"/>
  <c r="K282" i="7"/>
  <c r="L281" i="7"/>
  <c r="L282" i="7"/>
  <c r="M281" i="7"/>
  <c r="M282" i="7"/>
  <c r="N281" i="7"/>
  <c r="N282" i="7"/>
  <c r="O281" i="7"/>
  <c r="O282" i="7"/>
  <c r="F270" i="7"/>
  <c r="J267" i="7"/>
  <c r="J268" i="7"/>
  <c r="K267" i="7"/>
  <c r="K268" i="7"/>
  <c r="L267" i="7"/>
  <c r="L268" i="7"/>
  <c r="M267" i="7"/>
  <c r="M268" i="7"/>
  <c r="N267" i="7"/>
  <c r="N268" i="7"/>
  <c r="O267" i="7"/>
  <c r="O268" i="7"/>
  <c r="F256" i="7"/>
  <c r="J252" i="7"/>
  <c r="J253" i="7"/>
  <c r="J254" i="7"/>
  <c r="K252" i="7"/>
  <c r="K253" i="7"/>
  <c r="K254" i="7"/>
  <c r="L252" i="7"/>
  <c r="L253" i="7"/>
  <c r="L254" i="7"/>
  <c r="M252" i="7"/>
  <c r="M253" i="7"/>
  <c r="M254" i="7"/>
  <c r="N252" i="7"/>
  <c r="N253" i="7"/>
  <c r="N254" i="7"/>
  <c r="O252" i="7"/>
  <c r="O253" i="7"/>
  <c r="O254" i="7"/>
  <c r="F246" i="7"/>
  <c r="J239" i="7"/>
  <c r="J240" i="7"/>
  <c r="J241" i="7"/>
  <c r="J242" i="7"/>
  <c r="J243" i="7"/>
  <c r="J244" i="7"/>
  <c r="K239" i="7"/>
  <c r="K240" i="7"/>
  <c r="K241" i="7"/>
  <c r="K242" i="7"/>
  <c r="K243" i="7"/>
  <c r="K244" i="7"/>
  <c r="L239" i="7"/>
  <c r="L240" i="7"/>
  <c r="L241" i="7"/>
  <c r="L242" i="7"/>
  <c r="L243" i="7"/>
  <c r="L244" i="7"/>
  <c r="M239" i="7"/>
  <c r="M240" i="7"/>
  <c r="M241" i="7"/>
  <c r="M242" i="7"/>
  <c r="M243" i="7"/>
  <c r="M244" i="7"/>
  <c r="N239" i="7"/>
  <c r="N240" i="7"/>
  <c r="N241" i="7"/>
  <c r="N242" i="7"/>
  <c r="N243" i="7"/>
  <c r="N244" i="7"/>
  <c r="O239" i="7"/>
  <c r="O240" i="7"/>
  <c r="O241" i="7"/>
  <c r="O242" i="7"/>
  <c r="O243" i="7"/>
  <c r="O244" i="7"/>
  <c r="F229" i="7"/>
  <c r="J226" i="7"/>
  <c r="J227" i="7"/>
  <c r="K226" i="7"/>
  <c r="K227" i="7"/>
  <c r="L226" i="7"/>
  <c r="L227" i="7"/>
  <c r="M226" i="7"/>
  <c r="M227" i="7"/>
  <c r="N226" i="7"/>
  <c r="N227" i="7"/>
  <c r="O226" i="7"/>
  <c r="O227" i="7"/>
  <c r="AJ226" i="7"/>
  <c r="AJ227" i="7"/>
  <c r="AH226" i="7"/>
  <c r="AH227" i="7"/>
  <c r="AG226" i="7"/>
  <c r="AG227" i="7"/>
  <c r="AF226" i="7"/>
  <c r="AF227" i="7"/>
  <c r="AE226" i="7"/>
  <c r="AE227" i="7"/>
  <c r="AD226" i="7"/>
  <c r="AD227" i="7"/>
  <c r="AC226" i="7"/>
  <c r="AC227" i="7"/>
  <c r="AB226" i="7"/>
  <c r="AB227" i="7"/>
  <c r="AA226" i="7"/>
  <c r="AA227" i="7"/>
  <c r="Z226" i="7"/>
  <c r="Z227" i="7"/>
  <c r="U226" i="7"/>
  <c r="U227" i="7"/>
  <c r="T226" i="7"/>
  <c r="T227" i="7"/>
  <c r="R226" i="7"/>
  <c r="R227" i="7"/>
  <c r="G229" i="7"/>
  <c r="Q227" i="7"/>
  <c r="Q226" i="7"/>
  <c r="J164" i="7"/>
  <c r="G164" i="7"/>
  <c r="J165" i="7"/>
  <c r="G165" i="7"/>
  <c r="J166" i="7"/>
  <c r="G166" i="7"/>
  <c r="J163" i="7"/>
  <c r="G163" i="7"/>
  <c r="K164" i="7"/>
  <c r="K165" i="7"/>
  <c r="K166" i="7"/>
  <c r="K163" i="7"/>
  <c r="L164" i="7"/>
  <c r="L165" i="7"/>
  <c r="L166" i="7"/>
  <c r="L163" i="7"/>
  <c r="M164" i="7"/>
  <c r="M165" i="7"/>
  <c r="M166" i="7"/>
  <c r="M163" i="7"/>
  <c r="M168" i="7" s="1"/>
  <c r="M173" i="7" s="1"/>
  <c r="N164" i="7"/>
  <c r="N165" i="7"/>
  <c r="N166" i="7"/>
  <c r="N163" i="7"/>
  <c r="O164" i="7"/>
  <c r="O165" i="7"/>
  <c r="O166" i="7"/>
  <c r="O163" i="7"/>
  <c r="F154" i="7"/>
  <c r="J145" i="7"/>
  <c r="J146" i="7"/>
  <c r="J147" i="7"/>
  <c r="J148" i="7"/>
  <c r="J149" i="7"/>
  <c r="J150" i="7"/>
  <c r="J151" i="7"/>
  <c r="J152" i="7"/>
  <c r="K145" i="7"/>
  <c r="K146" i="7"/>
  <c r="K147" i="7"/>
  <c r="K148" i="7"/>
  <c r="K149" i="7"/>
  <c r="K150" i="7"/>
  <c r="K151" i="7"/>
  <c r="K152" i="7"/>
  <c r="L145" i="7"/>
  <c r="L146" i="7"/>
  <c r="L147" i="7"/>
  <c r="L148" i="7"/>
  <c r="L149" i="7"/>
  <c r="L150" i="7"/>
  <c r="L151" i="7"/>
  <c r="L152" i="7"/>
  <c r="M145" i="7"/>
  <c r="M146" i="7"/>
  <c r="M147" i="7"/>
  <c r="M148" i="7"/>
  <c r="M149" i="7"/>
  <c r="M150" i="7"/>
  <c r="M151" i="7"/>
  <c r="M152" i="7"/>
  <c r="N145" i="7"/>
  <c r="N146" i="7"/>
  <c r="N147" i="7"/>
  <c r="N148" i="7"/>
  <c r="N149" i="7"/>
  <c r="N150" i="7"/>
  <c r="N151" i="7"/>
  <c r="N152" i="7"/>
  <c r="O145" i="7"/>
  <c r="O146" i="7"/>
  <c r="O147" i="7"/>
  <c r="O148" i="7"/>
  <c r="O149" i="7"/>
  <c r="O150" i="7"/>
  <c r="O151" i="7"/>
  <c r="O152" i="7"/>
  <c r="F98" i="7"/>
  <c r="J94" i="7"/>
  <c r="J95" i="7"/>
  <c r="J96" i="7"/>
  <c r="K94" i="7"/>
  <c r="K95" i="7"/>
  <c r="K96" i="7"/>
  <c r="L94" i="7"/>
  <c r="L95" i="7"/>
  <c r="L96" i="7"/>
  <c r="M94" i="7"/>
  <c r="M95" i="7"/>
  <c r="M96" i="7"/>
  <c r="N94" i="7"/>
  <c r="N95" i="7"/>
  <c r="N96" i="7"/>
  <c r="O94" i="7"/>
  <c r="O95" i="7"/>
  <c r="O96" i="7"/>
  <c r="F109" i="7"/>
  <c r="J105" i="7"/>
  <c r="J106" i="7"/>
  <c r="J107" i="7"/>
  <c r="K105" i="7"/>
  <c r="K106" i="7"/>
  <c r="K107" i="7"/>
  <c r="L105" i="7"/>
  <c r="L106" i="7"/>
  <c r="L107" i="7"/>
  <c r="M105" i="7"/>
  <c r="M106" i="7"/>
  <c r="M107" i="7"/>
  <c r="N105" i="7"/>
  <c r="N106" i="7"/>
  <c r="N107" i="7"/>
  <c r="O105" i="7"/>
  <c r="O106" i="7"/>
  <c r="O107" i="7"/>
  <c r="F133" i="7"/>
  <c r="J129" i="7"/>
  <c r="J130" i="7"/>
  <c r="J131" i="7"/>
  <c r="K129" i="7"/>
  <c r="K130" i="7"/>
  <c r="K131" i="7"/>
  <c r="L129" i="7"/>
  <c r="L130" i="7"/>
  <c r="L131" i="7"/>
  <c r="M129" i="7"/>
  <c r="M130" i="7"/>
  <c r="M131" i="7"/>
  <c r="N129" i="7"/>
  <c r="N130" i="7"/>
  <c r="N131" i="7"/>
  <c r="O129" i="7"/>
  <c r="O130" i="7"/>
  <c r="O131" i="7"/>
  <c r="AJ107" i="7"/>
  <c r="AJ106" i="7"/>
  <c r="AJ105" i="7"/>
  <c r="AH107" i="7"/>
  <c r="AG107" i="7"/>
  <c r="AF107" i="7"/>
  <c r="AE107" i="7"/>
  <c r="AD107" i="7"/>
  <c r="AC107" i="7"/>
  <c r="AB107" i="7"/>
  <c r="AA107" i="7"/>
  <c r="Z107" i="7"/>
  <c r="U107" i="7"/>
  <c r="T107" i="7"/>
  <c r="AH106" i="7"/>
  <c r="AG106" i="7"/>
  <c r="AF106" i="7"/>
  <c r="AE106" i="7"/>
  <c r="AD106" i="7"/>
  <c r="AC106" i="7"/>
  <c r="AB106" i="7"/>
  <c r="AA106" i="7"/>
  <c r="Z106" i="7"/>
  <c r="U106" i="7"/>
  <c r="T106" i="7"/>
  <c r="AH105" i="7"/>
  <c r="AG105" i="7"/>
  <c r="AF105" i="7"/>
  <c r="AE105" i="7"/>
  <c r="AD105" i="7"/>
  <c r="AC105" i="7"/>
  <c r="AB105" i="7"/>
  <c r="AA105" i="7"/>
  <c r="Z105" i="7"/>
  <c r="U105" i="7"/>
  <c r="T105" i="7"/>
  <c r="R107" i="7"/>
  <c r="Q107" i="7"/>
  <c r="R106" i="7"/>
  <c r="Q106" i="7"/>
  <c r="R105" i="7"/>
  <c r="Q105" i="7"/>
  <c r="AE324" i="7"/>
  <c r="AF324" i="7"/>
  <c r="AE312" i="7"/>
  <c r="AE313" i="7"/>
  <c r="AF312" i="7"/>
  <c r="AF313" i="7"/>
  <c r="AE302" i="7"/>
  <c r="AE303" i="7"/>
  <c r="AE304" i="7"/>
  <c r="AF302" i="7"/>
  <c r="AF303" i="7"/>
  <c r="AF304" i="7"/>
  <c r="AE291" i="7"/>
  <c r="AE292" i="7"/>
  <c r="AE293" i="7"/>
  <c r="AF291" i="7"/>
  <c r="AF292" i="7"/>
  <c r="AF293" i="7"/>
  <c r="AE281" i="7"/>
  <c r="AE282" i="7"/>
  <c r="AF281" i="7"/>
  <c r="AF282" i="7"/>
  <c r="AE276" i="7"/>
  <c r="AF276" i="7"/>
  <c r="AE267" i="7"/>
  <c r="AE268" i="7"/>
  <c r="AF267" i="7"/>
  <c r="AF268" i="7"/>
  <c r="AE262" i="7"/>
  <c r="AF262" i="7"/>
  <c r="AE252" i="7"/>
  <c r="AE253" i="7"/>
  <c r="AE254" i="7"/>
  <c r="AF252" i="7"/>
  <c r="AF253" i="7"/>
  <c r="AF254" i="7"/>
  <c r="AE239" i="7"/>
  <c r="AE240" i="7"/>
  <c r="AE241" i="7"/>
  <c r="AE242" i="7"/>
  <c r="AE243" i="7"/>
  <c r="AE244" i="7"/>
  <c r="AF239" i="7"/>
  <c r="AF240" i="7"/>
  <c r="AF241" i="7"/>
  <c r="AF242" i="7"/>
  <c r="AF243" i="7"/>
  <c r="AF244" i="7"/>
  <c r="AE221" i="7"/>
  <c r="AF221" i="7"/>
  <c r="AE216" i="7"/>
  <c r="AF216" i="7"/>
  <c r="AE208" i="7"/>
  <c r="AF208" i="7"/>
  <c r="AE200" i="7"/>
  <c r="AF200" i="7"/>
  <c r="AE194" i="7"/>
  <c r="AF194" i="7"/>
  <c r="AE186" i="7"/>
  <c r="AF186" i="7"/>
  <c r="AE179" i="7"/>
  <c r="AF179" i="7"/>
  <c r="AE163" i="7"/>
  <c r="AE164" i="7"/>
  <c r="AE165" i="7"/>
  <c r="AE166" i="7"/>
  <c r="AE171" i="7" s="1"/>
  <c r="AE173" i="7" s="1"/>
  <c r="AF163" i="7"/>
  <c r="AF164" i="7"/>
  <c r="AF165" i="7"/>
  <c r="AF166" i="7"/>
  <c r="AF171" i="7" s="1"/>
  <c r="AE157" i="7"/>
  <c r="AE158" i="7"/>
  <c r="AE159" i="7"/>
  <c r="AF157" i="7"/>
  <c r="AF158" i="7"/>
  <c r="AF159" i="7"/>
  <c r="AE145" i="7"/>
  <c r="AE146" i="7"/>
  <c r="AE147" i="7"/>
  <c r="AE148" i="7"/>
  <c r="AE149" i="7"/>
  <c r="AE150" i="7"/>
  <c r="AE151" i="7"/>
  <c r="AE152" i="7"/>
  <c r="AF145" i="7"/>
  <c r="AF146" i="7"/>
  <c r="AF147" i="7"/>
  <c r="AF148" i="7"/>
  <c r="AF149" i="7"/>
  <c r="AF150" i="7"/>
  <c r="AF151" i="7"/>
  <c r="AF152" i="7"/>
  <c r="AE129" i="7"/>
  <c r="AE130" i="7"/>
  <c r="AE131" i="7"/>
  <c r="AF129" i="7"/>
  <c r="AF130" i="7"/>
  <c r="AF131" i="7"/>
  <c r="AE123" i="7"/>
  <c r="AF123" i="7"/>
  <c r="AE94" i="7"/>
  <c r="AE95" i="7"/>
  <c r="AE96" i="7"/>
  <c r="AF94" i="7"/>
  <c r="AF95" i="7"/>
  <c r="AF96" i="7"/>
  <c r="AE87" i="7"/>
  <c r="AF87" i="7"/>
  <c r="AE81" i="7"/>
  <c r="AF81" i="7"/>
  <c r="AE75" i="7"/>
  <c r="AF75" i="7"/>
  <c r="AE69" i="7"/>
  <c r="AF69" i="7"/>
  <c r="AE61" i="7"/>
  <c r="AF61" i="7"/>
  <c r="AE55" i="7"/>
  <c r="AF55" i="7"/>
  <c r="AE49" i="7"/>
  <c r="AF49" i="7"/>
  <c r="AE43" i="7"/>
  <c r="AF43" i="7"/>
  <c r="AE38" i="7"/>
  <c r="AF38" i="7"/>
  <c r="AE33" i="7"/>
  <c r="AF33" i="7"/>
  <c r="AE28" i="7"/>
  <c r="AF28" i="7"/>
  <c r="AE22" i="7"/>
  <c r="AF22" i="7"/>
  <c r="AE17" i="7"/>
  <c r="AF17" i="7"/>
  <c r="AE12" i="7"/>
  <c r="AF12" i="7"/>
  <c r="AE6" i="7"/>
  <c r="AF6" i="7"/>
  <c r="J324" i="7"/>
  <c r="K324" i="7"/>
  <c r="L324" i="7"/>
  <c r="M324" i="7"/>
  <c r="N324" i="7"/>
  <c r="O324" i="7"/>
  <c r="J276" i="7"/>
  <c r="K276" i="7"/>
  <c r="L276" i="7"/>
  <c r="M276" i="7"/>
  <c r="N276" i="7"/>
  <c r="O276" i="7"/>
  <c r="J262" i="7"/>
  <c r="K262" i="7"/>
  <c r="L262" i="7"/>
  <c r="M262" i="7"/>
  <c r="N262" i="7"/>
  <c r="O262" i="7"/>
  <c r="J221" i="7"/>
  <c r="K221" i="7"/>
  <c r="L221" i="7"/>
  <c r="M221" i="7"/>
  <c r="N221" i="7"/>
  <c r="O221" i="7"/>
  <c r="J216" i="7"/>
  <c r="K216" i="7"/>
  <c r="L216" i="7"/>
  <c r="M216" i="7"/>
  <c r="N216" i="7"/>
  <c r="O216" i="7"/>
  <c r="J200" i="7"/>
  <c r="K200" i="7"/>
  <c r="L200" i="7"/>
  <c r="M200" i="7"/>
  <c r="N200" i="7"/>
  <c r="O200" i="7"/>
  <c r="J194" i="7"/>
  <c r="K194" i="7"/>
  <c r="L194" i="7"/>
  <c r="M194" i="7"/>
  <c r="N194" i="7"/>
  <c r="O194" i="7"/>
  <c r="J186" i="7"/>
  <c r="K186" i="7"/>
  <c r="L186" i="7"/>
  <c r="M186" i="7"/>
  <c r="N186" i="7"/>
  <c r="O186" i="7"/>
  <c r="J179" i="7"/>
  <c r="K179" i="7"/>
  <c r="L179" i="7"/>
  <c r="M179" i="7"/>
  <c r="N179" i="7"/>
  <c r="O179" i="7"/>
  <c r="J157" i="7"/>
  <c r="J158" i="7"/>
  <c r="J159" i="7"/>
  <c r="K157" i="7"/>
  <c r="K158" i="7"/>
  <c r="K159" i="7"/>
  <c r="L157" i="7"/>
  <c r="L158" i="7"/>
  <c r="L159" i="7"/>
  <c r="M157" i="7"/>
  <c r="M158" i="7"/>
  <c r="M159" i="7"/>
  <c r="N157" i="7"/>
  <c r="N158" i="7"/>
  <c r="N159" i="7"/>
  <c r="O157" i="7"/>
  <c r="O158" i="7"/>
  <c r="O159" i="7"/>
  <c r="Q145" i="7"/>
  <c r="Q146" i="7"/>
  <c r="Q147" i="7"/>
  <c r="Q148" i="7"/>
  <c r="Q149" i="7"/>
  <c r="Q150" i="7"/>
  <c r="Q151" i="7"/>
  <c r="Q152" i="7"/>
  <c r="J123" i="7"/>
  <c r="K123" i="7"/>
  <c r="L123" i="7"/>
  <c r="M123" i="7"/>
  <c r="N123" i="7"/>
  <c r="O123" i="7"/>
  <c r="J87" i="7"/>
  <c r="K87" i="7"/>
  <c r="L87" i="7"/>
  <c r="M87" i="7"/>
  <c r="N87" i="7"/>
  <c r="O87" i="7"/>
  <c r="J81" i="7"/>
  <c r="K81" i="7"/>
  <c r="L81" i="7"/>
  <c r="M81" i="7"/>
  <c r="N81" i="7"/>
  <c r="O81" i="7"/>
  <c r="J75" i="7"/>
  <c r="K75" i="7"/>
  <c r="L75" i="7"/>
  <c r="M75" i="7"/>
  <c r="N75" i="7"/>
  <c r="O75" i="7"/>
  <c r="J69" i="7"/>
  <c r="K69" i="7"/>
  <c r="L69" i="7"/>
  <c r="M69" i="7"/>
  <c r="N69" i="7"/>
  <c r="O69" i="7"/>
  <c r="J61" i="7"/>
  <c r="K61" i="7"/>
  <c r="L61" i="7"/>
  <c r="M61" i="7"/>
  <c r="N61" i="7"/>
  <c r="O61" i="7"/>
  <c r="J55" i="7"/>
  <c r="K55" i="7"/>
  <c r="L55" i="7"/>
  <c r="M55" i="7"/>
  <c r="N55" i="7"/>
  <c r="O55" i="7"/>
  <c r="J49" i="7"/>
  <c r="K49" i="7"/>
  <c r="L49" i="7"/>
  <c r="M49" i="7"/>
  <c r="N49" i="7"/>
  <c r="O49" i="7"/>
  <c r="J43" i="7"/>
  <c r="K43" i="7"/>
  <c r="L43" i="7"/>
  <c r="M43" i="7"/>
  <c r="N43" i="7"/>
  <c r="O43" i="7"/>
  <c r="J38" i="7"/>
  <c r="K38" i="7"/>
  <c r="L38" i="7"/>
  <c r="M38" i="7"/>
  <c r="N38" i="7"/>
  <c r="O38" i="7"/>
  <c r="J33" i="7"/>
  <c r="K33" i="7"/>
  <c r="L33" i="7"/>
  <c r="M33" i="7"/>
  <c r="N33" i="7"/>
  <c r="O33" i="7"/>
  <c r="J28" i="7"/>
  <c r="K28" i="7"/>
  <c r="L28" i="7"/>
  <c r="M28" i="7"/>
  <c r="N28" i="7"/>
  <c r="O28" i="7"/>
  <c r="J22" i="7"/>
  <c r="K22" i="7"/>
  <c r="L22" i="7"/>
  <c r="M22" i="7"/>
  <c r="N22" i="7"/>
  <c r="O22" i="7"/>
  <c r="J17" i="7"/>
  <c r="K17" i="7"/>
  <c r="L17" i="7"/>
  <c r="M17" i="7"/>
  <c r="N17" i="7"/>
  <c r="O17" i="7"/>
  <c r="J12" i="7"/>
  <c r="K12" i="7"/>
  <c r="L12" i="7"/>
  <c r="M12" i="7"/>
  <c r="N12" i="7"/>
  <c r="O12" i="7"/>
  <c r="J6" i="7"/>
  <c r="K6" i="7"/>
  <c r="L6" i="7"/>
  <c r="M6" i="7"/>
  <c r="N6" i="7"/>
  <c r="O6" i="7"/>
  <c r="AJ324" i="7"/>
  <c r="AD324" i="7"/>
  <c r="AC324" i="7"/>
  <c r="AB324" i="7"/>
  <c r="AA324" i="7"/>
  <c r="Z324" i="7"/>
  <c r="U324" i="7"/>
  <c r="T324" i="7"/>
  <c r="R324" i="7"/>
  <c r="G324" i="7"/>
  <c r="AJ312" i="7"/>
  <c r="AJ313" i="7"/>
  <c r="AH312" i="7"/>
  <c r="AH313" i="7"/>
  <c r="AG312" i="7"/>
  <c r="AG313" i="7"/>
  <c r="AD312" i="7"/>
  <c r="AD313" i="7"/>
  <c r="AC312" i="7"/>
  <c r="AC313" i="7"/>
  <c r="AB312" i="7"/>
  <c r="AB313" i="7"/>
  <c r="AA312" i="7"/>
  <c r="AA313" i="7"/>
  <c r="Z312" i="7"/>
  <c r="Z313" i="7"/>
  <c r="U312" i="7"/>
  <c r="U313" i="7"/>
  <c r="T312" i="7"/>
  <c r="T313" i="7"/>
  <c r="R312" i="7"/>
  <c r="R313" i="7"/>
  <c r="Q312" i="7"/>
  <c r="Q313" i="7"/>
  <c r="G315" i="7"/>
  <c r="AJ302" i="7"/>
  <c r="AJ303" i="7"/>
  <c r="AJ304" i="7"/>
  <c r="AH302" i="7"/>
  <c r="AH303" i="7"/>
  <c r="AH304" i="7"/>
  <c r="AG302" i="7"/>
  <c r="AG303" i="7"/>
  <c r="AG304" i="7"/>
  <c r="AD302" i="7"/>
  <c r="AD303" i="7"/>
  <c r="AD304" i="7"/>
  <c r="AC302" i="7"/>
  <c r="AC303" i="7"/>
  <c r="AC304" i="7"/>
  <c r="AB302" i="7"/>
  <c r="AB303" i="7"/>
  <c r="AB304" i="7"/>
  <c r="AA302" i="7"/>
  <c r="AA303" i="7"/>
  <c r="AA304" i="7"/>
  <c r="Z302" i="7"/>
  <c r="Z303" i="7"/>
  <c r="Z304" i="7"/>
  <c r="U302" i="7"/>
  <c r="U303" i="7"/>
  <c r="U304" i="7"/>
  <c r="T302" i="7"/>
  <c r="T303" i="7"/>
  <c r="T304" i="7"/>
  <c r="R302" i="7"/>
  <c r="R303" i="7"/>
  <c r="R304" i="7"/>
  <c r="Q302" i="7"/>
  <c r="Q303" i="7"/>
  <c r="Q304" i="7"/>
  <c r="G306" i="7"/>
  <c r="AJ291" i="7"/>
  <c r="AJ292" i="7"/>
  <c r="AJ293" i="7"/>
  <c r="AH291" i="7"/>
  <c r="AH292" i="7"/>
  <c r="AH293" i="7"/>
  <c r="AG291" i="7"/>
  <c r="AG292" i="7"/>
  <c r="AG293" i="7"/>
  <c r="AD291" i="7"/>
  <c r="AD292" i="7"/>
  <c r="AD293" i="7"/>
  <c r="AC291" i="7"/>
  <c r="AC292" i="7"/>
  <c r="AC293" i="7"/>
  <c r="AB291" i="7"/>
  <c r="AB292" i="7"/>
  <c r="AB293" i="7"/>
  <c r="AA291" i="7"/>
  <c r="AA292" i="7"/>
  <c r="AA293" i="7"/>
  <c r="Z291" i="7"/>
  <c r="Z292" i="7"/>
  <c r="Z293" i="7"/>
  <c r="U291" i="7"/>
  <c r="U292" i="7"/>
  <c r="U293" i="7"/>
  <c r="T291" i="7"/>
  <c r="T292" i="7"/>
  <c r="T293" i="7"/>
  <c r="R291" i="7"/>
  <c r="R292" i="7"/>
  <c r="R293" i="7"/>
  <c r="Q291" i="7"/>
  <c r="Q292" i="7"/>
  <c r="Q293" i="7"/>
  <c r="G295" i="7"/>
  <c r="AJ281" i="7"/>
  <c r="AJ282" i="7"/>
  <c r="AH281" i="7"/>
  <c r="AH282" i="7"/>
  <c r="AG281" i="7"/>
  <c r="AG282" i="7"/>
  <c r="AD281" i="7"/>
  <c r="AD282" i="7"/>
  <c r="AC281" i="7"/>
  <c r="AC282" i="7"/>
  <c r="AB281" i="7"/>
  <c r="AB282" i="7"/>
  <c r="AA281" i="7"/>
  <c r="AA282" i="7"/>
  <c r="Z281" i="7"/>
  <c r="Z282" i="7"/>
  <c r="U281" i="7"/>
  <c r="U282" i="7"/>
  <c r="T281" i="7"/>
  <c r="T282" i="7"/>
  <c r="R281" i="7"/>
  <c r="R282" i="7"/>
  <c r="Q281" i="7"/>
  <c r="Q282" i="7"/>
  <c r="G284" i="7"/>
  <c r="AJ276" i="7"/>
  <c r="AD276" i="7"/>
  <c r="AC276" i="7"/>
  <c r="AB276" i="7"/>
  <c r="AA276" i="7"/>
  <c r="Z276" i="7"/>
  <c r="U276" i="7"/>
  <c r="T276" i="7"/>
  <c r="R276" i="7"/>
  <c r="G276" i="7"/>
  <c r="AJ270" i="7"/>
  <c r="AH267" i="7"/>
  <c r="AH268" i="7"/>
  <c r="AG267" i="7"/>
  <c r="AG268" i="7"/>
  <c r="AD267" i="7"/>
  <c r="AD268" i="7"/>
  <c r="AC267" i="7"/>
  <c r="AC268" i="7"/>
  <c r="AB267" i="7"/>
  <c r="AB268" i="7"/>
  <c r="AA267" i="7"/>
  <c r="AA268" i="7"/>
  <c r="Z267" i="7"/>
  <c r="Z268" i="7"/>
  <c r="U267" i="7"/>
  <c r="U268" i="7"/>
  <c r="T267" i="7"/>
  <c r="T268" i="7"/>
  <c r="R267" i="7"/>
  <c r="R268" i="7"/>
  <c r="Q267" i="7"/>
  <c r="Q268" i="7"/>
  <c r="G270" i="7"/>
  <c r="AJ252" i="7"/>
  <c r="AJ253" i="7"/>
  <c r="AJ254" i="7"/>
  <c r="AH252" i="7"/>
  <c r="AH253" i="7"/>
  <c r="AH254" i="7"/>
  <c r="AG252" i="7"/>
  <c r="AG253" i="7"/>
  <c r="AG254" i="7"/>
  <c r="AD252" i="7"/>
  <c r="AD253" i="7"/>
  <c r="AD254" i="7"/>
  <c r="AC252" i="7"/>
  <c r="AC253" i="7"/>
  <c r="AC254" i="7"/>
  <c r="AB252" i="7"/>
  <c r="AB253" i="7"/>
  <c r="AB254" i="7"/>
  <c r="AA252" i="7"/>
  <c r="AA253" i="7"/>
  <c r="AA254" i="7"/>
  <c r="Z252" i="7"/>
  <c r="Z253" i="7"/>
  <c r="Z254" i="7"/>
  <c r="U252" i="7"/>
  <c r="U253" i="7"/>
  <c r="U254" i="7"/>
  <c r="T252" i="7"/>
  <c r="T253" i="7"/>
  <c r="T254" i="7"/>
  <c r="R252" i="7"/>
  <c r="R253" i="7"/>
  <c r="R254" i="7"/>
  <c r="Q252" i="7"/>
  <c r="Q253" i="7"/>
  <c r="Q254" i="7"/>
  <c r="G256" i="7"/>
  <c r="AJ239" i="7"/>
  <c r="AJ240" i="7"/>
  <c r="AJ241" i="7"/>
  <c r="AJ242" i="7"/>
  <c r="AJ243" i="7"/>
  <c r="AJ244" i="7"/>
  <c r="AH239" i="7"/>
  <c r="AH240" i="7"/>
  <c r="AH241" i="7"/>
  <c r="AH242" i="7"/>
  <c r="AH243" i="7"/>
  <c r="AH244" i="7"/>
  <c r="AG239" i="7"/>
  <c r="AG240" i="7"/>
  <c r="AG241" i="7"/>
  <c r="AG242" i="7"/>
  <c r="AG243" i="7"/>
  <c r="AG244" i="7"/>
  <c r="AD239" i="7"/>
  <c r="AD240" i="7"/>
  <c r="AD241" i="7"/>
  <c r="AD242" i="7"/>
  <c r="AD243" i="7"/>
  <c r="AD244" i="7"/>
  <c r="AC239" i="7"/>
  <c r="AC240" i="7"/>
  <c r="AC241" i="7"/>
  <c r="AC242" i="7"/>
  <c r="AC243" i="7"/>
  <c r="AC244" i="7"/>
  <c r="AB239" i="7"/>
  <c r="AB240" i="7"/>
  <c r="AB241" i="7"/>
  <c r="AB242" i="7"/>
  <c r="AB243" i="7"/>
  <c r="AB244" i="7"/>
  <c r="AA239" i="7"/>
  <c r="AA240" i="7"/>
  <c r="AA241" i="7"/>
  <c r="AA242" i="7"/>
  <c r="AA243" i="7"/>
  <c r="AA244" i="7"/>
  <c r="Z239" i="7"/>
  <c r="Z240" i="7"/>
  <c r="Z241" i="7"/>
  <c r="Z242" i="7"/>
  <c r="Z243" i="7"/>
  <c r="Z244" i="7"/>
  <c r="U239" i="7"/>
  <c r="U240" i="7"/>
  <c r="U241" i="7"/>
  <c r="U242" i="7"/>
  <c r="U243" i="7"/>
  <c r="U244" i="7"/>
  <c r="T239" i="7"/>
  <c r="T240" i="7"/>
  <c r="T241" i="7"/>
  <c r="T242" i="7"/>
  <c r="T243" i="7"/>
  <c r="T244" i="7"/>
  <c r="R239" i="7"/>
  <c r="R240" i="7"/>
  <c r="R241" i="7"/>
  <c r="R242" i="7"/>
  <c r="R243" i="7"/>
  <c r="R244" i="7"/>
  <c r="Q239" i="7"/>
  <c r="Q240" i="7"/>
  <c r="Q241" i="7"/>
  <c r="Q242" i="7"/>
  <c r="Q243" i="7"/>
  <c r="Q244" i="7"/>
  <c r="G246" i="7"/>
  <c r="AJ216" i="7"/>
  <c r="AD216" i="7"/>
  <c r="AC216" i="7"/>
  <c r="AB216" i="7"/>
  <c r="AA216" i="7"/>
  <c r="Z216" i="7"/>
  <c r="U216" i="7"/>
  <c r="T216" i="7"/>
  <c r="R216" i="7"/>
  <c r="G216" i="7"/>
  <c r="AJ208" i="7"/>
  <c r="AD208" i="7"/>
  <c r="AC208" i="7"/>
  <c r="AB208" i="7"/>
  <c r="AA208" i="7"/>
  <c r="Z208" i="7"/>
  <c r="U208" i="7"/>
  <c r="T208" i="7"/>
  <c r="R208" i="7"/>
  <c r="O208" i="7"/>
  <c r="N208" i="7"/>
  <c r="M208" i="7"/>
  <c r="L208" i="7"/>
  <c r="K208" i="7"/>
  <c r="J208" i="7"/>
  <c r="G208" i="7"/>
  <c r="AJ194" i="7"/>
  <c r="AD194" i="7"/>
  <c r="AC194" i="7"/>
  <c r="AB194" i="7"/>
  <c r="AA194" i="7"/>
  <c r="Z194" i="7"/>
  <c r="U194" i="7"/>
  <c r="T194" i="7"/>
  <c r="R194" i="7"/>
  <c r="G194" i="7"/>
  <c r="AJ179" i="7"/>
  <c r="AD179" i="7"/>
  <c r="AC179" i="7"/>
  <c r="AB179" i="7"/>
  <c r="AA179" i="7"/>
  <c r="Z179" i="7"/>
  <c r="U179" i="7"/>
  <c r="T179" i="7"/>
  <c r="R179" i="7"/>
  <c r="AJ186" i="7"/>
  <c r="AD186" i="7"/>
  <c r="AC186" i="7"/>
  <c r="AB186" i="7"/>
  <c r="AA186" i="7"/>
  <c r="Z186" i="7"/>
  <c r="U186" i="7"/>
  <c r="T186" i="7"/>
  <c r="R186" i="7"/>
  <c r="G186" i="7"/>
  <c r="AJ163" i="7"/>
  <c r="AJ164" i="7"/>
  <c r="AJ165" i="7"/>
  <c r="AJ166" i="7"/>
  <c r="AH163" i="7"/>
  <c r="AH164" i="7"/>
  <c r="AH165" i="7"/>
  <c r="AH166" i="7"/>
  <c r="AG163" i="7"/>
  <c r="AG164" i="7"/>
  <c r="AG165" i="7"/>
  <c r="AG166" i="7"/>
  <c r="AD163" i="7"/>
  <c r="AD164" i="7"/>
  <c r="AD165" i="7"/>
  <c r="AD166" i="7"/>
  <c r="AC163" i="7"/>
  <c r="AC164" i="7"/>
  <c r="AC165" i="7"/>
  <c r="AC166" i="7"/>
  <c r="AB163" i="7"/>
  <c r="AB164" i="7"/>
  <c r="AB165" i="7"/>
  <c r="AB166" i="7"/>
  <c r="AA163" i="7"/>
  <c r="AA164" i="7"/>
  <c r="AA165" i="7"/>
  <c r="AA166" i="7"/>
  <c r="Z163" i="7"/>
  <c r="Z164" i="7"/>
  <c r="Z165" i="7"/>
  <c r="Z166" i="7"/>
  <c r="U163" i="7"/>
  <c r="U164" i="7"/>
  <c r="U165" i="7"/>
  <c r="U166" i="7"/>
  <c r="T163" i="7"/>
  <c r="T164" i="7"/>
  <c r="T165" i="7"/>
  <c r="T166" i="7"/>
  <c r="R163" i="7"/>
  <c r="R164" i="7"/>
  <c r="R165" i="7"/>
  <c r="R166" i="7"/>
  <c r="Q163" i="7"/>
  <c r="Q164" i="7"/>
  <c r="Q165" i="7"/>
  <c r="Q166" i="7"/>
  <c r="G173" i="7"/>
  <c r="AJ157" i="7"/>
  <c r="AJ158" i="7"/>
  <c r="AJ159" i="7"/>
  <c r="AH157" i="7"/>
  <c r="AH158" i="7"/>
  <c r="AH159" i="7"/>
  <c r="AG157" i="7"/>
  <c r="AG158" i="7"/>
  <c r="AG159" i="7"/>
  <c r="AD157" i="7"/>
  <c r="AD158" i="7"/>
  <c r="AD159" i="7"/>
  <c r="AC157" i="7"/>
  <c r="AC158" i="7"/>
  <c r="AC159" i="7"/>
  <c r="AB157" i="7"/>
  <c r="AB158" i="7"/>
  <c r="AB159" i="7"/>
  <c r="AA157" i="7"/>
  <c r="AA158" i="7"/>
  <c r="AA159" i="7"/>
  <c r="Z157" i="7"/>
  <c r="Z158" i="7"/>
  <c r="Z159" i="7"/>
  <c r="U157" i="7"/>
  <c r="U158" i="7"/>
  <c r="U159" i="7"/>
  <c r="T157" i="7"/>
  <c r="T158" i="7"/>
  <c r="T159" i="7"/>
  <c r="R157" i="7"/>
  <c r="R158" i="7"/>
  <c r="R159" i="7"/>
  <c r="Q157" i="7"/>
  <c r="Q158" i="7"/>
  <c r="Q159" i="7"/>
  <c r="G161" i="7"/>
  <c r="AJ146" i="7"/>
  <c r="AJ147" i="7"/>
  <c r="AJ148" i="7"/>
  <c r="AJ149" i="7"/>
  <c r="AJ150" i="7"/>
  <c r="AJ151" i="7"/>
  <c r="AJ152" i="7"/>
  <c r="AJ145" i="7"/>
  <c r="AH145" i="7"/>
  <c r="AH146" i="7"/>
  <c r="AH147" i="7"/>
  <c r="AH148" i="7"/>
  <c r="AH149" i="7"/>
  <c r="AH150" i="7"/>
  <c r="AH151" i="7"/>
  <c r="AH152" i="7"/>
  <c r="AG145" i="7"/>
  <c r="AG146" i="7"/>
  <c r="AG147" i="7"/>
  <c r="AG148" i="7"/>
  <c r="AG149" i="7"/>
  <c r="AG150" i="7"/>
  <c r="AG151" i="7"/>
  <c r="AG152" i="7"/>
  <c r="AD145" i="7"/>
  <c r="AD146" i="7"/>
  <c r="AD147" i="7"/>
  <c r="AD148" i="7"/>
  <c r="AD149" i="7"/>
  <c r="AD150" i="7"/>
  <c r="AD151" i="7"/>
  <c r="AD152" i="7"/>
  <c r="AC145" i="7"/>
  <c r="AC146" i="7"/>
  <c r="AC147" i="7"/>
  <c r="AC148" i="7"/>
  <c r="AC149" i="7"/>
  <c r="AC150" i="7"/>
  <c r="AC151" i="7"/>
  <c r="AC152" i="7"/>
  <c r="AB145" i="7"/>
  <c r="AB146" i="7"/>
  <c r="AB147" i="7"/>
  <c r="AB148" i="7"/>
  <c r="AB149" i="7"/>
  <c r="AB150" i="7"/>
  <c r="AB151" i="7"/>
  <c r="AB152" i="7"/>
  <c r="AA145" i="7"/>
  <c r="AA146" i="7"/>
  <c r="AA147" i="7"/>
  <c r="AA148" i="7"/>
  <c r="AA149" i="7"/>
  <c r="AA150" i="7"/>
  <c r="AA151" i="7"/>
  <c r="AA152" i="7"/>
  <c r="Z145" i="7"/>
  <c r="Z146" i="7"/>
  <c r="Z147" i="7"/>
  <c r="Z148" i="7"/>
  <c r="Z149" i="7"/>
  <c r="Z150" i="7"/>
  <c r="Z151" i="7"/>
  <c r="Z152" i="7"/>
  <c r="U145" i="7"/>
  <c r="U146" i="7"/>
  <c r="U147" i="7"/>
  <c r="U148" i="7"/>
  <c r="U149" i="7"/>
  <c r="U150" i="7"/>
  <c r="U151" i="7"/>
  <c r="U152" i="7"/>
  <c r="T145" i="7"/>
  <c r="T146" i="7"/>
  <c r="T147" i="7"/>
  <c r="T148" i="7"/>
  <c r="T149" i="7"/>
  <c r="T150" i="7"/>
  <c r="T151" i="7"/>
  <c r="T152" i="7"/>
  <c r="R145" i="7"/>
  <c r="R146" i="7"/>
  <c r="R147" i="7"/>
  <c r="R148" i="7"/>
  <c r="R149" i="7"/>
  <c r="R150" i="7"/>
  <c r="R151" i="7"/>
  <c r="R152" i="7"/>
  <c r="G154" i="7"/>
  <c r="AJ129" i="7"/>
  <c r="AJ130" i="7"/>
  <c r="AJ131" i="7"/>
  <c r="AH129" i="7"/>
  <c r="AH130" i="7"/>
  <c r="AH131" i="7"/>
  <c r="AG129" i="7"/>
  <c r="AG130" i="7"/>
  <c r="AG131" i="7"/>
  <c r="AD129" i="7"/>
  <c r="AD130" i="7"/>
  <c r="AD131" i="7"/>
  <c r="AC129" i="7"/>
  <c r="AC130" i="7"/>
  <c r="AC131" i="7"/>
  <c r="AB129" i="7"/>
  <c r="AB130" i="7"/>
  <c r="AB131" i="7"/>
  <c r="AA129" i="7"/>
  <c r="AA130" i="7"/>
  <c r="AA131" i="7"/>
  <c r="Z129" i="7"/>
  <c r="Z130" i="7"/>
  <c r="Z131" i="7"/>
  <c r="U129" i="7"/>
  <c r="U130" i="7"/>
  <c r="U131" i="7"/>
  <c r="T129" i="7"/>
  <c r="T130" i="7"/>
  <c r="T131" i="7"/>
  <c r="R129" i="7"/>
  <c r="R130" i="7"/>
  <c r="R131" i="7"/>
  <c r="Q129" i="7"/>
  <c r="Q130" i="7"/>
  <c r="Q131" i="7"/>
  <c r="G133" i="7"/>
  <c r="AJ123" i="7"/>
  <c r="AD123" i="7"/>
  <c r="AC123" i="7"/>
  <c r="AB123" i="7"/>
  <c r="AA123" i="7"/>
  <c r="Z123" i="7"/>
  <c r="U123" i="7"/>
  <c r="T123" i="7"/>
  <c r="R123" i="7"/>
  <c r="G123" i="7"/>
  <c r="G109" i="7"/>
  <c r="AJ94" i="7"/>
  <c r="AJ95" i="7"/>
  <c r="AJ96" i="7"/>
  <c r="AH94" i="7"/>
  <c r="AH95" i="7"/>
  <c r="AH96" i="7"/>
  <c r="AG94" i="7"/>
  <c r="AG95" i="7"/>
  <c r="AG96" i="7"/>
  <c r="AD94" i="7"/>
  <c r="AD95" i="7"/>
  <c r="AD96" i="7"/>
  <c r="AC94" i="7"/>
  <c r="AC95" i="7"/>
  <c r="AC96" i="7"/>
  <c r="AB94" i="7"/>
  <c r="AB95" i="7"/>
  <c r="AB96" i="7"/>
  <c r="AA94" i="7"/>
  <c r="AA95" i="7"/>
  <c r="AA96" i="7"/>
  <c r="Z94" i="7"/>
  <c r="Z95" i="7"/>
  <c r="Z96" i="7"/>
  <c r="U94" i="7"/>
  <c r="U95" i="7"/>
  <c r="U96" i="7"/>
  <c r="T94" i="7"/>
  <c r="T95" i="7"/>
  <c r="T96" i="7"/>
  <c r="R94" i="7"/>
  <c r="R95" i="7"/>
  <c r="R96" i="7"/>
  <c r="Q94" i="7"/>
  <c r="Q95" i="7"/>
  <c r="Q96" i="7"/>
  <c r="G98" i="7"/>
  <c r="AJ69" i="7"/>
  <c r="AD69" i="7"/>
  <c r="AC69" i="7"/>
  <c r="AB69" i="7"/>
  <c r="AA69" i="7"/>
  <c r="Z69" i="7"/>
  <c r="U69" i="7"/>
  <c r="T69" i="7"/>
  <c r="R69" i="7"/>
  <c r="G69" i="7"/>
  <c r="AJ200" i="7"/>
  <c r="AD200" i="7"/>
  <c r="AC200" i="7"/>
  <c r="AB200" i="7"/>
  <c r="AA200" i="7"/>
  <c r="Z200" i="7"/>
  <c r="U200" i="7"/>
  <c r="T200" i="7"/>
  <c r="R200" i="7"/>
  <c r="G200" i="7"/>
  <c r="AJ55" i="7"/>
  <c r="AD55" i="7"/>
  <c r="AC55" i="7"/>
  <c r="AB55" i="7"/>
  <c r="AA55" i="7"/>
  <c r="Z55" i="7"/>
  <c r="U55" i="7"/>
  <c r="T55" i="7"/>
  <c r="R55" i="7"/>
  <c r="G55" i="7"/>
  <c r="AJ49" i="7"/>
  <c r="AD49" i="7"/>
  <c r="AC49" i="7"/>
  <c r="AB49" i="7"/>
  <c r="AA49" i="7"/>
  <c r="Z49" i="7"/>
  <c r="U49" i="7"/>
  <c r="T49" i="7"/>
  <c r="R49" i="7"/>
  <c r="G49" i="7"/>
  <c r="AJ262" i="7"/>
  <c r="AD262" i="7"/>
  <c r="AC262" i="7"/>
  <c r="AB262" i="7"/>
  <c r="AA262" i="7"/>
  <c r="Z262" i="7"/>
  <c r="U262" i="7"/>
  <c r="T262" i="7"/>
  <c r="R262" i="7"/>
  <c r="G262" i="7"/>
  <c r="AJ221" i="7"/>
  <c r="AD221" i="7"/>
  <c r="AC221" i="7"/>
  <c r="AB221" i="7"/>
  <c r="AA221" i="7"/>
  <c r="Z221" i="7"/>
  <c r="U221" i="7"/>
  <c r="T221" i="7"/>
  <c r="R221" i="7"/>
  <c r="G221" i="7"/>
  <c r="G179" i="7"/>
  <c r="AJ87" i="7"/>
  <c r="AD87" i="7"/>
  <c r="AC87" i="7"/>
  <c r="AB87" i="7"/>
  <c r="AA87" i="7"/>
  <c r="Z87" i="7"/>
  <c r="U87" i="7"/>
  <c r="T87" i="7"/>
  <c r="R87" i="7"/>
  <c r="G87" i="7"/>
  <c r="AJ81" i="7"/>
  <c r="AD81" i="7"/>
  <c r="AC81" i="7"/>
  <c r="AB81" i="7"/>
  <c r="AA81" i="7"/>
  <c r="Z81" i="7"/>
  <c r="U81" i="7"/>
  <c r="T81" i="7"/>
  <c r="R81" i="7"/>
  <c r="G81" i="7"/>
  <c r="AJ75" i="7"/>
  <c r="AD75" i="7"/>
  <c r="AC75" i="7"/>
  <c r="AB75" i="7"/>
  <c r="AA75" i="7"/>
  <c r="Z75" i="7"/>
  <c r="U75" i="7"/>
  <c r="T75" i="7"/>
  <c r="R75" i="7"/>
  <c r="G75" i="7"/>
  <c r="AJ61" i="7"/>
  <c r="AD61" i="7"/>
  <c r="AC61" i="7"/>
  <c r="AB61" i="7"/>
  <c r="AA61" i="7"/>
  <c r="Z61" i="7"/>
  <c r="U61" i="7"/>
  <c r="T61" i="7"/>
  <c r="R61" i="7"/>
  <c r="G61" i="7"/>
  <c r="AJ43" i="7"/>
  <c r="AD43" i="7"/>
  <c r="AC43" i="7"/>
  <c r="AB43" i="7"/>
  <c r="AA43" i="7"/>
  <c r="Z43" i="7"/>
  <c r="U43" i="7"/>
  <c r="T43" i="7"/>
  <c r="R43" i="7"/>
  <c r="G43" i="7"/>
  <c r="AA28" i="7"/>
  <c r="AJ38" i="7"/>
  <c r="AD38" i="7"/>
  <c r="AC38" i="7"/>
  <c r="AB38" i="7"/>
  <c r="AA38" i="7"/>
  <c r="Z38" i="7"/>
  <c r="U38" i="7"/>
  <c r="T38" i="7"/>
  <c r="R38" i="7"/>
  <c r="G38" i="7"/>
  <c r="AJ33" i="7"/>
  <c r="AD33" i="7"/>
  <c r="AC33" i="7"/>
  <c r="AB33" i="7"/>
  <c r="AA33" i="7"/>
  <c r="Z33" i="7"/>
  <c r="U33" i="7"/>
  <c r="T33" i="7"/>
  <c r="R33" i="7"/>
  <c r="G33" i="7"/>
  <c r="AJ28" i="7"/>
  <c r="AD28" i="7"/>
  <c r="AC28" i="7"/>
  <c r="AB28" i="7"/>
  <c r="Z28" i="7"/>
  <c r="U28" i="7"/>
  <c r="T28" i="7"/>
  <c r="R28" i="7"/>
  <c r="G28" i="7"/>
  <c r="AJ22" i="7"/>
  <c r="AD22" i="7"/>
  <c r="AC22" i="7"/>
  <c r="AB22" i="7"/>
  <c r="AA22" i="7"/>
  <c r="Z22" i="7"/>
  <c r="U22" i="7"/>
  <c r="T22" i="7"/>
  <c r="R22" i="7"/>
  <c r="G22" i="7"/>
  <c r="AJ17" i="7"/>
  <c r="AD17" i="7"/>
  <c r="AC17" i="7"/>
  <c r="AB17" i="7"/>
  <c r="AA17" i="7"/>
  <c r="Z17" i="7"/>
  <c r="U17" i="7"/>
  <c r="T17" i="7"/>
  <c r="R17" i="7"/>
  <c r="G17" i="7"/>
  <c r="AJ12" i="7"/>
  <c r="AD12" i="7"/>
  <c r="AC12" i="7"/>
  <c r="AB12" i="7"/>
  <c r="AA12" i="7"/>
  <c r="Z12" i="7"/>
  <c r="U12" i="7"/>
  <c r="T12" i="7"/>
  <c r="R12" i="7"/>
  <c r="G12" i="7"/>
  <c r="AJ6" i="7"/>
  <c r="AD6" i="7"/>
  <c r="AC6" i="7"/>
  <c r="AB6" i="7"/>
  <c r="AA6" i="7"/>
  <c r="Z6" i="7"/>
  <c r="U6" i="7"/>
  <c r="T6" i="7"/>
  <c r="R6" i="7"/>
  <c r="G6" i="7"/>
  <c r="AJ149" i="1"/>
  <c r="AE149" i="1"/>
  <c r="O149" i="1"/>
  <c r="Q149" i="1" s="1"/>
  <c r="Q79" i="1"/>
  <c r="P79" i="1"/>
  <c r="G79" i="1"/>
  <c r="AJ53" i="1"/>
  <c r="AJ54" i="1" s="1"/>
  <c r="AH53" i="1"/>
  <c r="AH54" i="1" s="1"/>
  <c r="AG53" i="1"/>
  <c r="AG54" i="1"/>
  <c r="AF53" i="1"/>
  <c r="AF54" i="1" s="1"/>
  <c r="AE53" i="1"/>
  <c r="AE54" i="1" s="1"/>
  <c r="AD53" i="1"/>
  <c r="AD54" i="1" s="1"/>
  <c r="AC53" i="1"/>
  <c r="AC54" i="1"/>
  <c r="AB53" i="1"/>
  <c r="AB54" i="1" s="1"/>
  <c r="AA53" i="1"/>
  <c r="AA54" i="1" s="1"/>
  <c r="Z53" i="1"/>
  <c r="Z54" i="1" s="1"/>
  <c r="U53" i="1"/>
  <c r="U54" i="1" s="1"/>
  <c r="T53" i="1"/>
  <c r="T54" i="1" s="1"/>
  <c r="R53" i="1"/>
  <c r="R54" i="1" s="1"/>
  <c r="Q53" i="1"/>
  <c r="Q54" i="1" s="1"/>
  <c r="P53" i="1"/>
  <c r="P54" i="1" s="1"/>
  <c r="O53" i="1"/>
  <c r="O54" i="1" s="1"/>
  <c r="N53" i="1"/>
  <c r="N54" i="1" s="1"/>
  <c r="M53" i="1"/>
  <c r="M54" i="1" s="1"/>
  <c r="L53" i="1"/>
  <c r="L54" i="1" s="1"/>
  <c r="K53" i="1"/>
  <c r="K54" i="1" s="1"/>
  <c r="J53" i="1"/>
  <c r="J54" i="1" s="1"/>
  <c r="AJ34" i="1"/>
  <c r="AD34" i="1"/>
  <c r="AC34" i="1"/>
  <c r="AB34" i="1"/>
  <c r="AA34" i="1"/>
  <c r="Z34" i="1"/>
  <c r="U34" i="1"/>
  <c r="T34" i="1"/>
  <c r="R34" i="1"/>
  <c r="Q34" i="1"/>
  <c r="O34" i="1"/>
  <c r="N34" i="1"/>
  <c r="M34" i="1"/>
  <c r="L34" i="1"/>
  <c r="K34" i="1"/>
  <c r="J34" i="1"/>
  <c r="G34" i="1"/>
  <c r="AJ10" i="1"/>
  <c r="AH10" i="1"/>
  <c r="AG10" i="1"/>
  <c r="AF10" i="1"/>
  <c r="AE10" i="1"/>
  <c r="AD10" i="1"/>
  <c r="AC10" i="1"/>
  <c r="AB10" i="1"/>
  <c r="AA10" i="1"/>
  <c r="Z10" i="1"/>
  <c r="U10" i="1"/>
  <c r="T10" i="1"/>
  <c r="R10" i="1"/>
  <c r="Q10" i="1"/>
  <c r="P10" i="1"/>
  <c r="O10" i="1"/>
  <c r="N10" i="1"/>
  <c r="M10" i="1"/>
  <c r="L10" i="1"/>
  <c r="K10" i="1"/>
  <c r="J10" i="1"/>
  <c r="AF21" i="1"/>
  <c r="AH21" i="1" s="1"/>
  <c r="AJ5" i="1"/>
  <c r="AJ6" i="1" s="1"/>
  <c r="AH5" i="1"/>
  <c r="AH6" i="1"/>
  <c r="AF5" i="1"/>
  <c r="AF6" i="1" s="1"/>
  <c r="AE5" i="1"/>
  <c r="AE6" i="1" s="1"/>
  <c r="AD5" i="1"/>
  <c r="AD6" i="1" s="1"/>
  <c r="AC5" i="1"/>
  <c r="AC6" i="1"/>
  <c r="AB5" i="1"/>
  <c r="AB6" i="1" s="1"/>
  <c r="AA5" i="1"/>
  <c r="AA6" i="1" s="1"/>
  <c r="Z5" i="1"/>
  <c r="Z6" i="1" s="1"/>
  <c r="U5" i="1"/>
  <c r="U6" i="1" s="1"/>
  <c r="T5" i="1"/>
  <c r="T6" i="1" s="1"/>
  <c r="R5" i="1"/>
  <c r="R6" i="1" s="1"/>
  <c r="Q5" i="1"/>
  <c r="Q6" i="1" s="1"/>
  <c r="O5" i="1"/>
  <c r="O6" i="1" s="1"/>
  <c r="N5" i="1"/>
  <c r="N6" i="1" s="1"/>
  <c r="M5" i="1"/>
  <c r="M6" i="1" s="1"/>
  <c r="L5" i="1"/>
  <c r="L6" i="1" s="1"/>
  <c r="K5" i="1"/>
  <c r="K6" i="1" s="1"/>
  <c r="J5" i="1"/>
  <c r="J6" i="1" s="1"/>
  <c r="G5" i="1"/>
  <c r="G6" i="1" s="1"/>
  <c r="S8" i="4"/>
  <c r="Y17" i="6"/>
  <c r="X17" i="6"/>
  <c r="Y9" i="6"/>
  <c r="X9" i="6"/>
  <c r="Q12" i="6"/>
  <c r="Q17" i="6" s="1"/>
  <c r="Q13" i="6"/>
  <c r="Q14" i="6"/>
  <c r="Q15" i="6"/>
  <c r="Q2" i="6"/>
  <c r="Q3" i="6"/>
  <c r="Q4" i="6"/>
  <c r="Q9" i="6" s="1"/>
  <c r="Q5" i="6"/>
  <c r="Q6" i="6"/>
  <c r="Q7" i="6"/>
  <c r="AT17" i="6"/>
  <c r="AS17" i="6"/>
  <c r="AR17" i="6"/>
  <c r="AQ17" i="6"/>
  <c r="AP17" i="6"/>
  <c r="AO17" i="6"/>
  <c r="AN17" i="6"/>
  <c r="AM17" i="6"/>
  <c r="AL17" i="6"/>
  <c r="AK17" i="6"/>
  <c r="AJ17" i="6"/>
  <c r="AI17" i="6"/>
  <c r="AH17" i="6"/>
  <c r="AG17" i="6"/>
  <c r="AF14" i="6"/>
  <c r="AF17" i="6" s="1"/>
  <c r="AE17" i="6"/>
  <c r="AD17" i="6"/>
  <c r="AC17" i="6"/>
  <c r="AB17" i="6"/>
  <c r="AA17" i="6"/>
  <c r="Z17" i="6"/>
  <c r="U17" i="6"/>
  <c r="T17" i="6"/>
  <c r="R17" i="6"/>
  <c r="P17" i="6"/>
  <c r="O17" i="6"/>
  <c r="N17" i="6"/>
  <c r="M17" i="6"/>
  <c r="L17" i="6"/>
  <c r="K17" i="6"/>
  <c r="J17" i="6"/>
  <c r="H17" i="6"/>
  <c r="G17" i="6"/>
  <c r="AT9" i="6"/>
  <c r="AS9" i="6"/>
  <c r="AR9" i="6"/>
  <c r="AQ9" i="6"/>
  <c r="AP9" i="6"/>
  <c r="AO9" i="6"/>
  <c r="AN9" i="6"/>
  <c r="AM9" i="6"/>
  <c r="AL9" i="6"/>
  <c r="AK9" i="6"/>
  <c r="AJ9" i="6"/>
  <c r="AI9" i="6"/>
  <c r="AH9" i="6"/>
  <c r="AG9" i="6"/>
  <c r="AF9" i="6"/>
  <c r="AE9" i="6"/>
  <c r="AD9" i="6"/>
  <c r="AC9" i="6"/>
  <c r="AB9" i="6"/>
  <c r="AA9" i="6"/>
  <c r="Z9" i="6"/>
  <c r="U9" i="6"/>
  <c r="T9" i="6"/>
  <c r="R9" i="6"/>
  <c r="P9" i="6"/>
  <c r="O9" i="6"/>
  <c r="N9" i="6"/>
  <c r="M9" i="6"/>
  <c r="L9" i="6"/>
  <c r="K9" i="6"/>
  <c r="J9" i="6"/>
  <c r="G9" i="6"/>
  <c r="Q15" i="4"/>
  <c r="S15" i="4" s="1"/>
  <c r="Q14" i="4"/>
  <c r="S14" i="4" s="1"/>
  <c r="X13" i="4"/>
  <c r="Y13" i="4" s="1"/>
  <c r="S13" i="4"/>
  <c r="Q12" i="4"/>
  <c r="S12" i="4"/>
  <c r="S11" i="4"/>
  <c r="Q10" i="4"/>
  <c r="S10" i="4"/>
  <c r="Q9" i="4"/>
  <c r="S9" i="4" s="1"/>
  <c r="AF170" i="7"/>
  <c r="AE170" i="7"/>
  <c r="Q171" i="7"/>
  <c r="R171" i="7"/>
  <c r="T171" i="7"/>
  <c r="U171" i="7"/>
  <c r="Z171" i="7"/>
  <c r="AA171" i="7"/>
  <c r="AB171" i="7"/>
  <c r="AC171" i="7"/>
  <c r="AD171" i="7"/>
  <c r="AG171" i="7"/>
  <c r="AH171" i="7"/>
  <c r="AJ171" i="7"/>
  <c r="AF169" i="7"/>
  <c r="AE169" i="7"/>
  <c r="F173" i="7"/>
  <c r="Q169" i="7"/>
  <c r="R169" i="7"/>
  <c r="T169" i="7"/>
  <c r="U169" i="7"/>
  <c r="Z169" i="7"/>
  <c r="AA169" i="7"/>
  <c r="AB169" i="7"/>
  <c r="AC169" i="7"/>
  <c r="AD169" i="7"/>
  <c r="AG169" i="7"/>
  <c r="AH169" i="7"/>
  <c r="AJ169" i="7"/>
  <c r="AG17" i="7"/>
  <c r="AD109" i="7"/>
  <c r="O169" i="7"/>
  <c r="N169" i="7"/>
  <c r="AG342" i="7"/>
  <c r="O170" i="7"/>
  <c r="O171" i="7"/>
  <c r="N171" i="7"/>
  <c r="M171" i="7"/>
  <c r="L171" i="7"/>
  <c r="K171" i="7"/>
  <c r="AC315" i="7"/>
  <c r="AG12" i="7"/>
  <c r="AG22" i="7"/>
  <c r="AG43" i="7"/>
  <c r="AG55" i="7"/>
  <c r="AG69" i="7"/>
  <c r="T109" i="7"/>
  <c r="Q168" i="7"/>
  <c r="R168" i="7"/>
  <c r="T168" i="7"/>
  <c r="U168" i="7"/>
  <c r="U170" i="7"/>
  <c r="Z168" i="7"/>
  <c r="AA168" i="7"/>
  <c r="AB168" i="7"/>
  <c r="AC168" i="7"/>
  <c r="AC170" i="7"/>
  <c r="AC173" i="7" s="1"/>
  <c r="AD168" i="7"/>
  <c r="AG168" i="7"/>
  <c r="AH168" i="7"/>
  <c r="AJ168" i="7"/>
  <c r="AB109" i="7"/>
  <c r="AF109" i="7"/>
  <c r="J168" i="7"/>
  <c r="L270" i="7"/>
  <c r="N295" i="7"/>
  <c r="J295" i="7"/>
  <c r="O306" i="7"/>
  <c r="K306" i="7"/>
  <c r="L315" i="7"/>
  <c r="AE386" i="7"/>
  <c r="L386" i="7"/>
  <c r="J386" i="7"/>
  <c r="AA270" i="7"/>
  <c r="AB284" i="7"/>
  <c r="Q170" i="7"/>
  <c r="R170" i="7"/>
  <c r="T170" i="7"/>
  <c r="Z170" i="7"/>
  <c r="AA170" i="7"/>
  <c r="AB170" i="7"/>
  <c r="AB173" i="7" s="1"/>
  <c r="AD170" i="7"/>
  <c r="AG170" i="7"/>
  <c r="AH170" i="7"/>
  <c r="AJ170" i="7"/>
  <c r="Z109" i="7"/>
  <c r="L169" i="7"/>
  <c r="AF168" i="7"/>
  <c r="AE168" i="7"/>
  <c r="K284" i="7"/>
  <c r="Z270" i="7"/>
  <c r="AD270" i="7"/>
  <c r="R284" i="7"/>
  <c r="U284" i="7"/>
  <c r="AA284" i="7"/>
  <c r="U295" i="7"/>
  <c r="AC295" i="7"/>
  <c r="AD315" i="7"/>
  <c r="AH22" i="7"/>
  <c r="AH69" i="7"/>
  <c r="AG186" i="7"/>
  <c r="AG200" i="7"/>
  <c r="AG216" i="7"/>
  <c r="AG221" i="7"/>
  <c r="AH262" i="7"/>
  <c r="AF284" i="7"/>
  <c r="AA109" i="7"/>
  <c r="AE109" i="7"/>
  <c r="AG109" i="7" s="1"/>
  <c r="U229" i="7"/>
  <c r="AA229" i="7"/>
  <c r="AG229" i="7"/>
  <c r="N229" i="7"/>
  <c r="J229" i="7"/>
  <c r="AH28" i="7"/>
  <c r="AH75" i="7"/>
  <c r="AH87" i="7"/>
  <c r="AE133" i="7"/>
  <c r="N133" i="7"/>
  <c r="J133" i="7"/>
  <c r="K315" i="7"/>
  <c r="J161" i="7"/>
  <c r="AE295" i="7"/>
  <c r="R109" i="7"/>
  <c r="J170" i="7"/>
  <c r="J173" i="7" s="1"/>
  <c r="M170" i="7"/>
  <c r="K170" i="7"/>
  <c r="AB229" i="7"/>
  <c r="AJ386" i="7"/>
  <c r="R161" i="7"/>
  <c r="AJ246" i="7"/>
  <c r="AG61" i="7"/>
  <c r="AF133" i="7"/>
  <c r="M98" i="7"/>
  <c r="K169" i="7"/>
  <c r="AF98" i="7"/>
  <c r="L98" i="7"/>
  <c r="M246" i="7"/>
  <c r="O270" i="7"/>
  <c r="L284" i="7"/>
  <c r="O295" i="7"/>
  <c r="K295" i="7"/>
  <c r="Q352" i="7"/>
  <c r="AD386" i="7"/>
  <c r="AH6" i="7"/>
  <c r="AG33" i="7"/>
  <c r="AH43" i="7"/>
  <c r="O133" i="7"/>
  <c r="K133" i="7"/>
  <c r="U154" i="7"/>
  <c r="Q262" i="7"/>
  <c r="U109" i="7"/>
  <c r="AC109" i="7"/>
  <c r="AJ109" i="7"/>
  <c r="L133" i="7"/>
  <c r="N98" i="7"/>
  <c r="J98" i="7"/>
  <c r="AD229" i="7"/>
  <c r="AF229" i="7"/>
  <c r="AG372" i="7"/>
  <c r="Q61" i="7"/>
  <c r="N161" i="7"/>
  <c r="M161" i="7"/>
  <c r="AG38" i="7"/>
  <c r="AH49" i="7"/>
  <c r="AF315" i="7"/>
  <c r="M133" i="7"/>
  <c r="O98" i="7"/>
  <c r="K98" i="7"/>
  <c r="J169" i="7"/>
  <c r="AC154" i="7"/>
  <c r="R342" i="7"/>
  <c r="T154" i="7"/>
  <c r="AB154" i="7"/>
  <c r="AD246" i="7"/>
  <c r="T256" i="7"/>
  <c r="AB256" i="7"/>
  <c r="R270" i="7"/>
  <c r="T295" i="7"/>
  <c r="AB295" i="7"/>
  <c r="Z315" i="7"/>
  <c r="AB315" i="7"/>
  <c r="Q123" i="7"/>
  <c r="L161" i="7"/>
  <c r="Q221" i="7"/>
  <c r="Q324" i="7"/>
  <c r="AG179" i="7"/>
  <c r="AG194" i="7"/>
  <c r="AG208" i="7"/>
  <c r="AF270" i="7"/>
  <c r="AF295" i="7"/>
  <c r="AH295" i="7" s="1"/>
  <c r="L109" i="7"/>
  <c r="N170" i="7"/>
  <c r="L168" i="7"/>
  <c r="L173" i="7" s="1"/>
  <c r="T229" i="7"/>
  <c r="AC229" i="7"/>
  <c r="N246" i="7"/>
  <c r="O256" i="7"/>
  <c r="K256" i="7"/>
  <c r="O284" i="7"/>
  <c r="L295" i="7"/>
  <c r="O315" i="7"/>
  <c r="O386" i="7"/>
  <c r="R154" i="7"/>
  <c r="AA154" i="7"/>
  <c r="U161" i="7"/>
  <c r="AC161" i="7"/>
  <c r="R246" i="7"/>
  <c r="U246" i="7"/>
  <c r="AA246" i="7"/>
  <c r="T284" i="7"/>
  <c r="Z284" i="7"/>
  <c r="R295" i="7"/>
  <c r="AA295" i="7"/>
  <c r="AJ306" i="7"/>
  <c r="R315" i="7"/>
  <c r="Q38" i="7"/>
  <c r="Q81" i="7"/>
  <c r="Q194" i="7"/>
  <c r="Q216" i="7"/>
  <c r="AH17" i="7"/>
  <c r="AH38" i="7"/>
  <c r="AH61" i="7"/>
  <c r="AH81" i="7"/>
  <c r="AE284" i="7"/>
  <c r="AH284" i="7" s="1"/>
  <c r="M295" i="7"/>
  <c r="AH342" i="7"/>
  <c r="Q368" i="7"/>
  <c r="R98" i="7"/>
  <c r="AA98" i="7"/>
  <c r="T133" i="7"/>
  <c r="AB133" i="7"/>
  <c r="Z154" i="7"/>
  <c r="AD154" i="7"/>
  <c r="T161" i="7"/>
  <c r="AC284" i="7"/>
  <c r="Z295" i="7"/>
  <c r="AD295" i="7"/>
  <c r="T306" i="7"/>
  <c r="AB306" i="7"/>
  <c r="Q17" i="7"/>
  <c r="Q28" i="7"/>
  <c r="Q87" i="7"/>
  <c r="AG6" i="7"/>
  <c r="AH12" i="7"/>
  <c r="AG28" i="7"/>
  <c r="AH33" i="7"/>
  <c r="AG49" i="7"/>
  <c r="AH55" i="7"/>
  <c r="AG75" i="7"/>
  <c r="AF161" i="7"/>
  <c r="L170" i="7"/>
  <c r="M229" i="7"/>
  <c r="K270" i="7"/>
  <c r="Q334" i="7"/>
  <c r="R386" i="7"/>
  <c r="AF386" i="7"/>
  <c r="AH386" i="7" s="1"/>
  <c r="AG81" i="7"/>
  <c r="AG87" i="7"/>
  <c r="AF154" i="7"/>
  <c r="AH154" i="7" s="1"/>
  <c r="AE161" i="7"/>
  <c r="AH161" i="7" s="1"/>
  <c r="AG161" i="7"/>
  <c r="AH179" i="7"/>
  <c r="AH186" i="7"/>
  <c r="AH194" i="7"/>
  <c r="AH200" i="7"/>
  <c r="AH208" i="7"/>
  <c r="AH216" i="7"/>
  <c r="AH221" i="7"/>
  <c r="AF246" i="7"/>
  <c r="AE256" i="7"/>
  <c r="AH256" i="7" s="1"/>
  <c r="AE306" i="7"/>
  <c r="AH306" i="7" s="1"/>
  <c r="N109" i="7"/>
  <c r="J109" i="7"/>
  <c r="N154" i="7"/>
  <c r="J154" i="7"/>
  <c r="K168" i="7"/>
  <c r="M169" i="7"/>
  <c r="AJ229" i="7"/>
  <c r="K229" i="7"/>
  <c r="N256" i="7"/>
  <c r="J256" i="7"/>
  <c r="M270" i="7"/>
  <c r="J270" i="7"/>
  <c r="M284" i="7"/>
  <c r="J284" i="7"/>
  <c r="N306" i="7"/>
  <c r="J306" i="7"/>
  <c r="M315" i="7"/>
  <c r="J315" i="7"/>
  <c r="Q315" i="7" s="1"/>
  <c r="Q347" i="7"/>
  <c r="AH372" i="7"/>
  <c r="Q372" i="7"/>
  <c r="T386" i="7"/>
  <c r="AC386" i="7"/>
  <c r="M386" i="7"/>
  <c r="K386" i="7"/>
  <c r="Z98" i="7"/>
  <c r="AD98" i="7"/>
  <c r="R133" i="7"/>
  <c r="AA133" i="7"/>
  <c r="AJ154" i="7"/>
  <c r="AB161" i="7"/>
  <c r="AC246" i="7"/>
  <c r="R256" i="7"/>
  <c r="AA256" i="7"/>
  <c r="U270" i="7"/>
  <c r="AB270" i="7"/>
  <c r="AJ284" i="7"/>
  <c r="R306" i="7"/>
  <c r="AA306" i="7"/>
  <c r="U315" i="7"/>
  <c r="AA315" i="7"/>
  <c r="Q12" i="7"/>
  <c r="Q22" i="7"/>
  <c r="Q49" i="7"/>
  <c r="O161" i="7"/>
  <c r="Q186" i="7"/>
  <c r="Q200" i="7"/>
  <c r="AE98" i="7"/>
  <c r="AG98" i="7" s="1"/>
  <c r="AH123" i="7"/>
  <c r="AF256" i="7"/>
  <c r="AG256" i="7" s="1"/>
  <c r="AH276" i="7"/>
  <c r="AF306" i="7"/>
  <c r="AE315" i="7"/>
  <c r="AG315" i="7" s="1"/>
  <c r="O109" i="7"/>
  <c r="K109" i="7"/>
  <c r="O154" i="7"/>
  <c r="K154" i="7"/>
  <c r="L246" i="7"/>
  <c r="U98" i="7"/>
  <c r="AC98" i="7"/>
  <c r="AJ98" i="7"/>
  <c r="Z133" i="7"/>
  <c r="AD133" i="7"/>
  <c r="AA161" i="7"/>
  <c r="AJ161" i="7"/>
  <c r="AJ173" i="7"/>
  <c r="T246" i="7"/>
  <c r="Z256" i="7"/>
  <c r="AD256" i="7"/>
  <c r="AJ295" i="7"/>
  <c r="Z306" i="7"/>
  <c r="AD306" i="7"/>
  <c r="Q33" i="7"/>
  <c r="Q43" i="7"/>
  <c r="Q75" i="7"/>
  <c r="Q276" i="7"/>
  <c r="AH133" i="7"/>
  <c r="L154" i="7"/>
  <c r="R229" i="7"/>
  <c r="Z229" i="7"/>
  <c r="AE229" i="7"/>
  <c r="AH229" i="7"/>
  <c r="O229" i="7"/>
  <c r="Q229" i="7" s="1"/>
  <c r="L229" i="7"/>
  <c r="O246" i="7"/>
  <c r="J246" i="7"/>
  <c r="L256" i="7"/>
  <c r="N270" i="7"/>
  <c r="N284" i="7"/>
  <c r="L306" i="7"/>
  <c r="N315" i="7"/>
  <c r="AG368" i="7"/>
  <c r="Q377" i="7"/>
  <c r="U386" i="7"/>
  <c r="AB386" i="7"/>
  <c r="N386" i="7"/>
  <c r="T98" i="7"/>
  <c r="AB98" i="7"/>
  <c r="U133" i="7"/>
  <c r="AC133" i="7"/>
  <c r="AJ133" i="7"/>
  <c r="Z161" i="7"/>
  <c r="AD161" i="7"/>
  <c r="Z246" i="7"/>
  <c r="AB246" i="7"/>
  <c r="U256" i="7"/>
  <c r="AC256" i="7"/>
  <c r="AJ256" i="7"/>
  <c r="T270" i="7"/>
  <c r="AC270" i="7"/>
  <c r="AD284" i="7"/>
  <c r="U306" i="7"/>
  <c r="AC306" i="7"/>
  <c r="T315" i="7"/>
  <c r="AJ315" i="7"/>
  <c r="Q6" i="7"/>
  <c r="Q55" i="7"/>
  <c r="Q69" i="7"/>
  <c r="K161" i="7"/>
  <c r="Q179" i="7"/>
  <c r="AE154" i="7"/>
  <c r="AE246" i="7"/>
  <c r="AE270" i="7"/>
  <c r="AH270" i="7"/>
  <c r="AH324" i="7"/>
  <c r="M109" i="7"/>
  <c r="Q109" i="7" s="1"/>
  <c r="M154" i="7"/>
  <c r="J171" i="7"/>
  <c r="K246" i="7"/>
  <c r="Q246" i="7" s="1"/>
  <c r="M256" i="7"/>
  <c r="M306" i="7"/>
  <c r="Q306" i="7" s="1"/>
  <c r="Q342" i="7"/>
  <c r="AG123" i="7"/>
  <c r="AG262" i="7"/>
  <c r="AG276" i="7"/>
  <c r="AG324" i="7"/>
  <c r="O168" i="7"/>
  <c r="AH368" i="7"/>
  <c r="AD173" i="7"/>
  <c r="Z173" i="7"/>
  <c r="T173" i="7"/>
  <c r="AG133" i="7"/>
  <c r="O173" i="7"/>
  <c r="AA173" i="7"/>
  <c r="R173" i="7"/>
  <c r="Q284" i="7"/>
  <c r="AH315" i="7"/>
  <c r="Q295" i="7"/>
  <c r="Q98" i="7"/>
  <c r="AG295" i="7"/>
  <c r="Q270" i="7"/>
  <c r="K173" i="7"/>
  <c r="AH98" i="7"/>
  <c r="AG284" i="7"/>
  <c r="AG270" i="7"/>
  <c r="Q386" i="7"/>
  <c r="AG306" i="7"/>
  <c r="AG362" i="7" l="1"/>
  <c r="AH362" i="7"/>
  <c r="AB117" i="7"/>
  <c r="U173" i="7"/>
  <c r="AH34" i="1"/>
  <c r="M117" i="7"/>
  <c r="AJ117" i="7"/>
  <c r="M362" i="7"/>
  <c r="Q362" i="7" s="1"/>
  <c r="AG154" i="7"/>
  <c r="N362" i="7"/>
  <c r="AH246" i="7"/>
  <c r="AH109" i="7"/>
  <c r="N168" i="7"/>
  <c r="N173" i="7" s="1"/>
  <c r="Q173" i="7" s="1"/>
  <c r="AC117" i="7"/>
  <c r="Q256" i="7"/>
  <c r="Q154" i="7"/>
  <c r="AF173" i="7"/>
  <c r="N117" i="7"/>
  <c r="Q161" i="7"/>
  <c r="AG246" i="7"/>
  <c r="AG386" i="7"/>
  <c r="R117" i="7"/>
  <c r="AH167" i="1"/>
  <c r="Q167" i="1"/>
  <c r="AG89" i="1"/>
  <c r="AG34" i="1"/>
  <c r="AG167" i="1"/>
  <c r="AG193" i="1"/>
  <c r="AH89" i="1"/>
  <c r="AG173" i="7"/>
  <c r="AH173" i="7"/>
  <c r="U117" i="7"/>
  <c r="L117" i="7"/>
  <c r="T117" i="7"/>
  <c r="Z117" i="7"/>
  <c r="AE117" i="7"/>
  <c r="J117" i="7"/>
  <c r="AF117" i="7"/>
  <c r="AA117" i="7"/>
  <c r="AH117" i="7" l="1"/>
  <c r="AG1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Moltedo</author>
    <author>Ana Moltedo</author>
  </authors>
  <commentList>
    <comment ref="F7" authorId="0" shapeId="0" xr:uid="{00000000-0006-0000-00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7" authorId="0" shapeId="0" xr:uid="{00000000-0006-0000-00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7" authorId="0" shapeId="0" xr:uid="{00000000-0006-0000-0000-000003000000}">
      <text>
        <r>
          <rPr>
            <b/>
            <sz val="8"/>
            <color indexed="81"/>
            <rFont val="Tahoma"/>
            <family val="2"/>
          </rPr>
          <t>Moltedo:</t>
        </r>
        <r>
          <rPr>
            <sz val="8"/>
            <color indexed="81"/>
            <rFont val="Tahoma"/>
            <family val="2"/>
          </rPr>
          <t xml:space="preserve">
fd_kcal = fd_pro*4 + fd_fat*9 + fd_fib*2 + fd_car*4 + fd_alc*7</t>
        </r>
      </text>
    </comment>
    <comment ref="X13" authorId="1" shapeId="0" xr:uid="{00000000-0006-0000-0000-000004000000}">
      <text>
        <r>
          <rPr>
            <b/>
            <sz val="9"/>
            <color indexed="81"/>
            <rFont val="Arial"/>
            <family val="2"/>
          </rPr>
          <t>Ana Moltedo:</t>
        </r>
        <r>
          <rPr>
            <sz val="9"/>
            <color indexed="81"/>
            <rFont val="Arial"/>
            <family val="2"/>
          </rPr>
          <t xml:space="preserve">
From Lombardi-Boccia G, B.M. Dominguez, A. Aguzzi. 2002. Total Heme and Non-heme Iron in Raw and Cooked Meat. Vol. 67, Nr. 5, 2002—Journal of Food Science.</t>
        </r>
      </text>
    </comment>
    <comment ref="G14" authorId="0" shapeId="0" xr:uid="{00000000-0006-0000-0000-000005000000}">
      <text>
        <r>
          <rPr>
            <b/>
            <sz val="8"/>
            <color indexed="81"/>
            <rFont val="Tahoma"/>
            <family val="2"/>
          </rPr>
          <t>Moltedo:</t>
        </r>
        <r>
          <rPr>
            <sz val="8"/>
            <color indexed="81"/>
            <rFont val="Tahoma"/>
            <family val="2"/>
          </rPr>
          <t xml:space="preserve">
Estimation based on assumption that only 1/20 of nutrients is going to the liquid tea/coffee</t>
        </r>
      </text>
    </comment>
    <comment ref="AJ14" authorId="0" shapeId="0" xr:uid="{00000000-0006-0000-0000-000006000000}">
      <text>
        <r>
          <rPr>
            <b/>
            <sz val="8"/>
            <color indexed="81"/>
            <rFont val="Tahoma"/>
            <family val="2"/>
          </rPr>
          <t>Moltedo:</t>
        </r>
        <r>
          <rPr>
            <sz val="8"/>
            <color indexed="81"/>
            <rFont val="Tahoma"/>
            <family val="2"/>
          </rPr>
          <t xml:space="preserve">
I assume 0</t>
        </r>
      </text>
    </comment>
    <comment ref="AK14" authorId="0" shapeId="0" xr:uid="{00000000-0006-0000-0000-000007000000}">
      <text>
        <r>
          <rPr>
            <b/>
            <sz val="8"/>
            <color indexed="81"/>
            <rFont val="Tahoma"/>
            <family val="2"/>
          </rPr>
          <t>Moltedo:</t>
        </r>
        <r>
          <rPr>
            <sz val="8"/>
            <color indexed="81"/>
            <rFont val="Tahoma"/>
            <family val="2"/>
          </rPr>
          <t xml:space="preserve">
I assume 0</t>
        </r>
      </text>
    </comment>
    <comment ref="AL14" authorId="0" shapeId="0" xr:uid="{00000000-0006-0000-0000-000008000000}">
      <text>
        <r>
          <rPr>
            <b/>
            <sz val="8"/>
            <color indexed="81"/>
            <rFont val="Tahoma"/>
            <family val="2"/>
          </rPr>
          <t>Moltedo:</t>
        </r>
        <r>
          <rPr>
            <sz val="8"/>
            <color indexed="81"/>
            <rFont val="Tahoma"/>
            <family val="2"/>
          </rPr>
          <t xml:space="preserve">
I assume 0</t>
        </r>
      </text>
    </comment>
    <comment ref="AM14" authorId="0" shapeId="0" xr:uid="{00000000-0006-0000-0000-000009000000}">
      <text>
        <r>
          <rPr>
            <b/>
            <sz val="8"/>
            <color indexed="81"/>
            <rFont val="Tahoma"/>
            <family val="2"/>
          </rPr>
          <t>Moltedo:</t>
        </r>
        <r>
          <rPr>
            <sz val="8"/>
            <color indexed="81"/>
            <rFont val="Tahoma"/>
            <family val="2"/>
          </rPr>
          <t xml:space="preserve">
I assume 0</t>
        </r>
      </text>
    </comment>
    <comment ref="AN14" authorId="0" shapeId="0" xr:uid="{00000000-0006-0000-0000-00000A000000}">
      <text>
        <r>
          <rPr>
            <b/>
            <sz val="8"/>
            <color indexed="81"/>
            <rFont val="Tahoma"/>
            <family val="2"/>
          </rPr>
          <t>Moltedo:</t>
        </r>
        <r>
          <rPr>
            <sz val="8"/>
            <color indexed="81"/>
            <rFont val="Tahoma"/>
            <family val="2"/>
          </rPr>
          <t xml:space="preserve">
I assume 0</t>
        </r>
      </text>
    </comment>
    <comment ref="AO14" authorId="0" shapeId="0" xr:uid="{00000000-0006-0000-0000-00000B000000}">
      <text>
        <r>
          <rPr>
            <b/>
            <sz val="8"/>
            <color indexed="81"/>
            <rFont val="Tahoma"/>
            <family val="2"/>
          </rPr>
          <t>Moltedo:</t>
        </r>
        <r>
          <rPr>
            <sz val="8"/>
            <color indexed="81"/>
            <rFont val="Tahoma"/>
            <family val="2"/>
          </rPr>
          <t xml:space="preserve">
I assume 0</t>
        </r>
      </text>
    </comment>
    <comment ref="AQ14" authorId="0" shapeId="0" xr:uid="{00000000-0006-0000-0000-00000C000000}">
      <text>
        <r>
          <rPr>
            <b/>
            <sz val="8"/>
            <color indexed="81"/>
            <rFont val="Tahoma"/>
            <family val="2"/>
          </rPr>
          <t>Moltedo:</t>
        </r>
        <r>
          <rPr>
            <sz val="8"/>
            <color indexed="81"/>
            <rFont val="Tahoma"/>
            <family val="2"/>
          </rPr>
          <t xml:space="preserve">
I assume 0</t>
        </r>
      </text>
    </comment>
    <comment ref="AR14" authorId="0" shapeId="0" xr:uid="{00000000-0006-0000-0000-00000D000000}">
      <text>
        <r>
          <rPr>
            <b/>
            <sz val="8"/>
            <color indexed="81"/>
            <rFont val="Tahoma"/>
            <family val="2"/>
          </rPr>
          <t>Moltedo:</t>
        </r>
        <r>
          <rPr>
            <sz val="8"/>
            <color indexed="81"/>
            <rFont val="Tahoma"/>
            <family val="2"/>
          </rPr>
          <t xml:space="preserve">
I assume 0</t>
        </r>
      </text>
    </comment>
    <comment ref="AS14" authorId="0" shapeId="0" xr:uid="{00000000-0006-0000-0000-00000E000000}">
      <text>
        <r>
          <rPr>
            <b/>
            <sz val="8"/>
            <color indexed="81"/>
            <rFont val="Tahoma"/>
            <family val="2"/>
          </rPr>
          <t>Moltedo:</t>
        </r>
        <r>
          <rPr>
            <sz val="8"/>
            <color indexed="81"/>
            <rFont val="Tahoma"/>
            <family val="2"/>
          </rPr>
          <t xml:space="preserve">
I assume 0</t>
        </r>
      </text>
    </comment>
    <comment ref="AT14" authorId="0" shapeId="0" xr:uid="{00000000-0006-0000-0000-00000F000000}">
      <text>
        <r>
          <rPr>
            <b/>
            <sz val="8"/>
            <color indexed="81"/>
            <rFont val="Tahoma"/>
            <family val="2"/>
          </rPr>
          <t>Moltedo:</t>
        </r>
        <r>
          <rPr>
            <sz val="8"/>
            <color indexed="81"/>
            <rFont val="Tahoma"/>
            <family val="2"/>
          </rPr>
          <t xml:space="preserve">
I assume 0</t>
        </r>
      </text>
    </comment>
    <comment ref="J16" authorId="0" shapeId="0" xr:uid="{00000000-0006-0000-0000-000010000000}">
      <text>
        <r>
          <rPr>
            <b/>
            <sz val="8"/>
            <color indexed="81"/>
            <rFont val="Tahoma"/>
            <family val="2"/>
          </rPr>
          <t>Moltedo:</t>
        </r>
        <r>
          <rPr>
            <sz val="8"/>
            <color indexed="81"/>
            <rFont val="Tahoma"/>
            <family val="2"/>
          </rPr>
          <t xml:space="preserve">
Undefined food items consumed away from should have missing data in this variable</t>
        </r>
      </text>
    </comment>
    <comment ref="K16" authorId="0" shapeId="0" xr:uid="{00000000-0006-0000-0000-000011000000}">
      <text>
        <r>
          <rPr>
            <b/>
            <sz val="8"/>
            <color indexed="81"/>
            <rFont val="Tahoma"/>
            <family val="2"/>
          </rPr>
          <t>Moltedo:</t>
        </r>
        <r>
          <rPr>
            <sz val="8"/>
            <color indexed="81"/>
            <rFont val="Tahoma"/>
            <family val="2"/>
          </rPr>
          <t xml:space="preserve">
Undefined food items consumed away from should have missing data in this variable</t>
        </r>
      </text>
    </comment>
    <comment ref="L16" authorId="0" shapeId="0" xr:uid="{00000000-0006-0000-0000-000012000000}">
      <text>
        <r>
          <rPr>
            <b/>
            <sz val="8"/>
            <color indexed="81"/>
            <rFont val="Tahoma"/>
            <family val="2"/>
          </rPr>
          <t>Moltedo:</t>
        </r>
        <r>
          <rPr>
            <sz val="8"/>
            <color indexed="81"/>
            <rFont val="Tahoma"/>
            <family val="2"/>
          </rPr>
          <t xml:space="preserve">
Undefined food items consumed away from should have missing data in this variable</t>
        </r>
      </text>
    </comment>
    <comment ref="M16" authorId="0" shapeId="0" xr:uid="{00000000-0006-0000-0000-000013000000}">
      <text>
        <r>
          <rPr>
            <b/>
            <sz val="8"/>
            <color indexed="81"/>
            <rFont val="Tahoma"/>
            <family val="2"/>
          </rPr>
          <t>Moltedo:</t>
        </r>
        <r>
          <rPr>
            <sz val="8"/>
            <color indexed="81"/>
            <rFont val="Tahoma"/>
            <family val="2"/>
          </rPr>
          <t xml:space="preserve">
Undefined food items consumed away from should have missing data in this variable</t>
        </r>
      </text>
    </comment>
    <comment ref="N16" authorId="0" shapeId="0" xr:uid="{00000000-0006-0000-0000-000014000000}">
      <text>
        <r>
          <rPr>
            <b/>
            <sz val="8"/>
            <color indexed="81"/>
            <rFont val="Tahoma"/>
            <family val="2"/>
          </rPr>
          <t>Moltedo:</t>
        </r>
        <r>
          <rPr>
            <sz val="8"/>
            <color indexed="81"/>
            <rFont val="Tahoma"/>
            <family val="2"/>
          </rPr>
          <t xml:space="preserve">
Undefined food items consumed away from should have missing data in this variable</t>
        </r>
      </text>
    </comment>
    <comment ref="O16" authorId="0" shapeId="0" xr:uid="{00000000-0006-0000-0000-000015000000}">
      <text>
        <r>
          <rPr>
            <b/>
            <sz val="8"/>
            <color indexed="81"/>
            <rFont val="Tahoma"/>
            <family val="2"/>
          </rPr>
          <t>Moltedo:</t>
        </r>
        <r>
          <rPr>
            <sz val="8"/>
            <color indexed="81"/>
            <rFont val="Tahoma"/>
            <family val="2"/>
          </rPr>
          <t xml:space="preserve">
Undefined food items consumed away from should have missing data in this variable</t>
        </r>
      </text>
    </comment>
    <comment ref="P16" authorId="0" shapeId="0" xr:uid="{00000000-0006-0000-0000-000016000000}">
      <text>
        <r>
          <rPr>
            <b/>
            <sz val="8"/>
            <color indexed="81"/>
            <rFont val="Tahoma"/>
            <family val="2"/>
          </rPr>
          <t>Moltedo:</t>
        </r>
        <r>
          <rPr>
            <sz val="8"/>
            <color indexed="81"/>
            <rFont val="Tahoma"/>
            <family val="2"/>
          </rPr>
          <t xml:space="preserve">
Undefined food items consumed away from should have missing data in this variable</t>
        </r>
      </text>
    </comment>
    <comment ref="Q16" authorId="0" shapeId="0" xr:uid="{00000000-0006-0000-0000-000017000000}">
      <text>
        <r>
          <rPr>
            <b/>
            <sz val="8"/>
            <color indexed="81"/>
            <rFont val="Tahoma"/>
            <family val="2"/>
          </rPr>
          <t>Moltedo:</t>
        </r>
        <r>
          <rPr>
            <sz val="8"/>
            <color indexed="81"/>
            <rFont val="Tahoma"/>
            <family val="2"/>
          </rPr>
          <t xml:space="preserve">
Undefined food items consumed away from should have missing data in this variable</t>
        </r>
      </text>
    </comment>
    <comment ref="R16" authorId="0" shapeId="0" xr:uid="{00000000-0006-0000-0000-000018000000}">
      <text>
        <r>
          <rPr>
            <b/>
            <sz val="8"/>
            <color indexed="81"/>
            <rFont val="Tahoma"/>
            <family val="2"/>
          </rPr>
          <t>Moltedo:</t>
        </r>
        <r>
          <rPr>
            <sz val="8"/>
            <color indexed="81"/>
            <rFont val="Tahoma"/>
            <family val="2"/>
          </rPr>
          <t xml:space="preserve">
Undefined food items consumed away from should have missing data in this variable</t>
        </r>
      </text>
    </comment>
    <comment ref="S16" authorId="0" shapeId="0" xr:uid="{00000000-0006-0000-0000-000019000000}">
      <text>
        <r>
          <rPr>
            <b/>
            <sz val="8"/>
            <color indexed="81"/>
            <rFont val="Tahoma"/>
            <family val="2"/>
          </rPr>
          <t>Moltedo:</t>
        </r>
        <r>
          <rPr>
            <sz val="8"/>
            <color indexed="81"/>
            <rFont val="Tahoma"/>
            <family val="2"/>
          </rPr>
          <t xml:space="preserve">
Undefined food items consumed away from should have missing data in this variable</t>
        </r>
      </text>
    </comment>
    <comment ref="T16" authorId="0" shapeId="0" xr:uid="{00000000-0006-0000-0000-00001A000000}">
      <text>
        <r>
          <rPr>
            <b/>
            <sz val="8"/>
            <color indexed="81"/>
            <rFont val="Tahoma"/>
            <family val="2"/>
          </rPr>
          <t>Moltedo:</t>
        </r>
        <r>
          <rPr>
            <sz val="8"/>
            <color indexed="81"/>
            <rFont val="Tahoma"/>
            <family val="2"/>
          </rPr>
          <t xml:space="preserve">
Undefined food items consumed away from should have missing data in this variable</t>
        </r>
      </text>
    </comment>
    <comment ref="U16" authorId="0" shapeId="0" xr:uid="{00000000-0006-0000-0000-00001B000000}">
      <text>
        <r>
          <rPr>
            <b/>
            <sz val="8"/>
            <color indexed="81"/>
            <rFont val="Tahoma"/>
            <family val="2"/>
          </rPr>
          <t>Moltedo:</t>
        </r>
        <r>
          <rPr>
            <sz val="8"/>
            <color indexed="81"/>
            <rFont val="Tahoma"/>
            <family val="2"/>
          </rPr>
          <t xml:space="preserve">
Undefined food items consumed away from should have missing data in this variable</t>
        </r>
      </text>
    </comment>
    <comment ref="V16" authorId="0" shapeId="0" xr:uid="{00000000-0006-0000-0000-00001C000000}">
      <text>
        <r>
          <rPr>
            <b/>
            <sz val="8"/>
            <color indexed="81"/>
            <rFont val="Tahoma"/>
            <family val="2"/>
          </rPr>
          <t>Moltedo:</t>
        </r>
        <r>
          <rPr>
            <sz val="8"/>
            <color indexed="81"/>
            <rFont val="Tahoma"/>
            <family val="2"/>
          </rPr>
          <t xml:space="preserve">
Undefined food items consumed away from should have missing data in this variable</t>
        </r>
      </text>
    </comment>
    <comment ref="W16" authorId="0" shapeId="0" xr:uid="{00000000-0006-0000-0000-00001D000000}">
      <text>
        <r>
          <rPr>
            <b/>
            <sz val="8"/>
            <color indexed="81"/>
            <rFont val="Tahoma"/>
            <family val="2"/>
          </rPr>
          <t>Moltedo:</t>
        </r>
        <r>
          <rPr>
            <sz val="8"/>
            <color indexed="81"/>
            <rFont val="Tahoma"/>
            <family val="2"/>
          </rPr>
          <t xml:space="preserve">
Undefined food items consumed away from should have missing data in this variable</t>
        </r>
      </text>
    </comment>
    <comment ref="Z16" authorId="0" shapeId="0" xr:uid="{00000000-0006-0000-0000-00001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A16" authorId="0" shapeId="0" xr:uid="{00000000-0006-0000-0000-00001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B16" authorId="0" shapeId="0" xr:uid="{00000000-0006-0000-0000-00002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C16" authorId="0" shapeId="0" xr:uid="{00000000-0006-0000-0000-00002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D16" authorId="0" shapeId="0" xr:uid="{00000000-0006-0000-0000-000022000000}">
      <text>
        <r>
          <rPr>
            <b/>
            <sz val="8"/>
            <color indexed="81"/>
            <rFont val="Tahoma"/>
            <family val="2"/>
          </rPr>
          <t>Moltedo:</t>
        </r>
        <r>
          <rPr>
            <sz val="8"/>
            <color indexed="81"/>
            <rFont val="Tahoma"/>
            <family val="2"/>
          </rPr>
          <t xml:space="preserve">
Undefined food items consumed away from should have missing data in this variable</t>
        </r>
      </text>
    </comment>
    <comment ref="AE16" authorId="0" shapeId="0" xr:uid="{00000000-0006-0000-0000-000023000000}">
      <text>
        <r>
          <rPr>
            <b/>
            <sz val="8"/>
            <color indexed="81"/>
            <rFont val="Tahoma"/>
            <family val="2"/>
          </rPr>
          <t>Moltedo:</t>
        </r>
        <r>
          <rPr>
            <sz val="8"/>
            <color indexed="81"/>
            <rFont val="Tahoma"/>
            <family val="2"/>
          </rPr>
          <t xml:space="preserve">
Undefined food items consumed away from should have missing data in this variable</t>
        </r>
      </text>
    </comment>
    <comment ref="AF16" authorId="0" shapeId="0" xr:uid="{00000000-0006-0000-0000-000024000000}">
      <text>
        <r>
          <rPr>
            <b/>
            <sz val="8"/>
            <color indexed="81"/>
            <rFont val="Tahoma"/>
            <family val="2"/>
          </rPr>
          <t>Moltedo:</t>
        </r>
        <r>
          <rPr>
            <sz val="8"/>
            <color indexed="81"/>
            <rFont val="Tahoma"/>
            <family val="2"/>
          </rPr>
          <t xml:space="preserve">
Undefined food items consumed away from should have missing data in this variable</t>
        </r>
      </text>
    </comment>
    <comment ref="AG16" authorId="0" shapeId="0" xr:uid="{00000000-0006-0000-0000-000025000000}">
      <text>
        <r>
          <rPr>
            <b/>
            <sz val="8"/>
            <color indexed="81"/>
            <rFont val="Tahoma"/>
            <family val="2"/>
          </rPr>
          <t>Moltedo:</t>
        </r>
        <r>
          <rPr>
            <sz val="8"/>
            <color indexed="81"/>
            <rFont val="Tahoma"/>
            <family val="2"/>
          </rPr>
          <t xml:space="preserve">
Undefined food items consumed away from should have missing data in this variable</t>
        </r>
      </text>
    </comment>
    <comment ref="AH16" authorId="0" shapeId="0" xr:uid="{00000000-0006-0000-0000-000026000000}">
      <text>
        <r>
          <rPr>
            <b/>
            <sz val="8"/>
            <color indexed="81"/>
            <rFont val="Tahoma"/>
            <family val="2"/>
          </rPr>
          <t>Moltedo:</t>
        </r>
        <r>
          <rPr>
            <sz val="8"/>
            <color indexed="81"/>
            <rFont val="Tahoma"/>
            <family val="2"/>
          </rPr>
          <t xml:space="preserve">
Undefined food items consumed away from should have missing data in this variable</t>
        </r>
      </text>
    </comment>
    <comment ref="AI16" authorId="0" shapeId="0" xr:uid="{00000000-0006-0000-0000-000027000000}">
      <text>
        <r>
          <rPr>
            <b/>
            <sz val="8"/>
            <color indexed="81"/>
            <rFont val="Tahoma"/>
            <family val="2"/>
          </rPr>
          <t>Moltedo:</t>
        </r>
        <r>
          <rPr>
            <sz val="8"/>
            <color indexed="81"/>
            <rFont val="Tahoma"/>
            <family val="2"/>
          </rPr>
          <t xml:space="preserve">
Undefined food items consumed away from should have missing data in this variable</t>
        </r>
      </text>
    </comment>
    <comment ref="AJ16" authorId="0" shapeId="0" xr:uid="{00000000-0006-0000-0000-000028000000}">
      <text>
        <r>
          <rPr>
            <b/>
            <sz val="8"/>
            <color indexed="81"/>
            <rFont val="Tahoma"/>
            <family val="2"/>
          </rPr>
          <t>Moltedo:</t>
        </r>
        <r>
          <rPr>
            <sz val="8"/>
            <color indexed="81"/>
            <rFont val="Tahoma"/>
            <family val="2"/>
          </rPr>
          <t xml:space="preserve">
Undefined food items consumed away from should have missing data in this variable</t>
        </r>
      </text>
    </comment>
    <comment ref="AK16" authorId="0" shapeId="0" xr:uid="{00000000-0006-0000-0000-000029000000}">
      <text>
        <r>
          <rPr>
            <b/>
            <sz val="8"/>
            <color indexed="81"/>
            <rFont val="Tahoma"/>
            <family val="2"/>
          </rPr>
          <t>Moltedo:</t>
        </r>
        <r>
          <rPr>
            <sz val="8"/>
            <color indexed="81"/>
            <rFont val="Tahoma"/>
            <family val="2"/>
          </rPr>
          <t xml:space="preserve">
Undefined food items consumed away from should have missing data in this variable</t>
        </r>
      </text>
    </comment>
    <comment ref="AL16" authorId="0" shapeId="0" xr:uid="{00000000-0006-0000-0000-00002A000000}">
      <text>
        <r>
          <rPr>
            <b/>
            <sz val="8"/>
            <color indexed="81"/>
            <rFont val="Tahoma"/>
            <family val="2"/>
          </rPr>
          <t>Moltedo:</t>
        </r>
        <r>
          <rPr>
            <sz val="8"/>
            <color indexed="81"/>
            <rFont val="Tahoma"/>
            <family val="2"/>
          </rPr>
          <t xml:space="preserve">
Undefined food items consumed away from should have missing data in this variable</t>
        </r>
      </text>
    </comment>
    <comment ref="AM16" authorId="0" shapeId="0" xr:uid="{00000000-0006-0000-0000-00002B000000}">
      <text>
        <r>
          <rPr>
            <b/>
            <sz val="8"/>
            <color indexed="81"/>
            <rFont val="Tahoma"/>
            <family val="2"/>
          </rPr>
          <t>Moltedo:</t>
        </r>
        <r>
          <rPr>
            <sz val="8"/>
            <color indexed="81"/>
            <rFont val="Tahoma"/>
            <family val="2"/>
          </rPr>
          <t xml:space="preserve">
Undefined food items consumed away from should have missing data in this variable</t>
        </r>
      </text>
    </comment>
    <comment ref="AN16" authorId="0" shapeId="0" xr:uid="{00000000-0006-0000-0000-00002C000000}">
      <text>
        <r>
          <rPr>
            <b/>
            <sz val="8"/>
            <color indexed="81"/>
            <rFont val="Tahoma"/>
            <family val="2"/>
          </rPr>
          <t>Moltedo:</t>
        </r>
        <r>
          <rPr>
            <sz val="8"/>
            <color indexed="81"/>
            <rFont val="Tahoma"/>
            <family val="2"/>
          </rPr>
          <t xml:space="preserve">
Undefined food items consumed away from should have missing data in this variable</t>
        </r>
      </text>
    </comment>
    <comment ref="AO16" authorId="0" shapeId="0" xr:uid="{00000000-0006-0000-0000-00002D000000}">
      <text>
        <r>
          <rPr>
            <b/>
            <sz val="8"/>
            <color indexed="81"/>
            <rFont val="Tahoma"/>
            <family val="2"/>
          </rPr>
          <t>Moltedo:</t>
        </r>
        <r>
          <rPr>
            <sz val="8"/>
            <color indexed="81"/>
            <rFont val="Tahoma"/>
            <family val="2"/>
          </rPr>
          <t xml:space="preserve">
Undefined food items consumed away from should have missing data in this variable</t>
        </r>
      </text>
    </comment>
    <comment ref="AP16" authorId="0" shapeId="0" xr:uid="{00000000-0006-0000-0000-00002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Q16" authorId="0" shapeId="0" xr:uid="{00000000-0006-0000-0000-00002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R16" authorId="0" shapeId="0" xr:uid="{00000000-0006-0000-0000-00003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S16" authorId="0" shapeId="0" xr:uid="{00000000-0006-0000-0000-00003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T16" authorId="0" shapeId="0" xr:uid="{00000000-0006-0000-0000-000032000000}">
      <text>
        <r>
          <rPr>
            <b/>
            <sz val="8"/>
            <color indexed="81"/>
            <rFont val="Tahoma"/>
            <family val="2"/>
          </rPr>
          <t>Moltedo:</t>
        </r>
        <r>
          <rPr>
            <sz val="8"/>
            <color indexed="81"/>
            <rFont val="Tahoma"/>
            <family val="2"/>
          </rPr>
          <t xml:space="preserve">
Undefined food items consumed away from should have missing data in this variable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Q1" authorId="0" shapeId="0" xr:uid="{00000000-0006-0000-0100-000001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1" authorId="0" shapeId="0" xr:uid="{00000000-0006-0000-0100-000002000000}">
      <text>
        <r>
          <rPr>
            <b/>
            <sz val="8"/>
            <color indexed="81"/>
            <rFont val="Tahoma"/>
            <family val="2"/>
          </rPr>
          <t>Moltedo:</t>
        </r>
        <r>
          <rPr>
            <sz val="8"/>
            <color indexed="81"/>
            <rFont val="Tahoma"/>
            <family val="2"/>
          </rPr>
          <t xml:space="preserve">
fd_kcal = fd_pro*4 + fd_fat*9 + fd_fib*2 + fd_car*4 + fd_alc*7</t>
        </r>
      </text>
    </comment>
    <comment ref="AF14" authorId="0" shapeId="0" xr:uid="{00000000-0006-0000-0100-000003000000}">
      <text>
        <r>
          <rPr>
            <b/>
            <sz val="8"/>
            <color indexed="81"/>
            <rFont val="Tahoma"/>
            <family val="2"/>
          </rPr>
          <t>Moltedo:</t>
        </r>
        <r>
          <rPr>
            <sz val="8"/>
            <color indexed="81"/>
            <rFont val="Tahoma"/>
            <family val="2"/>
          </rPr>
          <t xml:space="preserve">
estimated as Vit A in RAE*12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Moltedo</author>
    <author>Ana</author>
    <author>Ana Moltedo</author>
  </authors>
  <commentList>
    <comment ref="F3" authorId="0" shapeId="0" xr:uid="{00000000-0006-0000-02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3" authorId="0" shapeId="0" xr:uid="{00000000-0006-0000-02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3" authorId="0" shapeId="0" xr:uid="{00000000-0006-0000-0200-000003000000}">
      <text>
        <r>
          <rPr>
            <b/>
            <sz val="8"/>
            <color indexed="81"/>
            <rFont val="Tahoma"/>
            <family val="2"/>
          </rPr>
          <t>Moltedo:</t>
        </r>
        <r>
          <rPr>
            <sz val="8"/>
            <color indexed="81"/>
            <rFont val="Tahoma"/>
            <family val="2"/>
          </rPr>
          <t xml:space="preserve">
fd_kcal = fd_pro*4 + fd_fat*9 + fd_fib*2 + fd_car*4 + fd_alc*7</t>
        </r>
      </text>
    </comment>
    <comment ref="G52" authorId="1" shapeId="0" xr:uid="{00000000-0006-0000-0200-000004000000}">
      <text>
        <r>
          <rPr>
            <b/>
            <sz val="9"/>
            <color indexed="81"/>
            <rFont val="Tahoma"/>
            <family val="2"/>
          </rPr>
          <t>Ana:</t>
        </r>
        <r>
          <rPr>
            <sz val="9"/>
            <color indexed="81"/>
            <rFont val="Tahoma"/>
            <family val="2"/>
          </rPr>
          <t xml:space="preserve">
I assume 20% of bones</t>
        </r>
      </text>
    </comment>
    <comment ref="G53" authorId="1" shapeId="0" xr:uid="{00000000-0006-0000-0200-000005000000}">
      <text>
        <r>
          <rPr>
            <b/>
            <sz val="9"/>
            <color indexed="81"/>
            <rFont val="Tahoma"/>
            <family val="2"/>
          </rPr>
          <t>Ana:</t>
        </r>
        <r>
          <rPr>
            <sz val="9"/>
            <color indexed="81"/>
            <rFont val="Tahoma"/>
            <family val="2"/>
          </rPr>
          <t xml:space="preserve">
From Kenya FCT Kenyan FCT. Average of: 7001 Beef, high fat, w/o bones, raw
Kenyan FCT 7002 Beef, lean, raw
Kenyan FCT 7004 Beef, medium fat, w/o bones, raw
</t>
        </r>
      </text>
    </comment>
    <comment ref="N152" authorId="2" shapeId="0" xr:uid="{00000000-0006-0000-0200-000006000000}">
      <text>
        <r>
          <rPr>
            <b/>
            <sz val="9"/>
            <color indexed="81"/>
            <rFont val="Arial"/>
            <family val="2"/>
          </rPr>
          <t>Ana Moltedo:</t>
        </r>
        <r>
          <rPr>
            <sz val="9"/>
            <color indexed="81"/>
            <rFont val="Arial"/>
            <family val="2"/>
          </rPr>
          <t xml:space="preserve">
usda 11697, Arrowroot, raw</t>
        </r>
      </text>
    </comment>
    <comment ref="AF175" authorId="2" shapeId="0" xr:uid="{00000000-0006-0000-0200-000007000000}">
      <text>
        <r>
          <rPr>
            <b/>
            <sz val="9"/>
            <color indexed="81"/>
            <rFont val="Arial"/>
            <family val="2"/>
          </rPr>
          <t>Ana Moltedo:</t>
        </r>
        <r>
          <rPr>
            <sz val="9"/>
            <color indexed="81"/>
            <rFont val="Arial"/>
            <family val="2"/>
          </rPr>
          <t xml:space="preserve">
usda 746 Mustard, prepared, yellow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F3" authorId="0" shapeId="0" xr:uid="{00000000-0006-0000-03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3" authorId="0" shapeId="0" xr:uid="{00000000-0006-0000-03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3" authorId="0" shapeId="0" xr:uid="{00000000-0006-0000-0300-000003000000}">
      <text>
        <r>
          <rPr>
            <b/>
            <sz val="8"/>
            <color indexed="81"/>
            <rFont val="Tahoma"/>
            <family val="2"/>
          </rPr>
          <t>Moltedo:</t>
        </r>
        <r>
          <rPr>
            <sz val="8"/>
            <color indexed="81"/>
            <rFont val="Tahoma"/>
            <family val="2"/>
          </rPr>
          <t xml:space="preserve">
fd_kcal = fd_pro*4 + fd_fat*9 + fd_fib*2 + fd_car*4 + fd_alc*7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Moltedo</author>
    <author>Ana Moltedo</author>
    <author>Windows User</author>
  </authors>
  <commentList>
    <comment ref="Q1" authorId="0" shapeId="0" xr:uid="{00000000-0006-0000-0500-000001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1" authorId="0" shapeId="0" xr:uid="{00000000-0006-0000-0500-000002000000}">
      <text>
        <r>
          <rPr>
            <b/>
            <sz val="8"/>
            <color indexed="81"/>
            <rFont val="Tahoma"/>
            <family val="2"/>
          </rPr>
          <t>Moltedo:</t>
        </r>
        <r>
          <rPr>
            <sz val="8"/>
            <color indexed="81"/>
            <rFont val="Tahoma"/>
            <family val="2"/>
          </rPr>
          <t xml:space="preserve">
fd_kcal = fd_pro*4 + fd_fat*9 + fd_fib*2 + fd_car*4 + fd_alc*7</t>
        </r>
      </text>
    </comment>
    <comment ref="AA25" authorId="1" shapeId="0" xr:uid="{00000000-0006-0000-0500-000003000000}">
      <text>
        <r>
          <rPr>
            <b/>
            <sz val="9"/>
            <color indexed="81"/>
            <rFont val="Arial"/>
            <family val="2"/>
          </rPr>
          <t>Ana Moltedo:</t>
        </r>
        <r>
          <rPr>
            <sz val="9"/>
            <color indexed="81"/>
            <rFont val="Arial"/>
            <family val="2"/>
          </rPr>
          <t xml:space="preserve">
usda  20648, Sorghum flour, whole-grain</t>
        </r>
      </text>
    </comment>
    <comment ref="AA26" authorId="1" shapeId="0" xr:uid="{00000000-0006-0000-0500-000004000000}">
      <text>
        <r>
          <rPr>
            <b/>
            <sz val="9"/>
            <color indexed="81"/>
            <rFont val="Arial"/>
            <family val="2"/>
          </rPr>
          <t>Ana Moltedo:</t>
        </r>
        <r>
          <rPr>
            <sz val="9"/>
            <color indexed="81"/>
            <rFont val="Arial"/>
            <family val="2"/>
          </rPr>
          <t xml:space="preserve">
usda  20648, Sorghum flour, whole-grain</t>
        </r>
      </text>
    </comment>
    <comment ref="AA35" authorId="2" shapeId="0" xr:uid="{00000000-0006-0000-0500-000005000000}">
      <text>
        <r>
          <rPr>
            <b/>
            <sz val="9"/>
            <color indexed="81"/>
            <rFont val="Tahoma"/>
            <family val="2"/>
          </rPr>
          <t>Windows User:</t>
        </r>
        <r>
          <rPr>
            <sz val="9"/>
            <color indexed="81"/>
            <rFont val="Tahoma"/>
            <family val="2"/>
          </rPr>
          <t xml:space="preserve">
*(01043) includes 315 mcg of FOLAC</t>
        </r>
      </text>
    </comment>
    <comment ref="AA36" authorId="2" shapeId="0" xr:uid="{00000000-0006-0000-0500-000006000000}">
      <text>
        <r>
          <rPr>
            <b/>
            <sz val="9"/>
            <color indexed="81"/>
            <rFont val="Tahoma"/>
            <family val="2"/>
          </rPr>
          <t>Windows User:</t>
        </r>
        <r>
          <rPr>
            <sz val="9"/>
            <color indexed="81"/>
            <rFont val="Tahoma"/>
            <family val="2"/>
          </rPr>
          <t xml:space="preserve">
*(01020) includes 297 mcg of FOLAC</t>
        </r>
      </text>
    </comment>
    <comment ref="AA45" authorId="2" shapeId="0" xr:uid="{00000000-0006-0000-0500-000007000000}">
      <text>
        <r>
          <rPr>
            <b/>
            <sz val="9"/>
            <color indexed="81"/>
            <rFont val="Tahoma"/>
            <family val="2"/>
          </rPr>
          <t>Windows User:</t>
        </r>
        <r>
          <rPr>
            <sz val="9"/>
            <color indexed="81"/>
            <rFont val="Tahoma"/>
            <family val="2"/>
          </rPr>
          <t xml:space="preserve">
*(01008) includes 246 mcg of FOLAC</t>
        </r>
      </text>
    </comment>
    <comment ref="G274" authorId="1" shapeId="0" xr:uid="{00000000-0006-0000-0500-000008000000}">
      <text>
        <r>
          <rPr>
            <b/>
            <sz val="9"/>
            <color indexed="81"/>
            <rFont val="Arial"/>
            <family val="2"/>
          </rPr>
          <t>Ana Moltedo:</t>
        </r>
        <r>
          <rPr>
            <sz val="9"/>
            <color indexed="81"/>
            <rFont val="Arial"/>
            <family val="2"/>
          </rPr>
          <t xml:space="preserve">
usda 11253, Lettuce, green leaf, raw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Agnieszka Balcerzak (ESN)</author>
  </authors>
  <commentList>
    <comment ref="G12" authorId="0" shapeId="0" xr:uid="{00000000-0006-0000-0600-000001000000}">
      <text>
        <r>
          <rPr>
            <b/>
            <sz val="9"/>
            <color rgb="FF000000"/>
            <rFont val="Tahoma"/>
            <family val="2"/>
          </rPr>
          <t>Agnieszka Balcerzak (ESN):</t>
        </r>
        <r>
          <rPr>
            <sz val="9"/>
            <color rgb="FF000000"/>
            <rFont val="Tahoma"/>
            <family val="2"/>
          </rPr>
          <t xml:space="preserve">
</t>
        </r>
        <r>
          <rPr>
            <sz val="9"/>
            <color rgb="FF000000"/>
            <rFont val="Tahoma"/>
            <family val="2"/>
          </rPr>
          <t xml:space="preserve">http://www.fao.org/docrep/005/ac450e/ac450e03.htm </t>
        </r>
      </text>
    </comment>
    <comment ref="E24" authorId="0" shapeId="0" xr:uid="{00000000-0006-0000-0600-000002000000}">
      <text>
        <r>
          <rPr>
            <b/>
            <sz val="9"/>
            <color indexed="81"/>
            <rFont val="Tahoma"/>
            <family val="2"/>
          </rPr>
          <t>Agnieszka Balcerzak (ESN):</t>
        </r>
        <r>
          <rPr>
            <sz val="9"/>
            <color indexed="81"/>
            <rFont val="Tahoma"/>
            <family val="2"/>
          </rPr>
          <t xml:space="preserve">
Is the disagregation usefull from the foos safety point of view?</t>
        </r>
      </text>
    </comment>
  </commentList>
</comments>
</file>

<file path=xl/sharedStrings.xml><?xml version="1.0" encoding="utf-8"?>
<sst xmlns="http://schemas.openxmlformats.org/spreadsheetml/2006/main" count="3653" uniqueCount="1711">
  <si>
    <t>Calories (Kcal)</t>
  </si>
  <si>
    <t>Reference Food Composition Table (FCT)</t>
  </si>
  <si>
    <t>Food code in FCT</t>
  </si>
  <si>
    <t>Food description in FCT</t>
  </si>
  <si>
    <t>Carbohydrates including fiber (Total) (grams)</t>
  </si>
  <si>
    <t>Water (grams)</t>
  </si>
  <si>
    <t>Ash (grams)</t>
  </si>
  <si>
    <t>USDA</t>
  </si>
  <si>
    <t>Banana ripe</t>
  </si>
  <si>
    <t>Bananas, raw</t>
  </si>
  <si>
    <t>Tomato, raw</t>
  </si>
  <si>
    <t>Tomatoes, red, ripe, raw, year round average</t>
  </si>
  <si>
    <t>Beer</t>
  </si>
  <si>
    <t xml:space="preserve">Alcoholic beverage, beer, regular, all  </t>
  </si>
  <si>
    <t>Lunch</t>
  </si>
  <si>
    <t>09040</t>
  </si>
  <si>
    <t>01123</t>
  </si>
  <si>
    <t>item_cod</t>
  </si>
  <si>
    <t>desc</t>
  </si>
  <si>
    <t>refuse</t>
  </si>
  <si>
    <t>item_grp</t>
  </si>
  <si>
    <t>Reference FCT</t>
  </si>
  <si>
    <t xml:space="preserve">Food Item Index Matching </t>
  </si>
  <si>
    <t>Water</t>
  </si>
  <si>
    <t>Ash</t>
  </si>
  <si>
    <t>fd_pro</t>
  </si>
  <si>
    <t>fd_fat</t>
  </si>
  <si>
    <t>fd_fib</t>
  </si>
  <si>
    <t>fd_alc</t>
  </si>
  <si>
    <t>Carbohydrates including fiber</t>
  </si>
  <si>
    <t>fd_car</t>
  </si>
  <si>
    <t>Calories</t>
  </si>
  <si>
    <t>fd_kcal</t>
  </si>
  <si>
    <t>calcium</t>
  </si>
  <si>
    <t>iron</t>
  </si>
  <si>
    <t>fe_anim</t>
  </si>
  <si>
    <t>fe_nanim</t>
  </si>
  <si>
    <t>vit_c</t>
  </si>
  <si>
    <t>vit_b1</t>
  </si>
  <si>
    <t>vit_b2</t>
  </si>
  <si>
    <t>retinol</t>
  </si>
  <si>
    <t>betacar</t>
  </si>
  <si>
    <t>vit_b6</t>
  </si>
  <si>
    <t>vit_b12</t>
  </si>
  <si>
    <r>
      <t xml:space="preserve">Food item code in Household Survey </t>
    </r>
    <r>
      <rPr>
        <b/>
        <sz val="11"/>
        <color indexed="10"/>
        <rFont val="Calibri"/>
        <family val="2"/>
      </rPr>
      <t>(item_cod)</t>
    </r>
  </si>
  <si>
    <r>
      <t xml:space="preserve">Food item description in Household Survey </t>
    </r>
    <r>
      <rPr>
        <b/>
        <sz val="11"/>
        <color indexed="10"/>
        <rFont val="Calibri"/>
        <family val="2"/>
      </rPr>
      <t>(desc)</t>
    </r>
  </si>
  <si>
    <r>
      <t xml:space="preserve">Refuse factor </t>
    </r>
    <r>
      <rPr>
        <b/>
        <sz val="11"/>
        <color indexed="10"/>
        <rFont val="Calibri"/>
        <family val="2"/>
      </rPr>
      <t>(refuse)</t>
    </r>
  </si>
  <si>
    <r>
      <t xml:space="preserve">Item Group </t>
    </r>
    <r>
      <rPr>
        <b/>
        <sz val="11"/>
        <color indexed="10"/>
        <rFont val="Calibri"/>
        <family val="2"/>
      </rPr>
      <t>(item_grp)</t>
    </r>
  </si>
  <si>
    <r>
      <t xml:space="preserve">Protein (grams) </t>
    </r>
    <r>
      <rPr>
        <b/>
        <sz val="11"/>
        <color indexed="10"/>
        <rFont val="Calibri"/>
        <family val="2"/>
      </rPr>
      <t>(fd_pro)</t>
    </r>
  </si>
  <si>
    <r>
      <t xml:space="preserve">Fat (grams) </t>
    </r>
    <r>
      <rPr>
        <b/>
        <sz val="11"/>
        <color indexed="10"/>
        <rFont val="Calibri"/>
        <family val="2"/>
      </rPr>
      <t>(fd_fat)</t>
    </r>
  </si>
  <si>
    <r>
      <t xml:space="preserve">Fiber (grams) </t>
    </r>
    <r>
      <rPr>
        <b/>
        <sz val="11"/>
        <color indexed="10"/>
        <rFont val="Calibri"/>
        <family val="2"/>
      </rPr>
      <t>(fd_fib)</t>
    </r>
  </si>
  <si>
    <r>
      <t xml:space="preserve">Alcohol (grams) </t>
    </r>
    <r>
      <rPr>
        <b/>
        <sz val="11"/>
        <color indexed="10"/>
        <rFont val="Calibri"/>
        <family val="2"/>
      </rPr>
      <t>(fd_alc)</t>
    </r>
  </si>
  <si>
    <r>
      <t xml:space="preserve">Available Carbohydrates by difference (grams) </t>
    </r>
    <r>
      <rPr>
        <b/>
        <sz val="11"/>
        <color indexed="10"/>
        <rFont val="Calibri"/>
        <family val="2"/>
      </rPr>
      <t>(fd_car)</t>
    </r>
  </si>
  <si>
    <r>
      <t xml:space="preserve">Computed calories (Kcal) </t>
    </r>
    <r>
      <rPr>
        <b/>
        <sz val="11"/>
        <color indexed="10"/>
        <rFont val="Calibri"/>
        <family val="2"/>
      </rPr>
      <t>(fd_kcal)</t>
    </r>
  </si>
  <si>
    <r>
      <t xml:space="preserve">Calcium (milligrams) </t>
    </r>
    <r>
      <rPr>
        <b/>
        <sz val="11"/>
        <color indexed="10"/>
        <rFont val="Calibri"/>
        <family val="2"/>
      </rPr>
      <t>(calcium)</t>
    </r>
  </si>
  <si>
    <r>
      <t xml:space="preserve">Iron (milligrams) </t>
    </r>
    <r>
      <rPr>
        <b/>
        <sz val="11"/>
        <color indexed="10"/>
        <rFont val="Calibri"/>
        <family val="2"/>
      </rPr>
      <t>(iron)</t>
    </r>
  </si>
  <si>
    <r>
      <t xml:space="preserve">Animal iron (milligrams) </t>
    </r>
    <r>
      <rPr>
        <b/>
        <sz val="11"/>
        <color indexed="10"/>
        <rFont val="Calibri"/>
        <family val="2"/>
      </rPr>
      <t>(fe_anim)</t>
    </r>
  </si>
  <si>
    <r>
      <t xml:space="preserve">Non animal iron (milligrams) </t>
    </r>
    <r>
      <rPr>
        <b/>
        <sz val="11"/>
        <color indexed="10"/>
        <rFont val="Calibri"/>
        <family val="2"/>
      </rPr>
      <t>(fe_nanim)</t>
    </r>
  </si>
  <si>
    <r>
      <t xml:space="preserve">Vitamin C (Ascorbic Acid) (milligrams) </t>
    </r>
    <r>
      <rPr>
        <b/>
        <sz val="11"/>
        <color indexed="10"/>
        <rFont val="Calibri"/>
        <family val="2"/>
      </rPr>
      <t>(vit_c)</t>
    </r>
  </si>
  <si>
    <r>
      <t xml:space="preserve">Vitamin B1 (Thiamine) (milligrams) </t>
    </r>
    <r>
      <rPr>
        <b/>
        <sz val="11"/>
        <color indexed="10"/>
        <rFont val="Calibri"/>
        <family val="2"/>
      </rPr>
      <t>(vit_b1)</t>
    </r>
  </si>
  <si>
    <r>
      <t xml:space="preserve">Vitamin B2 (Riboflavin) (milligrams) </t>
    </r>
    <r>
      <rPr>
        <b/>
        <sz val="11"/>
        <color indexed="10"/>
        <rFont val="Calibri"/>
        <family val="2"/>
      </rPr>
      <t>(vit_b2)</t>
    </r>
  </si>
  <si>
    <r>
      <t xml:space="preserve">Retinol (micrograms) </t>
    </r>
    <r>
      <rPr>
        <b/>
        <sz val="11"/>
        <color indexed="10"/>
        <rFont val="Calibri"/>
        <family val="2"/>
      </rPr>
      <t>(retinol)</t>
    </r>
  </si>
  <si>
    <r>
      <t xml:space="preserve">Vitamin B6 (Pyridoxine) (milligrams) </t>
    </r>
    <r>
      <rPr>
        <b/>
        <sz val="11"/>
        <color indexed="10"/>
        <rFont val="Calibri"/>
        <family val="2"/>
      </rPr>
      <t>(vit_b6)</t>
    </r>
  </si>
  <si>
    <r>
      <t xml:space="preserve">Vitamin B12 (Cobalamine) (micrograms) </t>
    </r>
    <r>
      <rPr>
        <b/>
        <sz val="11"/>
        <color indexed="10"/>
        <rFont val="Calibri"/>
        <family val="2"/>
      </rPr>
      <t>(vit_b12)</t>
    </r>
  </si>
  <si>
    <r>
      <t xml:space="preserve">Isoleucine (grams) </t>
    </r>
    <r>
      <rPr>
        <b/>
        <sz val="11"/>
        <color indexed="10"/>
        <rFont val="Calibri"/>
        <family val="2"/>
      </rPr>
      <t>(isoleuc)</t>
    </r>
  </si>
  <si>
    <r>
      <t xml:space="preserve">Leucine (grams) </t>
    </r>
    <r>
      <rPr>
        <b/>
        <sz val="11"/>
        <color indexed="10"/>
        <rFont val="Calibri"/>
        <family val="2"/>
      </rPr>
      <t>(leucine)</t>
    </r>
  </si>
  <si>
    <r>
      <t xml:space="preserve">Lysine (grams) </t>
    </r>
    <r>
      <rPr>
        <b/>
        <sz val="11"/>
        <color indexed="10"/>
        <rFont val="Calibri"/>
        <family val="2"/>
      </rPr>
      <t>(lysine)</t>
    </r>
  </si>
  <si>
    <r>
      <t xml:space="preserve">Methionine (grams) </t>
    </r>
    <r>
      <rPr>
        <b/>
        <sz val="11"/>
        <color indexed="10"/>
        <rFont val="Calibri"/>
        <family val="2"/>
      </rPr>
      <t>(methion)</t>
    </r>
  </si>
  <si>
    <r>
      <t xml:space="preserve">Phenylalanine (grams) </t>
    </r>
    <r>
      <rPr>
        <b/>
        <sz val="11"/>
        <color indexed="10"/>
        <rFont val="Calibri"/>
        <family val="2"/>
      </rPr>
      <t>(phenyl)</t>
    </r>
  </si>
  <si>
    <r>
      <t xml:space="preserve">Threonine (grams) </t>
    </r>
    <r>
      <rPr>
        <b/>
        <sz val="11"/>
        <color indexed="10"/>
        <rFont val="Calibri"/>
        <family val="2"/>
      </rPr>
      <t>(threon)</t>
    </r>
  </si>
  <si>
    <r>
      <t xml:space="preserve">Tryptophan (grams) </t>
    </r>
    <r>
      <rPr>
        <b/>
        <sz val="11"/>
        <color indexed="10"/>
        <rFont val="Calibri"/>
        <family val="2"/>
      </rPr>
      <t>(trypto)</t>
    </r>
  </si>
  <si>
    <r>
      <t xml:space="preserve">Valine (grams) </t>
    </r>
    <r>
      <rPr>
        <b/>
        <sz val="11"/>
        <color indexed="10"/>
        <rFont val="Calibri"/>
        <family val="2"/>
      </rPr>
      <t>(valine)</t>
    </r>
  </si>
  <si>
    <r>
      <t xml:space="preserve">Histidine (grams) </t>
    </r>
    <r>
      <rPr>
        <b/>
        <sz val="11"/>
        <color indexed="10"/>
        <rFont val="Calibri"/>
        <family val="2"/>
      </rPr>
      <t>(histid)</t>
    </r>
  </si>
  <si>
    <r>
      <t xml:space="preserve">Cystine (grams) </t>
    </r>
    <r>
      <rPr>
        <b/>
        <sz val="11"/>
        <color indexed="10"/>
        <rFont val="Calibri"/>
        <family val="2"/>
      </rPr>
      <t>(cysteine)</t>
    </r>
  </si>
  <si>
    <r>
      <t xml:space="preserve">Tyrosine (grams) </t>
    </r>
    <r>
      <rPr>
        <b/>
        <sz val="11"/>
        <color indexed="10"/>
        <rFont val="Calibri"/>
        <family val="2"/>
      </rPr>
      <t>(tyrosine)</t>
    </r>
  </si>
  <si>
    <t>Egg, whole, raw, fresh</t>
  </si>
  <si>
    <t>Example of the input Data File 4 (FACTORS) format</t>
  </si>
  <si>
    <t>Archival of the input Data File 4 (FACTORS)</t>
  </si>
  <si>
    <t>Template of the input Data File 4 (FACTORS)</t>
  </si>
  <si>
    <t xml:space="preserve">Food Item Index Matching (Read the text in the comment of this cell)
</t>
  </si>
  <si>
    <t>20036</t>
  </si>
  <si>
    <t>Rice, brown, long-grain, raw</t>
  </si>
  <si>
    <t>20040</t>
  </si>
  <si>
    <t>Rice, brown, medium-grain, raw</t>
  </si>
  <si>
    <t>20054</t>
  </si>
  <si>
    <t>Rice, white, glutinous, raw</t>
  </si>
  <si>
    <t>20444</t>
  </si>
  <si>
    <t>Rice, white, long-grain, regular, raw, unenriched</t>
  </si>
  <si>
    <t>20450</t>
  </si>
  <si>
    <t>Rice, white, medium-grain, raw, unenriched</t>
  </si>
  <si>
    <t>20452</t>
  </si>
  <si>
    <t>Rice, white, short-grain, raw, unenriched</t>
  </si>
  <si>
    <t>Weighting factor</t>
  </si>
  <si>
    <t>A2</t>
  </si>
  <si>
    <t>From weighted average</t>
  </si>
  <si>
    <t>A</t>
  </si>
  <si>
    <t>11527</t>
  </si>
  <si>
    <t>Tomatoes, green, raw</t>
  </si>
  <si>
    <t>11529</t>
  </si>
  <si>
    <t>11695</t>
  </si>
  <si>
    <t>Tomatoes, orange, raw</t>
  </si>
  <si>
    <t>11696</t>
  </si>
  <si>
    <t>Tomatoes, yellow, raw</t>
  </si>
  <si>
    <r>
      <t xml:space="preserve">Food item code in Household Survey </t>
    </r>
    <r>
      <rPr>
        <b/>
        <sz val="11"/>
        <color indexed="10"/>
        <rFont val="Calibri"/>
        <family val="2"/>
        <scheme val="minor"/>
      </rPr>
      <t>(item_cod)</t>
    </r>
  </si>
  <si>
    <r>
      <t xml:space="preserve">Food item description in Household Survey </t>
    </r>
    <r>
      <rPr>
        <b/>
        <sz val="11"/>
        <color indexed="10"/>
        <rFont val="Calibri"/>
        <family val="2"/>
        <scheme val="minor"/>
      </rPr>
      <t>(desc)</t>
    </r>
  </si>
  <si>
    <r>
      <t xml:space="preserve">Refuse factor </t>
    </r>
    <r>
      <rPr>
        <b/>
        <sz val="11"/>
        <color indexed="10"/>
        <rFont val="Calibri"/>
        <family val="2"/>
        <scheme val="minor"/>
      </rPr>
      <t>(refuse)</t>
    </r>
  </si>
  <si>
    <r>
      <t xml:space="preserve">Item Group </t>
    </r>
    <r>
      <rPr>
        <b/>
        <sz val="11"/>
        <color indexed="10"/>
        <rFont val="Calibri"/>
        <family val="2"/>
        <scheme val="minor"/>
      </rPr>
      <t>(item_grp)</t>
    </r>
  </si>
  <si>
    <r>
      <t xml:space="preserve">Protein (grams) </t>
    </r>
    <r>
      <rPr>
        <b/>
        <sz val="11"/>
        <color indexed="10"/>
        <rFont val="Calibri"/>
        <family val="2"/>
        <scheme val="minor"/>
      </rPr>
      <t>(fd_pro)</t>
    </r>
  </si>
  <si>
    <r>
      <t xml:space="preserve">Fat (grams) </t>
    </r>
    <r>
      <rPr>
        <b/>
        <sz val="11"/>
        <color indexed="10"/>
        <rFont val="Calibri"/>
        <family val="2"/>
        <scheme val="minor"/>
      </rPr>
      <t>(fd_fat)</t>
    </r>
  </si>
  <si>
    <r>
      <t xml:space="preserve">Fiber (grams) </t>
    </r>
    <r>
      <rPr>
        <b/>
        <sz val="11"/>
        <color indexed="10"/>
        <rFont val="Calibri"/>
        <family val="2"/>
        <scheme val="minor"/>
      </rPr>
      <t>(fd_fib)</t>
    </r>
  </si>
  <si>
    <r>
      <t xml:space="preserve">Alcohol (grams) </t>
    </r>
    <r>
      <rPr>
        <b/>
        <sz val="11"/>
        <color indexed="10"/>
        <rFont val="Calibri"/>
        <family val="2"/>
        <scheme val="minor"/>
      </rPr>
      <t>(fd_alc)</t>
    </r>
  </si>
  <si>
    <r>
      <t xml:space="preserve">Available Carbohydrates by difference (grams) </t>
    </r>
    <r>
      <rPr>
        <b/>
        <sz val="11"/>
        <color indexed="10"/>
        <rFont val="Calibri"/>
        <family val="2"/>
        <scheme val="minor"/>
      </rPr>
      <t>(fd_car)</t>
    </r>
  </si>
  <si>
    <r>
      <t xml:space="preserve">Computed calories (Kcal) </t>
    </r>
    <r>
      <rPr>
        <b/>
        <sz val="11"/>
        <color indexed="10"/>
        <rFont val="Calibri"/>
        <family val="2"/>
        <scheme val="minor"/>
      </rPr>
      <t>(fd_kcal)</t>
    </r>
  </si>
  <si>
    <r>
      <t xml:space="preserve">Calcium (milligrams) </t>
    </r>
    <r>
      <rPr>
        <b/>
        <sz val="11"/>
        <color indexed="10"/>
        <rFont val="Calibri"/>
        <family val="2"/>
        <scheme val="minor"/>
      </rPr>
      <t>(calcium)</t>
    </r>
  </si>
  <si>
    <r>
      <t xml:space="preserve">Iron (milligrams) </t>
    </r>
    <r>
      <rPr>
        <b/>
        <sz val="11"/>
        <color indexed="10"/>
        <rFont val="Calibri"/>
        <family val="2"/>
        <scheme val="minor"/>
      </rPr>
      <t>(iron)</t>
    </r>
  </si>
  <si>
    <r>
      <t xml:space="preserve">Animal iron (milligrams) </t>
    </r>
    <r>
      <rPr>
        <b/>
        <sz val="11"/>
        <color indexed="10"/>
        <rFont val="Calibri"/>
        <family val="2"/>
        <scheme val="minor"/>
      </rPr>
      <t>(fe_anim)</t>
    </r>
  </si>
  <si>
    <r>
      <t xml:space="preserve">Non animal iron (milligrams) </t>
    </r>
    <r>
      <rPr>
        <b/>
        <sz val="11"/>
        <color indexed="10"/>
        <rFont val="Calibri"/>
        <family val="2"/>
        <scheme val="minor"/>
      </rPr>
      <t>(fe_nanim)</t>
    </r>
  </si>
  <si>
    <r>
      <t xml:space="preserve">Vitamin C (Ascorbic Acid) (milligrams) </t>
    </r>
    <r>
      <rPr>
        <b/>
        <sz val="11"/>
        <color indexed="10"/>
        <rFont val="Calibri"/>
        <family val="2"/>
        <scheme val="minor"/>
      </rPr>
      <t>(vit_c)</t>
    </r>
  </si>
  <si>
    <r>
      <t xml:space="preserve">Vitamin B1 (Thiamine) (milligrams) </t>
    </r>
    <r>
      <rPr>
        <b/>
        <sz val="11"/>
        <color indexed="10"/>
        <rFont val="Calibri"/>
        <family val="2"/>
        <scheme val="minor"/>
      </rPr>
      <t>(vit_b1)</t>
    </r>
  </si>
  <si>
    <r>
      <t xml:space="preserve">Vitamin B2 (Riboflavin) (milligrams) </t>
    </r>
    <r>
      <rPr>
        <b/>
        <sz val="11"/>
        <color indexed="10"/>
        <rFont val="Calibri"/>
        <family val="2"/>
        <scheme val="minor"/>
      </rPr>
      <t>(vit_b2)</t>
    </r>
  </si>
  <si>
    <r>
      <t xml:space="preserve">Retinol (micrograms) </t>
    </r>
    <r>
      <rPr>
        <b/>
        <sz val="11"/>
        <color indexed="10"/>
        <rFont val="Calibri"/>
        <family val="2"/>
        <scheme val="minor"/>
      </rPr>
      <t>(retinol)</t>
    </r>
  </si>
  <si>
    <r>
      <t xml:space="preserve">Vitamin B6 (Pyridoxine) (milligrams) </t>
    </r>
    <r>
      <rPr>
        <b/>
        <sz val="11"/>
        <color indexed="10"/>
        <rFont val="Calibri"/>
        <family val="2"/>
        <scheme val="minor"/>
      </rPr>
      <t>(vit_b6)</t>
    </r>
  </si>
  <si>
    <r>
      <t xml:space="preserve">Vitamin B12 (Cobalamine) (micrograms) </t>
    </r>
    <r>
      <rPr>
        <b/>
        <sz val="11"/>
        <color indexed="10"/>
        <rFont val="Calibri"/>
        <family val="2"/>
        <scheme val="minor"/>
      </rPr>
      <t>(vit_b12)</t>
    </r>
  </si>
  <si>
    <r>
      <t xml:space="preserve">Isoleucine (grams) </t>
    </r>
    <r>
      <rPr>
        <b/>
        <sz val="11"/>
        <color indexed="10"/>
        <rFont val="Calibri"/>
        <family val="2"/>
        <scheme val="minor"/>
      </rPr>
      <t>(isoleuc)</t>
    </r>
  </si>
  <si>
    <r>
      <t xml:space="preserve">Leucine (grams) </t>
    </r>
    <r>
      <rPr>
        <b/>
        <sz val="11"/>
        <color indexed="10"/>
        <rFont val="Calibri"/>
        <family val="2"/>
        <scheme val="minor"/>
      </rPr>
      <t>(leucine)</t>
    </r>
  </si>
  <si>
    <r>
      <t xml:space="preserve">Lysine (grams) </t>
    </r>
    <r>
      <rPr>
        <b/>
        <sz val="11"/>
        <color indexed="10"/>
        <rFont val="Calibri"/>
        <family val="2"/>
        <scheme val="minor"/>
      </rPr>
      <t>(lysine)</t>
    </r>
  </si>
  <si>
    <r>
      <t xml:space="preserve">Methionine (grams) </t>
    </r>
    <r>
      <rPr>
        <b/>
        <sz val="11"/>
        <color indexed="10"/>
        <rFont val="Calibri"/>
        <family val="2"/>
        <scheme val="minor"/>
      </rPr>
      <t>(methion)</t>
    </r>
  </si>
  <si>
    <r>
      <t xml:space="preserve">Phenylalanine (grams) </t>
    </r>
    <r>
      <rPr>
        <b/>
        <sz val="11"/>
        <color indexed="10"/>
        <rFont val="Calibri"/>
        <family val="2"/>
        <scheme val="minor"/>
      </rPr>
      <t>(phenyl)</t>
    </r>
  </si>
  <si>
    <r>
      <t xml:space="preserve">Threonine (grams) </t>
    </r>
    <r>
      <rPr>
        <b/>
        <sz val="11"/>
        <color indexed="10"/>
        <rFont val="Calibri"/>
        <family val="2"/>
        <scheme val="minor"/>
      </rPr>
      <t>(threon)</t>
    </r>
  </si>
  <si>
    <r>
      <t xml:space="preserve">Tryptophan (grams) </t>
    </r>
    <r>
      <rPr>
        <b/>
        <sz val="11"/>
        <color indexed="10"/>
        <rFont val="Calibri"/>
        <family val="2"/>
        <scheme val="minor"/>
      </rPr>
      <t>(trypto)</t>
    </r>
  </si>
  <si>
    <r>
      <t xml:space="preserve">Valine (grams) </t>
    </r>
    <r>
      <rPr>
        <b/>
        <sz val="11"/>
        <color indexed="10"/>
        <rFont val="Calibri"/>
        <family val="2"/>
        <scheme val="minor"/>
      </rPr>
      <t>(valine)</t>
    </r>
  </si>
  <si>
    <r>
      <t xml:space="preserve">Histidine (grams) </t>
    </r>
    <r>
      <rPr>
        <b/>
        <sz val="11"/>
        <color indexed="10"/>
        <rFont val="Calibri"/>
        <family val="2"/>
        <scheme val="minor"/>
      </rPr>
      <t>(histid)</t>
    </r>
  </si>
  <si>
    <r>
      <t xml:space="preserve">Cystine (grams) </t>
    </r>
    <r>
      <rPr>
        <b/>
        <sz val="11"/>
        <color indexed="10"/>
        <rFont val="Calibri"/>
        <family val="2"/>
        <scheme val="minor"/>
      </rPr>
      <t>(cysteine)</t>
    </r>
  </si>
  <si>
    <r>
      <t xml:space="preserve">Tyrosine (grams) </t>
    </r>
    <r>
      <rPr>
        <b/>
        <sz val="11"/>
        <color indexed="10"/>
        <rFont val="Calibri"/>
        <family val="2"/>
        <scheme val="minor"/>
      </rPr>
      <t>(tyrosine)</t>
    </r>
  </si>
  <si>
    <t>Chicken, eggs raw</t>
  </si>
  <si>
    <t>B</t>
  </si>
  <si>
    <t>D</t>
  </si>
  <si>
    <t>Rice, starch</t>
  </si>
  <si>
    <t>Cornstarch</t>
  </si>
  <si>
    <t>Tea leaves</t>
  </si>
  <si>
    <t>DAN</t>
  </si>
  <si>
    <t>Tea, leaves</t>
  </si>
  <si>
    <t>Rice grain, raw</t>
  </si>
  <si>
    <t>zinc</t>
  </si>
  <si>
    <t>haem_fe</t>
  </si>
  <si>
    <t>nhaem_fe</t>
  </si>
  <si>
    <t>folate</t>
  </si>
  <si>
    <t>The analyst chooses between expressing total vitamin A in Retinol Activity Equivalents (RAE) or Retinol Equivalents (RE). The suggested variable names are vita_rae and vita_re respectively.</t>
  </si>
  <si>
    <t>1 Beta-carotene equivalent = 1 beta-carotene + 0.5 alpha-carotene + 0.5 beta-cryptoxanthin</t>
  </si>
  <si>
    <r>
      <t xml:space="preserve">Haem iron (milligrams) </t>
    </r>
    <r>
      <rPr>
        <b/>
        <sz val="11"/>
        <color indexed="10"/>
        <rFont val="Calibri"/>
        <family val="2"/>
        <scheme val="minor"/>
      </rPr>
      <t>(fe_haem)</t>
    </r>
  </si>
  <si>
    <r>
      <t xml:space="preserve">Non-haem iron (milligrams) </t>
    </r>
    <r>
      <rPr>
        <b/>
        <sz val="11"/>
        <color indexed="10"/>
        <rFont val="Calibri"/>
        <family val="2"/>
        <scheme val="minor"/>
      </rPr>
      <t>(fe_nhaem)</t>
    </r>
  </si>
  <si>
    <r>
      <t xml:space="preserve">Zinc (milligrams) </t>
    </r>
    <r>
      <rPr>
        <b/>
        <sz val="11"/>
        <color rgb="FFFF0000"/>
        <rFont val="Calibri"/>
        <family val="2"/>
        <scheme val="minor"/>
      </rPr>
      <t>zinc</t>
    </r>
  </si>
  <si>
    <r>
      <t xml:space="preserve">Betacarotene equivalents (micrograms) </t>
    </r>
    <r>
      <rPr>
        <b/>
        <sz val="11"/>
        <color indexed="10"/>
        <rFont val="Calibri"/>
        <family val="2"/>
        <scheme val="minor"/>
      </rPr>
      <t>(betacar)</t>
    </r>
  </si>
  <si>
    <t>Chicken, breast</t>
  </si>
  <si>
    <t>05057</t>
  </si>
  <si>
    <t>Chicken, broilers or fryers, breast, meat and skin, raw</t>
  </si>
  <si>
    <t>537</t>
  </si>
  <si>
    <t>Well defined, just one entry</t>
  </si>
  <si>
    <t>Not very well defined (average in Example Average)</t>
  </si>
  <si>
    <t>Estimation based on the assumption that only 1/20 of nutrients is going to the liquid tea/coffee</t>
  </si>
  <si>
    <r>
      <t xml:space="preserve">Folate (micrograms) </t>
    </r>
    <r>
      <rPr>
        <b/>
        <sz val="11"/>
        <color rgb="FFFF0000"/>
        <rFont val="Calibri"/>
        <family val="2"/>
        <scheme val="minor"/>
      </rPr>
      <t>folate</t>
    </r>
  </si>
  <si>
    <t>Item Group (diversity_grp)</t>
  </si>
  <si>
    <r>
      <t xml:space="preserve">Item Group </t>
    </r>
    <r>
      <rPr>
        <b/>
        <sz val="11"/>
        <color indexed="10"/>
        <rFont val="Calibri"/>
        <family val="2"/>
        <scheme val="minor"/>
      </rPr>
      <t>(diversity_grp)</t>
    </r>
  </si>
  <si>
    <t>diversity_grp</t>
  </si>
  <si>
    <t>From Worksheet Average</t>
  </si>
  <si>
    <r>
      <t xml:space="preserve">Vitamin A (micrograms of RAE or RE) </t>
    </r>
    <r>
      <rPr>
        <b/>
        <sz val="11"/>
        <color indexed="10"/>
        <rFont val="Calibri"/>
        <family val="2"/>
      </rPr>
      <t>(vita)</t>
    </r>
  </si>
  <si>
    <t>Using FCT data, Water (grams)</t>
  </si>
  <si>
    <t>Using FCT data, Ash (grams)</t>
  </si>
  <si>
    <t>Using FCT data, Carbohydrates including fiber (Total) (grams)</t>
  </si>
  <si>
    <t>Using FCT data, Calories (Kcal)</t>
  </si>
  <si>
    <t>Using FCT data, Calcium (milligrams)</t>
  </si>
  <si>
    <t>Using FCT data, Iron (milligrams)</t>
  </si>
  <si>
    <t xml:space="preserve">Using published data, Haem iron (milligrams) </t>
  </si>
  <si>
    <t>Using published data, Non-haem iron (milligrams)</t>
  </si>
  <si>
    <t xml:space="preserve">Using FCT data, Zinc (milligrams) </t>
  </si>
  <si>
    <t>Using FCT data, Folate (micrograms)</t>
  </si>
  <si>
    <t>Using FCT data, Vitamin C (Ascorbic Acid) (milligrams)</t>
  </si>
  <si>
    <t xml:space="preserve">Using FCT data, Vitamin B1 (Thiamine) (milligrams) </t>
  </si>
  <si>
    <t xml:space="preserve">Using FCT data, Vitamin B2 (Riboflavin) (milligrams) </t>
  </si>
  <si>
    <t>Using FCT data, Retinol (micrograms)</t>
  </si>
  <si>
    <t>Using FCT data, Betacarotene equivalents (micrograms)</t>
  </si>
  <si>
    <t xml:space="preserve">Using FCT data, Vitamin B6 (Pyridoxine) (milligrams) </t>
  </si>
  <si>
    <t xml:space="preserve">Using FCT data, Vitamin B12 (Cobalamine) (micrograms) </t>
  </si>
  <si>
    <t xml:space="preserve">Using analyst criteria, Animal iron (milligrams) </t>
  </si>
  <si>
    <t xml:space="preserve">Using analyst criteria, Non animal iron (milligrams) </t>
  </si>
  <si>
    <t>Aromatic Unbroken Rice (Pishori/Basmati e.t.c)</t>
  </si>
  <si>
    <t xml:space="preserve">Non Aromatic (Unbroken), White Rice </t>
  </si>
  <si>
    <t xml:space="preserve">Broken white rice (Aromatic or Non Aromatic) </t>
  </si>
  <si>
    <t xml:space="preserve">Brown Rice </t>
  </si>
  <si>
    <t xml:space="preserve">Maize Grain - Loose </t>
  </si>
  <si>
    <t xml:space="preserve">Green Maize </t>
  </si>
  <si>
    <t xml:space="preserve">Green Maize- Loose </t>
  </si>
  <si>
    <t xml:space="preserve">Maize Flour - Loose </t>
  </si>
  <si>
    <t xml:space="preserve">Popcorn </t>
  </si>
  <si>
    <t xml:space="preserve">Maize Flour - Sifted </t>
  </si>
  <si>
    <t xml:space="preserve">Fortified Maize flour </t>
  </si>
  <si>
    <t xml:space="preserve">Wheat Grain </t>
  </si>
  <si>
    <t xml:space="preserve">Wheat Flour-White </t>
  </si>
  <si>
    <t xml:space="preserve">Wheat Flour-Brown </t>
  </si>
  <si>
    <t xml:space="preserve">Fortified Wheat Flour </t>
  </si>
  <si>
    <t xml:space="preserve">Millet Grain </t>
  </si>
  <si>
    <t xml:space="preserve">Millet Flour </t>
  </si>
  <si>
    <t xml:space="preserve">Cassava flour </t>
  </si>
  <si>
    <t xml:space="preserve">Sorghum Grain </t>
  </si>
  <si>
    <t xml:space="preserve">Sorghum Flour </t>
  </si>
  <si>
    <t xml:space="preserve">Sesame Seeds/Simsim </t>
  </si>
  <si>
    <t xml:space="preserve">Mixed porridge Flour </t>
  </si>
  <si>
    <t xml:space="preserve">Fortified Porridge Flour </t>
  </si>
  <si>
    <t xml:space="preserve">Soya Flour </t>
  </si>
  <si>
    <t xml:space="preserve">Other Grain/Flour </t>
  </si>
  <si>
    <t xml:space="preserve">Barley And Other Cereals </t>
  </si>
  <si>
    <t xml:space="preserve">Breakfast Cereal/Oats </t>
  </si>
  <si>
    <t xml:space="preserve">Beans </t>
  </si>
  <si>
    <t xml:space="preserve">Green grams </t>
  </si>
  <si>
    <t xml:space="preserve">Dolicos (Njahi) </t>
  </si>
  <si>
    <t xml:space="preserve">Other grams </t>
  </si>
  <si>
    <t xml:space="preserve">Peas </t>
  </si>
  <si>
    <t xml:space="preserve">Groundnuts </t>
  </si>
  <si>
    <t xml:space="preserve">Macadamia </t>
  </si>
  <si>
    <t xml:space="preserve">Cashew Nuts </t>
  </si>
  <si>
    <t xml:space="preserve">Cowpeas </t>
  </si>
  <si>
    <t xml:space="preserve">Chicken peas </t>
  </si>
  <si>
    <t xml:space="preserve">Tinned Beans </t>
  </si>
  <si>
    <t xml:space="preserve">Baby Food Cereals (Tinned) </t>
  </si>
  <si>
    <t xml:space="preserve">Tinned Pulses </t>
  </si>
  <si>
    <t xml:space="preserve">Other pulses </t>
  </si>
  <si>
    <t xml:space="preserve">Cakes </t>
  </si>
  <si>
    <t xml:space="preserve">Biscuits … </t>
  </si>
  <si>
    <t xml:space="preserve">White bread </t>
  </si>
  <si>
    <t xml:space="preserve">Brown Bread </t>
  </si>
  <si>
    <t xml:space="preserve">Other Bread </t>
  </si>
  <si>
    <t xml:space="preserve">Wheat Buns /Scones </t>
  </si>
  <si>
    <t xml:space="preserve">Pasta (Spaghetti, Macaroni, Noodles e.g. Indomie) </t>
  </si>
  <si>
    <t xml:space="preserve">Beef - With Bones </t>
  </si>
  <si>
    <t xml:space="preserve">Beef - Without Bones </t>
  </si>
  <si>
    <t xml:space="preserve">Minced Meat </t>
  </si>
  <si>
    <t xml:space="preserve">Pork </t>
  </si>
  <si>
    <t xml:space="preserve">Mutton/Goat Meat </t>
  </si>
  <si>
    <t xml:space="preserve">Camel Meat </t>
  </si>
  <si>
    <t xml:space="preserve">Chicken Meat (Broiler Kienyeji) </t>
  </si>
  <si>
    <t xml:space="preserve">Rabbit Meat </t>
  </si>
  <si>
    <t xml:space="preserve">Tinned /Packeted Soups (Meat) </t>
  </si>
  <si>
    <t xml:space="preserve">Offals (Liver and Kidney) </t>
  </si>
  <si>
    <t xml:space="preserve">Sausages/Smokies/Hot dog </t>
  </si>
  <si>
    <t xml:space="preserve">Beef Brawn </t>
  </si>
  <si>
    <t xml:space="preserve">Pork Brawn/Bacon </t>
  </si>
  <si>
    <t xml:space="preserve">Canned Beef/Ham/Salami </t>
  </si>
  <si>
    <t xml:space="preserve">Meat Paste for hamburger </t>
  </si>
  <si>
    <t xml:space="preserve">Other Meats products </t>
  </si>
  <si>
    <t xml:space="preserve">Fresh Fish </t>
  </si>
  <si>
    <t xml:space="preserve">Frozen Fish Fillets </t>
  </si>
  <si>
    <t xml:space="preserve">Dried/Smoked Fish (Excluding Omena) </t>
  </si>
  <si>
    <t xml:space="preserve">Omena </t>
  </si>
  <si>
    <t xml:space="preserve">Prawns /Other Sea Foods </t>
  </si>
  <si>
    <t xml:space="preserve">Tinned Fish </t>
  </si>
  <si>
    <t xml:space="preserve">Other fish </t>
  </si>
  <si>
    <t xml:space="preserve">Fresh Unpacketed cow milk / Fresh Cream </t>
  </si>
  <si>
    <t xml:space="preserve">Fresh Packeted cow milk </t>
  </si>
  <si>
    <t>Fresh Flavoured Packeted cow milk</t>
  </si>
  <si>
    <t xml:space="preserve">UHT- long life Milk </t>
  </si>
  <si>
    <t xml:space="preserve">Goat milk </t>
  </si>
  <si>
    <t xml:space="preserve">Camel Milk </t>
  </si>
  <si>
    <t xml:space="preserve">Condensed/Powder Milk </t>
  </si>
  <si>
    <t xml:space="preserve">Baby Milk - Tinned </t>
  </si>
  <si>
    <t xml:space="preserve">Milk Sour - Packeted Mala </t>
  </si>
  <si>
    <t xml:space="preserve">Milk Sour - Unpacketed Mala </t>
  </si>
  <si>
    <t xml:space="preserve">Yoghurt </t>
  </si>
  <si>
    <t xml:space="preserve">Cheese </t>
  </si>
  <si>
    <t xml:space="preserve">Eggs - Exotic/Kienyenji </t>
  </si>
  <si>
    <t xml:space="preserve">Other </t>
  </si>
  <si>
    <t xml:space="preserve">Butter </t>
  </si>
  <si>
    <t xml:space="preserve">Ghee </t>
  </si>
  <si>
    <t xml:space="preserve">Margarine </t>
  </si>
  <si>
    <t xml:space="preserve">Fortified Margarine </t>
  </si>
  <si>
    <t xml:space="preserve">Peanut Butter </t>
  </si>
  <si>
    <t xml:space="preserve">Cooking Fat </t>
  </si>
  <si>
    <t xml:space="preserve">Cooking Oil (Salad) </t>
  </si>
  <si>
    <t xml:space="preserve">Fortified Cooking fat </t>
  </si>
  <si>
    <t xml:space="preserve">Lard (From Butcheries) </t>
  </si>
  <si>
    <t xml:space="preserve">Other Oils and fats </t>
  </si>
  <si>
    <t xml:space="preserve">Ripe Bananas </t>
  </si>
  <si>
    <t xml:space="preserve">Oranges </t>
  </si>
  <si>
    <t xml:space="preserve">Paw paws </t>
  </si>
  <si>
    <t xml:space="preserve">Avocado </t>
  </si>
  <si>
    <t xml:space="preserve">Mangoes </t>
  </si>
  <si>
    <t xml:space="preserve">Pineapples </t>
  </si>
  <si>
    <t xml:space="preserve">Passion </t>
  </si>
  <si>
    <t xml:space="preserve">Pears </t>
  </si>
  <si>
    <t xml:space="preserve">Peaches </t>
  </si>
  <si>
    <t xml:space="preserve">Plums </t>
  </si>
  <si>
    <t xml:space="preserve">Apples </t>
  </si>
  <si>
    <t xml:space="preserve">Lemons </t>
  </si>
  <si>
    <t xml:space="preserve">Grape fruit </t>
  </si>
  <si>
    <t xml:space="preserve">Grapes </t>
  </si>
  <si>
    <t xml:space="preserve">Strawberries </t>
  </si>
  <si>
    <t xml:space="preserve">Melons </t>
  </si>
  <si>
    <t xml:space="preserve">Coconut </t>
  </si>
  <si>
    <t xml:space="preserve">Guavas </t>
  </si>
  <si>
    <t xml:space="preserve">Lime </t>
  </si>
  <si>
    <t xml:space="preserve">Loquats </t>
  </si>
  <si>
    <t xml:space="preserve">Tangerines </t>
  </si>
  <si>
    <t xml:space="preserve">Tree Tomato </t>
  </si>
  <si>
    <t xml:space="preserve">Other Fruits/Berries </t>
  </si>
  <si>
    <t xml:space="preserve">Onion -Leeks </t>
  </si>
  <si>
    <t xml:space="preserve">Onion - Bulbs </t>
  </si>
  <si>
    <t xml:space="preserve">Cabbages </t>
  </si>
  <si>
    <t xml:space="preserve">Carrots </t>
  </si>
  <si>
    <t xml:space="preserve">Tomatoes </t>
  </si>
  <si>
    <t xml:space="preserve">Spinach </t>
  </si>
  <si>
    <t xml:space="preserve">Kale-Sukuma Wiki </t>
  </si>
  <si>
    <t xml:space="preserve">Cucumber </t>
  </si>
  <si>
    <t xml:space="preserve">French Beans </t>
  </si>
  <si>
    <t xml:space="preserve">Runner/Broad Bean </t>
  </si>
  <si>
    <t xml:space="preserve">Peas (Garden , Snap,  Snow) </t>
  </si>
  <si>
    <t xml:space="preserve">Lettuce  celery </t>
  </si>
  <si>
    <t xml:space="preserve">Traditional Vegetables </t>
  </si>
  <si>
    <t xml:space="preserve">Beetroot </t>
  </si>
  <si>
    <t xml:space="preserve">Courgettes /Squash/ Marrow </t>
  </si>
  <si>
    <t xml:space="preserve">Capsicums (Pilipili Hoho) </t>
  </si>
  <si>
    <t xml:space="preserve">Pepper- Pilipili </t>
  </si>
  <si>
    <t xml:space="preserve">Broccoli  Radish </t>
  </si>
  <si>
    <t xml:space="preserve">Baby and Sweet corn </t>
  </si>
  <si>
    <t xml:space="preserve">Mushrooms and Asian Vegetables </t>
  </si>
  <si>
    <t xml:space="preserve">Aubergines-Egg Plant (Biringanya) </t>
  </si>
  <si>
    <t xml:space="preserve">Pumpkins/Butter Nut </t>
  </si>
  <si>
    <t xml:space="preserve">Coriander Leaves (Dania) </t>
  </si>
  <si>
    <t xml:space="preserve">Turnips </t>
  </si>
  <si>
    <t xml:space="preserve">Cooking bananas </t>
  </si>
  <si>
    <t xml:space="preserve">Tinned /Packeted Vegetables </t>
  </si>
  <si>
    <t xml:space="preserve">Other Vegetables (Specify) </t>
  </si>
  <si>
    <t xml:space="preserve">Potatoes (Irish) </t>
  </si>
  <si>
    <t xml:space="preserve">Sweet Potato </t>
  </si>
  <si>
    <t xml:space="preserve">Arrow Roots-Nduma </t>
  </si>
  <si>
    <t xml:space="preserve">Cassava </t>
  </si>
  <si>
    <t xml:space="preserve">Dried Cassava </t>
  </si>
  <si>
    <t xml:space="preserve">Yams </t>
  </si>
  <si>
    <t xml:space="preserve">Other roots and tubers </t>
  </si>
  <si>
    <t xml:space="preserve">Sugar Cane </t>
  </si>
  <si>
    <t xml:space="preserve">Sugar </t>
  </si>
  <si>
    <t xml:space="preserve">Sugar-Icing </t>
  </si>
  <si>
    <t xml:space="preserve">Jaggery (Nguru) </t>
  </si>
  <si>
    <t xml:space="preserve">Jam </t>
  </si>
  <si>
    <t xml:space="preserve">Marmalade </t>
  </si>
  <si>
    <t xml:space="preserve">Honey </t>
  </si>
  <si>
    <t xml:space="preserve">Chocolate bar </t>
  </si>
  <si>
    <t xml:space="preserve">Sweets </t>
  </si>
  <si>
    <t xml:space="preserve">Chewing Gum </t>
  </si>
  <si>
    <t xml:space="preserve">Other Sugar (Confectionary) </t>
  </si>
  <si>
    <t xml:space="preserve">Common salt </t>
  </si>
  <si>
    <t xml:space="preserve">Magadi (Sodium Bicarbonate) </t>
  </si>
  <si>
    <t xml:space="preserve">Tomato Sauce </t>
  </si>
  <si>
    <t xml:space="preserve">Chilli Sauce </t>
  </si>
  <si>
    <t>Food Seasoning (e.g. Royco, Knorr, etc)</t>
  </si>
  <si>
    <t xml:space="preserve">Pilau masala </t>
  </si>
  <si>
    <t xml:space="preserve">Ginger-tangawizi </t>
  </si>
  <si>
    <t xml:space="preserve">Mustard </t>
  </si>
  <si>
    <t xml:space="preserve">Pickles </t>
  </si>
  <si>
    <t xml:space="preserve">Vinegar </t>
  </si>
  <si>
    <t xml:space="preserve">Crisps </t>
  </si>
  <si>
    <t xml:space="preserve">Baking Powder /Bicarbonate </t>
  </si>
  <si>
    <t xml:space="preserve">Yeast </t>
  </si>
  <si>
    <t xml:space="preserve">Other Food n.e.c/ Spices </t>
  </si>
  <si>
    <t xml:space="preserve">Coffee </t>
  </si>
  <si>
    <t xml:space="preserve">Tea Leaves </t>
  </si>
  <si>
    <t xml:space="preserve">Cocoa and Cocoa products </t>
  </si>
  <si>
    <t xml:space="preserve">Soya drink </t>
  </si>
  <si>
    <t>Other Coffee, tea and cocoa</t>
  </si>
  <si>
    <t xml:space="preserve">Mineral Water </t>
  </si>
  <si>
    <t xml:space="preserve">Squashes </t>
  </si>
  <si>
    <t xml:space="preserve">Sodas </t>
  </si>
  <si>
    <t xml:space="preserve">Energy/Health Drink </t>
  </si>
  <si>
    <t xml:space="preserve">Fruit Juice </t>
  </si>
  <si>
    <t xml:space="preserve">Vegetable Juice </t>
  </si>
  <si>
    <t xml:space="preserve">Other drinks </t>
  </si>
  <si>
    <t>Hotel and restaurant prepared food</t>
  </si>
  <si>
    <t>Cafe and take-aways: prepared foood</t>
  </si>
  <si>
    <t xml:space="preserve">Hotel and restaurant beverages </t>
  </si>
  <si>
    <t>Hotel and restaurant cakes and snacks</t>
  </si>
  <si>
    <t xml:space="preserve">Other hotel foods </t>
  </si>
  <si>
    <t xml:space="preserve">Food from Canteen/Kiosks </t>
  </si>
  <si>
    <t xml:space="preserve">Food From Vendors </t>
  </si>
  <si>
    <t xml:space="preserve">Other Kiosk/canteen expenses </t>
  </si>
  <si>
    <t xml:space="preserve">Vodka </t>
  </si>
  <si>
    <t xml:space="preserve">Whisky </t>
  </si>
  <si>
    <t xml:space="preserve">Rum </t>
  </si>
  <si>
    <t xml:space="preserve">Brandy </t>
  </si>
  <si>
    <t xml:space="preserve">Chang'aa </t>
  </si>
  <si>
    <t xml:space="preserve">Other Spirits </t>
  </si>
  <si>
    <t>Wine (e.g. Cider, king fisher, etc)</t>
  </si>
  <si>
    <t xml:space="preserve">Sparkling wines (e.g.champagne) </t>
  </si>
  <si>
    <t xml:space="preserve">Fortified Wines </t>
  </si>
  <si>
    <t>Beer (Lagers Stouts)</t>
  </si>
  <si>
    <t xml:space="preserve">Traditional beer </t>
  </si>
  <si>
    <t xml:space="preserve">Other beers </t>
  </si>
  <si>
    <t>Rice, parboiled, raw</t>
  </si>
  <si>
    <t>Rice, white, milled, polished grain, dry, raw</t>
  </si>
  <si>
    <t>Maize, grain, white variety, whole, dry, raw</t>
  </si>
  <si>
    <t>Maize, grain, yellow variety, whole, dry, raw</t>
  </si>
  <si>
    <t>Green Maize, white, whole, grain, fresh, raw</t>
  </si>
  <si>
    <t>Wheat, whole, grain, dry, raw</t>
  </si>
  <si>
    <t>Wheat Flour-Atta</t>
  </si>
  <si>
    <t>Wheat, whole, flour, raw</t>
  </si>
  <si>
    <t>Millet, bulrush, grain, dry, raw</t>
  </si>
  <si>
    <t>Millet, bulrush, flour</t>
  </si>
  <si>
    <t>Millet, finger, flour</t>
  </si>
  <si>
    <t>Cassava, root, white, peeled, raw</t>
  </si>
  <si>
    <t>Cassava, root, yellow, peeled, raw</t>
  </si>
  <si>
    <t>Sorghum, Grain, Red, Dried, Raw</t>
  </si>
  <si>
    <t>Sorghum, Grain, Red, Flour</t>
  </si>
  <si>
    <t>Sorghum, grain, white, dry, raw</t>
  </si>
  <si>
    <t>Sorghum, grain, white, flour</t>
  </si>
  <si>
    <t>Sorghum, Finger Millet and Maize Porridge</t>
  </si>
  <si>
    <t>Cassava, Millet &amp; Sorghum Porridge</t>
  </si>
  <si>
    <t>Wheat Flour (refined/fortified/sifted packaged), raw</t>
  </si>
  <si>
    <t>Maize meal, sifted, fortified, packaged, raw</t>
  </si>
  <si>
    <t>03013</t>
  </si>
  <si>
    <t>Flour, soya, full fat</t>
  </si>
  <si>
    <t>03014</t>
  </si>
  <si>
    <t>Flour, soya, low fat</t>
  </si>
  <si>
    <t>Breakfast cereal, flakes of corn, fortified (iron, thiamin, ribiflavin, niacin and folate)</t>
  </si>
  <si>
    <t>Breakfast cereal, flakes of corn</t>
  </si>
  <si>
    <t>Breakfast cereal, wheat biscuits, Weetabix type</t>
  </si>
  <si>
    <t>Beans, broad, dry, raw</t>
  </si>
  <si>
    <t>Beans, broad, fresh, raw</t>
  </si>
  <si>
    <t>Gram, green, dry, raw</t>
  </si>
  <si>
    <t>Gram, black, dry, raw</t>
  </si>
  <si>
    <t>Garden peas, fresh, raw</t>
  </si>
  <si>
    <t>Pigeon peas, dry, raw</t>
  </si>
  <si>
    <t>Cowpeas, dry, raw</t>
  </si>
  <si>
    <t>Chick peas, whole, dry, raw</t>
  </si>
  <si>
    <t>Beans, shellie, canned, solids &amp; liquid</t>
  </si>
  <si>
    <t>Bonavist, dry, raw</t>
  </si>
  <si>
    <t>Cake or cupcake, plain butter cake, commercial</t>
  </si>
  <si>
    <t>Cake, Fruit</t>
  </si>
  <si>
    <t>Cake, Sponge, homemade</t>
  </si>
  <si>
    <t>Cake, Sponge, without fat</t>
  </si>
  <si>
    <t>Cakes (Various Fancy Iced)</t>
  </si>
  <si>
    <t>Biscuit, Savoury</t>
  </si>
  <si>
    <t>Biscuit, Sweet</t>
  </si>
  <si>
    <t>Bread, Sweet</t>
  </si>
  <si>
    <t>Buns, Currant</t>
  </si>
  <si>
    <t>Scone, plain, commercial</t>
  </si>
  <si>
    <t>Pasta, macaroni, plain, dry, raw-imported</t>
  </si>
  <si>
    <t>Pasta, spaghetti, dried, raw-imported</t>
  </si>
  <si>
    <t>Beef, high fat, w/o bones, raw</t>
  </si>
  <si>
    <t>Beef, lean, raw</t>
  </si>
  <si>
    <t>Beef, liver, raw</t>
  </si>
  <si>
    <t>Beef, medium fat, w/o bones, raw</t>
  </si>
  <si>
    <t>Sausage, beef, raw</t>
  </si>
  <si>
    <t>Pork, meat, raw (unspecified part)</t>
  </si>
  <si>
    <t>Sausage, pork, raw</t>
  </si>
  <si>
    <t>Goat, lean, raw</t>
  </si>
  <si>
    <t>Goat, medium fat, raw</t>
  </si>
  <si>
    <t>Lamb, raw (unspecified part)</t>
  </si>
  <si>
    <t>Chicken, unespecified part, w/o bone, meat&amp;skin, raw</t>
  </si>
  <si>
    <t>Rabbit meat, raw</t>
  </si>
  <si>
    <t>Goat liver, raw</t>
  </si>
  <si>
    <t>Lamb liver, raw</t>
  </si>
  <si>
    <t>Sausage, frankfurters</t>
  </si>
  <si>
    <t>Duck, meat and skin, fresh, raw</t>
  </si>
  <si>
    <t>Guinea fowl, meat, with skin</t>
  </si>
  <si>
    <t>Quail, flesh &amp; skin, raw</t>
  </si>
  <si>
    <t>Dagaa fish (omena), dried, raw</t>
  </si>
  <si>
    <t>Eel, raw</t>
  </si>
  <si>
    <t>Herring stock, raw</t>
  </si>
  <si>
    <t>Sardine, flesh, raw</t>
  </si>
  <si>
    <t>Shark, raw</t>
  </si>
  <si>
    <t>Tuna, raw</t>
  </si>
  <si>
    <t>Cod, fillet, raw</t>
  </si>
  <si>
    <t>Lungfish, fillet, raw</t>
  </si>
  <si>
    <t>Mudfish (kamongo), fillet, raw</t>
  </si>
  <si>
    <t>Nile perch, dry, raw</t>
  </si>
  <si>
    <t>Prawns, flesh, raw</t>
  </si>
  <si>
    <t>Milk, cow, skimmed, raw</t>
  </si>
  <si>
    <t>Milk, cow, whole, fresh, raw</t>
  </si>
  <si>
    <t>Milk, cow, condensed, skimmed, sweetened, raw</t>
  </si>
  <si>
    <t>Milk, cow, condensed, whole, sweetened, raw</t>
  </si>
  <si>
    <t>Milk, goat, fluid, whole, raw</t>
  </si>
  <si>
    <t>Milk, camel, whole, fresh, raw</t>
  </si>
  <si>
    <t>Milk, cow, powder, skimmed</t>
  </si>
  <si>
    <t>Milk, cow, powder, whole</t>
  </si>
  <si>
    <t>Cheese, cottage, Milk, Cow, Sour</t>
  </si>
  <si>
    <t>Cheese, cheddar, regular fat</t>
  </si>
  <si>
    <t>Cheese, cottage (cow milk), plain, skimmed</t>
  </si>
  <si>
    <t>Cheese, cottage (cow milk), plain, whole</t>
  </si>
  <si>
    <t>Egg, chicken, whole, raw</t>
  </si>
  <si>
    <t>Butter (cow milk), salted (~80% fat)</t>
  </si>
  <si>
    <t>Margarine,20% fat</t>
  </si>
  <si>
    <t>Margarine,60% fat</t>
  </si>
  <si>
    <t>Margarine,80% fat</t>
  </si>
  <si>
    <t>Corn oil</t>
  </si>
  <si>
    <t>Mustard seed oil</t>
  </si>
  <si>
    <t>Olive oil</t>
  </si>
  <si>
    <t>Peanut oil</t>
  </si>
  <si>
    <t>Shortening, commercial, vegetable fat</t>
  </si>
  <si>
    <t>Sun flower oil</t>
  </si>
  <si>
    <t>Orange, Juice</t>
  </si>
  <si>
    <t>Orange, pulp, raw</t>
  </si>
  <si>
    <t>Passion fruit, dark purple skin, raw</t>
  </si>
  <si>
    <t>Passion Fruit, juice</t>
  </si>
  <si>
    <t>Apple, green skin, unpeeled, raw</t>
  </si>
  <si>
    <t>Apple, red, unpeeled, raw</t>
  </si>
  <si>
    <t>Lemon, juice, home squeezed</t>
  </si>
  <si>
    <t>Lemon, pulp, raw</t>
  </si>
  <si>
    <t>Coconut, fresh, mature fruit, flesh</t>
  </si>
  <si>
    <t>Coconut, fresh, young or immature, flesh</t>
  </si>
  <si>
    <t>Lime, juice</t>
  </si>
  <si>
    <t>Lime, pulp, raw</t>
  </si>
  <si>
    <t>Tangerine, juice, non-commercial</t>
  </si>
  <si>
    <t>Tangerine, pulp, raw</t>
  </si>
  <si>
    <t>Jackfruit, fruit, yellow-fleshed, peeled,</t>
  </si>
  <si>
    <t>Custard apple, peeled, raw</t>
  </si>
  <si>
    <t>Date, raw</t>
  </si>
  <si>
    <t>Mulberry, raw</t>
  </si>
  <si>
    <t>Pomegranate, raw</t>
  </si>
  <si>
    <t>Raspberry, raw</t>
  </si>
  <si>
    <t>Leeks, bulb and stem, raw</t>
  </si>
  <si>
    <t>Onion, spring, raw</t>
  </si>
  <si>
    <t>Cabbage, leaf head, Chinese, raw</t>
  </si>
  <si>
    <t>Cabbage, leaf head, red raw</t>
  </si>
  <si>
    <t>Cabbage, leaf head, white, raw</t>
  </si>
  <si>
    <t>Carrot, peeled, raw</t>
  </si>
  <si>
    <t>Tomato, green, raw</t>
  </si>
  <si>
    <t>Tomato, red, ripe, raw</t>
  </si>
  <si>
    <t>Spinach, leaves, raw</t>
  </si>
  <si>
    <t>Spinach, Swiss chard, leaves, raw</t>
  </si>
  <si>
    <t>Kale (sukuma wiki) raw</t>
  </si>
  <si>
    <t>Celery, stalk, raw</t>
  </si>
  <si>
    <t>Lettuce, not further defined, raw</t>
  </si>
  <si>
    <t>Black (African) nightshade, indigenous, leaves, picked, raw</t>
  </si>
  <si>
    <t>Courgette, green, unpeeled, raw</t>
  </si>
  <si>
    <t>Squash, butternut, peeled, flesh, raw</t>
  </si>
  <si>
    <t>Capsicum (sweet peper), green, raw</t>
  </si>
  <si>
    <t>Capsicum (sweet peper), red, raw</t>
  </si>
  <si>
    <t>Capsicum (sweet peper), yellow, raw</t>
  </si>
  <si>
    <t>Broccoli, tops and stems, raw</t>
  </si>
  <si>
    <t>Mushroom, fresh, raw</t>
  </si>
  <si>
    <t>Eggplant / Brinjal, different varieties, whole edible, raw</t>
  </si>
  <si>
    <t>Pumpkin, flesh, yellow w/o seeds, raw</t>
  </si>
  <si>
    <t>Tomato, canned, whole contents</t>
  </si>
  <si>
    <t>Potato, Irish (English), white variety, peeled, raw</t>
  </si>
  <si>
    <t>Sweet potato, brown skin, peeled, raw</t>
  </si>
  <si>
    <t>Sweetpotato, orange, biofortified, raw</t>
  </si>
  <si>
    <t>Sweet potato, pink skin</t>
  </si>
  <si>
    <t>Arrowroot, peeled, raw</t>
  </si>
  <si>
    <t>Yam, white, raw</t>
  </si>
  <si>
    <t>Beet root, peeled, raw</t>
  </si>
  <si>
    <t>Turnip, root, raw</t>
  </si>
  <si>
    <t>Sugar, white, granulated or lump</t>
  </si>
  <si>
    <t>Tomato, sauce (Ketchup)</t>
  </si>
  <si>
    <t>Green Ginger (Mature), fresh, raw</t>
  </si>
  <si>
    <t>Spice, mixed or all spice</t>
  </si>
  <si>
    <t>Drinking chocolate, powder</t>
  </si>
  <si>
    <t>From averages worksheet</t>
  </si>
  <si>
    <t>Idem item 101</t>
  </si>
  <si>
    <t>2018 Kenya FCT</t>
  </si>
  <si>
    <t>Idem 106</t>
  </si>
  <si>
    <t>Snacks, popcorn, air-popped</t>
  </si>
  <si>
    <t>Usda</t>
  </si>
  <si>
    <t>Maize, whole, flour, raw</t>
  </si>
  <si>
    <t xml:space="preserve"> Cassava, dried, flour</t>
  </si>
  <si>
    <t>Tanzania FCT</t>
  </si>
  <si>
    <t xml:space="preserve">Using FCT data, Vitamin A (micrograms of RE) </t>
  </si>
  <si>
    <t xml:space="preserve">Using FCT data, Vitamin A (micrograms of RAE) </t>
  </si>
  <si>
    <t>vita_rae</t>
  </si>
  <si>
    <t>vita_re</t>
  </si>
  <si>
    <t>Kenya FCT_2018</t>
  </si>
  <si>
    <t>Seed, sesame (sim sim) unsalted, dry, raw</t>
  </si>
  <si>
    <t>Nut, ground nut, with skin, unsalted, dry, raw</t>
  </si>
  <si>
    <t>Nut, macadamia, raw, unsalted</t>
  </si>
  <si>
    <t>Nut, cashew, dry, raw, unsalted</t>
  </si>
  <si>
    <t>Bread, White</t>
  </si>
  <si>
    <t>Bread, Brown</t>
  </si>
  <si>
    <t>Camel Meat</t>
  </si>
  <si>
    <t>Yoghurt, cow milk, whole, plain</t>
  </si>
  <si>
    <t>Ghee (cow milk)</t>
  </si>
  <si>
    <t>Peanut Butter</t>
  </si>
  <si>
    <t>Animal Fat/ Lard</t>
  </si>
  <si>
    <t>Banana, cavendish, raw</t>
  </si>
  <si>
    <t>Papaya, yellow skin, peeled, raw</t>
  </si>
  <si>
    <t>Avocado, ripe, raw</t>
  </si>
  <si>
    <t>Mango, ripe, raw</t>
  </si>
  <si>
    <t>Pineapple, raw</t>
  </si>
  <si>
    <t>Pear, unpeeled, raw</t>
  </si>
  <si>
    <t>Peach, yellow-fleshed, unpeeled, raw</t>
  </si>
  <si>
    <t>Plum, purple skin, raw</t>
  </si>
  <si>
    <t>Grapes, green, raw</t>
  </si>
  <si>
    <t>Strawberry, raw</t>
  </si>
  <si>
    <t>Guava, pink-fleshed, raw</t>
  </si>
  <si>
    <t>Loquat, peeled, raw</t>
  </si>
  <si>
    <t>Tree tomato, dark red skin, peeled, raw</t>
  </si>
  <si>
    <t>Cucumber, green, unpeeled, raw</t>
  </si>
  <si>
    <t>Coriander Leaves, fresh, raw</t>
  </si>
  <si>
    <t>Banana, plantain, green, raw</t>
  </si>
  <si>
    <t>Honey, Raw</t>
  </si>
  <si>
    <t>Salt, Iodized</t>
  </si>
  <si>
    <t>Baking soda (bicarbonate), dry powder</t>
  </si>
  <si>
    <t>Garam masala</t>
  </si>
  <si>
    <t>Yeast, dry powder</t>
  </si>
  <si>
    <t>Beans, kidney, dry, raw</t>
  </si>
  <si>
    <t>Beans, lima, dry, raw</t>
  </si>
  <si>
    <t>Average of 130 and 131</t>
  </si>
  <si>
    <t>Lentils, whole, dry, raw</t>
  </si>
  <si>
    <t>Idem 201</t>
  </si>
  <si>
    <t>Idem 202</t>
  </si>
  <si>
    <t>Offals (Matumbo) (tripa)</t>
  </si>
  <si>
    <t>Beverages, chocolate-flavor beverage mix, powder, prepared with whole milk</t>
  </si>
  <si>
    <t>usda</t>
  </si>
  <si>
    <t>Idem 402</t>
  </si>
  <si>
    <t>Average refuse factor</t>
  </si>
  <si>
    <t>Barley, pearled, raw</t>
  </si>
  <si>
    <t>West Africa FCT</t>
  </si>
  <si>
    <t>Rice, brown, raw</t>
  </si>
  <si>
    <t>01_034</t>
  </si>
  <si>
    <t>Babyfood, cereal, barley, dry fortified</t>
  </si>
  <si>
    <t>Babyfood, cereal, mixed, dry fortified</t>
  </si>
  <si>
    <t>Babyfood, cereal, oatmeal, dry fortified</t>
  </si>
  <si>
    <t>Babyfood, cereal, rice, dry fortified</t>
  </si>
  <si>
    <t>Babyfood, Multigrain whole grain cereal, dry fortified</t>
  </si>
  <si>
    <t>Babyfood, cereal, brown rice, dry, instant</t>
  </si>
  <si>
    <t>Bean, french</t>
  </si>
  <si>
    <t>Cassava, dried</t>
  </si>
  <si>
    <t>Sugarcane</t>
  </si>
  <si>
    <t>Mixed fruit jam</t>
  </si>
  <si>
    <t>Vinegar, wine</t>
  </si>
  <si>
    <t>Candy, chocolate</t>
  </si>
  <si>
    <t>Chilli sauce</t>
  </si>
  <si>
    <t>0.0</t>
  </si>
  <si>
    <t>Soup, beef broth or bouillon canned, ready-to-serve</t>
  </si>
  <si>
    <t>Soup, minestrone, canned, condensed</t>
  </si>
  <si>
    <t>Soup, bean with pork, canned, condensed</t>
  </si>
  <si>
    <t>Soup, vegetable soup, condensed, low sodium, prepared with equal volume water</t>
  </si>
  <si>
    <t>West Africa</t>
  </si>
  <si>
    <t>07_025</t>
  </si>
  <si>
    <t xml:space="preserve">Beef, meat, cured, corned, canned </t>
  </si>
  <si>
    <t xml:space="preserve">Pork, cured, ham, separable fat, boneless, heated </t>
  </si>
  <si>
    <t>Salami, cooked, beef and pork</t>
  </si>
  <si>
    <t>west african FCT</t>
  </si>
  <si>
    <t>09_012</t>
  </si>
  <si>
    <t>Anchovy, canned in oil (drained solids)</t>
  </si>
  <si>
    <t>09_037</t>
  </si>
  <si>
    <t xml:space="preserve">Sardines in oil, canned (drained solids with bone) </t>
  </si>
  <si>
    <t>Infant formula, Lactogen</t>
  </si>
  <si>
    <t>Sour cream, reduced fat</t>
  </si>
  <si>
    <t xml:space="preserve"> Cream, sour, cultured</t>
  </si>
  <si>
    <t>Grapefruit</t>
  </si>
  <si>
    <t>Jams and preserves</t>
  </si>
  <si>
    <t xml:space="preserve"> Candies, caramels</t>
  </si>
  <si>
    <t>Chewing gum</t>
  </si>
  <si>
    <t>Spices, poultry seasoning</t>
  </si>
  <si>
    <t xml:space="preserve"> 13_013</t>
  </si>
  <si>
    <t xml:space="preserve">Mustard, prepared, yellow </t>
  </si>
  <si>
    <t xml:space="preserve"> Eggplant, pickled</t>
  </si>
  <si>
    <t>Pickles, cucumber, sour and usda Peppers, hot pickled, canned</t>
  </si>
  <si>
    <t xml:space="preserve">Tanzania FCT </t>
  </si>
  <si>
    <t xml:space="preserve"> Potato, crisps, plain, salted</t>
  </si>
  <si>
    <t xml:space="preserve"> Water, bottled, generic</t>
  </si>
  <si>
    <t xml:space="preserve">usda </t>
  </si>
  <si>
    <t xml:space="preserve"> Beverages, carbonated, cola, regular</t>
  </si>
  <si>
    <t xml:space="preserve"> Beverages, Energy drink, RED BULL</t>
  </si>
  <si>
    <t xml:space="preserve">usda  </t>
  </si>
  <si>
    <t xml:space="preserve"> Alcoholic beverage, distilled, vodka, 80 proof</t>
  </si>
  <si>
    <t>Alcoholic beverage, distilled, whiskey, 86 proof</t>
  </si>
  <si>
    <t>Alcoholic beverage, distilled, all (gin, rum, vodka, whiskey) 80 proof</t>
  </si>
  <si>
    <t xml:space="preserve"> west africa fct</t>
  </si>
  <si>
    <t>12_003</t>
  </si>
  <si>
    <t xml:space="preserve"> Beer, millet (est. 3 % alcohol)</t>
  </si>
  <si>
    <t xml:space="preserve">12_004 </t>
  </si>
  <si>
    <t xml:space="preserve">Beer, sorghum (est. 3 % alcohol) </t>
  </si>
  <si>
    <t>Average of alcoholic beverages above</t>
  </si>
  <si>
    <t>Average from the two beers</t>
  </si>
  <si>
    <t>Alcoholic beverage, wine, dessert, dry</t>
  </si>
  <si>
    <t>Alcoholic beverage, wine, table, all</t>
  </si>
  <si>
    <t xml:space="preserve"> Alcoholic beverage, beer, regular, all</t>
  </si>
  <si>
    <t>Beer, local, grain</t>
  </si>
  <si>
    <t>Beef, variety meats and by-products, kidneys, raw</t>
  </si>
  <si>
    <t>Kenyan FCT</t>
  </si>
  <si>
    <t>Corn, sweet, white, raw</t>
  </si>
  <si>
    <t>Corn, sweet, yellow, raw</t>
  </si>
  <si>
    <t>Beef, variety meats and by-products, tripe, raw</t>
  </si>
  <si>
    <t>equal 908</t>
  </si>
  <si>
    <t>Beef, ground, 80% lean meat / 20% fat, raw</t>
  </si>
  <si>
    <t>average of beverages</t>
  </si>
  <si>
    <t>Average from some of the above foods</t>
  </si>
  <si>
    <t xml:space="preserve">Margarine, fortified </t>
  </si>
  <si>
    <t>11_006</t>
  </si>
  <si>
    <t>Idem 504</t>
  </si>
  <si>
    <t xml:space="preserve">Watermelon, fruit, raw </t>
  </si>
  <si>
    <t>05_022</t>
  </si>
  <si>
    <t>west africa fct</t>
  </si>
  <si>
    <t>Melon, cantaloupe, raw</t>
  </si>
  <si>
    <t>05_039</t>
  </si>
  <si>
    <t xml:space="preserve">Peppers, chilli, raw </t>
  </si>
  <si>
    <t>04_046</t>
  </si>
  <si>
    <t xml:space="preserve">Jaggery, cane (Saccharum officinarum) </t>
  </si>
  <si>
    <t>I001</t>
  </si>
  <si>
    <t>in Indian FCT http://www.indiaenvironmentportal.org.in/files/file/IFCT%202017%20Book.pdf.</t>
  </si>
  <si>
    <t>Leavening agents, baking powder, low-sodium</t>
  </si>
  <si>
    <t>Beverages, soy, commercially prepared, unfortified</t>
  </si>
  <si>
    <t>Danish FCT https://frida.fooddata.dk/food/1178?lang=en</t>
  </si>
  <si>
    <t>Vegetable juice cocktail, canned</t>
  </si>
  <si>
    <t>Beverages, coffee, brewed, prepared with tap water</t>
  </si>
  <si>
    <t>Beverages, tea, green, brewed, regular</t>
  </si>
  <si>
    <t>Milk, chocolate beverage, hot cocoa, homemade</t>
  </si>
  <si>
    <t>Soft drink, fruit flavored, caffeine free</t>
  </si>
  <si>
    <t>2018 Kenyan FCT</t>
  </si>
  <si>
    <t>Vegetables, mixed, canned, solids and liquids</t>
  </si>
  <si>
    <t>Kale, Ethiopian (kanzera), leaves, raw</t>
  </si>
  <si>
    <t>Vine (African) spinach, picked leaves, raw</t>
  </si>
  <si>
    <r>
      <t xml:space="preserve">Using FCT data, Protein (grams) </t>
    </r>
    <r>
      <rPr>
        <b/>
        <sz val="11"/>
        <color indexed="10"/>
        <rFont val="Calibri"/>
        <family val="2"/>
        <scheme val="minor"/>
      </rPr>
      <t>(fd_pro)</t>
    </r>
  </si>
  <si>
    <r>
      <t xml:space="preserve">Using FCT data, Total Fat (grams) </t>
    </r>
    <r>
      <rPr>
        <b/>
        <sz val="11"/>
        <color indexed="10"/>
        <rFont val="Calibri"/>
        <family val="2"/>
        <scheme val="minor"/>
      </rPr>
      <t>(fd_fat)</t>
    </r>
  </si>
  <si>
    <r>
      <t xml:space="preserve">Using FCT data, Total Fiber (grams) </t>
    </r>
    <r>
      <rPr>
        <b/>
        <sz val="11"/>
        <color indexed="10"/>
        <rFont val="Calibri"/>
        <family val="2"/>
        <scheme val="minor"/>
      </rPr>
      <t>(fd_fib)</t>
    </r>
  </si>
  <si>
    <r>
      <t xml:space="preserve">Using FCT data, Alcohol (grams) </t>
    </r>
    <r>
      <rPr>
        <b/>
        <sz val="11"/>
        <color indexed="10"/>
        <rFont val="Calibri"/>
        <family val="2"/>
        <scheme val="minor"/>
      </rPr>
      <t>(fd_alc)</t>
    </r>
  </si>
  <si>
    <r>
      <t xml:space="preserve">Using a formula, Available Carbohydrates by difference (grams) </t>
    </r>
    <r>
      <rPr>
        <b/>
        <sz val="11"/>
        <color indexed="10"/>
        <rFont val="Calibri"/>
        <family val="2"/>
        <scheme val="minor"/>
      </rPr>
      <t>(fd_car)</t>
    </r>
  </si>
  <si>
    <r>
      <t xml:space="preserve">Using a formula, Calories (Kcal) </t>
    </r>
    <r>
      <rPr>
        <b/>
        <sz val="11"/>
        <color indexed="10"/>
        <rFont val="Calibri"/>
        <family val="2"/>
        <scheme val="minor"/>
      </rPr>
      <t>(fd_kcal)</t>
    </r>
  </si>
  <si>
    <r>
      <t xml:space="preserve">Item Group </t>
    </r>
    <r>
      <rPr>
        <b/>
        <sz val="11"/>
        <color rgb="FFFF0000"/>
        <rFont val="Calibri"/>
        <family val="2"/>
        <scheme val="minor"/>
      </rPr>
      <t>(diversity_grp)</t>
    </r>
  </si>
  <si>
    <r>
      <t xml:space="preserve">Total Fat (grams) </t>
    </r>
    <r>
      <rPr>
        <b/>
        <sz val="11"/>
        <color indexed="10"/>
        <rFont val="Calibri"/>
        <family val="2"/>
        <scheme val="minor"/>
      </rPr>
      <t>(fd_fat)</t>
    </r>
  </si>
  <si>
    <r>
      <t xml:space="preserve">Total Fiber (grams) </t>
    </r>
    <r>
      <rPr>
        <b/>
        <sz val="11"/>
        <color indexed="10"/>
        <rFont val="Calibri"/>
        <family val="2"/>
        <scheme val="minor"/>
      </rPr>
      <t>(fd_fib)</t>
    </r>
  </si>
  <si>
    <r>
      <t xml:space="preserve">Computed Available Carbohydrates by difference (grams) </t>
    </r>
    <r>
      <rPr>
        <b/>
        <sz val="11"/>
        <color indexed="10"/>
        <rFont val="Calibri"/>
        <family val="2"/>
        <scheme val="minor"/>
      </rPr>
      <t>(fd_car)</t>
    </r>
  </si>
  <si>
    <t>Amaranth, whole grain, dry, raw</t>
  </si>
  <si>
    <t>Pork, cured, bacon, unprepared</t>
  </si>
  <si>
    <t>B2</t>
  </si>
  <si>
    <t>Coffee, liquid</t>
  </si>
  <si>
    <t>Tea, infusion</t>
  </si>
  <si>
    <t>12_008</t>
  </si>
  <si>
    <t>12_009</t>
  </si>
  <si>
    <r>
      <t>Item group</t>
    </r>
    <r>
      <rPr>
        <b/>
        <sz val="11"/>
        <color rgb="FFFF0000"/>
        <rFont val="Calibri"/>
        <family val="2"/>
        <scheme val="minor"/>
      </rPr>
      <t xml:space="preserve"> (gift_grp)</t>
    </r>
  </si>
  <si>
    <t>Food group code</t>
  </si>
  <si>
    <t xml:space="preserve">Food groups </t>
  </si>
  <si>
    <t>Food groups - short name</t>
  </si>
  <si>
    <t>Sub-group code</t>
  </si>
  <si>
    <t>Food group description</t>
  </si>
  <si>
    <t>Cereals and their products</t>
  </si>
  <si>
    <t>Cereals</t>
  </si>
  <si>
    <t>Rice and rice-based products</t>
  </si>
  <si>
    <t>Rice</t>
  </si>
  <si>
    <t>Rice, including secondary commodities and derived products such as semolina, flour, bran, popped rice, rolled grains and porridge and manufactured rice-based products such as processed rice-based flakes, noodles, bread and milk imitates, excluding manufactured rice-based snacks such as chips.</t>
  </si>
  <si>
    <t>Maize and maize-based products</t>
  </si>
  <si>
    <t>Maize</t>
  </si>
  <si>
    <t>Maize, including secondary commodities and derived products such as semolina, milled grain, maize germ and cornmeal porridge and manufactured maize-based products such as processed maize-based flakes, maize starch and popcorn, excluding manufactured maize-based snacks such as chips.</t>
  </si>
  <si>
    <t>Wheat and wheat-based products</t>
  </si>
  <si>
    <t>Wheat</t>
  </si>
  <si>
    <t>Wheat, including  secondary commodities and derived products such as groats, semolina, flour, bran, wheat grain germ, rolled and popped grains and porridge and manufactured wheat-based products such as processed wheat-based flakes, puffed grains, pastas and breads and dough-base foods, excluding manufactured wheat-based snacks such as chips.</t>
  </si>
  <si>
    <t>Sorghum and sorghum-based products</t>
  </si>
  <si>
    <t>Sorghum</t>
  </si>
  <si>
    <t>Sorghum, including secondary commodities and derived products such as flour, and manufactured sorghum-based products, excluding manufactured sorghum-based snacks such as chips.</t>
  </si>
  <si>
    <t>Millet and millet-based products</t>
  </si>
  <si>
    <t>Millet</t>
  </si>
  <si>
    <t>Millet, including secondary commodities and derived products such as groats, flour and rolled grains, and manufactured millet-based products, excluding manufactured millet-based snacks such as chips.</t>
  </si>
  <si>
    <t>Other cereals, mixed cereals or unspecified cereals and their products</t>
  </si>
  <si>
    <t>Other and mixed cereals</t>
  </si>
  <si>
    <t>Grains other than rice, maize, wheat, sorghum and millet, such as barley, buckwheat, oat, rye, spelt, etc., and unspecified grains, their secondary commodities and derived products such as groats, flours, brans, flakes, popped cereals, rolled grains, porridges and others, and manufactured cereal-based products such as cereal bars, muesli, industrial ready to eat porridges, pastas and noodles, breads, starches and milk imitates, excluding manufactured cereal-based snacks such as chips.</t>
  </si>
  <si>
    <t>Roots, tubers, plantains and their products</t>
  </si>
  <si>
    <t>Roots, tubers and plantains</t>
  </si>
  <si>
    <t>Potato, sweet potato and their products</t>
  </si>
  <si>
    <t>Potato</t>
  </si>
  <si>
    <t>Potato and sweet potato, including secondary commodities and derivatives such as starch and dried potato, excluding manufactured potato-based snacks such as potato chips, etc..</t>
  </si>
  <si>
    <t>Cassava and similar roots (excluding taro) and their products</t>
  </si>
  <si>
    <t>Cassava</t>
  </si>
  <si>
    <r>
      <t>Cassava and similar roots such as "blue taros" and tannias (</t>
    </r>
    <r>
      <rPr>
        <i/>
        <sz val="11"/>
        <rFont val="Calibri"/>
        <family val="2"/>
        <scheme val="minor"/>
      </rPr>
      <t>Xanthosoma spp.</t>
    </r>
    <r>
      <rPr>
        <sz val="11"/>
        <rFont val="Calibri"/>
        <family val="2"/>
        <scheme val="minor"/>
      </rPr>
      <t xml:space="preserve">), canna, chayote roots and konjac roots (excluding taro - </t>
    </r>
    <r>
      <rPr>
        <i/>
        <sz val="11"/>
        <rFont val="Calibri"/>
        <family val="2"/>
        <scheme val="minor"/>
      </rPr>
      <t>Colocasia esculenta (L.) Schott</t>
    </r>
    <r>
      <rPr>
        <sz val="11"/>
        <rFont val="Calibri"/>
        <family val="2"/>
        <scheme val="minor"/>
      </rPr>
      <t>), including secondary commodities and derivatives, excluding manufactured snacks such as cassava chips, etc..</t>
    </r>
  </si>
  <si>
    <t>Taro and taro-based products</t>
  </si>
  <si>
    <t>Taro</t>
  </si>
  <si>
    <r>
      <t>Taro (</t>
    </r>
    <r>
      <rPr>
        <i/>
        <sz val="11"/>
        <rFont val="Calibri"/>
        <family val="2"/>
        <scheme val="minor"/>
      </rPr>
      <t>Colocasia esculenta (L.) Schott</t>
    </r>
    <r>
      <rPr>
        <sz val="11"/>
        <rFont val="Calibri"/>
        <family val="2"/>
        <scheme val="minor"/>
      </rPr>
      <t>), including secondary commodities and derivatives, excluding taro-based manufactured snacks such as chips, etc...</t>
    </r>
  </si>
  <si>
    <t>Yam and yam-based products</t>
  </si>
  <si>
    <t>Yam</t>
  </si>
  <si>
    <r>
      <t>Yam (</t>
    </r>
    <r>
      <rPr>
        <i/>
        <sz val="11"/>
        <rFont val="Calibri"/>
        <family val="2"/>
        <scheme val="minor"/>
      </rPr>
      <t>Dioscorea L. spp</t>
    </r>
    <r>
      <rPr>
        <sz val="11"/>
        <rFont val="Calibri"/>
        <family val="2"/>
        <scheme val="minor"/>
      </rPr>
      <t>), including secondary commodities and derivatives, excluding taro-based manufactured snacks such as chips, etc...</t>
    </r>
  </si>
  <si>
    <t>Other and unspecified starchy roots and tubers (excluding sugary roots and tubers) and their products</t>
  </si>
  <si>
    <t>Other starchy roots and tubers</t>
  </si>
  <si>
    <t>Starchy roots and tubers other than potato and sweet potato, cassava and similar roots, taro and yam, including secondary commodities and derivatives, excluding manufactured snacks such as chips, etc...</t>
  </si>
  <si>
    <t>Plantain and plantain-based products</t>
  </si>
  <si>
    <t>Plantain</t>
  </si>
  <si>
    <t>Plantains, including secondary commodities and derivatives, excluding plaintain-based manufactured snacks such as plantain chips, etc...</t>
  </si>
  <si>
    <t>Pulses, seeds and nuts and their products</t>
  </si>
  <si>
    <t xml:space="preserve">Pulses, seeds and nuts </t>
  </si>
  <si>
    <t>Pulses (excluding soybeans) and their products</t>
  </si>
  <si>
    <t>Pulses</t>
  </si>
  <si>
    <t>Dry beans (excluding soybeans), peas, lentils, lupins and other and unspecified pulses and their sprouts, including derived and manufactured products such as canned or jarred legumes, hummus, etc..</t>
  </si>
  <si>
    <t xml:space="preserve">Soybean and soy-based products </t>
  </si>
  <si>
    <t>Soybeans</t>
  </si>
  <si>
    <t>Dry soybeans and their sprouts, including derived and manufactured products such as tofu, soy drinks, texturized soy proteins, meat imitates, milk and milk product imitates.</t>
  </si>
  <si>
    <t>Nuts, seeds and their products</t>
  </si>
  <si>
    <t>Nuts and seeds</t>
  </si>
  <si>
    <t>Nuts and seeds such as tree nuts (almonds, cashew nuts, chestnuts, coconuts, walnuts and similar, etc.) and oilseeds (sesame seeds, poppy seeds, sunflower seeds, pumpkin seeds, linseeds, etc.), including derived and manufactured products of them such as dried nuts, flours and powders, peanut butter, tahini paste and milk imitates.</t>
  </si>
  <si>
    <t>Milk and milk products</t>
  </si>
  <si>
    <t>Milk: fresh and processed (excluding fermented milk products, cream, whey, cheese and other milk products)</t>
  </si>
  <si>
    <t>Milk</t>
  </si>
  <si>
    <t xml:space="preserve">Milk from cattle, equine and other mammals including secondary commodities and products derived from milk by reducing water or/and increasing sugar content and isolating milk protein such as evaporated, condensed and powdered milk and milk protein, and manufactured products such as dairy snacks, flavoured milk, etc., which are not fermented milk products, cheese, cream or whey. </t>
  </si>
  <si>
    <t>Fermented milk products</t>
  </si>
  <si>
    <t>Fermented products of cow, sheep, goat or other mammal's milk such as yoghurts, kefir, kumis, sour and fermented milk, including flavoured and non-flavoured products.</t>
  </si>
  <si>
    <t>Cream, whey and any other milk products excluding fermented milk products and cheese</t>
  </si>
  <si>
    <t>Other milk products</t>
  </si>
  <si>
    <t xml:space="preserve">Products derived from cow, sheep, goat or other mammal's milk by isolating its different fractions such as cream, whey and other milk products (excluding isolated milk fats), including dried products such as powdered whey, cream and sour cream and isolated whey protein, and manufactured products such as flavoured whey, cream and sour cream, etc.. </t>
  </si>
  <si>
    <t>Cheese</t>
  </si>
  <si>
    <t>Any kinds of cheese manufactured from cow, sheep, goat or other mammal's milk such as cured and uncured cheese, brined cheese, ripened cheese (soft and hard), including cheese rind and including processed cheese such as spreads, etc..</t>
  </si>
  <si>
    <t>Eggs and their products</t>
  </si>
  <si>
    <t xml:space="preserve">Eggs </t>
  </si>
  <si>
    <t>Eggs: fresh and processed</t>
  </si>
  <si>
    <t>Eggs</t>
  </si>
  <si>
    <t>Bird eggs (whole and their fractions: separated yolk or white) such as poultry eggs (hen, duck, geese, quail, turkey, etc.) and other birds eggs (seagull, emu, nandu, ostrich and other birds), including processed eggs such as dried eggs, etc., and manufactured products such as solid egg rolls.</t>
  </si>
  <si>
    <t>Fish, shellfish and their products</t>
  </si>
  <si>
    <t>Fish</t>
  </si>
  <si>
    <t>Freshwater fish (excluding offal): fresh and processed (excluding dried)</t>
  </si>
  <si>
    <t>Freshwater fish</t>
  </si>
  <si>
    <t>Freshwater fish, meat only, including processed fish such as marinated, pickled, salt-preserved, canned or jarred, smoked, etc. and manufactured fish products such as fish pastes, surimi, etc., excluding dried fish.</t>
  </si>
  <si>
    <t>Diadromous fish (excluding offal): fresh and processed (excluding dried)</t>
  </si>
  <si>
    <t>Diadromous fish</t>
  </si>
  <si>
    <t>Diadromous fish, meat only, including processed fish such as marinated, pickled, salt-preserved, canned or jarred, smoked, etc. and manufactured fish products such as fish pastes, surimi, etc., excluding dried fish.</t>
  </si>
  <si>
    <t>Marine fish (excluding offal): fresh and processed (excluding dried)</t>
  </si>
  <si>
    <t>Marine fish</t>
  </si>
  <si>
    <t>Marine fish, meat only, including processed fish such as marinated, pickled, salt-preserved, canned or jarred, smoked, etc. and manufactured fish products such as fish pastes, surimi, etc., excluding dried fish.</t>
  </si>
  <si>
    <t>Offal - fish and shellfish: fresh and processed (excluding dried)</t>
  </si>
  <si>
    <t>Offal</t>
  </si>
  <si>
    <t>Offal from all types of fish and shellfish, mixed and from unspecified sources, including processed offal such as marinated, pickled, salt-preserved, canned or jarred, smoked, etc. and manufactured offal products such as pastes, etc., excluding dried offal.</t>
  </si>
  <si>
    <t>Shellfish (excluding offal) - all types: fresh and processed (excluding dried)</t>
  </si>
  <si>
    <t>Shellfish</t>
  </si>
  <si>
    <t>Shellfish, crustaceans and molluscs, including processed shellfish such as marinated, pickled, salt-preserved, canned or jarred, smoked, etc. and manufactured shellfish products such as pastes, etc., excluding dried shellfish.</t>
  </si>
  <si>
    <t>Fish and shellfish - mixed or unspecified: fresh and processed (excluding dried)</t>
  </si>
  <si>
    <t>Processed fish and shellfish</t>
  </si>
  <si>
    <t>Fish and shellfish, mixed and of unspecified source, including processed fish and shellfish, such as marinated, pickled, salt-preserved, canned or jarred, smoked, etc. and manufactured fish shellfish products such as pastes, etc., excluding dried fish and shellfish.</t>
  </si>
  <si>
    <t>Fish and shellfish (including offal) - all types: dried</t>
  </si>
  <si>
    <t>Dried fish and shellfish</t>
  </si>
  <si>
    <t xml:space="preserve">Dried fish and shellfish, including freshwater fish, diadromous fish, marine fish, shellfish and offal and unspecified source dried fish and shellfish, including sundried and industrially dried, and dried fish products with added flavouring ingredients such as salt, sugar, soy sauce, etc. </t>
  </si>
  <si>
    <t>Meat and meat products</t>
  </si>
  <si>
    <t>Meat</t>
  </si>
  <si>
    <t>Offal - all types: fresh and processed (excluding dried)</t>
  </si>
  <si>
    <t>Organ meat such as liver, kidney, heart, lungs, intestines, blood etc., from mammals and birds, mixed and from unspecified sources, including processed and manufactured offal products, excluding dried offal.</t>
  </si>
  <si>
    <t>Mammals, reptiles and amphibians (excluding offal): fresh and processed (excluding dried)</t>
  </si>
  <si>
    <t>Red meat/ Mammals, reptiles and amphibians</t>
  </si>
  <si>
    <t>Mammal meat (excluding offal), such as bovine, pork, equine, goat, sheep, camelid, deer, rabbit, game animals, marine mammal, kangaroo, rodents such as guinea pig and rat, etc., and reptiles and amphibians such as snails, crocodiles, frogs, snakes, turtles, lizards, etc., including processed products such as cold meats (cured or seasoned), smoked meats, pre-cooked sausages, marinated meats, canned or tinned meats, and manufactured products such as meat-based spreads, gelatines, etc., excluding dried meats.</t>
  </si>
  <si>
    <t>Birds (excluding offal): fresh and processed (excluding dried)</t>
  </si>
  <si>
    <t>Poultry</t>
  </si>
  <si>
    <t>Bird meat (excluding offal), such as chicken, turkey, duck, goose, pigeon, ratites, quail, pheasant and other game birds, etc., including processed products such as cold meats (cured or seasoned), smoked meats, pre-cooked sausages, marinated meats, canned or tinned meats, and manufactured products such as bird meat-based spreads, excluding dried meats.</t>
  </si>
  <si>
    <t>Meat - mixed or unspecified: fresh and processed (excluding dried)</t>
  </si>
  <si>
    <t>Mixed or unspecified meat</t>
  </si>
  <si>
    <t>Meat, mixed and of unspecified source, including processed meat such as cold meats (cured or seasoned), smoked meats, pre-cooked sausages, marinated meats, canned or tinned meats, and manufactured products such as bird meat-based spreads, excluding dried meats.</t>
  </si>
  <si>
    <t>Meat - all types: dried</t>
  </si>
  <si>
    <t>Dried meat</t>
  </si>
  <si>
    <t xml:space="preserve">Dried meat, including mammal, reptiles, amphibians, birds, and their offal, including sundried and industrially dried, and dried meat products with added flavouring ingredients such as salt, sugar, soy sauce, etc. </t>
  </si>
  <si>
    <t>Insects, grubs and their products</t>
  </si>
  <si>
    <t>Insects and grubs</t>
  </si>
  <si>
    <t>All terrestrial insects such as spiders, mites, ticks, beetles, flies, bugs, ants, etc., and grubs such as earthworms, including processed products such as dried insects, and manufactured products such as powdered insects and grubs.</t>
  </si>
  <si>
    <t>Vegetables and their products</t>
  </si>
  <si>
    <t>Vegetables</t>
  </si>
  <si>
    <t>Leafy vegetables: fresh</t>
  </si>
  <si>
    <t>Leafy vegetables</t>
  </si>
  <si>
    <t>Leafy vegetables such as lettuce, rocket salad, mustard leaves, bay leaves, spinach and similar, chard and similar, whitlow, cabbage and brussels sprouts, kale, other leafy brassica and ferns, and seaweeds such as algae and prokaryotes organisms, consumed fresh and after basic household processing such as cooking, excluding drying, pickling and other ways of preserving.</t>
  </si>
  <si>
    <t>Yellow and orange vegetables: fresh</t>
  </si>
  <si>
    <t>Yellow and orange vegetables</t>
  </si>
  <si>
    <t>Vegetables (excluding leafy vegetables and including fresh legumes): fresh</t>
  </si>
  <si>
    <t>Other vegetables</t>
  </si>
  <si>
    <t>Vegetables - all types: dried</t>
  </si>
  <si>
    <t>Dried vegetables</t>
  </si>
  <si>
    <t xml:space="preserve">Dried vegetables, leafy vegetables and other vegetables, excluding starchy and sugary roots and tubers, including sundried and industrially dried vegetables. </t>
  </si>
  <si>
    <t>Vegetables - all types, mixed and unspecified: processed (excluding dried)</t>
  </si>
  <si>
    <t>Processed vegetables</t>
  </si>
  <si>
    <t>Processed (excluding dried) leafy and other vegetables, excluding starchy and sugary roots and tubers, including canned and jarred vegetables, concentrates such as tomato concentrate, pickled, salted, marinated and fermented vegetables, manufactured vegetable products such as vegetable pastes, dairy and meat imitates (excluding soy-based imitates).</t>
  </si>
  <si>
    <t>Vegeytables - mixed and unspecified: fresh</t>
  </si>
  <si>
    <t>Mixed and unspecified vegetables</t>
  </si>
  <si>
    <t>Vegetables, mixed and of unspecified source, consumed fresh and after basic household processing such as cooking, excluding drying, pickling and other ways of preserving.</t>
  </si>
  <si>
    <t>Fruits and their products</t>
  </si>
  <si>
    <t>Fruits</t>
  </si>
  <si>
    <t>Yellow and orange fruits: fresh</t>
  </si>
  <si>
    <t>Yellow and orange fruits</t>
  </si>
  <si>
    <t>Fruits: fresh</t>
  </si>
  <si>
    <t xml:space="preserve">Fruits/ (Other) </t>
  </si>
  <si>
    <t>Fruits: dried</t>
  </si>
  <si>
    <t>Dried fruits</t>
  </si>
  <si>
    <t>Dried fruits of any kind, including sundries and industrially dried, excluding candied fruits.</t>
  </si>
  <si>
    <t>Fruits: processed (excluding dried and candied)</t>
  </si>
  <si>
    <t>Processed fruits</t>
  </si>
  <si>
    <t>Processed (excluding dried, candied and fermented) fruits, including canned and jarred, pickled, preserved in vinegar brine, etc..</t>
  </si>
  <si>
    <t>Fats and oils</t>
  </si>
  <si>
    <t>Vegetable fat and oil (excluding red palm oil)</t>
  </si>
  <si>
    <t>Vegetable oil</t>
  </si>
  <si>
    <t xml:space="preserve">Oils, butters and margarines derived from fruits such as olives, seeds such as sunflower, rape seed, soy bean, etc., and other plants such as palms (excluding red palm). </t>
  </si>
  <si>
    <t>Red palm oil</t>
  </si>
  <si>
    <r>
      <t xml:space="preserve">Oil derived from the derived from the mesocarp (reddish pulp) of the fruit of the oil palms, primarily the African oil palm </t>
    </r>
    <r>
      <rPr>
        <i/>
        <sz val="11"/>
        <rFont val="Calibri"/>
        <family val="2"/>
        <scheme val="minor"/>
      </rPr>
      <t>Elaeis guineensis</t>
    </r>
    <r>
      <rPr>
        <sz val="11"/>
        <rFont val="Calibri"/>
        <family val="2"/>
        <scheme val="minor"/>
      </rPr>
      <t>, unrefined, red coloured, with high content of β-carotene.</t>
    </r>
  </si>
  <si>
    <t>Animal fat and oil</t>
  </si>
  <si>
    <t>Lards, tallows, fats, butters and oils of animal origin.</t>
  </si>
  <si>
    <t>Sweets and sugars</t>
  </si>
  <si>
    <t>Dough-based sweets</t>
  </si>
  <si>
    <t xml:space="preserve">Sweets made predominantly with dough, such as bakery and pastry products, (fried and baked sweet doughs, laminated dough, cakes, cookies, biscuit, crackers, waffles, etc.), which may also contain non-cereal components such as creams, fillings and toppings. </t>
  </si>
  <si>
    <t>Chocolate-based sweets</t>
  </si>
  <si>
    <t>Sweets made predominantly with chocolate or cocoa, such as various types of chocolate, pralines, chocolate spreads and sauces, etc., which may contain also other ingredients.</t>
  </si>
  <si>
    <t>Fruit and nut-based sweets</t>
  </si>
  <si>
    <t>Sweets made predominately from fruits or nuts, eventually vegetables, where these ingredients are processed with sugar (candied or chocolate-coated fruits, jams, marmalades, fruit jellies etc.), which may contain also other ingredients.</t>
  </si>
  <si>
    <t>Other sweets</t>
  </si>
  <si>
    <t>Any other sweets which are not made predominantly from dough, chocolate, fruits, nuts or dairy such as candies, jellies and sweet bars, desserts and sweet dessert sauces and toppings, etc..</t>
  </si>
  <si>
    <t>Sugars</t>
  </si>
  <si>
    <t>Sugars such as mono- and di-saccharides (sucrose, lactose, galactose, etc.), syrups (molasses and similar), maltodextrins (maltodextrin, dextrin, polydextrose), honey and others (polyols, polyfructoses, etc.).</t>
  </si>
  <si>
    <t>Dairy or dairy imitate based sweets</t>
  </si>
  <si>
    <t>Dairy sweets</t>
  </si>
  <si>
    <t xml:space="preserve">Sweets made predominantly from dairy or dairy imitates such as custards, puddings, ice cream, milkshakes, dairy snacks etc, which may contain also other ingredients. </t>
  </si>
  <si>
    <t>Spices and condiments</t>
  </si>
  <si>
    <t>Herbs and spices</t>
  </si>
  <si>
    <t>Herbs such as aromatic and dried herbs and flowers used as spices, etc., and spices such as bud, seed, fruit, root and rhizome spices, etc..</t>
  </si>
  <si>
    <t>Condiments</t>
  </si>
  <si>
    <t>Condiments, sauces and relishes such as soy sauce, seasoning mixes, flavour extracts, vinegars, salsas, pesto, chutneys, etc.</t>
  </si>
  <si>
    <t xml:space="preserve">Beverages </t>
  </si>
  <si>
    <t>Alcoholic drinks</t>
  </si>
  <si>
    <t>Alcoholic drinks such as beer, wine, and other alcoholic beverages (liquors, unsweetened spirits, mixed drinks such as cocktails, punch, sangria, etc., fermented fruit and their products).</t>
  </si>
  <si>
    <t>Drinking water</t>
  </si>
  <si>
    <t>Drinking water including tap, well, and filtered tap water, and regular drinking bottled water including mineral water, flavoured water and fortified water.</t>
  </si>
  <si>
    <t>Tea, herbal tea, coffee and cocoa</t>
  </si>
  <si>
    <t>Coffee including coffee imitate beverages, coffee beans, coffee-beverage preparation powder and other coffee imitate ingredients and teas, and herbal teas and infusions, including the ingredients for preparation of such infusions: leaves, flowers, roots, cocoa beans, as well as powders based on teas, infusions and cocoa.</t>
  </si>
  <si>
    <t>Clear broths</t>
  </si>
  <si>
    <t>Soft drinks</t>
  </si>
  <si>
    <t>Soft drinks including carbonated water-based flavoured drinks such as cola-type drinks, flavoured soft drinks, soft drinks with fruit content below 25%, and other soft drinks such as functional drinks and drink mixes.</t>
  </si>
  <si>
    <t>Fruit and vegetable drinks</t>
  </si>
  <si>
    <t>Drinks which contain 25-99% of fruit or vegetable juice, such as fruit nectars (containing minimum 25-50% of fruit), smoothies, and fruit vegetable juice concentrates, extracts and powders.</t>
  </si>
  <si>
    <t>100% fruit and vegetable juices</t>
  </si>
  <si>
    <t>Fruit and vegetable juices which does not contain any other ingredients than the named source.</t>
  </si>
  <si>
    <t>Foods for particular nutritional uses</t>
  </si>
  <si>
    <t>Infant  formulas and ready-to-eat meals for infants and young children</t>
  </si>
  <si>
    <t>Special foods for young populations</t>
  </si>
  <si>
    <t>Foods for infants and young children such as infant and follow on formulae, ready to eat meals for infant and young children, processed cereal -based foods, herbal beverages, infusions and juices and nectars for this group of population and special foods for children growth.</t>
  </si>
  <si>
    <t>Foods for weight reduction</t>
  </si>
  <si>
    <t>Foods for weight reduction including total daily diet and single meal replacements for weight reduction.</t>
  </si>
  <si>
    <t>Foods for sporting people</t>
  </si>
  <si>
    <t xml:space="preserve">Foods for sporting people including carbohydrate-rich energy food products, carbohydrate-electrolyte solutions, protein and protein components, micronutrients supplements and carnitine and carnitine-based supplement for sports people. </t>
  </si>
  <si>
    <t>Foods for medical purposes</t>
  </si>
  <si>
    <t>Dietary foods for special medical purposes including nutritionally complete and incomplete formulae, formulae for metabolic disorders and oral rehydration products.</t>
  </si>
  <si>
    <t>Food supplements and similar</t>
  </si>
  <si>
    <t>Food supplements and similar preparations such as vitamin and mineral supplements, protein and amino-acid supplements, enzyme and coenzyme formulations and natural supplements such as bee-produced, herbal, algae-based, yeast-based probiotic or prebiotic and other formulations.</t>
  </si>
  <si>
    <t>Food additives</t>
  </si>
  <si>
    <t>Sweeteners and flavourings</t>
  </si>
  <si>
    <t>Sweeteners and flavourings such as table-top sweeteners, essences and extracts and artificial sweeteners (e.g. aspartame, saccharine).</t>
  </si>
  <si>
    <t>Colorants</t>
  </si>
  <si>
    <t>Colorants including natural and artificial food colours.</t>
  </si>
  <si>
    <t>Other food additives</t>
  </si>
  <si>
    <t>Other food additives such as preservatives, gelling agents, acid, etc..</t>
  </si>
  <si>
    <t>Home-preparation aids</t>
  </si>
  <si>
    <t>Home preparation aids such as preparations for raising and flavouring home-made bakery, gelling home-made food, flavouring and other processing aids.</t>
  </si>
  <si>
    <t>Ingredients for food fortification/enrichment and supplements</t>
  </si>
  <si>
    <t>Ingredients for food fortification/enrichment and supplements such as vitamins, chemical elements (microelements), dietary fibre, phytochemicals, caffeine, etc..</t>
  </si>
  <si>
    <t>Microbiological or enzymatic ingredients</t>
  </si>
  <si>
    <t>Microbiological or enzymatic ingredients such as starter cultures, yeast cultures, enzymes for food manufacture and moulds or micro-fungal cultures.</t>
  </si>
  <si>
    <t>Composite dishes</t>
  </si>
  <si>
    <t>Meat-based dishes</t>
  </si>
  <si>
    <t>Composite dishes, excluding soups, which main ingredient is meat, such as meat or offal stews, meat loafs, moussaka, etc.</t>
  </si>
  <si>
    <t>Fish and seafood-based dishes</t>
  </si>
  <si>
    <t>Fish-based dishes</t>
  </si>
  <si>
    <t xml:space="preserve">Composite dishes, excluding soups, which main ingredient is fish or other seafood, such as fish and seafood stwes, salads, cakes, etc. </t>
  </si>
  <si>
    <t>Egg-based dishes</t>
  </si>
  <si>
    <t>Composite dishes, excluding soups, which main ingredient is egg, such as omelette with different ingredients, etc.</t>
  </si>
  <si>
    <t>Potato-based dishes</t>
  </si>
  <si>
    <t>Composite dishes, excluding soups, which main ingredient is potato, such as baked potato pies, potato salads, potato croquettes and various meals with potatos and meat, cheese, vegetable or other ingredient additions.</t>
  </si>
  <si>
    <t>Legume-based dishes</t>
  </si>
  <si>
    <t>Composite dishes, excluding soups, which main ingredients are legumes or legume-based products such as tofu, such as legume or tofu salads, legume stews with legumes and meat, cheese, vegetable or other ingredient additions.</t>
  </si>
  <si>
    <t>Vegetable-based dishes</t>
  </si>
  <si>
    <t>Composite dishes, excluding soups, which main ingredient is vegetables such as vegetable steweds and creams, vegetable soufflé, etc.. Vegetable-based dishes include also mushroom-based dishes.</t>
  </si>
  <si>
    <t>Bread-based dishes and finger foods</t>
  </si>
  <si>
    <t>Composite dishes, excluding soups, which main ingredient is bread, such as pizza and stuffed bread, sandwiches, hamburgersBread-based dishes includes also finger foods which are based on bread.</t>
  </si>
  <si>
    <t>Pasta and noodle-based dishes</t>
  </si>
  <si>
    <t>Composite dishes, excluding soups, which main ingredient is pasta or noodles such as stuffed pasta or pasta or noodles with sauce typically containing meat, cheese, vegetable or other ingredient additions, etc..</t>
  </si>
  <si>
    <t>Rice-based dishes</t>
  </si>
  <si>
    <t>Composite dishes, excluding soups, which main ingredient is rice, such as rice with sauce typically containing meat, cheese, vegetable or other ingredient additions, but also dishes such as paella, rice pudding, milk rice, etc..</t>
  </si>
  <si>
    <t>Savoury pies and tarts</t>
  </si>
  <si>
    <t>Composite dishes, with various ingredients served in a form of pies or tarts such as quishe, typically containing eggs and meat, cheese, vegetable or other ingredients.</t>
  </si>
  <si>
    <t>Soups</t>
  </si>
  <si>
    <t>Soups including home-made soups and dry mixtures, typically containing vegetable, meat, legumes or other ingredients, such as meat and vegetable soups, gazpacho, fruit soup, dairy or egg soups, etc....</t>
  </si>
  <si>
    <t>Salad-based dishes</t>
  </si>
  <si>
    <t>Composite dishes, which main ingredients are fresh vegetables, typically containing other ingredients such as meat, grains, legumes, cheese, oil, etc..</t>
  </si>
  <si>
    <t>Savoury snacks</t>
  </si>
  <si>
    <t>Snacks</t>
  </si>
  <si>
    <t>crisps and curls</t>
  </si>
  <si>
    <t>Fried or baked savoury chips prepared based on tubers or cereals such as potato chips or corn chips.</t>
  </si>
  <si>
    <t>Other snacks</t>
  </si>
  <si>
    <t>Other savoury snacks perpared based on tubers or cereals.</t>
  </si>
  <si>
    <r>
      <rPr>
        <b/>
        <sz val="11"/>
        <color theme="5" tint="0.39997558519241921"/>
        <rFont val="Calibri"/>
        <family val="2"/>
        <scheme val="minor"/>
      </rPr>
      <t>NUTRITION</t>
    </r>
    <r>
      <rPr>
        <b/>
        <sz val="11"/>
        <color theme="0"/>
        <rFont val="Calibri"/>
        <family val="2"/>
        <scheme val="minor"/>
      </rPr>
      <t xml:space="preserve"> sub-groups</t>
    </r>
    <r>
      <rPr>
        <b/>
        <sz val="11"/>
        <color rgb="FFFFFF00"/>
        <rFont val="Calibri"/>
        <family val="2"/>
        <scheme val="minor"/>
      </rPr>
      <t xml:space="preserve"> </t>
    </r>
  </si>
  <si>
    <r>
      <t>NUTRITION</t>
    </r>
    <r>
      <rPr>
        <b/>
        <sz val="11"/>
        <color rgb="FFFFFFFF"/>
        <rFont val="Calibri"/>
        <family val="2"/>
        <scheme val="minor"/>
      </rPr>
      <t xml:space="preserve"> </t>
    </r>
    <r>
      <rPr>
        <b/>
        <sz val="11"/>
        <color rgb="FFC65911"/>
        <rFont val="Calibri"/>
        <family val="2"/>
        <scheme val="minor"/>
      </rPr>
      <t>sub-groups</t>
    </r>
    <r>
      <rPr>
        <b/>
        <sz val="11"/>
        <color rgb="FFFFFFFF"/>
        <rFont val="Calibri"/>
        <family val="2"/>
        <scheme val="minor"/>
      </rPr>
      <t xml:space="preserve"> - short name</t>
    </r>
  </si>
  <si>
    <t>Fruits such as citrus fruits (oranges, limes and similar), pome fruits (apples, quinces, loquats and others), stone fruits (avocados, apricots, cherries and similar), berries and small fruits (grapes, strawberries and similar), and other fruits (table olives, figs, litchis, etc.), consumed fresh and after basic household processing such as cooking, excluding drying, pickling, candying, etc..</t>
  </si>
  <si>
    <t>Non leafy vegetables such as sprouts (excluding legume sprouts), shoots, flowering brassica (broccoli, cauliflower and similar), bulb vegetables (fresh garlic, onions  and similar), stems and stalks eaten as vegetables (asparagus, leeks, bamboo, palm hearts and similar)  fresh legumes seeds also eaten with pods (fresh peas, etc.), flowers used as vegetables, fruiting vegetables (okra, cucumbers, tomato and similar), roots and tubers (excluding starchy roots and tubers included under the “roots and tubers” group and sugar roots and tubers) (carrot, radishes and similar), fungi, and mosses and lichens, consumed fresh and after basic household processing such as cooking, excluding drying, pickling and other ways of preserving.</t>
  </si>
  <si>
    <r>
      <t>Item group</t>
    </r>
    <r>
      <rPr>
        <b/>
        <sz val="11"/>
        <color rgb="FFFF0000"/>
        <rFont val="Calibri"/>
        <family val="2"/>
        <scheme val="minor"/>
      </rPr>
      <t xml:space="preserve"> (gift_subgrp)</t>
    </r>
  </si>
  <si>
    <t>gift_subgrp</t>
  </si>
  <si>
    <t>gift_grp</t>
  </si>
  <si>
    <t>Code</t>
  </si>
  <si>
    <t>Food group</t>
  </si>
  <si>
    <t>Examples</t>
  </si>
  <si>
    <t>Corn/maize, rice, wheat, sorghum, millet or any other grains or foods made from these (i.e. bread, noodles, porridge or other grain products) + insert local foods i.e. ugali, nshima, porridge or paste</t>
  </si>
  <si>
    <t>White roots and tubers</t>
  </si>
  <si>
    <t>White potatoes, white yam, white cassava, or other foods made from roots</t>
  </si>
  <si>
    <t>Vitamin A rich vegetables and tubers</t>
  </si>
  <si>
    <t>Pumpkin, carrot, squash, or sweet potato that are orange inside + other locally available vitamin A rich vegetables (i.e. red sweet pepper)</t>
  </si>
  <si>
    <t>Dark green leafy vegetables</t>
  </si>
  <si>
    <t>Dark green leafy vegetables, including wild forms + locally available vitamin A rich leaves such as amaranth, cassava leaves, kale, spinach</t>
  </si>
  <si>
    <t>Other vegetables (i.e. tomato, onion, eggplant) + other locally available vegetables</t>
  </si>
  <si>
    <t>Vitamin A rich fruits</t>
  </si>
  <si>
    <t>Ripe mango, cantaloupe, apricot (fresh or dried), ripe papaya, dried peach, and 100% fruit juice made from these + other locally available vitamin A rich fruits</t>
  </si>
  <si>
    <t>Other fruits</t>
  </si>
  <si>
    <t>Other fruits, including wild fruits and 100% fruit juice made from these</t>
  </si>
  <si>
    <t>Organ meat</t>
  </si>
  <si>
    <t>Liver, kidney, heart or other organ meats or blood-based foods</t>
  </si>
  <si>
    <t>Flesh meats</t>
  </si>
  <si>
    <t>Beef, pork, lamb, goat, rabbit, game, chicken, duck, other birds, insects</t>
  </si>
  <si>
    <t>Eggs from chicken, duck, guinea fowl or any other egg</t>
  </si>
  <si>
    <t>Fish and seafood</t>
  </si>
  <si>
    <t>Fresh or dried fish or shellfish</t>
  </si>
  <si>
    <t>Legumes, nuts and seeds</t>
  </si>
  <si>
    <t>Dried beans, dried peas, lentils, nuts, seeds or foods made from these (e.g. hummus, peanut butter)</t>
  </si>
  <si>
    <t>Milk, cheese, yogurt or other milk products</t>
  </si>
  <si>
    <t>Oils and fats</t>
  </si>
  <si>
    <t>Oil, fats or butter added to food or used for cooking</t>
  </si>
  <si>
    <t>Sweets</t>
  </si>
  <si>
    <t>Sugar, honey, sweetened soda or sweetened juice drinks, sugary foods such as chocolates, candies, cookies and cakes</t>
  </si>
  <si>
    <t>Spices, condiments, beverages</t>
  </si>
  <si>
    <t>Spices (black pepper, salt), condiments (soy sauce, hot sauce), coffee, tea, alcoholic beverages</t>
  </si>
  <si>
    <t>Mixed dish, meal, breakfast and street vendor.</t>
  </si>
  <si>
    <t>Food that is not possible to classify in any of the 16 groups</t>
  </si>
  <si>
    <t>Problematic food items</t>
  </si>
  <si>
    <t>Questionnaire category and comments</t>
  </si>
  <si>
    <t>Well defined food items</t>
  </si>
  <si>
    <t xml:space="preserve">“Other fruits” </t>
  </si>
  <si>
    <t xml:space="preserve">Blended (fortified) foods, such as corn-soy blend, wheat-soy blend, donated commodities or local blends/fortified cereals </t>
  </si>
  <si>
    <t xml:space="preserve">Classify with main ingredient (usually cereals). </t>
  </si>
  <si>
    <t xml:space="preserve">Bread </t>
  </si>
  <si>
    <t xml:space="preserve">“Cereals” </t>
  </si>
  <si>
    <t xml:space="preserve">Chilli peppers, red and green </t>
  </si>
  <si>
    <t xml:space="preserve">“Spices, condiments, and beverages” </t>
  </si>
  <si>
    <t xml:space="preserve">Coconut flesh </t>
  </si>
  <si>
    <t xml:space="preserve">“Spices, condiments, and beverages” or “oils and fats” </t>
  </si>
  <si>
    <t xml:space="preserve">Coconut water </t>
  </si>
  <si>
    <t>“Spices, condiments, and beverages”</t>
  </si>
  <si>
    <t xml:space="preserve">Coffee, sweetened, with or without milk or cream </t>
  </si>
  <si>
    <t xml:space="preserve">“Sweets”, though the amount of milk or cream can vary and be high, very often it is not, and this classification is intended to avoid the risk of falsely inflating the proportion of households reported to apparently consume the nutrient-dense dairy group. </t>
  </si>
  <si>
    <t xml:space="preserve">Coffee, unsweetened, with or without milk or cream </t>
  </si>
  <si>
    <t xml:space="preserve">“Spices, condiments, and beverages”. Rationale as above. </t>
  </si>
  <si>
    <t xml:space="preserve">Doughnuts (fried dough) </t>
  </si>
  <si>
    <t xml:space="preserve">“Oils and fats” </t>
  </si>
  <si>
    <t xml:space="preserve">Dried soup seasoning packets </t>
  </si>
  <si>
    <t xml:space="preserve">“Spices, condiments, and beverages”. These may be rehydrated and consumed as a main dish in a meal, but are not nutritionally very different from bouillon cubes. They are typically high in sodium and, if they contain dried vegetables, the amounts are typically very small, particularly for lower-cost products. </t>
  </si>
  <si>
    <t xml:space="preserve">Fish powder </t>
  </si>
  <si>
    <t>“Spices, condiments, and beverages”.</t>
  </si>
  <si>
    <t xml:space="preserve">Fortified foods and products </t>
  </si>
  <si>
    <t xml:space="preserve">Classify as if unfortified with main ingredient. For example, fortified oil should be classified with “Other oils and fats”. </t>
  </si>
  <si>
    <t xml:space="preserve">Fruit juices (100% fruit) </t>
  </si>
  <si>
    <t>If it is known that 100% fruit juice is commonly consumed, this can be placed in the “vitamin A-rich fruits” (e.g. mango juice) or “other fruits” group, depending on the type of fruit. If this is not certain or feasible, all juices should be placed in the “sweets” category.</t>
  </si>
  <si>
    <t xml:space="preserve">Fruits, canned with sugar syrup </t>
  </si>
  <si>
    <t xml:space="preserve">“Sweets” </t>
  </si>
  <si>
    <t xml:space="preserve">Garlic </t>
  </si>
  <si>
    <t xml:space="preserve">Herbs </t>
  </si>
  <si>
    <t>Ice cream</t>
  </si>
  <si>
    <t>“Sweets”</t>
  </si>
  <si>
    <t xml:space="preserve">Olives </t>
  </si>
  <si>
    <t xml:space="preserve">Palm fruit </t>
  </si>
  <si>
    <t xml:space="preserve">“Vitamin A-rich fruits”. Note that this may be referred to as “palm nut” in some cuisines because the entire pulp-covered kernel is cooked in stews. It is the oily flesh/pulp of the fruit that is high in vitamin A. </t>
  </si>
  <si>
    <t>Pastries</t>
  </si>
  <si>
    <t xml:space="preserve">Samosas and similar savoury fried pastries </t>
  </si>
  <si>
    <t>“Oils and fats”</t>
  </si>
  <si>
    <t xml:space="preserve">Seaweed </t>
  </si>
  <si>
    <t>“Other vegetables”. Most species/varieties are not vitamin A-rich, but a few are. If a locally consumed type of seaweed is known to be vitamin A-rich (defined as ≥120 RE/100 g, in form as eaten), it can be classified with “dark green leafy vegetables”.</t>
  </si>
  <si>
    <t>Snails and/or insects</t>
  </si>
  <si>
    <t xml:space="preserve">“Flesh meats” </t>
  </si>
  <si>
    <t>Sweet bread</t>
  </si>
  <si>
    <t xml:space="preserve">Sweetened condensed milk </t>
  </si>
  <si>
    <t xml:space="preserve">Sweet drinks with milk (e.g. drinks made with milk and chocolate powder, including fortified powders; sweet tea or coffee with milk) </t>
  </si>
  <si>
    <t xml:space="preserve">“Sweets”. Though such drinks will provide varying amounts of dairy, they are classified as sweets to avoid the risk of falsely inflating the proportion of households reported to apparently consume the nutrient-dense dairy group because often the amount of dairy is small. </t>
  </si>
  <si>
    <t xml:space="preserve">Tea, sweetened, with or without milk </t>
  </si>
  <si>
    <t>“Sweets”. Rationale as for coffee, sweetened, with or without milk or cream.</t>
  </si>
  <si>
    <t xml:space="preserve">Tea, unsweetened, with or without milk </t>
  </si>
  <si>
    <t xml:space="preserve">Tomato paste </t>
  </si>
  <si>
    <t xml:space="preserve">Vegetable juices (100%) </t>
  </si>
  <si>
    <t>The issue is the same as for fruit juices. If 100% vegetable juice is commonly consumed, this can be placed in the “Vitamin A rich vegetables and tubers” (e.g. carrot juice) or “other vegetables” group, depending on the type of vegetable. If this is not certain or not feasible, all juices should be placed in the “sweets” category.</t>
  </si>
  <si>
    <t>Not well defined food items</t>
  </si>
  <si>
    <t>Fruit juices, ice-cream and/or non-alcoholic beverages</t>
  </si>
  <si>
    <t>Mixed dishes specifying main ingredients (e.g. beef stew with vegetables; tacos with meat; empanadas; toasts with guacamole and beans; chicken with rice)</t>
  </si>
  <si>
    <r>
      <t xml:space="preserve">By construction, in ADePT-FSM food items that contain foods belonging to different groups (e.g. mixed dishes) can </t>
    </r>
    <r>
      <rPr>
        <b/>
        <sz val="11"/>
        <color rgb="FF000000"/>
        <rFont val="Times New Roman"/>
        <family val="1"/>
      </rPr>
      <t>only</t>
    </r>
    <r>
      <rPr>
        <sz val="11"/>
        <color rgb="FF000000"/>
        <rFont val="Times New Roman"/>
        <family val="1"/>
      </rPr>
      <t xml:space="preserve"> be counted as one food group, even if the list of ingredients of the food item is known. </t>
    </r>
  </si>
  <si>
    <t xml:space="preserve">If the mixed dish includes an animal-source food, classify under the correspondent group (“meat”, “eggs”, “fish and seafood” or “milk and milk products”). Otherwise, classify according to main plant-source ingredient, e.g. legumes, vegetables. However, if the mixed dish is known to be primarily a starchy staple, then classify as “White roots and tubers”. </t>
  </si>
  <si>
    <t>Plantain and sweet banana</t>
  </si>
  <si>
    <t xml:space="preserve">This food item represents two foods belonging to different food groups. This can be classified according to the commodity more largely consumed in the country. If plantain is more consumed place it in “white roots and tubers.” If sweet banana is more consumed, place it in “other fruits.” If it is not certain, place it in the “white roots and tubers” group. </t>
  </si>
  <si>
    <t>Sweet potato</t>
  </si>
  <si>
    <t xml:space="preserve">This can be placed in the “white roots and tubers“ or “vitamin A vegetables and tubers”, depending on the main type of sweet potato consumed in the country. Note that orange-sweet potatoes have a colour that ranges from yellow-orange to reddish and are rich in vitamin A. White sweet potatoes should be placed in the “white roots and tubers” group. If it is not certain, place in the “white roots and tubers” group. </t>
  </si>
  <si>
    <t>Potatoes and sweet potatoes</t>
  </si>
  <si>
    <t>This food item represents two foods belonging to different food groups. This can be classified based on which of the two commodities is more largely consumed in the country. If potatoes and/or white sweet potatoes are more consumed, place in “white roots and tubers”. If orange-sweet potatoes are more consumed place in “vitamin A vegetables and tubers”. If it is not certain, place in the “white roots and tubers” group.</t>
  </si>
  <si>
    <t>Street foods/other mixed foods prepared outside the home broadly defined (e.g. “lunch”, “snack”, “meal”, “dinner”)</t>
  </si>
  <si>
    <r>
      <t xml:space="preserve">The list of ingredients is not known, so these items </t>
    </r>
    <r>
      <rPr>
        <b/>
        <sz val="11"/>
        <color rgb="FF000000"/>
        <rFont val="Times New Roman"/>
        <family val="1"/>
      </rPr>
      <t xml:space="preserve">cannot be </t>
    </r>
    <r>
      <rPr>
        <sz val="11"/>
        <color rgb="FF000000"/>
        <rFont val="Times New Roman"/>
        <family val="1"/>
      </rPr>
      <t xml:space="preserve">classified. </t>
    </r>
  </si>
  <si>
    <t>* In some areas (particularly poor rural areas), coconut milk may be the predominant fat source in the diet, and there may be an interest in including this in the “oils and fats” category. In other areas, particularly where coconut milk is typically thinned with water, it is more appropriate to consider in the “spices, condiments, and beverages” category.</t>
  </si>
  <si>
    <t>Coconut milk *</t>
  </si>
  <si>
    <t xml:space="preserve">The table below presents some food classification challenges which have been adapted from the Minimum Dietary Diversity for Women: A Guide for Measurement. A standard approach is recommended for the classification of food items to minimize the number of items misclassified or not classified at all. The classification decisions follow three principles:
1)  when necessary, make attempts to not falsely inflate food group diversity by counting a food group as consumed when/if there is some doubt;
2)  if a food item is a mixed dish that contains an animal-source food, it should be counted under the corresponding animal-source food group (and not under plant-source foods);
3)  if food items are poorly described, they should not be counted towards the final score. </t>
  </si>
  <si>
    <t>REFERENCE. Moltedo A., Álvarez Sánchez C., Troubat N. and Cafiero C. 2018. Optimizing the use of ADePT-Food Security Module for Nutrient
Analysis. URL: http://www.fao.org/fileadmin/templates/ess/foodsecurity/Optimizing_the_use_of_ADePT_FSM_for_nutrient_analysis.pdf</t>
  </si>
  <si>
    <t>REFERENCE.  FAO. 2020. FAO/WHO GIFT - Global Individual Food Consumption Aata Tool. In: Food and Agriculture Organization of the United Nations [online]. [Cited 28 April 2020]. http://www.fao.org/gift-individual-food-consumption/en/</t>
  </si>
  <si>
    <t>FOOD COMMODITY GROUP 
(CODES)</t>
  </si>
  <si>
    <t>FOOD COMMODITY SUB-GROUPS</t>
  </si>
  <si>
    <t>FOOD ITEMS</t>
  </si>
  <si>
    <t>1. CEREALS AND PRODUCTS (Includes Grains as whole grain, meal, flour; Pastas, Macaroni, Spaghetti, etc.; Commercially baked goods &amp; other cereals products)</t>
  </si>
  <si>
    <t xml:space="preserve">WHEAT &amp; PRODUCTS </t>
  </si>
  <si>
    <t>WHEAT</t>
  </si>
  <si>
    <t>FLOUR WHEAT</t>
  </si>
  <si>
    <t>BRAN OF WHEAT</t>
  </si>
  <si>
    <t>MACARONI</t>
  </si>
  <si>
    <t>GERM OF WHEAT</t>
  </si>
  <si>
    <t>BREAD</t>
  </si>
  <si>
    <t>BULGUR</t>
  </si>
  <si>
    <t>PASTRY</t>
  </si>
  <si>
    <t>WHEAT,STARCH</t>
  </si>
  <si>
    <t>WHEAT GLUTEN</t>
  </si>
  <si>
    <t>BREAKFAST CEREALS</t>
  </si>
  <si>
    <t>MIXES AND DOUGHS</t>
  </si>
  <si>
    <t>FOOD PREPARATIONS OF FLOUR MEAL OR MALT EXTRACT</t>
  </si>
  <si>
    <t xml:space="preserve">RICE &amp; PROD (MILLED EQ.) </t>
  </si>
  <si>
    <t>RICE, PADDY</t>
  </si>
  <si>
    <t>RICE, HUSKED</t>
  </si>
  <si>
    <t>MILLED RICE FROM IMPORTED HUSKED RICE</t>
  </si>
  <si>
    <t>MILLLED PADDY RICE</t>
  </si>
  <si>
    <t>RICE,BROKEN</t>
  </si>
  <si>
    <t>RICE GLUTEN</t>
  </si>
  <si>
    <t>RICE,STARCH</t>
  </si>
  <si>
    <t>BRAN OF RICE</t>
  </si>
  <si>
    <t>RICE FLOUR</t>
  </si>
  <si>
    <t xml:space="preserve">BARLEY &amp; PRODUCTS </t>
  </si>
  <si>
    <t>BARLEY</t>
  </si>
  <si>
    <t>POT BARLEY</t>
  </si>
  <si>
    <t>BARLEY,PEARLED</t>
  </si>
  <si>
    <t>BRAN OF BARLEY</t>
  </si>
  <si>
    <t>BARLEY FLOUR AND GRITS</t>
  </si>
  <si>
    <t>MALT OF BARLEY</t>
  </si>
  <si>
    <t>MALT EXTRACTS</t>
  </si>
  <si>
    <t xml:space="preserve">MAIZE &amp; PRODUCTS </t>
  </si>
  <si>
    <t>MAIZE</t>
  </si>
  <si>
    <t>GERM OF MAIZE</t>
  </si>
  <si>
    <t>FLOUR OF MAIZE</t>
  </si>
  <si>
    <t>BRAN MAIZE</t>
  </si>
  <si>
    <t>MAIZE GLUTEN</t>
  </si>
  <si>
    <t>STARCH MAIZE</t>
  </si>
  <si>
    <t>GLUTEN FEED &amp; MEAL</t>
  </si>
  <si>
    <t xml:space="preserve">RYE &amp; PRODUCTS </t>
  </si>
  <si>
    <t>RYE</t>
  </si>
  <si>
    <t>FLOUR OF RYE</t>
  </si>
  <si>
    <t>BRAN RYE</t>
  </si>
  <si>
    <t xml:space="preserve">OATS &amp; PRODUCTS </t>
  </si>
  <si>
    <t>OATS</t>
  </si>
  <si>
    <t>ROLLED OATS</t>
  </si>
  <si>
    <t>BRAN OF OATS</t>
  </si>
  <si>
    <t xml:space="preserve">MILLET &amp; PRODUCTS </t>
  </si>
  <si>
    <t>MILLET</t>
  </si>
  <si>
    <t>FLOUR OF MILLET</t>
  </si>
  <si>
    <t>BRAN OF MILLET</t>
  </si>
  <si>
    <r>
      <t>SORGHUM &amp; PRODUCTS</t>
    </r>
    <r>
      <rPr>
        <sz val="10"/>
        <color indexed="8"/>
        <rFont val="Calibri"/>
        <family val="2"/>
      </rPr>
      <t xml:space="preserve"> </t>
    </r>
  </si>
  <si>
    <t>SORGHUM</t>
  </si>
  <si>
    <t>FLOUR OF SORGHUM</t>
  </si>
  <si>
    <t>BRAN OF SORGHUM</t>
  </si>
  <si>
    <r>
      <t>CEREALS,OTHERS &amp;PRODUCTS</t>
    </r>
    <r>
      <rPr>
        <sz val="10"/>
        <color indexed="8"/>
        <rFont val="Calibri"/>
        <family val="2"/>
      </rPr>
      <t xml:space="preserve"> </t>
    </r>
  </si>
  <si>
    <t>POP CORN</t>
  </si>
  <si>
    <t>BUCKWHEAT</t>
  </si>
  <si>
    <t>FLOUR OF BUCKWHEAT</t>
  </si>
  <si>
    <t>BRAN OF BUCKWHEAT</t>
  </si>
  <si>
    <t>QUINOA</t>
  </si>
  <si>
    <t>FONIO</t>
  </si>
  <si>
    <t>FLOUR OF FONIO</t>
  </si>
  <si>
    <t>BRAN OF FONIO</t>
  </si>
  <si>
    <t>TRITICALE</t>
  </si>
  <si>
    <t>FLOUR OF TRITICALE</t>
  </si>
  <si>
    <t>BRAN OF TRITICALE</t>
  </si>
  <si>
    <t>CANARY SEED</t>
  </si>
  <si>
    <t>MIXED GRAIN</t>
  </si>
  <si>
    <t>FLOUR OF MIXED GRAIN</t>
  </si>
  <si>
    <t>BRAN OF MIXED GRAIN</t>
  </si>
  <si>
    <t>WAFERS</t>
  </si>
  <si>
    <t>CEREALS - NOT ELSEWHERE SPECIFIED ( hereafter: NES)</t>
  </si>
  <si>
    <t>FLOUR OF CEREALS</t>
  </si>
  <si>
    <t>BRAN OF CEREALS</t>
  </si>
  <si>
    <t>CEREAL PREPARATIONS NES</t>
  </si>
  <si>
    <t>2. ROOTS AND TUBERS
 AND PRODUCTS (Includes Starches)</t>
  </si>
  <si>
    <r>
      <t>POTATOES &amp; PRODUCTS</t>
    </r>
    <r>
      <rPr>
        <sz val="10"/>
        <color indexed="8"/>
        <rFont val="Calibri"/>
        <family val="2"/>
      </rPr>
      <t xml:space="preserve"> </t>
    </r>
  </si>
  <si>
    <t>POTATOES</t>
  </si>
  <si>
    <t>FLOUR OF POTATOES</t>
  </si>
  <si>
    <t>FROZEN  POTATOES</t>
  </si>
  <si>
    <t>POTATO STARCH</t>
  </si>
  <si>
    <t>POTATO TAPIOCA</t>
  </si>
  <si>
    <r>
      <t>CASSAVA &amp; PRODUCTS</t>
    </r>
    <r>
      <rPr>
        <sz val="10"/>
        <color indexed="8"/>
        <rFont val="Calibri"/>
        <family val="2"/>
      </rPr>
      <t xml:space="preserve"> </t>
    </r>
  </si>
  <si>
    <t>CASSAVA</t>
  </si>
  <si>
    <t>FLOUR OF CASSAVA</t>
  </si>
  <si>
    <t>CASSAVA TAPIOCA</t>
  </si>
  <si>
    <t>CASSAVA DRIED.</t>
  </si>
  <si>
    <t>CASSAVA STARCH</t>
  </si>
  <si>
    <t>SWEET POTATOES</t>
  </si>
  <si>
    <t>SWEET POTATO</t>
  </si>
  <si>
    <t xml:space="preserve">ROOTS &amp; TUBERS, OTHER </t>
  </si>
  <si>
    <t>YAUTIA (COCOYAM.)</t>
  </si>
  <si>
    <t>TARO</t>
  </si>
  <si>
    <t>ROOTS &amp; TUBERS NES</t>
  </si>
  <si>
    <t>FLOUR OF ROOTS &amp; TUBERS</t>
  </si>
  <si>
    <t>SAGOO</t>
  </si>
  <si>
    <t>ROOTS &amp; TUBERS DRIED</t>
  </si>
  <si>
    <t>YAMS</t>
  </si>
  <si>
    <t>3. SUGARS AND SYRUPS 
AND PRODUCTS (iNcludes Sweet; Candy; Jam, Marmalade, etc.)</t>
  </si>
  <si>
    <t>SUGAR CANE</t>
  </si>
  <si>
    <t>SUGAR BEETS</t>
  </si>
  <si>
    <t>SUGAR, NON-CENTRIFUGAL</t>
  </si>
  <si>
    <r>
      <t>SUGAR &amp; PROD. (RAW EQUIVALENT.)</t>
    </r>
    <r>
      <rPr>
        <sz val="10"/>
        <color indexed="8"/>
        <rFont val="Calibri"/>
        <family val="2"/>
      </rPr>
      <t xml:space="preserve"> </t>
    </r>
  </si>
  <si>
    <t>CANE SUGAR</t>
  </si>
  <si>
    <t>BEET SUGAR</t>
  </si>
  <si>
    <t>SUGAR, CENTRIFUGAL RAW</t>
  </si>
  <si>
    <t>SUGAR REFIND</t>
  </si>
  <si>
    <t>SUGAR CONFECTIONARY (SWEETS)</t>
  </si>
  <si>
    <t>SUGARS FLAVOURED</t>
  </si>
  <si>
    <r>
      <t>SWEETENERS, OTHER &amp; PRODUCTS</t>
    </r>
    <r>
      <rPr>
        <sz val="10"/>
        <color indexed="8"/>
        <rFont val="Calibri"/>
        <family val="2"/>
      </rPr>
      <t xml:space="preserve"> </t>
    </r>
  </si>
  <si>
    <t>FRUCTOSE</t>
  </si>
  <si>
    <t>MALTOSE</t>
  </si>
  <si>
    <t>MAPLE SUGAR</t>
  </si>
  <si>
    <t>SUGAR CROPS</t>
  </si>
  <si>
    <t>MOLASSES</t>
  </si>
  <si>
    <t>OTHER FRUCTOSE</t>
  </si>
  <si>
    <t>SUGAR NES</t>
  </si>
  <si>
    <t>GLUCOSE &amp; DEXTROSE</t>
  </si>
  <si>
    <t>LACTOSE</t>
  </si>
  <si>
    <t>ISOGLUCOSE</t>
  </si>
  <si>
    <t>BEVERAGES NON-ALCHOLIC</t>
  </si>
  <si>
    <t>HONEY</t>
  </si>
  <si>
    <t xml:space="preserve">4. PULSES </t>
  </si>
  <si>
    <t>BEANS, DRY &amp; PRODUCTS</t>
  </si>
  <si>
    <t>BEANS, DRY</t>
  </si>
  <si>
    <t>PEAS, DRY &amp; PRODUCTS</t>
  </si>
  <si>
    <t>PEAS, DRY</t>
  </si>
  <si>
    <r>
      <t>PULSES, OTHER &amp; PROD.</t>
    </r>
    <r>
      <rPr>
        <sz val="10"/>
        <color indexed="8"/>
        <rFont val="Calibri"/>
        <family val="2"/>
      </rPr>
      <t xml:space="preserve"> </t>
    </r>
  </si>
  <si>
    <t>BROAD BEANS, DRY</t>
  </si>
  <si>
    <t>CHICK-PEAS</t>
  </si>
  <si>
    <t>COW PEAS,DRY</t>
  </si>
  <si>
    <t>PIGEON PEAS</t>
  </si>
  <si>
    <t>LENTILS</t>
  </si>
  <si>
    <t>BAMBARA BEANS</t>
  </si>
  <si>
    <t>VETCHES</t>
  </si>
  <si>
    <t>LUPINS</t>
  </si>
  <si>
    <t>PULSES NES</t>
  </si>
  <si>
    <t>FLOUR OF PULSES</t>
  </si>
  <si>
    <t>BRAN OF PULSES</t>
  </si>
  <si>
    <t xml:space="preserve">5. TREE NUTS </t>
  </si>
  <si>
    <r>
      <t>NUTS &amp; PRODUCTS</t>
    </r>
    <r>
      <rPr>
        <sz val="10"/>
        <color indexed="8"/>
        <rFont val="Calibri"/>
        <family val="2"/>
      </rPr>
      <t xml:space="preserve"> </t>
    </r>
  </si>
  <si>
    <t>BRAZIL NUTS</t>
  </si>
  <si>
    <t>CASHEW NUTS</t>
  </si>
  <si>
    <t>CHESTNUTS</t>
  </si>
  <si>
    <t>ALMONDS</t>
  </si>
  <si>
    <t>WALNUTS</t>
  </si>
  <si>
    <t>PISTACHIOS</t>
  </si>
  <si>
    <t>KOLANUTS</t>
  </si>
  <si>
    <t>HAZELNUTS</t>
  </si>
  <si>
    <t>ARECANUTS</t>
  </si>
  <si>
    <t>BRAZIL NUTS SHELLED</t>
  </si>
  <si>
    <t>CASHEW NUTS SHELLED</t>
  </si>
  <si>
    <t>ALMONDS SHELLED</t>
  </si>
  <si>
    <t>WALNUTS SHELLED</t>
  </si>
  <si>
    <t>HAZEL NUTS SHELLED</t>
  </si>
  <si>
    <t>NUTS NES</t>
  </si>
  <si>
    <t>PREPARED NUTS</t>
  </si>
  <si>
    <t xml:space="preserve">6. OIL CROPS </t>
  </si>
  <si>
    <r>
      <t>SOYABEANS &amp; PRODUCTS</t>
    </r>
    <r>
      <rPr>
        <sz val="10"/>
        <color indexed="8"/>
        <rFont val="Calibri"/>
        <family val="2"/>
      </rPr>
      <t xml:space="preserve"> </t>
    </r>
  </si>
  <si>
    <t>SOYBEANS</t>
  </si>
  <si>
    <t>CAKE OF SOYBEANS</t>
  </si>
  <si>
    <t>SOYA SAUCE</t>
  </si>
  <si>
    <t>SOYA PASTE</t>
  </si>
  <si>
    <t>OIL SOYABEAN</t>
  </si>
  <si>
    <t>SOYA CURD</t>
  </si>
  <si>
    <t xml:space="preserve">GROUNDNUTS </t>
  </si>
  <si>
    <t>GROUND NUTS  IN SHELL</t>
  </si>
  <si>
    <t>GROUNDNUTE SHELLED</t>
  </si>
  <si>
    <t>CAKE OF GROUNDNUTS</t>
  </si>
  <si>
    <t>PREPARED GROUNDNUTS</t>
  </si>
  <si>
    <t>SUNFLOWER SEED</t>
  </si>
  <si>
    <r>
      <t>RAPE, MUSTARD SEEDS</t>
    </r>
    <r>
      <rPr>
        <sz val="10"/>
        <color indexed="8"/>
        <rFont val="Calibri"/>
        <family val="2"/>
      </rPr>
      <t xml:space="preserve"> </t>
    </r>
  </si>
  <si>
    <t>RAPESEED</t>
  </si>
  <si>
    <t>MUSTARD SEED</t>
  </si>
  <si>
    <t>FLOUR MUSTARD SEED</t>
  </si>
  <si>
    <t>COTTONSEED</t>
  </si>
  <si>
    <r>
      <t>COCONUTS &amp; COPRA</t>
    </r>
    <r>
      <rPr>
        <sz val="10"/>
        <color indexed="8"/>
        <rFont val="Calibri"/>
        <family val="2"/>
      </rPr>
      <t xml:space="preserve"> </t>
    </r>
  </si>
  <si>
    <t>COCONUTS</t>
  </si>
  <si>
    <t>COCONUTS,DESSSICATED</t>
  </si>
  <si>
    <t>COPRA</t>
  </si>
  <si>
    <t>SESAME SEED</t>
  </si>
  <si>
    <t>PALMKERNELS</t>
  </si>
  <si>
    <t>OIL PALM FRUIT</t>
  </si>
  <si>
    <t>PALM KERNELS</t>
  </si>
  <si>
    <t>OLIVES</t>
  </si>
  <si>
    <t>OLIVES PRESERVED</t>
  </si>
  <si>
    <r>
      <t>OILCROPS, OTHERS</t>
    </r>
    <r>
      <rPr>
        <sz val="10"/>
        <color indexed="8"/>
        <rFont val="Calibri"/>
        <family val="2"/>
      </rPr>
      <t xml:space="preserve"> </t>
    </r>
  </si>
  <si>
    <t>KARITE NUTS</t>
  </si>
  <si>
    <t>CASTOR BEANS</t>
  </si>
  <si>
    <t>TUNG NUTS</t>
  </si>
  <si>
    <t>JOJOBA SEEDS</t>
  </si>
  <si>
    <t>SAFFLOWER</t>
  </si>
  <si>
    <t>POPPY SEED</t>
  </si>
  <si>
    <t>MELONSEED</t>
  </si>
  <si>
    <t>TALLOW SEEDS</t>
  </si>
  <si>
    <t>KAPOK FRUIT</t>
  </si>
  <si>
    <t>KAPOKSEED IN SHELL</t>
  </si>
  <si>
    <t>KAPOKSEED SHELLED</t>
  </si>
  <si>
    <t>LINSEED</t>
  </si>
  <si>
    <t>HEMPSEED</t>
  </si>
  <si>
    <t>OILSEEDS NES</t>
  </si>
  <si>
    <t>FLOUR / MEAL OF OILSEEDS</t>
  </si>
  <si>
    <t>7. VEGETABLES AND PRODUCTS</t>
  </si>
  <si>
    <r>
      <t>TOMATOES &amp; PRODUCTS</t>
    </r>
    <r>
      <rPr>
        <sz val="10"/>
        <color indexed="8"/>
        <rFont val="Calibri"/>
        <family val="2"/>
      </rPr>
      <t xml:space="preserve"> </t>
    </r>
  </si>
  <si>
    <t>TOMATOES</t>
  </si>
  <si>
    <t>TOMATO JUICE CONCENTRATED</t>
  </si>
  <si>
    <t>TOMATO JUICE SINGLE STRENGTH (SS)</t>
  </si>
  <si>
    <t>TOMATO PASTE</t>
  </si>
  <si>
    <t>PEELED TOMATO</t>
  </si>
  <si>
    <t>ONIONS, DRY</t>
  </si>
  <si>
    <r>
      <t>VEGETABLES, OTHER &amp; PRODUCTS</t>
    </r>
    <r>
      <rPr>
        <sz val="10"/>
        <color indexed="8"/>
        <rFont val="Calibri"/>
        <family val="2"/>
      </rPr>
      <t xml:space="preserve"> </t>
    </r>
  </si>
  <si>
    <t>CABBAGES</t>
  </si>
  <si>
    <t>ARTICHOKES</t>
  </si>
  <si>
    <t>ASPARAGUS</t>
  </si>
  <si>
    <t>LETTUCE</t>
  </si>
  <si>
    <t>SPINACH</t>
  </si>
  <si>
    <t>CASSAVA LEAVES</t>
  </si>
  <si>
    <t>CAULIFLOWER</t>
  </si>
  <si>
    <t>PUMPKIN &amp; SQUASH &amp; GOURDS</t>
  </si>
  <si>
    <t>CUCUMBER &amp; GHERKINS</t>
  </si>
  <si>
    <t>EGGPLANTS</t>
  </si>
  <si>
    <t>CHILLIES &amp; PEPPERS ,GREEN</t>
  </si>
  <si>
    <t>ONIONS, GREEN</t>
  </si>
  <si>
    <t>GARLIC</t>
  </si>
  <si>
    <t>LEEKS</t>
  </si>
  <si>
    <t>BEANS, GREEN</t>
  </si>
  <si>
    <t>PEAS, GREEN</t>
  </si>
  <si>
    <t>BROAD BEAN,GREEN</t>
  </si>
  <si>
    <t>STRING BEANS</t>
  </si>
  <si>
    <t>CARROTS</t>
  </si>
  <si>
    <t>OKRA</t>
  </si>
  <si>
    <t>GREEN CORN</t>
  </si>
  <si>
    <t>SWEET CORN FROZEN</t>
  </si>
  <si>
    <t>SWEET CORN PRESERVED</t>
  </si>
  <si>
    <t>MUSHROOMS</t>
  </si>
  <si>
    <t>DRIED MUSHROMS</t>
  </si>
  <si>
    <t>CANNED MUSHROOMS</t>
  </si>
  <si>
    <t>CHICORY ROOTS</t>
  </si>
  <si>
    <t>CAROBS</t>
  </si>
  <si>
    <t>RADISH</t>
  </si>
  <si>
    <t>VEGETABLES FROZEN</t>
  </si>
  <si>
    <t>VEGETABLES DRIED NES</t>
  </si>
  <si>
    <t>VEGETABLES CANNED NES</t>
  </si>
  <si>
    <t>JUICE OF VEGETABLES NES</t>
  </si>
  <si>
    <t>VEGETABLES DEHYDROGENATED</t>
  </si>
  <si>
    <t>VEGETABLES IN VINEGAR</t>
  </si>
  <si>
    <t>VEGETABLES PRESERVED NES</t>
  </si>
  <si>
    <t>VEGETABLES TEMPORARY PRESERVED</t>
  </si>
  <si>
    <t>VEGETABLE PREPARATIONS</t>
  </si>
  <si>
    <t>8  FRUITS AND PRODUCTS (Includes Fresh, Frozen, Canned, Dried etc.)</t>
  </si>
  <si>
    <r>
      <t>ORANGES,TANGARINES &amp; MANDARINES &amp;PRODUCTS</t>
    </r>
    <r>
      <rPr>
        <sz val="10"/>
        <color indexed="8"/>
        <rFont val="Calibri"/>
        <family val="2"/>
      </rPr>
      <t xml:space="preserve"> </t>
    </r>
  </si>
  <si>
    <t>ORANGES</t>
  </si>
  <si>
    <t>ORANGE JUICE SS</t>
  </si>
  <si>
    <t>ORANGE JUICE CONCENTRTATED</t>
  </si>
  <si>
    <t>TANGERINES</t>
  </si>
  <si>
    <t>TANGERINE JUICE</t>
  </si>
  <si>
    <r>
      <t>LEMONS, LIMES &amp; PROD.</t>
    </r>
    <r>
      <rPr>
        <sz val="10"/>
        <color indexed="8"/>
        <rFont val="Calibri"/>
        <family val="2"/>
      </rPr>
      <t xml:space="preserve"> </t>
    </r>
  </si>
  <si>
    <t>LEMONS LIMES</t>
  </si>
  <si>
    <t>LEMON JUICE SS</t>
  </si>
  <si>
    <t>LEMON JUICE CONCENTRATED</t>
  </si>
  <si>
    <t>GRAPEFRUIT &amp; PRODUCTS</t>
  </si>
  <si>
    <t>GRAPE FRUIT JUICE SS</t>
  </si>
  <si>
    <t>GRAPEFRUIT JUICE CONCENTRATED</t>
  </si>
  <si>
    <r>
      <t>CITRUS FRUIT NES &amp; PROD</t>
    </r>
    <r>
      <rPr>
        <sz val="10"/>
        <color indexed="8"/>
        <rFont val="Calibri"/>
        <family val="2"/>
      </rPr>
      <t xml:space="preserve"> </t>
    </r>
  </si>
  <si>
    <t>CITRUS FRUIT NES</t>
  </si>
  <si>
    <t>CITRUS JUICE SS</t>
  </si>
  <si>
    <t>CITRUS JUICE CONCENTRATED</t>
  </si>
  <si>
    <t>BANANA</t>
  </si>
  <si>
    <t>BANANAS</t>
  </si>
  <si>
    <t>PLANTAINS</t>
  </si>
  <si>
    <r>
      <t>APPLES &amp; PRODUCTS</t>
    </r>
    <r>
      <rPr>
        <sz val="10"/>
        <color indexed="8"/>
        <rFont val="Calibri"/>
        <family val="2"/>
      </rPr>
      <t xml:space="preserve"> </t>
    </r>
  </si>
  <si>
    <t>APPLES</t>
  </si>
  <si>
    <t>APPLE JUICE SS</t>
  </si>
  <si>
    <t>APPLE JUICE CONCENTRATED</t>
  </si>
  <si>
    <r>
      <t>PINEAPPLES &amp; PRODUCTS</t>
    </r>
    <r>
      <rPr>
        <sz val="10"/>
        <color indexed="8"/>
        <rFont val="Calibri"/>
        <family val="2"/>
      </rPr>
      <t xml:space="preserve"> </t>
    </r>
  </si>
  <si>
    <t>PINEAPPLES</t>
  </si>
  <si>
    <t>PINEAPPL CANNED</t>
  </si>
  <si>
    <t>PINEAPPLE JUICE SS</t>
  </si>
  <si>
    <t>PINEAPPLE JUICE CONCENTRATED</t>
  </si>
  <si>
    <t>DATES</t>
  </si>
  <si>
    <r>
      <t>GRAPES &amp; PRODUCTS (Excluding WINE)</t>
    </r>
    <r>
      <rPr>
        <sz val="10"/>
        <color indexed="8"/>
        <rFont val="Calibri"/>
        <family val="2"/>
      </rPr>
      <t xml:space="preserve"> </t>
    </r>
  </si>
  <si>
    <t>GRAPES</t>
  </si>
  <si>
    <t>RAISINS</t>
  </si>
  <si>
    <t>GRAPE JUICE</t>
  </si>
  <si>
    <r>
      <t>FRUIT, OTHER &amp; PRODUCTS</t>
    </r>
    <r>
      <rPr>
        <sz val="10"/>
        <color indexed="8"/>
        <rFont val="Calibri"/>
        <family val="2"/>
      </rPr>
      <t xml:space="preserve"> </t>
    </r>
  </si>
  <si>
    <t>PEARS</t>
  </si>
  <si>
    <t>QUINCES</t>
  </si>
  <si>
    <t>APRICOTS</t>
  </si>
  <si>
    <t>DRY APRICOTS</t>
  </si>
  <si>
    <t>SOUR CHERRY</t>
  </si>
  <si>
    <t>CHERRIES</t>
  </si>
  <si>
    <t>PEACHES</t>
  </si>
  <si>
    <t>PLUMS</t>
  </si>
  <si>
    <t>PLUMS, DRIED</t>
  </si>
  <si>
    <t>PLUM JUICE SS</t>
  </si>
  <si>
    <t>PLUM JUICE CONCENTRATED</t>
  </si>
  <si>
    <t>STONE FRUIT</t>
  </si>
  <si>
    <t>POMME FRUIT</t>
  </si>
  <si>
    <t>STRAWBERRIES</t>
  </si>
  <si>
    <t>RASPBERRIES</t>
  </si>
  <si>
    <t>GOOSEBERRIES</t>
  </si>
  <si>
    <t>CURRANTS</t>
  </si>
  <si>
    <t>BLUEBERRIES</t>
  </si>
  <si>
    <t>CRANBERRIES</t>
  </si>
  <si>
    <t>BERRIES NES</t>
  </si>
  <si>
    <t>FIGS</t>
  </si>
  <si>
    <t>FIGS, DRIED</t>
  </si>
  <si>
    <t>MANGOES</t>
  </si>
  <si>
    <t>AVOCADOS</t>
  </si>
  <si>
    <t>MANGO JUICE</t>
  </si>
  <si>
    <t>PERSIMMONS</t>
  </si>
  <si>
    <t>CASHEWAPPLE</t>
  </si>
  <si>
    <t>KIWI</t>
  </si>
  <si>
    <t>PAPAYAS</t>
  </si>
  <si>
    <t>WATERMELONS</t>
  </si>
  <si>
    <t>MELONS</t>
  </si>
  <si>
    <t>FRUIT TROPICAL NES</t>
  </si>
  <si>
    <t>FRUIT TROPICAL DRY NES</t>
  </si>
  <si>
    <t>FRUIT FRESH NES</t>
  </si>
  <si>
    <t>FRUIT DRY NES</t>
  </si>
  <si>
    <t>FRUIT JUICE NES</t>
  </si>
  <si>
    <t>FRUIT PRESERVED NES</t>
  </si>
  <si>
    <t>FLOUR OF FRUIT</t>
  </si>
  <si>
    <t>FRUIT, NUTS, FRUIT PEEL PRESERVED BY SUGAR (JAM)</t>
  </si>
  <si>
    <t>FRUIT COOKED HOMOGONIZED</t>
  </si>
  <si>
    <t>9. STIMULANTS</t>
  </si>
  <si>
    <r>
      <t>COFFEE &amp; PRODUCTS</t>
    </r>
    <r>
      <rPr>
        <sz val="10"/>
        <color indexed="8"/>
        <rFont val="Calibri"/>
        <family val="2"/>
      </rPr>
      <t xml:space="preserve"> </t>
    </r>
  </si>
  <si>
    <t>COFFEE,GREEN</t>
  </si>
  <si>
    <t>COFFEE ROASTED</t>
  </si>
  <si>
    <t>COFFEE EXTRACTS</t>
  </si>
  <si>
    <t>CHICORY &amp; COFFEE SUBSTITUTES</t>
  </si>
  <si>
    <r>
      <t>COCOA BEANS &amp; PRODUCTS</t>
    </r>
    <r>
      <rPr>
        <sz val="10"/>
        <color indexed="8"/>
        <rFont val="Calibri"/>
        <family val="2"/>
      </rPr>
      <t xml:space="preserve"> </t>
    </r>
  </si>
  <si>
    <t>COCOA BEANS</t>
  </si>
  <si>
    <t>COCOA PASTE</t>
  </si>
  <si>
    <t>COCOA POWDER</t>
  </si>
  <si>
    <r>
      <t>TEA</t>
    </r>
    <r>
      <rPr>
        <sz val="10"/>
        <color indexed="8"/>
        <rFont val="Calibri"/>
        <family val="2"/>
      </rPr>
      <t xml:space="preserve"> </t>
    </r>
  </si>
  <si>
    <t>TEA</t>
  </si>
  <si>
    <t>EXTRACT TEA,</t>
  </si>
  <si>
    <t>MATE</t>
  </si>
  <si>
    <t>10. SPICES &amp; ADDITIVES</t>
  </si>
  <si>
    <t>PEPPER</t>
  </si>
  <si>
    <t>PEPPER BLACK WHITE</t>
  </si>
  <si>
    <t>PIMENTO</t>
  </si>
  <si>
    <t>CLOVES</t>
  </si>
  <si>
    <r>
      <t>SPICES, OTHER</t>
    </r>
    <r>
      <rPr>
        <sz val="10"/>
        <color indexed="8"/>
        <rFont val="Calibri"/>
        <family val="2"/>
      </rPr>
      <t xml:space="preserve"> </t>
    </r>
  </si>
  <si>
    <t>VANILLA</t>
  </si>
  <si>
    <t>CINNAMON</t>
  </si>
  <si>
    <t>NUTMEG</t>
  </si>
  <si>
    <t>ANISE</t>
  </si>
  <si>
    <t>GINGER</t>
  </si>
  <si>
    <t>SALT</t>
  </si>
  <si>
    <t>VINEGAR</t>
  </si>
  <si>
    <t>SPICES NES</t>
  </si>
  <si>
    <t>11. ALCOHOLIC BEVERAGES</t>
  </si>
  <si>
    <t>WINE</t>
  </si>
  <si>
    <t>BARLEY, BEER</t>
  </si>
  <si>
    <t>VERMOUTH</t>
  </si>
  <si>
    <r>
      <t>BEVERAGES FERMENTED</t>
    </r>
    <r>
      <rPr>
        <sz val="10"/>
        <color indexed="8"/>
        <rFont val="Calibri"/>
        <family val="2"/>
      </rPr>
      <t xml:space="preserve"> </t>
    </r>
  </si>
  <si>
    <t>BEER BARLEY</t>
  </si>
  <si>
    <t>WHEAT FERMENTED BEVERAGES</t>
  </si>
  <si>
    <t>RICE FERMENTED BEVERAGES</t>
  </si>
  <si>
    <t>BEER MAIZE</t>
  </si>
  <si>
    <t>BEER MILLET</t>
  </si>
  <si>
    <t>BEER SORGHUM</t>
  </si>
  <si>
    <t>BEVERAGES FERMENTED, CIDER, ETC.</t>
  </si>
  <si>
    <t>MUST OF GRAPES</t>
  </si>
  <si>
    <t>BEVERAGES DISTILLED ALCOHOLIC</t>
  </si>
  <si>
    <t>12. MEAT (includes Fresh, Frozen, Canned, Processed, Birds, Insects, Game or Wild species, etc.)</t>
  </si>
  <si>
    <r>
      <t>MEAT &amp; PRODUCTS, BOVINE</t>
    </r>
    <r>
      <rPr>
        <sz val="10"/>
        <color indexed="8"/>
        <rFont val="Calibri"/>
        <family val="2"/>
      </rPr>
      <t xml:space="preserve"> </t>
    </r>
  </si>
  <si>
    <t>BEEF VEAL</t>
  </si>
  <si>
    <t>BEEF BONLESS</t>
  </si>
  <si>
    <t>BEEF DRIED SALTED SMOKEDS</t>
  </si>
  <si>
    <t>MEAT EXTRACTS</t>
  </si>
  <si>
    <t>SAUSAGE BEEF</t>
  </si>
  <si>
    <t>BEEF PREPARATIONS</t>
  </si>
  <si>
    <t>BEEF CANNED</t>
  </si>
  <si>
    <t>MEAT HOMOGENIZED</t>
  </si>
  <si>
    <t>BUFFALO MEAT</t>
  </si>
  <si>
    <t>MEAT &amp; PRODUCTS, SHEEP&amp;GOAT</t>
  </si>
  <si>
    <t>MUTTON LAMB</t>
  </si>
  <si>
    <t>GOAT MEAT</t>
  </si>
  <si>
    <r>
      <t>MEAT &amp; PRODUCTS, PIG</t>
    </r>
    <r>
      <rPr>
        <sz val="10"/>
        <color indexed="8"/>
        <rFont val="Calibri"/>
        <family val="2"/>
      </rPr>
      <t xml:space="preserve"> </t>
    </r>
  </si>
  <si>
    <t>PIGMEAT</t>
  </si>
  <si>
    <t>PORK</t>
  </si>
  <si>
    <t>SAUSAGES PIG</t>
  </si>
  <si>
    <t>MEAT PREPARATONS PIG</t>
  </si>
  <si>
    <r>
      <t>MEAT &amp; PRODUCTS, POULTRY</t>
    </r>
    <r>
      <rPr>
        <sz val="10"/>
        <color indexed="8"/>
        <rFont val="Calibri"/>
        <family val="2"/>
      </rPr>
      <t xml:space="preserve"> </t>
    </r>
  </si>
  <si>
    <t>CHICKEN MEAT</t>
  </si>
  <si>
    <t>POULTRY MEAT</t>
  </si>
  <si>
    <t>FAT LIVER PREPARATIONS</t>
  </si>
  <si>
    <t>MEAT CANNED CHICKEN</t>
  </si>
  <si>
    <t>DUCK MEAT</t>
  </si>
  <si>
    <t>GOOSE MEAT</t>
  </si>
  <si>
    <t>TURKEY MEAT</t>
  </si>
  <si>
    <r>
      <t>MEAT &amp; PROD, OTHER ANIM</t>
    </r>
    <r>
      <rPr>
        <sz val="10"/>
        <color indexed="8"/>
        <rFont val="Calibri"/>
        <family val="2"/>
      </rPr>
      <t xml:space="preserve"> </t>
    </r>
  </si>
  <si>
    <t>HORSEMEAT</t>
  </si>
  <si>
    <t>MEAT ASSES</t>
  </si>
  <si>
    <t>MEAT MULES</t>
  </si>
  <si>
    <t>MEAT CAMEL</t>
  </si>
  <si>
    <t>RABBIT MEAT</t>
  </si>
  <si>
    <t>MEAT RODENTS</t>
  </si>
  <si>
    <t>MEAT OTHER CAMELIDS</t>
  </si>
  <si>
    <t>GAME MEAT</t>
  </si>
  <si>
    <t>MEAT DRY NES</t>
  </si>
  <si>
    <t>MEAT NES</t>
  </si>
  <si>
    <t>MEAT PREPARED NES</t>
  </si>
  <si>
    <t>SNAILS NOT SHELLED</t>
  </si>
  <si>
    <r>
      <t>OFFALS, EDIBLE</t>
    </r>
    <r>
      <rPr>
        <sz val="10"/>
        <color indexed="8"/>
        <rFont val="Calibri"/>
        <family val="2"/>
      </rPr>
      <t xml:space="preserve"> </t>
    </r>
  </si>
  <si>
    <t>OFFALS CATTLE</t>
  </si>
  <si>
    <t>LIVER PREPARATIONS</t>
  </si>
  <si>
    <t>OFFAL BUFFALO</t>
  </si>
  <si>
    <t>OFFALS SHEEP</t>
  </si>
  <si>
    <t>OFFALS GOATS</t>
  </si>
  <si>
    <t>OFFALS PIGS</t>
  </si>
  <si>
    <t>OFFAL CHICKEN</t>
  </si>
  <si>
    <t>OFFALS LIVER GOOSE</t>
  </si>
  <si>
    <t>OFFALS LIVER DUCK</t>
  </si>
  <si>
    <t>OFFALS LIVER TURKEY</t>
  </si>
  <si>
    <t>OFFALS HORSE</t>
  </si>
  <si>
    <t>OFFALS CAMELS</t>
  </si>
  <si>
    <t>OFFALS CAMELIDS</t>
  </si>
  <si>
    <t>OFFALS NES</t>
  </si>
  <si>
    <t>BLOOD MEAL</t>
  </si>
  <si>
    <t>MEAT MEAL</t>
  </si>
  <si>
    <t xml:space="preserve">13. EGGS </t>
  </si>
  <si>
    <r>
      <t>EGGS &amp; PRODUCTS</t>
    </r>
    <r>
      <rPr>
        <sz val="10"/>
        <color indexed="8"/>
        <rFont val="Calibri"/>
        <family val="2"/>
      </rPr>
      <t xml:space="preserve"> </t>
    </r>
  </si>
  <si>
    <t>EGGS FRESH</t>
  </si>
  <si>
    <t>EGG ALBUMINE</t>
  </si>
  <si>
    <t>EGGS LIQUID HEN</t>
  </si>
  <si>
    <t>EGGS POULTRY</t>
  </si>
  <si>
    <t>EGGS DRY HEN</t>
  </si>
  <si>
    <t>14. FISH AND FISH PRODUCTS (Includes Fresh; Frozen, Canned; Dried; Salted; Shellfish; Aligators, Turtles, Frogs, etc.)</t>
  </si>
  <si>
    <t>DIADROMOUS FISHES</t>
  </si>
  <si>
    <t>DIADROMOUS FISH, FRESH</t>
  </si>
  <si>
    <t>DIADROMOUS FISH, FILETS</t>
  </si>
  <si>
    <t>DIADROMOUS FISH, DRY/SALTED</t>
  </si>
  <si>
    <t>DIADROMOUS FISH, CANNED</t>
  </si>
  <si>
    <t>DIADROMOUS FISH, PREPARED nes</t>
  </si>
  <si>
    <t>DEMERSAL FISHES</t>
  </si>
  <si>
    <t>DEMERSAL FISH, FRESH</t>
  </si>
  <si>
    <t>DEMERSAL FISH, FILETS</t>
  </si>
  <si>
    <t>DEMERSAL FISH, DRY/SALTED</t>
  </si>
  <si>
    <t>DEMERSAL FISH, CANNED</t>
  </si>
  <si>
    <t>DEMERSAL FISH, PREPARED nes</t>
  </si>
  <si>
    <t>PELAGIC FISHES</t>
  </si>
  <si>
    <t>PELAGIC FISH, FRESH</t>
  </si>
  <si>
    <t>PELAGIC FISH, FILETS</t>
  </si>
  <si>
    <t>PELAGIC FISH, DRY/SALTED</t>
  </si>
  <si>
    <t>PELAGIC FISH, CANNED</t>
  </si>
  <si>
    <t>PELAGIC FISH, PREPARED nes</t>
  </si>
  <si>
    <t>SALTWATER FISHES</t>
  </si>
  <si>
    <t>SALTWATER FISH, FRESH</t>
  </si>
  <si>
    <t>SALTWATER FISH, FILETS</t>
  </si>
  <si>
    <t>SALTWATER FISH, DRY/SALTED</t>
  </si>
  <si>
    <t>SALTWATER FISH, CANNED</t>
  </si>
  <si>
    <t>SALTWATER FISH, PREPARED nes</t>
  </si>
  <si>
    <r>
      <t>CRUSTACEANS &amp; PRODUCTS</t>
    </r>
    <r>
      <rPr>
        <sz val="10"/>
        <color indexed="8"/>
        <rFont val="Calibri"/>
        <family val="2"/>
      </rPr>
      <t xml:space="preserve"> </t>
    </r>
  </si>
  <si>
    <t>CRUSTACEANS  FRESH</t>
  </si>
  <si>
    <t>CRUSTACEANS  FROZEN</t>
  </si>
  <si>
    <t>CRUSTACEANS  CURED</t>
  </si>
  <si>
    <t>CRUSTACEANS CANNED</t>
  </si>
  <si>
    <t>CRUSTACEANS PRESERVED NES</t>
  </si>
  <si>
    <t>CRUSTACEANS  MEALS</t>
  </si>
  <si>
    <t>CRUSTACEANS PRODUCTS  FRESH</t>
  </si>
  <si>
    <t>CRUSTACEANS PRODUCTS  FROZEN</t>
  </si>
  <si>
    <t>CRUSTACEANS PRODUCTS  CURED</t>
  </si>
  <si>
    <t>CRUSTACEANS PRODUCTS  CANNED</t>
  </si>
  <si>
    <t>CRUSTACEANS PRODUCTS  NES</t>
  </si>
  <si>
    <t>CPHLP MEALS</t>
  </si>
  <si>
    <r>
      <t>MOLLUSCS OTHER &amp;PRODUCT</t>
    </r>
    <r>
      <rPr>
        <sz val="10"/>
        <color indexed="8"/>
        <rFont val="Calibri"/>
        <family val="2"/>
      </rPr>
      <t xml:space="preserve"> </t>
    </r>
  </si>
  <si>
    <t>MOLLUSCS  FRESH</t>
  </si>
  <si>
    <t>MOLLUSCS  FROZEN</t>
  </si>
  <si>
    <t>MOLLUSCS  CURED</t>
  </si>
  <si>
    <t>MOLLUSCS  CANNED</t>
  </si>
  <si>
    <t>MOLLUSCS  MEALS</t>
  </si>
  <si>
    <t>AQUATIC MAMMALS MEAT</t>
  </si>
  <si>
    <t>AQUATIC MAMMALS  MEAT</t>
  </si>
  <si>
    <t>AQUATIC MAMMALS MEAT  PREPARATIONS NES</t>
  </si>
  <si>
    <r>
      <t>AQUATIC ANIMAL OTHERS</t>
    </r>
    <r>
      <rPr>
        <sz val="10"/>
        <color indexed="8"/>
        <rFont val="Calibri"/>
        <family val="2"/>
      </rPr>
      <t xml:space="preserve"> </t>
    </r>
  </si>
  <si>
    <t xml:space="preserve">AQUATIC MAMMALS  FRESH </t>
  </si>
  <si>
    <t>AQUATIC MAMMALS CURED</t>
  </si>
  <si>
    <t>AQUATIC MAMMALS  MEALS</t>
  </si>
  <si>
    <t>AQUATIC MAMMALS  PREPARATIONS NS</t>
  </si>
  <si>
    <r>
      <t>AQUATIC PLANTS &amp; PROD.</t>
    </r>
    <r>
      <rPr>
        <sz val="10"/>
        <color indexed="8"/>
        <rFont val="Calibri"/>
        <family val="2"/>
      </rPr>
      <t xml:space="preserve"> </t>
    </r>
  </si>
  <si>
    <t>AQUATIC  PLANTS</t>
  </si>
  <si>
    <t>AQUATICPLANTS DRIED</t>
  </si>
  <si>
    <t>AQUATIC PLANTS PREPARATIONS NES</t>
  </si>
  <si>
    <t>15. MILK AND CHEESE</t>
  </si>
  <si>
    <r>
      <t>MILK &amp; PRODUCTS (EXCLUDING BUTTER)</t>
    </r>
    <r>
      <rPr>
        <sz val="10"/>
        <color indexed="8"/>
        <rFont val="Calibri"/>
        <family val="2"/>
      </rPr>
      <t xml:space="preserve"> </t>
    </r>
  </si>
  <si>
    <t>COW MILK</t>
  </si>
  <si>
    <t>SKIMMED MILK OF COWS</t>
  </si>
  <si>
    <t>WHOLE MILK,CONDENSED</t>
  </si>
  <si>
    <t>WHEY,CONDENSED</t>
  </si>
  <si>
    <t>YOGHURT</t>
  </si>
  <si>
    <t>YOGHURT CONCENTRATED</t>
  </si>
  <si>
    <t>BUTTERMILK ,CURD</t>
  </si>
  <si>
    <t>WHOLE MILK,EVAPORATED</t>
  </si>
  <si>
    <t>SKIMMED MILK EVAPORATED</t>
  </si>
  <si>
    <t>SKIMMED MILK CONDENSED</t>
  </si>
  <si>
    <t>COW MILK DRY</t>
  </si>
  <si>
    <t>MILK SKIMMED DRY CONCENTRATED</t>
  </si>
  <si>
    <t>DRY WHEY</t>
  </si>
  <si>
    <t>CHEESE WHOLE COW MILK</t>
  </si>
  <si>
    <t>WHEY, FRESH</t>
  </si>
  <si>
    <t>CHEESE SKIMMED COW MILK</t>
  </si>
  <si>
    <t>WHEY CHEESE</t>
  </si>
  <si>
    <t>PROCESSED CHEESE</t>
  </si>
  <si>
    <t>RECONSTITUTED MILK</t>
  </si>
  <si>
    <t>CASEIN</t>
  </si>
  <si>
    <t>BUFFALO MILK</t>
  </si>
  <si>
    <t>SKIMMED BUFFALO MILK</t>
  </si>
  <si>
    <t>CHEESE OF BUFFALO MILK</t>
  </si>
  <si>
    <t>SHEEP MILK</t>
  </si>
  <si>
    <t>SHEEP CHEESE</t>
  </si>
  <si>
    <t>SKIMMED SHEEP MILK</t>
  </si>
  <si>
    <t>GOAT MILK</t>
  </si>
  <si>
    <t>CHEESE OF GOAT MILK</t>
  </si>
  <si>
    <t>SKIMMED GOAT MILK</t>
  </si>
  <si>
    <t>CAMEL MILK</t>
  </si>
  <si>
    <t>CREAM, FRESH</t>
  </si>
  <si>
    <t>16. VEGETABLE OILS AND FATS</t>
  </si>
  <si>
    <t>GROUNDNUT OIL</t>
  </si>
  <si>
    <t>OIL GROUNDNUTS</t>
  </si>
  <si>
    <t>SUNFLOWERSEED OIL</t>
  </si>
  <si>
    <t>OIL SUNFLOWER SEED</t>
  </si>
  <si>
    <t>RAPE &amp; MUSTARD OIL</t>
  </si>
  <si>
    <t>OIL RAPESEED</t>
  </si>
  <si>
    <t>OIL MUSTARD SEED</t>
  </si>
  <si>
    <t>COTTONSEED OIL</t>
  </si>
  <si>
    <t>OIL COTTONSEED</t>
  </si>
  <si>
    <t>PALM KERNEL OIL</t>
  </si>
  <si>
    <t>OIL OF PALM KERNEL</t>
  </si>
  <si>
    <r>
      <t>PALM OIL</t>
    </r>
    <r>
      <rPr>
        <sz val="10"/>
        <color indexed="8"/>
        <rFont val="Calibri"/>
        <family val="2"/>
      </rPr>
      <t xml:space="preserve"> </t>
    </r>
  </si>
  <si>
    <t>PALM OIL</t>
  </si>
  <si>
    <t>FATTY ACIDS</t>
  </si>
  <si>
    <t>RESIDUE FATTY SUBSTANCES</t>
  </si>
  <si>
    <t>OIL OF COCONUTS</t>
  </si>
  <si>
    <t>OIL COCONUTS</t>
  </si>
  <si>
    <t>SESAMESEED OIL</t>
  </si>
  <si>
    <t>OLIVE &amp; RESIDUE, OIL</t>
  </si>
  <si>
    <t>OLIVE OIL</t>
  </si>
  <si>
    <t>OIL OLIVERES</t>
  </si>
  <si>
    <t>RICE, BRAN OIL</t>
  </si>
  <si>
    <t>RICE BRAN OIL</t>
  </si>
  <si>
    <t>MAIZE, GERM OIL</t>
  </si>
  <si>
    <t>MAIZE GERM OIL</t>
  </si>
  <si>
    <r>
      <t>OILCROPS, OTHER OIL</t>
    </r>
    <r>
      <rPr>
        <sz val="10"/>
        <color indexed="8"/>
        <rFont val="Calibri"/>
        <family val="2"/>
      </rPr>
      <t xml:space="preserve"> </t>
    </r>
  </si>
  <si>
    <t>KARITE NUTS BUTTER</t>
  </si>
  <si>
    <t>OIL CASTOR BEANS</t>
  </si>
  <si>
    <t>TUNG OIL</t>
  </si>
  <si>
    <t>JOJOBA OIL</t>
  </si>
  <si>
    <t>OIL SAFFLOWER</t>
  </si>
  <si>
    <t>OIL POPPY SEED</t>
  </si>
  <si>
    <t>VEGETABLE TALLOW</t>
  </si>
  <si>
    <t>STILLING OIL</t>
  </si>
  <si>
    <t>OIL OF KAPOK SEED</t>
  </si>
  <si>
    <t>OIL LINSEED</t>
  </si>
  <si>
    <t>OIL HEMPSD</t>
  </si>
  <si>
    <t>OIL VEGETABLE ORIGIN NES</t>
  </si>
  <si>
    <t>COCOA BUTTER</t>
  </si>
  <si>
    <t>LIQUID MARGARINE</t>
  </si>
  <si>
    <t>MARGARINE</t>
  </si>
  <si>
    <t>OILS BOILED</t>
  </si>
  <si>
    <t>OILS HYDROGENATED</t>
  </si>
  <si>
    <t>OTHER OIL AND FAT PRODUCTS</t>
  </si>
  <si>
    <t>MAYONNAISE</t>
  </si>
  <si>
    <t>DRESSING AND SANDWICH SPREAD, ETC.</t>
  </si>
  <si>
    <t>17. OILS AND FATS
 (Animal fats; Marine oils; Mixed &amp; other oil and fat products )</t>
  </si>
  <si>
    <r>
      <t>FATS, ANIMALS, RAW</t>
    </r>
    <r>
      <rPr>
        <sz val="10"/>
        <color indexed="8"/>
        <rFont val="Calibri"/>
        <family val="2"/>
      </rPr>
      <t xml:space="preserve"> </t>
    </r>
  </si>
  <si>
    <t>FAT CATTLE</t>
  </si>
  <si>
    <t>CATTLE BUTCHER FAT</t>
  </si>
  <si>
    <t>FAT BUFFALO</t>
  </si>
  <si>
    <t>FAT OF SHEEP</t>
  </si>
  <si>
    <t>FAT OF GOATS</t>
  </si>
  <si>
    <t>FAT PIGS</t>
  </si>
  <si>
    <t>PIG BUTCHER FAT</t>
  </si>
  <si>
    <t>LARD</t>
  </si>
  <si>
    <t>FAT POULTRY</t>
  </si>
  <si>
    <t>FAT R POULTRY</t>
  </si>
  <si>
    <t>FAT CAMEL</t>
  </si>
  <si>
    <t>FAT OTH CAMERLIDS</t>
  </si>
  <si>
    <t>OILS ANIMAL</t>
  </si>
  <si>
    <t>STEARINE</t>
  </si>
  <si>
    <t>DEGRAS</t>
  </si>
  <si>
    <t>TALLOW</t>
  </si>
  <si>
    <t>FATS PREPARATIONS NES</t>
  </si>
  <si>
    <r>
      <t>FISH BODY OIL</t>
    </r>
    <r>
      <rPr>
        <sz val="10"/>
        <color indexed="8"/>
        <rFont val="Calibri"/>
        <family val="2"/>
      </rPr>
      <t xml:space="preserve"> </t>
    </r>
  </si>
  <si>
    <t>FISH BODY OILS</t>
  </si>
  <si>
    <t>DEMERSAL ( DMRS) BODY OIL</t>
  </si>
  <si>
    <t>PELAGIC BODY OIL</t>
  </si>
  <si>
    <t>MARINE BODY OIL</t>
  </si>
  <si>
    <t>AQ M OILS</t>
  </si>
  <si>
    <r>
      <t>FISH LIVER OILS</t>
    </r>
    <r>
      <rPr>
        <sz val="10"/>
        <color indexed="8"/>
        <rFont val="Calibri"/>
        <family val="2"/>
      </rPr>
      <t xml:space="preserve"> </t>
    </r>
  </si>
  <si>
    <t>FISH LIVER OILS</t>
  </si>
  <si>
    <t>PELAGIC LIVER OIL</t>
  </si>
  <si>
    <t>MARINE LIVER OIL</t>
  </si>
  <si>
    <t>OTHER FAT PRODUCTS</t>
  </si>
  <si>
    <r>
      <t>BUTTER , GHEE</t>
    </r>
    <r>
      <rPr>
        <sz val="10"/>
        <color indexed="8"/>
        <rFont val="Calibri"/>
        <family val="2"/>
      </rPr>
      <t xml:space="preserve"> </t>
    </r>
  </si>
  <si>
    <t>BUTTER, COWS</t>
  </si>
  <si>
    <t>GHEE, COWS</t>
  </si>
  <si>
    <t>BUTTER BUFFALO</t>
  </si>
  <si>
    <t>GHEE BUFFALO</t>
  </si>
  <si>
    <t>BUTTER SHEEP</t>
  </si>
  <si>
    <t>BUTTER, GOAT</t>
  </si>
  <si>
    <t>18. NON ALCOHOLIC BEVERAGES</t>
  </si>
  <si>
    <t>SOFT DRINKS</t>
  </si>
  <si>
    <t>SOFT DRINKS INCLUDING CARBONATED BEVERAGES</t>
  </si>
  <si>
    <t>MINERAL WATER</t>
  </si>
  <si>
    <t>19. PURCHASED FOOD EATEN AWAY FROM HOME; MISCELLANEOUS AND 
PREPARED FOOD</t>
  </si>
  <si>
    <t>FOOD PREPARATIONS</t>
  </si>
  <si>
    <t>INFANT FOOD</t>
  </si>
  <si>
    <t xml:space="preserve">CHOCOLATE </t>
  </si>
  <si>
    <t>ICE CREAM</t>
  </si>
  <si>
    <t xml:space="preserve">FOOD ENERGY DRINKS </t>
  </si>
  <si>
    <t>MEALS CONSUMED OUTSIDE HOME</t>
  </si>
  <si>
    <t>PREPARED MEALS &amp; SNACKS</t>
  </si>
  <si>
    <t>OTHER FOOD PREPARATIONS</t>
  </si>
  <si>
    <t>FBS GROUP</t>
  </si>
  <si>
    <t>DIETARY DIVERSITY GROUP</t>
  </si>
  <si>
    <t>GIFT GROUP</t>
  </si>
  <si>
    <t>GIFT SUB-GROUP</t>
  </si>
  <si>
    <t>Food Balance Sheets classification based on agricultural commodities. See an example in Column H in the "Archival" worksheet.</t>
  </si>
  <si>
    <t>Classification based on dietary diversity relevance. See an example in Column I in the "Archival" worksheet.</t>
  </si>
  <si>
    <t>Classification based on the nutritional relevance. See an example, in the "Archival" worksheet, in Column AK for the subgroups and in colum AL for the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</si>
</sst>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_-* #,##0.00_-;\-* #,##0.00_-;_-* &quot;-&quot;??_-;_-@_-"/>
  </numFmts>
  <fonts count="48">
    <font>
      <sz val="10"/>
      <name val="Arial"/>
    </font>
    <font>
      <sz val="11"/>
      <color theme="1"/>
      <name val="Calibri"/>
      <family val="2"/>
      <scheme val="minor"/>
    </font>
    <font>
      <sz val="11"/>
      <color theme="1"/>
      <name val="Calibri"/>
      <family val="2"/>
      <scheme val="minor"/>
    </font>
    <font>
      <sz val="8"/>
      <name val="Arial"/>
      <family val="2"/>
    </font>
    <font>
      <sz val="10"/>
      <name val="MS Sans Serif"/>
      <family val="2"/>
    </font>
    <font>
      <sz val="8"/>
      <color indexed="81"/>
      <name val="Tahoma"/>
      <family val="2"/>
    </font>
    <font>
      <b/>
      <sz val="8"/>
      <color indexed="81"/>
      <name val="Tahoma"/>
      <family val="2"/>
    </font>
    <font>
      <b/>
      <sz val="11"/>
      <color indexed="10"/>
      <name val="Calibri"/>
      <family val="2"/>
    </font>
    <font>
      <sz val="11"/>
      <name val="Calibri"/>
      <family val="2"/>
      <scheme val="minor"/>
    </font>
    <font>
      <b/>
      <sz val="11"/>
      <name val="Calibri"/>
      <family val="2"/>
      <scheme val="minor"/>
    </font>
    <font>
      <b/>
      <sz val="11"/>
      <color indexed="10"/>
      <name val="Calibri"/>
      <family val="2"/>
      <scheme val="minor"/>
    </font>
    <font>
      <b/>
      <u/>
      <sz val="11"/>
      <color theme="4" tint="-0.249977111117893"/>
      <name val="Calibri"/>
      <family val="2"/>
      <scheme val="minor"/>
    </font>
    <font>
      <sz val="10"/>
      <name val="Calibri"/>
      <family val="2"/>
      <scheme val="minor"/>
    </font>
    <font>
      <b/>
      <sz val="11"/>
      <color rgb="FFFF0000"/>
      <name val="Calibri"/>
      <family val="2"/>
      <scheme val="minor"/>
    </font>
    <font>
      <sz val="11"/>
      <name val="Calibri"/>
      <family val="2"/>
    </font>
    <font>
      <b/>
      <sz val="9"/>
      <color indexed="81"/>
      <name val="Arial"/>
      <family val="2"/>
    </font>
    <font>
      <sz val="9"/>
      <color indexed="81"/>
      <name val="Arial"/>
      <family val="2"/>
    </font>
    <font>
      <u/>
      <sz val="10"/>
      <color theme="10"/>
      <name val="Arial"/>
      <family val="2"/>
    </font>
    <font>
      <u/>
      <sz val="10"/>
      <color theme="11"/>
      <name val="Arial"/>
      <family val="2"/>
    </font>
    <font>
      <sz val="10"/>
      <name val="Arial"/>
      <family val="2"/>
    </font>
    <font>
      <sz val="11"/>
      <color theme="1"/>
      <name val="Calibri"/>
      <family val="2"/>
      <scheme val="minor"/>
    </font>
    <font>
      <sz val="11"/>
      <color rgb="FF9C0006"/>
      <name val="Calibri"/>
      <family val="2"/>
      <scheme val="minor"/>
    </font>
    <font>
      <b/>
      <sz val="9"/>
      <color indexed="81"/>
      <name val="Tahoma"/>
      <family val="2"/>
    </font>
    <font>
      <sz val="9"/>
      <color indexed="81"/>
      <name val="Tahoma"/>
      <family val="2"/>
    </font>
    <font>
      <sz val="11"/>
      <color rgb="FF000000"/>
      <name val="Calibri"/>
      <family val="2"/>
      <scheme val="minor"/>
    </font>
    <font>
      <b/>
      <sz val="11"/>
      <color theme="0"/>
      <name val="Calibri"/>
      <family val="2"/>
      <scheme val="minor"/>
    </font>
    <font>
      <i/>
      <sz val="11"/>
      <name val="Calibri"/>
      <family val="2"/>
      <scheme val="minor"/>
    </font>
    <font>
      <b/>
      <sz val="11"/>
      <color rgb="FFFFFFFF"/>
      <name val="Calibri"/>
      <family val="2"/>
      <scheme val="minor"/>
    </font>
    <font>
      <sz val="11"/>
      <name val="Arial"/>
      <family val="2"/>
    </font>
    <font>
      <b/>
      <sz val="11"/>
      <color theme="5" tint="0.39997558519241921"/>
      <name val="Calibri"/>
      <family val="2"/>
      <scheme val="minor"/>
    </font>
    <font>
      <b/>
      <sz val="11"/>
      <color rgb="FFFFFF00"/>
      <name val="Calibri"/>
      <family val="2"/>
      <scheme val="minor"/>
    </font>
    <font>
      <b/>
      <sz val="11"/>
      <color rgb="FFF4B084"/>
      <name val="Calibri"/>
      <family val="2"/>
      <scheme val="minor"/>
    </font>
    <font>
      <b/>
      <sz val="11"/>
      <color rgb="FFC65911"/>
      <name val="Calibri"/>
      <family val="2"/>
      <scheme val="minor"/>
    </font>
    <font>
      <b/>
      <sz val="9"/>
      <color rgb="FF000000"/>
      <name val="Tahoma"/>
      <family val="2"/>
    </font>
    <font>
      <sz val="9"/>
      <color rgb="FF000000"/>
      <name val="Tahoma"/>
      <family val="2"/>
    </font>
    <font>
      <sz val="11"/>
      <name val="Times New Roman"/>
      <family val="1"/>
    </font>
    <font>
      <b/>
      <sz val="11"/>
      <color rgb="FF000000"/>
      <name val="Times New Roman"/>
      <family val="1"/>
    </font>
    <font>
      <sz val="11"/>
      <color rgb="FF000000"/>
      <name val="Times New Roman"/>
      <family val="1"/>
    </font>
    <font>
      <b/>
      <sz val="11"/>
      <color theme="0"/>
      <name val="Calibri"/>
      <family val="2"/>
    </font>
    <font>
      <sz val="10"/>
      <color theme="0"/>
      <name val="Arial"/>
      <family val="2"/>
    </font>
    <font>
      <b/>
      <sz val="11"/>
      <color theme="0"/>
      <name val="Times New Roman"/>
      <family val="1"/>
    </font>
    <font>
      <b/>
      <sz val="10"/>
      <name val="Calibri"/>
      <family val="2"/>
      <scheme val="minor"/>
    </font>
    <font>
      <b/>
      <sz val="10"/>
      <color indexed="8"/>
      <name val="Calibri"/>
      <family val="2"/>
      <scheme val="minor"/>
    </font>
    <font>
      <sz val="10"/>
      <color indexed="8"/>
      <name val="Calibri"/>
      <family val="2"/>
      <scheme val="minor"/>
    </font>
    <font>
      <sz val="10"/>
      <color indexed="8"/>
      <name val="Calibri"/>
      <family val="2"/>
    </font>
    <font>
      <b/>
      <sz val="10"/>
      <color theme="0"/>
      <name val="Calibri"/>
      <family val="2"/>
      <scheme val="minor"/>
    </font>
    <font>
      <sz val="10"/>
      <color theme="0"/>
      <name val="Calibri"/>
      <family val="2"/>
      <scheme val="minor"/>
    </font>
    <font>
      <sz val="11"/>
      <color theme="0"/>
      <name val="Arial"/>
      <family val="2"/>
    </font>
  </fonts>
  <fills count="22">
    <fill>
      <patternFill patternType="none"/>
    </fill>
    <fill>
      <patternFill patternType="gray125"/>
    </fill>
    <fill>
      <patternFill patternType="solid">
        <fgColor indexed="47"/>
        <bgColor indexed="64"/>
      </patternFill>
    </fill>
    <fill>
      <patternFill patternType="solid">
        <fgColor theme="5"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rgb="FFFFC7CE"/>
      </patternFill>
    </fill>
    <fill>
      <patternFill patternType="solid">
        <fgColor rgb="FFFFFFCC"/>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7030A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E2EFDA"/>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indexed="9"/>
        <bgColor indexed="64"/>
      </patternFill>
    </fill>
    <fill>
      <patternFill patternType="solid">
        <fgColor theme="6"/>
        <bgColor indexed="64"/>
      </patternFill>
    </fill>
  </fills>
  <borders count="8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ck">
        <color auto="1"/>
      </right>
      <top style="thick">
        <color auto="1"/>
      </top>
      <bottom style="thick">
        <color auto="1"/>
      </bottom>
      <diagonal/>
    </border>
    <border>
      <left/>
      <right style="thick">
        <color auto="1"/>
      </right>
      <top style="thick">
        <color auto="1"/>
      </top>
      <bottom style="thick">
        <color auto="1"/>
      </bottom>
      <diagonal/>
    </border>
    <border>
      <left style="thin">
        <color rgb="FFB2B2B2"/>
      </left>
      <right style="thin">
        <color rgb="FFB2B2B2"/>
      </right>
      <top style="thin">
        <color rgb="FFB2B2B2"/>
      </top>
      <bottom style="thin">
        <color rgb="FFB2B2B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rgb="FF000000"/>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rgb="FF000000"/>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top style="thin">
        <color indexed="64"/>
      </top>
      <bottom/>
      <diagonal/>
    </border>
    <border>
      <left/>
      <right/>
      <top/>
      <bottom style="thin">
        <color indexed="64"/>
      </bottom>
      <diagonal/>
    </border>
    <border>
      <left style="double">
        <color indexed="64"/>
      </left>
      <right/>
      <top/>
      <bottom style="double">
        <color indexed="64"/>
      </bottom>
      <diagonal/>
    </border>
    <border>
      <left style="double">
        <color indexed="64"/>
      </left>
      <right style="double">
        <color indexed="64"/>
      </right>
      <top style="thin">
        <color indexed="64"/>
      </top>
      <bottom style="double">
        <color indexed="64"/>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top style="double">
        <color indexed="64"/>
      </top>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bottom/>
      <diagonal/>
    </border>
    <border>
      <left style="double">
        <color indexed="64"/>
      </left>
      <right/>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style="double">
        <color indexed="64"/>
      </right>
      <top/>
      <bottom style="thin">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right/>
      <top style="double">
        <color indexed="64"/>
      </top>
      <bottom/>
      <diagonal/>
    </border>
    <border>
      <left style="double">
        <color indexed="64"/>
      </left>
      <right style="double">
        <color indexed="64"/>
      </right>
      <top style="double">
        <color indexed="64"/>
      </top>
      <bottom style="thin">
        <color indexed="8"/>
      </bottom>
      <diagonal/>
    </border>
    <border>
      <left style="double">
        <color indexed="64"/>
      </left>
      <right style="double">
        <color indexed="64"/>
      </right>
      <top style="thin">
        <color indexed="8"/>
      </top>
      <bottom style="thin">
        <color indexed="8"/>
      </bottom>
      <diagonal/>
    </border>
    <border>
      <left style="double">
        <color indexed="64"/>
      </left>
      <right style="double">
        <color indexed="64"/>
      </right>
      <top style="thin">
        <color indexed="8"/>
      </top>
      <bottom style="double">
        <color indexed="64"/>
      </bottom>
      <diagonal/>
    </border>
    <border>
      <left/>
      <right/>
      <top/>
      <bottom style="thin">
        <color theme="0"/>
      </bottom>
      <diagonal/>
    </border>
    <border>
      <left/>
      <right/>
      <top style="medium">
        <color auto="1"/>
      </top>
      <bottom style="thin">
        <color auto="1"/>
      </bottom>
      <diagonal/>
    </border>
    <border>
      <left/>
      <right/>
      <top style="thin">
        <color auto="1"/>
      </top>
      <bottom style="medium">
        <color auto="1"/>
      </bottom>
      <diagonal/>
    </border>
  </borders>
  <cellStyleXfs count="1548">
    <xf numFmtId="0" fontId="0" fillId="0" borderId="0"/>
    <xf numFmtId="0" fontId="4"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0" fillId="0" borderId="0"/>
    <xf numFmtId="0" fontId="21" fillId="9" borderId="0" applyNumberFormat="0" applyBorder="0" applyAlignment="0" applyProtection="0"/>
    <xf numFmtId="167" fontId="20" fillId="0" borderId="0" applyFont="0" applyFill="0" applyBorder="0" applyAlignment="0" applyProtection="0"/>
    <xf numFmtId="0" fontId="19" fillId="0" borderId="0"/>
    <xf numFmtId="0" fontId="20" fillId="10" borderId="15" applyNumberFormat="0" applyFon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300">
    <xf numFmtId="0" fontId="0" fillId="0" borderId="0" xfId="0"/>
    <xf numFmtId="0" fontId="8" fillId="0" borderId="0" xfId="0" applyFont="1"/>
    <xf numFmtId="0" fontId="9"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xf>
    <xf numFmtId="1" fontId="8" fillId="0" borderId="1" xfId="0" applyNumberFormat="1" applyFont="1" applyBorder="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left" vertical="center"/>
    </xf>
    <xf numFmtId="49"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49" fontId="8" fillId="0" borderId="1" xfId="0" applyNumberFormat="1" applyFont="1" applyFill="1" applyBorder="1" applyAlignment="1">
      <alignment horizontal="center" vertical="center"/>
    </xf>
    <xf numFmtId="0" fontId="8" fillId="0" borderId="1" xfId="0" applyFont="1" applyFill="1" applyBorder="1" applyAlignment="1">
      <alignment horizontal="center" vertical="center" wrapText="1"/>
    </xf>
    <xf numFmtId="1" fontId="8" fillId="0" borderId="1" xfId="0" applyNumberFormat="1" applyFont="1" applyFill="1" applyBorder="1" applyAlignment="1">
      <alignment horizontal="center" vertical="center"/>
    </xf>
    <xf numFmtId="0" fontId="8" fillId="0" borderId="0" xfId="0" applyFont="1" applyFill="1"/>
    <xf numFmtId="0" fontId="8" fillId="0" borderId="1" xfId="0" applyFont="1" applyBorder="1" applyAlignment="1">
      <alignment horizontal="left" vertical="center" wrapText="1"/>
    </xf>
    <xf numFmtId="0" fontId="8" fillId="0" borderId="1" xfId="0" applyFont="1" applyFill="1" applyBorder="1" applyAlignment="1">
      <alignment horizontal="left" vertical="center" wrapText="1"/>
    </xf>
    <xf numFmtId="0" fontId="8" fillId="0" borderId="1" xfId="0" applyFont="1" applyBorder="1"/>
    <xf numFmtId="0" fontId="10" fillId="2" borderId="1" xfId="0" applyFont="1" applyFill="1" applyBorder="1" applyAlignment="1">
      <alignment horizontal="center" vertical="center" wrapText="1"/>
    </xf>
    <xf numFmtId="0" fontId="11" fillId="0" borderId="0" xfId="0" applyFont="1"/>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2" fontId="8" fillId="0" borderId="1" xfId="0" applyNumberFormat="1" applyFont="1" applyBorder="1" applyAlignment="1">
      <alignment horizontal="center" vertical="center"/>
    </xf>
    <xf numFmtId="2" fontId="8" fillId="0" borderId="1" xfId="0" applyNumberFormat="1" applyFont="1" applyFill="1" applyBorder="1" applyAlignment="1">
      <alignment horizontal="center" vertical="center"/>
    </xf>
    <xf numFmtId="0" fontId="12" fillId="0" borderId="0" xfId="0" applyFont="1"/>
    <xf numFmtId="0" fontId="8" fillId="0" borderId="0" xfId="0" applyNumberFormat="1" applyFont="1" applyFill="1" applyAlignment="1">
      <alignment horizontal="left" vertical="center" wrapText="1"/>
    </xf>
    <xf numFmtId="2"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xf>
    <xf numFmtId="0" fontId="8" fillId="0" borderId="1" xfId="0" applyNumberFormat="1" applyFont="1" applyFill="1" applyBorder="1" applyAlignment="1">
      <alignment horizontal="center" vertical="center"/>
    </xf>
    <xf numFmtId="0" fontId="8" fillId="0" borderId="1" xfId="0" quotePrefix="1" applyNumberFormat="1" applyFont="1" applyFill="1" applyBorder="1" applyAlignment="1">
      <alignment horizontal="center" vertical="center"/>
    </xf>
    <xf numFmtId="0" fontId="8" fillId="0" borderId="1" xfId="0" quotePrefix="1" applyNumberFormat="1" applyFont="1" applyFill="1" applyBorder="1" applyAlignment="1">
      <alignment horizontal="left" wrapText="1"/>
    </xf>
    <xf numFmtId="164" fontId="8" fillId="0" borderId="1" xfId="0" applyNumberFormat="1" applyFont="1" applyBorder="1" applyAlignment="1">
      <alignment horizontal="center" vertical="center"/>
    </xf>
    <xf numFmtId="0" fontId="12" fillId="0" borderId="1" xfId="0" applyFont="1" applyBorder="1"/>
    <xf numFmtId="0" fontId="8" fillId="0" borderId="1" xfId="0" applyNumberFormat="1" applyFont="1" applyFill="1" applyBorder="1" applyAlignment="1">
      <alignment horizontal="left" wrapText="1"/>
    </xf>
    <xf numFmtId="0" fontId="12" fillId="0" borderId="2" xfId="0" applyFont="1" applyBorder="1"/>
    <xf numFmtId="0" fontId="8" fillId="0" borderId="2" xfId="0" applyFont="1" applyBorder="1"/>
    <xf numFmtId="0" fontId="8" fillId="0" borderId="1" xfId="0" quotePrefix="1" applyNumberFormat="1" applyFont="1" applyFill="1" applyBorder="1" applyAlignment="1">
      <alignment horizontal="left" vertical="center"/>
    </xf>
    <xf numFmtId="0" fontId="8" fillId="0" borderId="1" xfId="0" applyFont="1" applyBorder="1" applyAlignment="1">
      <alignment horizontal="center"/>
    </xf>
    <xf numFmtId="0" fontId="12" fillId="0" borderId="1" xfId="0" applyFont="1" applyBorder="1" applyAlignment="1">
      <alignment horizontal="center" vertical="center"/>
    </xf>
    <xf numFmtId="0" fontId="13" fillId="2" borderId="1" xfId="0" applyFont="1" applyFill="1" applyBorder="1" applyAlignment="1">
      <alignment horizontal="center" vertical="center" wrapText="1"/>
    </xf>
    <xf numFmtId="0" fontId="8" fillId="0" borderId="3" xfId="0" applyFont="1" applyFill="1" applyBorder="1" applyAlignment="1">
      <alignment wrapText="1"/>
    </xf>
    <xf numFmtId="0" fontId="9" fillId="0" borderId="0" xfId="0" applyFont="1"/>
    <xf numFmtId="0" fontId="14" fillId="0" borderId="0" xfId="0" applyFont="1"/>
    <xf numFmtId="0" fontId="8" fillId="0" borderId="0" xfId="0" applyFont="1" applyFill="1" applyBorder="1" applyAlignment="1">
      <alignment horizontal="center" vertical="center" wrapText="1"/>
    </xf>
    <xf numFmtId="0" fontId="8" fillId="6" borderId="1" xfId="0" applyFont="1" applyFill="1" applyBorder="1" applyAlignment="1">
      <alignment horizontal="left" vertical="center"/>
    </xf>
    <xf numFmtId="165" fontId="8" fillId="0"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6" borderId="13"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0" borderId="0" xfId="0" applyFont="1" applyAlignment="1">
      <alignment wrapText="1"/>
    </xf>
    <xf numFmtId="2" fontId="8" fillId="0" borderId="1" xfId="0" quotePrefix="1" applyNumberFormat="1" applyFont="1" applyFill="1" applyBorder="1" applyAlignment="1">
      <alignment horizontal="center" vertical="center"/>
    </xf>
    <xf numFmtId="166" fontId="12" fillId="0" borderId="1" xfId="0" applyNumberFormat="1" applyFont="1" applyBorder="1" applyAlignment="1">
      <alignment horizontal="center"/>
    </xf>
    <xf numFmtId="0" fontId="8" fillId="3" borderId="1" xfId="0" applyFont="1" applyFill="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left"/>
    </xf>
    <xf numFmtId="0" fontId="8" fillId="0" borderId="1" xfId="0" applyFont="1" applyBorder="1" applyAlignment="1">
      <alignment horizontal="left"/>
    </xf>
    <xf numFmtId="0" fontId="8" fillId="0" borderId="1" xfId="0" applyFont="1" applyFill="1" applyBorder="1"/>
    <xf numFmtId="0" fontId="8" fillId="0" borderId="1" xfId="0" applyFont="1" applyFill="1" applyBorder="1" applyAlignment="1">
      <alignment horizontal="left"/>
    </xf>
    <xf numFmtId="0" fontId="24" fillId="0" borderId="1" xfId="0" applyFont="1" applyFill="1" applyBorder="1" applyAlignment="1">
      <alignment horizontal="center" vertical="center"/>
    </xf>
    <xf numFmtId="0" fontId="24" fillId="0" borderId="1" xfId="0" applyFont="1" applyFill="1" applyBorder="1" applyAlignment="1">
      <alignment vertical="center"/>
    </xf>
    <xf numFmtId="0" fontId="2" fillId="0" borderId="1" xfId="134" applyFont="1" applyFill="1" applyBorder="1" applyAlignment="1">
      <alignment horizontal="center" vertical="center"/>
    </xf>
    <xf numFmtId="0" fontId="2" fillId="0" borderId="1" xfId="134" applyFont="1" applyFill="1" applyBorder="1"/>
    <xf numFmtId="0" fontId="8" fillId="0" borderId="1" xfId="0" applyFont="1" applyFill="1" applyBorder="1" applyAlignment="1">
      <alignment horizontal="center"/>
    </xf>
    <xf numFmtId="0" fontId="2" fillId="0" borderId="1" xfId="0" applyFont="1" applyFill="1" applyBorder="1" applyAlignment="1">
      <alignment horizontal="center"/>
    </xf>
    <xf numFmtId="0" fontId="2" fillId="0" borderId="1" xfId="0" applyFont="1" applyFill="1" applyBorder="1"/>
    <xf numFmtId="0" fontId="2" fillId="0" borderId="1" xfId="0" applyFont="1" applyFill="1" applyBorder="1" applyAlignment="1">
      <alignment horizontal="left"/>
    </xf>
    <xf numFmtId="0" fontId="2"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2" fillId="0" borderId="1" xfId="0" applyNumberFormat="1" applyFont="1" applyBorder="1" applyAlignment="1">
      <alignment horizontal="center" vertical="center"/>
    </xf>
    <xf numFmtId="0" fontId="2" fillId="0" borderId="0" xfId="0" applyFont="1" applyFill="1"/>
    <xf numFmtId="0" fontId="8" fillId="0" borderId="1" xfId="0" applyFont="1" applyFill="1" applyBorder="1" applyAlignment="1">
      <alignment horizontal="left" wrapText="1"/>
    </xf>
    <xf numFmtId="0" fontId="8" fillId="0" borderId="0" xfId="0" applyFont="1" applyFill="1" applyAlignment="1">
      <alignment horizontal="left"/>
    </xf>
    <xf numFmtId="0" fontId="8" fillId="0" borderId="0" xfId="0" applyFont="1" applyFill="1" applyAlignment="1">
      <alignment horizontal="center" vertical="center"/>
    </xf>
    <xf numFmtId="0" fontId="8" fillId="0" borderId="1" xfId="0" applyFont="1" applyBorder="1" applyAlignment="1">
      <alignment vertical="center" wrapText="1"/>
    </xf>
    <xf numFmtId="0" fontId="8" fillId="0" borderId="1" xfId="0" applyFont="1" applyBorder="1" applyAlignment="1">
      <alignment wrapText="1"/>
    </xf>
    <xf numFmtId="0" fontId="8" fillId="0" borderId="1" xfId="0" applyFont="1" applyFill="1" applyBorder="1" applyAlignment="1">
      <alignment vertical="center" wrapText="1"/>
    </xf>
    <xf numFmtId="0" fontId="8" fillId="0" borderId="1" xfId="0" applyFont="1" applyFill="1" applyBorder="1" applyAlignment="1">
      <alignment wrapText="1"/>
    </xf>
    <xf numFmtId="0" fontId="8" fillId="12" borderId="1" xfId="0" applyFont="1" applyFill="1" applyBorder="1" applyAlignment="1">
      <alignment horizontal="center" vertical="center"/>
    </xf>
    <xf numFmtId="0" fontId="8" fillId="12" borderId="1" xfId="0" applyFont="1" applyFill="1" applyBorder="1" applyAlignment="1">
      <alignment vertical="center" wrapText="1"/>
    </xf>
    <xf numFmtId="0" fontId="8" fillId="12" borderId="1" xfId="0" applyFont="1" applyFill="1" applyBorder="1"/>
    <xf numFmtId="0" fontId="8" fillId="12" borderId="1" xfId="0" applyFont="1" applyFill="1" applyBorder="1" applyAlignment="1">
      <alignment wrapText="1"/>
    </xf>
    <xf numFmtId="0" fontId="8" fillId="12" borderId="0" xfId="0" applyFont="1" applyFill="1"/>
    <xf numFmtId="0" fontId="2" fillId="0" borderId="1" xfId="134" applyFont="1" applyFill="1" applyBorder="1" applyAlignment="1">
      <alignment horizontal="left" wrapText="1"/>
    </xf>
    <xf numFmtId="0" fontId="2" fillId="0" borderId="1" xfId="134" applyFont="1" applyFill="1" applyBorder="1" applyAlignment="1">
      <alignment wrapText="1"/>
    </xf>
    <xf numFmtId="1" fontId="8" fillId="0" borderId="1" xfId="134" applyNumberFormat="1" applyFont="1" applyFill="1" applyBorder="1" applyAlignment="1">
      <alignment horizontal="center" vertical="center"/>
    </xf>
    <xf numFmtId="0" fontId="8" fillId="0" borderId="1" xfId="134" applyNumberFormat="1" applyFont="1" applyFill="1" applyBorder="1" applyAlignment="1">
      <alignment wrapText="1"/>
    </xf>
    <xf numFmtId="0" fontId="8" fillId="0" borderId="1" xfId="134" applyNumberFormat="1" applyFont="1" applyFill="1" applyBorder="1" applyAlignment="1">
      <alignment horizontal="left" wrapText="1"/>
    </xf>
    <xf numFmtId="0" fontId="8" fillId="11" borderId="1" xfId="0" applyFont="1" applyFill="1" applyBorder="1" applyAlignment="1">
      <alignment horizontal="center" vertical="center"/>
    </xf>
    <xf numFmtId="0" fontId="8" fillId="11" borderId="1" xfId="0" applyFont="1" applyFill="1" applyBorder="1" applyAlignment="1">
      <alignment vertical="center" wrapText="1"/>
    </xf>
    <xf numFmtId="0" fontId="2" fillId="11" borderId="1" xfId="134" applyFont="1" applyFill="1" applyBorder="1" applyAlignment="1">
      <alignment horizontal="center" vertical="center"/>
    </xf>
    <xf numFmtId="0" fontId="2" fillId="11" borderId="1" xfId="134" applyFont="1" applyFill="1" applyBorder="1" applyAlignment="1">
      <alignment wrapText="1"/>
    </xf>
    <xf numFmtId="0" fontId="24" fillId="11" borderId="1" xfId="0" applyFont="1" applyFill="1" applyBorder="1" applyAlignment="1">
      <alignment horizontal="center" vertical="center"/>
    </xf>
    <xf numFmtId="0" fontId="8" fillId="11" borderId="0" xfId="0" applyFont="1" applyFill="1"/>
    <xf numFmtId="0" fontId="2" fillId="11" borderId="1" xfId="0" applyFont="1" applyFill="1" applyBorder="1" applyAlignment="1">
      <alignment horizontal="center" vertical="center"/>
    </xf>
    <xf numFmtId="0" fontId="8" fillId="11" borderId="1" xfId="0" applyFont="1" applyFill="1" applyBorder="1"/>
    <xf numFmtId="0" fontId="2" fillId="0" borderId="1" xfId="0" applyFont="1" applyFill="1" applyBorder="1" applyAlignment="1">
      <alignment vertical="center" wrapText="1"/>
    </xf>
    <xf numFmtId="0" fontId="8" fillId="11" borderId="1" xfId="134" applyFont="1" applyFill="1" applyBorder="1" applyAlignment="1">
      <alignment horizontal="center" vertical="center"/>
    </xf>
    <xf numFmtId="0" fontId="8" fillId="11" borderId="1" xfId="134" applyFont="1" applyFill="1" applyBorder="1" applyAlignment="1">
      <alignment wrapText="1"/>
    </xf>
    <xf numFmtId="0" fontId="2" fillId="12" borderId="1" xfId="134" applyFont="1" applyFill="1" applyBorder="1" applyAlignment="1">
      <alignment horizontal="center" vertical="center"/>
    </xf>
    <xf numFmtId="0" fontId="2" fillId="12" borderId="1" xfId="134" applyFont="1" applyFill="1" applyBorder="1" applyAlignment="1">
      <alignment wrapText="1"/>
    </xf>
    <xf numFmtId="0" fontId="24" fillId="12" borderId="1" xfId="0" applyFont="1" applyFill="1" applyBorder="1" applyAlignment="1">
      <alignment horizontal="center" vertical="center"/>
    </xf>
    <xf numFmtId="0" fontId="2" fillId="12" borderId="1" xfId="0" applyFont="1" applyFill="1" applyBorder="1" applyAlignment="1">
      <alignment horizontal="center" vertical="center"/>
    </xf>
    <xf numFmtId="0" fontId="8" fillId="0" borderId="1" xfId="134" applyFont="1" applyFill="1" applyBorder="1" applyAlignment="1">
      <alignment horizontal="center" vertical="center"/>
    </xf>
    <xf numFmtId="0" fontId="8" fillId="0" borderId="1" xfId="134" applyFont="1" applyFill="1" applyBorder="1" applyAlignment="1">
      <alignment wrapText="1"/>
    </xf>
    <xf numFmtId="0" fontId="8" fillId="12" borderId="1" xfId="134" applyFont="1" applyFill="1" applyBorder="1" applyAlignment="1">
      <alignment horizontal="center" vertical="center"/>
    </xf>
    <xf numFmtId="0" fontId="8" fillId="12" borderId="1" xfId="134" applyFont="1" applyFill="1" applyBorder="1" applyAlignment="1">
      <alignment wrapText="1"/>
    </xf>
    <xf numFmtId="0" fontId="8" fillId="11" borderId="0" xfId="0" applyFont="1" applyFill="1" applyAlignment="1">
      <alignment horizontal="center" vertical="center"/>
    </xf>
    <xf numFmtId="0" fontId="8" fillId="12" borderId="0" xfId="0" applyFont="1" applyFill="1" applyAlignment="1">
      <alignment horizontal="center" vertical="center"/>
    </xf>
    <xf numFmtId="0" fontId="8" fillId="11" borderId="1" xfId="0" applyFont="1" applyFill="1" applyBorder="1" applyAlignment="1">
      <alignment wrapText="1"/>
    </xf>
    <xf numFmtId="0" fontId="8" fillId="13" borderId="1" xfId="0" applyFont="1" applyFill="1" applyBorder="1" applyAlignment="1">
      <alignment horizontal="center" vertical="center"/>
    </xf>
    <xf numFmtId="0" fontId="8" fillId="13" borderId="1" xfId="0" applyFont="1" applyFill="1" applyBorder="1" applyAlignment="1">
      <alignment vertical="center" wrapText="1"/>
    </xf>
    <xf numFmtId="0" fontId="8" fillId="13" borderId="1" xfId="0" applyFont="1" applyFill="1" applyBorder="1"/>
    <xf numFmtId="0" fontId="8" fillId="13" borderId="1" xfId="0" applyFont="1" applyFill="1" applyBorder="1" applyAlignment="1">
      <alignment wrapText="1"/>
    </xf>
    <xf numFmtId="0" fontId="8" fillId="13" borderId="0" xfId="0" applyFont="1" applyFill="1"/>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xf numFmtId="0" fontId="2" fillId="0" borderId="0" xfId="0" applyFont="1" applyAlignment="1">
      <alignment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Fill="1" applyBorder="1" applyAlignment="1">
      <alignment horizontal="left" vertical="center"/>
    </xf>
    <xf numFmtId="0" fontId="2" fillId="0" borderId="1" xfId="0" applyFont="1" applyFill="1" applyBorder="1" applyAlignment="1">
      <alignment vertical="center"/>
    </xf>
    <xf numFmtId="0" fontId="8" fillId="0" borderId="0" xfId="0" applyFont="1" applyAlignment="1">
      <alignment vertical="center" wrapText="1"/>
    </xf>
    <xf numFmtId="0" fontId="8" fillId="12" borderId="1" xfId="0" applyFont="1" applyFill="1" applyBorder="1" applyAlignment="1">
      <alignment horizontal="center"/>
    </xf>
    <xf numFmtId="2" fontId="8" fillId="14" borderId="1" xfId="0" applyNumberFormat="1" applyFont="1" applyFill="1" applyBorder="1" applyAlignment="1">
      <alignment horizontal="center" vertical="center"/>
    </xf>
    <xf numFmtId="165" fontId="8" fillId="12" borderId="1" xfId="0" applyNumberFormat="1" applyFont="1" applyFill="1" applyBorder="1" applyAlignment="1">
      <alignment horizontal="center" vertical="center"/>
    </xf>
    <xf numFmtId="0" fontId="24" fillId="0" borderId="1" xfId="1541" applyFont="1" applyFill="1" applyBorder="1" applyAlignment="1">
      <alignment horizontal="center" vertical="center"/>
    </xf>
    <xf numFmtId="0" fontId="8" fillId="0" borderId="1" xfId="1541" applyFont="1" applyFill="1" applyBorder="1" applyAlignment="1">
      <alignment horizontal="center" vertical="center"/>
    </xf>
    <xf numFmtId="0" fontId="1" fillId="0" borderId="1" xfId="0" applyFont="1" applyFill="1" applyBorder="1"/>
    <xf numFmtId="0" fontId="8" fillId="0" borderId="23" xfId="0" applyFont="1" applyBorder="1" applyAlignment="1">
      <alignment horizontal="center" wrapText="1"/>
    </xf>
    <xf numFmtId="0" fontId="8" fillId="0" borderId="25" xfId="0" applyFont="1" applyBorder="1" applyAlignment="1">
      <alignment horizontal="center" wrapText="1"/>
    </xf>
    <xf numFmtId="0" fontId="8" fillId="0" borderId="23" xfId="0" applyFont="1" applyFill="1" applyBorder="1" applyAlignment="1">
      <alignment horizontal="center" wrapText="1"/>
    </xf>
    <xf numFmtId="0" fontId="8" fillId="0" borderId="25" xfId="0" applyFont="1" applyFill="1" applyBorder="1" applyAlignment="1">
      <alignment horizontal="center" wrapText="1"/>
    </xf>
    <xf numFmtId="0" fontId="8" fillId="0" borderId="28" xfId="0" applyFont="1" applyFill="1" applyBorder="1" applyAlignment="1">
      <alignment horizontal="center" wrapText="1"/>
    </xf>
    <xf numFmtId="0" fontId="8" fillId="0" borderId="28" xfId="0" applyFont="1" applyBorder="1" applyAlignment="1">
      <alignment horizontal="center" wrapText="1"/>
    </xf>
    <xf numFmtId="0" fontId="8" fillId="0" borderId="40" xfId="0" applyFont="1" applyBorder="1" applyAlignment="1">
      <alignment horizontal="center" wrapText="1"/>
    </xf>
    <xf numFmtId="0" fontId="8" fillId="0" borderId="18" xfId="0" applyFont="1" applyBorder="1" applyAlignment="1">
      <alignment horizontal="center" wrapText="1"/>
    </xf>
    <xf numFmtId="0" fontId="8" fillId="0" borderId="20" xfId="0" applyFont="1" applyBorder="1" applyAlignment="1">
      <alignment horizontal="center" wrapText="1"/>
    </xf>
    <xf numFmtId="0" fontId="8" fillId="0" borderId="43" xfId="0" applyFont="1" applyBorder="1" applyAlignment="1">
      <alignment horizontal="center" wrapText="1"/>
    </xf>
    <xf numFmtId="0" fontId="8" fillId="0" borderId="49" xfId="0" applyFont="1" applyBorder="1" applyAlignment="1">
      <alignment horizontal="center" wrapText="1"/>
    </xf>
    <xf numFmtId="0" fontId="8" fillId="0" borderId="23"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26" xfId="0" applyFont="1" applyFill="1" applyBorder="1" applyAlignment="1">
      <alignment horizontal="center" vertical="center" wrapText="1"/>
    </xf>
    <xf numFmtId="0" fontId="8" fillId="0" borderId="49"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51" xfId="0" applyFont="1" applyBorder="1" applyAlignment="1">
      <alignment horizontal="center" vertical="center" wrapText="1"/>
    </xf>
    <xf numFmtId="0" fontId="8" fillId="0" borderId="20" xfId="0" applyFont="1" applyBorder="1" applyAlignment="1">
      <alignment horizontal="center" vertical="center" wrapText="1"/>
    </xf>
    <xf numFmtId="0" fontId="28" fillId="0" borderId="0" xfId="0" applyFont="1"/>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33" xfId="0" applyFont="1" applyFill="1" applyBorder="1" applyAlignment="1">
      <alignment horizontal="center" vertical="center" wrapText="1"/>
    </xf>
    <xf numFmtId="0" fontId="8" fillId="0" borderId="31"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15" borderId="33" xfId="0" applyFont="1" applyFill="1" applyBorder="1" applyAlignment="1">
      <alignment horizontal="center" vertical="center" wrapText="1"/>
    </xf>
    <xf numFmtId="0" fontId="8" fillId="15" borderId="34" xfId="0" applyFont="1" applyFill="1" applyBorder="1" applyAlignment="1">
      <alignment horizontal="center" vertical="center" wrapText="1"/>
    </xf>
    <xf numFmtId="0" fontId="8" fillId="16" borderId="26" xfId="0" applyFont="1" applyFill="1" applyBorder="1" applyAlignment="1">
      <alignment horizontal="center" vertical="center" wrapText="1"/>
    </xf>
    <xf numFmtId="0" fontId="8" fillId="17" borderId="27" xfId="0"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46" xfId="0" applyFont="1" applyBorder="1" applyAlignment="1">
      <alignment horizontal="center" vertical="center" wrapText="1"/>
    </xf>
    <xf numFmtId="0" fontId="8" fillId="0" borderId="47" xfId="0" applyFont="1" applyBorder="1" applyAlignment="1">
      <alignment horizontal="center" vertical="center" wrapText="1"/>
    </xf>
    <xf numFmtId="0" fontId="8" fillId="16" borderId="33" xfId="0" applyFont="1" applyFill="1" applyBorder="1" applyAlignment="1">
      <alignment horizontal="center" vertical="center" wrapText="1"/>
    </xf>
    <xf numFmtId="0" fontId="8" fillId="17" borderId="34" xfId="0" applyFont="1" applyFill="1" applyBorder="1" applyAlignment="1">
      <alignment horizontal="center" vertical="center" wrapText="1"/>
    </xf>
    <xf numFmtId="0" fontId="8" fillId="18" borderId="26" xfId="0" applyFont="1" applyFill="1" applyBorder="1" applyAlignment="1">
      <alignment horizontal="center" vertical="center" wrapText="1"/>
    </xf>
    <xf numFmtId="0" fontId="8" fillId="18" borderId="27" xfId="0" applyFont="1" applyFill="1" applyBorder="1" applyAlignment="1">
      <alignment horizontal="center" vertical="center" wrapText="1"/>
    </xf>
    <xf numFmtId="0" fontId="8" fillId="0" borderId="24" xfId="0" applyFont="1" applyBorder="1" applyAlignment="1">
      <alignment horizontal="center" vertical="center" wrapText="1"/>
    </xf>
    <xf numFmtId="0" fontId="8" fillId="0" borderId="27"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0"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14" fillId="5" borderId="10" xfId="0" applyFont="1" applyFill="1" applyBorder="1" applyAlignment="1">
      <alignment horizontal="left"/>
    </xf>
    <xf numFmtId="0" fontId="14" fillId="5" borderId="11" xfId="0" applyFont="1" applyFill="1" applyBorder="1" applyAlignment="1">
      <alignment horizontal="left"/>
    </xf>
    <xf numFmtId="0" fontId="14" fillId="5" borderId="12" xfId="0" applyFont="1" applyFill="1" applyBorder="1" applyAlignment="1">
      <alignment horizontal="left"/>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32"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48" xfId="0" applyFont="1" applyBorder="1" applyAlignment="1">
      <alignment horizontal="center" vertical="center" wrapText="1"/>
    </xf>
    <xf numFmtId="0" fontId="35" fillId="0" borderId="0" xfId="0" applyFont="1" applyAlignment="1">
      <alignment vertical="center" wrapText="1"/>
    </xf>
    <xf numFmtId="0" fontId="37" fillId="0" borderId="0" xfId="0" applyFont="1" applyAlignment="1">
      <alignment vertical="center" wrapText="1"/>
    </xf>
    <xf numFmtId="0" fontId="19" fillId="0" borderId="0" xfId="0" applyFont="1" applyFill="1"/>
    <xf numFmtId="0" fontId="39" fillId="19" borderId="8" xfId="0" applyFont="1" applyFill="1" applyBorder="1" applyAlignment="1">
      <alignment horizontal="left" vertical="center" wrapText="1"/>
    </xf>
    <xf numFmtId="0" fontId="40" fillId="19" borderId="11" xfId="0" applyFont="1" applyFill="1" applyBorder="1" applyAlignment="1">
      <alignment horizontal="center" vertical="center" wrapText="1"/>
    </xf>
    <xf numFmtId="0" fontId="40" fillId="19" borderId="11" xfId="0" applyFont="1" applyFill="1" applyBorder="1" applyAlignment="1">
      <alignment horizontal="center" vertical="center" wrapText="1"/>
    </xf>
    <xf numFmtId="0" fontId="38" fillId="19" borderId="11" xfId="0" applyFont="1" applyFill="1" applyBorder="1" applyAlignment="1">
      <alignment horizontal="center" vertical="center" wrapText="1"/>
    </xf>
    <xf numFmtId="0" fontId="27" fillId="19" borderId="16" xfId="0" applyFont="1" applyFill="1" applyBorder="1" applyAlignment="1">
      <alignment horizontal="center" vertical="center" wrapText="1"/>
    </xf>
    <xf numFmtId="0" fontId="27" fillId="19" borderId="16" xfId="0" applyFont="1" applyFill="1" applyBorder="1" applyAlignment="1">
      <alignment horizontal="center" vertical="center" wrapText="1"/>
    </xf>
    <xf numFmtId="0" fontId="25" fillId="19" borderId="16" xfId="0" applyFont="1" applyFill="1" applyBorder="1" applyAlignment="1">
      <alignment horizontal="center" vertical="center" wrapText="1"/>
    </xf>
    <xf numFmtId="0" fontId="31" fillId="19" borderId="16" xfId="0" applyFont="1" applyFill="1" applyBorder="1" applyAlignment="1">
      <alignment horizontal="center" vertical="center" wrapText="1"/>
    </xf>
    <xf numFmtId="0" fontId="25" fillId="19" borderId="17" xfId="0" applyFont="1" applyFill="1" applyBorder="1" applyAlignment="1">
      <alignment horizontal="center" vertical="center" wrapText="1"/>
    </xf>
    <xf numFmtId="0" fontId="39" fillId="19" borderId="0" xfId="0" applyFont="1" applyFill="1" applyBorder="1" applyAlignment="1">
      <alignment horizontal="center" vertical="center" wrapText="1"/>
    </xf>
    <xf numFmtId="0" fontId="41" fillId="0" borderId="60" xfId="0" applyFont="1" applyBorder="1" applyAlignment="1">
      <alignment horizontal="center" vertical="center" wrapText="1"/>
    </xf>
    <xf numFmtId="0" fontId="42" fillId="20" borderId="61" xfId="0" applyFont="1" applyFill="1" applyBorder="1" applyAlignment="1">
      <alignment vertical="center" wrapText="1"/>
    </xf>
    <xf numFmtId="0" fontId="43" fillId="20" borderId="62" xfId="0" applyFont="1" applyFill="1" applyBorder="1" applyAlignment="1">
      <alignment horizontal="left" vertical="center" wrapText="1"/>
    </xf>
    <xf numFmtId="0" fontId="41" fillId="0" borderId="63" xfId="0" applyFont="1" applyBorder="1" applyAlignment="1">
      <alignment horizontal="center" vertical="center" wrapText="1"/>
    </xf>
    <xf numFmtId="0" fontId="42" fillId="20" borderId="64" xfId="0" applyFont="1" applyFill="1" applyBorder="1" applyAlignment="1">
      <alignment vertical="center" wrapText="1"/>
    </xf>
    <xf numFmtId="0" fontId="43" fillId="20" borderId="65" xfId="0" applyFont="1" applyFill="1" applyBorder="1" applyAlignment="1">
      <alignment horizontal="left" vertical="center" wrapText="1"/>
    </xf>
    <xf numFmtId="0" fontId="42" fillId="20" borderId="57" xfId="0" applyFont="1" applyFill="1" applyBorder="1" applyAlignment="1">
      <alignment vertical="center" wrapText="1"/>
    </xf>
    <xf numFmtId="0" fontId="43" fillId="20" borderId="66" xfId="0" applyFont="1" applyFill="1" applyBorder="1" applyAlignment="1">
      <alignment horizontal="left" vertical="center" wrapText="1"/>
    </xf>
    <xf numFmtId="0" fontId="41" fillId="0" borderId="67" xfId="0" applyFont="1" applyBorder="1" applyAlignment="1">
      <alignment horizontal="center" vertical="center" wrapText="1"/>
    </xf>
    <xf numFmtId="0" fontId="43" fillId="20" borderId="58" xfId="0" applyFont="1" applyFill="1" applyBorder="1" applyAlignment="1">
      <alignment horizontal="left" vertical="center" wrapText="1"/>
    </xf>
    <xf numFmtId="0" fontId="42" fillId="20" borderId="61" xfId="0" applyFont="1" applyFill="1" applyBorder="1" applyAlignment="1">
      <alignment horizontal="left" vertical="center" wrapText="1"/>
    </xf>
    <xf numFmtId="0" fontId="43" fillId="20" borderId="60" xfId="0" applyFont="1" applyFill="1" applyBorder="1" applyAlignment="1">
      <alignment horizontal="left" vertical="center" wrapText="1"/>
    </xf>
    <xf numFmtId="0" fontId="42" fillId="20" borderId="68" xfId="0" applyFont="1" applyFill="1" applyBorder="1" applyAlignment="1">
      <alignment horizontal="left" vertical="center" wrapText="1"/>
    </xf>
    <xf numFmtId="0" fontId="43" fillId="20" borderId="69" xfId="0" applyFont="1" applyFill="1" applyBorder="1" applyAlignment="1">
      <alignment horizontal="left" vertical="center" wrapText="1"/>
    </xf>
    <xf numFmtId="0" fontId="41" fillId="0" borderId="63" xfId="0" applyFont="1" applyBorder="1" applyAlignment="1">
      <alignment vertical="center" wrapText="1"/>
    </xf>
    <xf numFmtId="0" fontId="42" fillId="20" borderId="68" xfId="0" applyFont="1" applyFill="1" applyBorder="1" applyAlignment="1">
      <alignment vertical="center" wrapText="1"/>
    </xf>
    <xf numFmtId="0" fontId="43" fillId="20" borderId="70" xfId="0" applyFont="1" applyFill="1" applyBorder="1" applyAlignment="1">
      <alignment horizontal="left" vertical="center" wrapText="1"/>
    </xf>
    <xf numFmtId="0" fontId="41" fillId="0" borderId="61" xfId="0" applyFont="1" applyBorder="1" applyAlignment="1">
      <alignment horizontal="center" vertical="center" wrapText="1"/>
    </xf>
    <xf numFmtId="0" fontId="41" fillId="0" borderId="64" xfId="0" applyFont="1" applyBorder="1" applyAlignment="1">
      <alignment horizontal="center" vertical="center" wrapText="1"/>
    </xf>
    <xf numFmtId="0" fontId="43" fillId="20" borderId="71" xfId="0" applyFont="1" applyFill="1" applyBorder="1" applyAlignment="1">
      <alignment horizontal="left" vertical="center" wrapText="1"/>
    </xf>
    <xf numFmtId="0" fontId="42" fillId="20" borderId="56" xfId="0" applyFont="1" applyFill="1" applyBorder="1" applyAlignment="1">
      <alignment horizontal="left" vertical="center" wrapText="1"/>
    </xf>
    <xf numFmtId="0" fontId="42" fillId="20" borderId="55" xfId="0" applyFont="1" applyFill="1" applyBorder="1" applyAlignment="1">
      <alignment horizontal="left" vertical="center" wrapText="1"/>
    </xf>
    <xf numFmtId="0" fontId="42" fillId="20" borderId="72" xfId="0" applyFont="1" applyFill="1" applyBorder="1" applyAlignment="1">
      <alignment horizontal="left" vertical="center" wrapText="1"/>
    </xf>
    <xf numFmtId="0" fontId="42" fillId="20" borderId="73" xfId="0" applyFont="1" applyFill="1" applyBorder="1" applyAlignment="1">
      <alignment horizontal="left" vertical="center" wrapText="1"/>
    </xf>
    <xf numFmtId="0" fontId="42" fillId="20" borderId="0" xfId="0" applyFont="1" applyFill="1" applyAlignment="1">
      <alignment horizontal="left" vertical="center" wrapText="1"/>
    </xf>
    <xf numFmtId="0" fontId="43" fillId="20" borderId="63" xfId="0" applyFont="1" applyFill="1" applyBorder="1" applyAlignment="1">
      <alignment horizontal="left" vertical="center" wrapText="1"/>
    </xf>
    <xf numFmtId="0" fontId="42" fillId="20" borderId="74" xfId="0" applyFont="1" applyFill="1" applyBorder="1" applyAlignment="1">
      <alignment horizontal="left" vertical="center" wrapText="1"/>
    </xf>
    <xf numFmtId="0" fontId="12" fillId="0" borderId="58" xfId="0" applyFont="1" applyBorder="1" applyAlignment="1">
      <alignment vertical="center"/>
    </xf>
    <xf numFmtId="0" fontId="42" fillId="20" borderId="64" xfId="0" applyFont="1" applyFill="1" applyBorder="1" applyAlignment="1">
      <alignment horizontal="left" vertical="center" wrapText="1"/>
    </xf>
    <xf numFmtId="0" fontId="42" fillId="20" borderId="57" xfId="0" applyFont="1" applyFill="1" applyBorder="1" applyAlignment="1">
      <alignment horizontal="left" vertical="center" wrapText="1"/>
    </xf>
    <xf numFmtId="0" fontId="12" fillId="0" borderId="64" xfId="0" applyFont="1" applyBorder="1" applyAlignment="1">
      <alignment vertical="center" wrapText="1"/>
    </xf>
    <xf numFmtId="0" fontId="12" fillId="0" borderId="57" xfId="0" applyFont="1" applyBorder="1" applyAlignment="1">
      <alignment vertical="center" wrapText="1"/>
    </xf>
    <xf numFmtId="0" fontId="42" fillId="20" borderId="61" xfId="0" applyFont="1" applyFill="1" applyBorder="1" applyAlignment="1">
      <alignment vertical="center" wrapText="1"/>
    </xf>
    <xf numFmtId="0" fontId="43" fillId="0" borderId="75" xfId="0" applyFont="1" applyBorder="1" applyAlignment="1">
      <alignment vertical="center" wrapText="1"/>
    </xf>
    <xf numFmtId="0" fontId="42" fillId="20" borderId="64" xfId="0" applyFont="1" applyFill="1" applyBorder="1" applyAlignment="1">
      <alignment vertical="center" wrapText="1"/>
    </xf>
    <xf numFmtId="0" fontId="43" fillId="0" borderId="76" xfId="0" applyFont="1" applyBorder="1" applyAlignment="1">
      <alignment vertical="center" wrapText="1"/>
    </xf>
    <xf numFmtId="0" fontId="42" fillId="20" borderId="57" xfId="0" applyFont="1" applyFill="1" applyBorder="1" applyAlignment="1">
      <alignment vertical="center" wrapText="1"/>
    </xf>
    <xf numFmtId="0" fontId="43" fillId="0" borderId="77" xfId="0" applyFont="1" applyBorder="1" applyAlignment="1">
      <alignment vertical="center" wrapText="1"/>
    </xf>
    <xf numFmtId="0" fontId="12" fillId="0" borderId="63" xfId="0" applyFont="1" applyBorder="1" applyAlignment="1">
      <alignment horizontal="center" vertical="center" wrapText="1"/>
    </xf>
    <xf numFmtId="0" fontId="12" fillId="0" borderId="67" xfId="0" applyFont="1" applyBorder="1" applyAlignment="1">
      <alignment horizontal="center" vertical="center" wrapText="1"/>
    </xf>
    <xf numFmtId="0" fontId="41" fillId="0" borderId="61" xfId="0" applyFont="1" applyBorder="1" applyAlignment="1">
      <alignment vertical="center" wrapText="1"/>
    </xf>
    <xf numFmtId="0" fontId="12" fillId="0" borderId="62" xfId="0" applyFont="1" applyBorder="1" applyAlignment="1">
      <alignment vertical="center"/>
    </xf>
    <xf numFmtId="0" fontId="12" fillId="0" borderId="67" xfId="0" applyFont="1" applyBorder="1" applyAlignment="1">
      <alignment vertical="center"/>
    </xf>
    <xf numFmtId="0" fontId="41" fillId="0" borderId="61" xfId="0" applyFont="1" applyBorder="1" applyAlignment="1">
      <alignment vertical="center" wrapText="1"/>
    </xf>
    <xf numFmtId="0" fontId="12" fillId="0" borderId="60" xfId="0" applyFont="1" applyBorder="1" applyAlignment="1">
      <alignment vertical="center"/>
    </xf>
    <xf numFmtId="0" fontId="12" fillId="0" borderId="63" xfId="0" applyFont="1" applyBorder="1" applyAlignment="1">
      <alignment horizontal="center" vertical="center" wrapText="1"/>
    </xf>
    <xf numFmtId="0" fontId="12" fillId="0" borderId="65" xfId="0" applyFont="1" applyBorder="1" applyAlignment="1">
      <alignment vertical="center"/>
    </xf>
    <xf numFmtId="0" fontId="12" fillId="0" borderId="67" xfId="0" applyFont="1" applyBorder="1" applyAlignment="1">
      <alignment vertical="center" wrapText="1"/>
    </xf>
    <xf numFmtId="0" fontId="12" fillId="0" borderId="57" xfId="0" applyFont="1" applyBorder="1" applyAlignment="1">
      <alignment vertical="center"/>
    </xf>
    <xf numFmtId="0" fontId="12" fillId="0" borderId="0" xfId="0" applyFont="1" applyAlignment="1">
      <alignment wrapText="1"/>
    </xf>
    <xf numFmtId="0" fontId="45" fillId="19" borderId="52" xfId="0" applyFont="1" applyFill="1" applyBorder="1" applyAlignment="1">
      <alignment horizontal="center" vertical="center" wrapText="1"/>
    </xf>
    <xf numFmtId="0" fontId="46" fillId="19" borderId="53" xfId="0" applyFont="1" applyFill="1" applyBorder="1" applyAlignment="1">
      <alignment horizontal="center" vertical="center"/>
    </xf>
    <xf numFmtId="0" fontId="46" fillId="19" borderId="54" xfId="0" applyFont="1" applyFill="1" applyBorder="1" applyAlignment="1">
      <alignment horizontal="center" vertical="center"/>
    </xf>
    <xf numFmtId="0" fontId="45" fillId="19" borderId="57" xfId="0" applyFont="1" applyFill="1" applyBorder="1" applyAlignment="1">
      <alignment horizontal="center" vertical="center" wrapText="1"/>
    </xf>
    <xf numFmtId="0" fontId="45" fillId="19" borderId="58" xfId="0" applyFont="1" applyFill="1" applyBorder="1" applyAlignment="1">
      <alignment horizontal="center" vertical="center" wrapText="1"/>
    </xf>
    <xf numFmtId="0" fontId="45" fillId="19" borderId="59" xfId="0" applyFont="1" applyFill="1" applyBorder="1" applyAlignment="1">
      <alignment horizontal="center" vertical="center"/>
    </xf>
    <xf numFmtId="0" fontId="47" fillId="19" borderId="78" xfId="0" applyFont="1" applyFill="1" applyBorder="1" applyAlignment="1">
      <alignment horizontal="center" vertical="center"/>
    </xf>
    <xf numFmtId="0" fontId="39" fillId="19" borderId="0" xfId="0" applyFont="1" applyFill="1" applyAlignment="1">
      <alignment horizontal="center" vertical="center"/>
    </xf>
    <xf numFmtId="0" fontId="35" fillId="0" borderId="79" xfId="0" applyFont="1" applyBorder="1" applyAlignment="1">
      <alignment horizontal="center" vertical="center" wrapText="1"/>
    </xf>
    <xf numFmtId="0" fontId="35" fillId="0" borderId="79" xfId="0" applyFont="1" applyBorder="1" applyAlignment="1">
      <alignment vertical="center" wrapText="1"/>
    </xf>
    <xf numFmtId="0" fontId="35" fillId="0" borderId="2" xfId="0" applyFont="1" applyBorder="1" applyAlignment="1">
      <alignment horizontal="center" vertical="center" wrapText="1"/>
    </xf>
    <xf numFmtId="0" fontId="35" fillId="0" borderId="2" xfId="0" applyFont="1" applyBorder="1" applyAlignment="1">
      <alignment vertical="center" wrapText="1"/>
    </xf>
    <xf numFmtId="0" fontId="35" fillId="0" borderId="80" xfId="0" applyFont="1" applyBorder="1" applyAlignment="1">
      <alignment horizontal="center" vertical="center" wrapText="1"/>
    </xf>
    <xf numFmtId="0" fontId="35" fillId="0" borderId="80" xfId="0" applyFont="1" applyBorder="1" applyAlignment="1">
      <alignment vertical="center" wrapText="1"/>
    </xf>
    <xf numFmtId="0" fontId="37" fillId="0" borderId="79" xfId="0" applyFont="1" applyBorder="1" applyAlignment="1">
      <alignment vertical="center" wrapText="1"/>
    </xf>
    <xf numFmtId="0" fontId="37" fillId="0" borderId="2" xfId="0" applyFont="1" applyBorder="1" applyAlignment="1">
      <alignment vertical="center" wrapText="1"/>
    </xf>
    <xf numFmtId="0" fontId="19" fillId="0" borderId="2" xfId="0" applyFont="1" applyFill="1" applyBorder="1" applyAlignment="1">
      <alignment horizontal="left" vertical="center"/>
    </xf>
    <xf numFmtId="0" fontId="37" fillId="0" borderId="56" xfId="0" applyFont="1" applyBorder="1" applyAlignment="1">
      <alignment vertical="center" wrapText="1"/>
    </xf>
    <xf numFmtId="0" fontId="37" fillId="0" borderId="56" xfId="0" applyFont="1" applyBorder="1" applyAlignment="1">
      <alignment vertical="center" wrapText="1"/>
    </xf>
    <xf numFmtId="0" fontId="37" fillId="0" borderId="2" xfId="0" applyFont="1" applyBorder="1" applyAlignment="1">
      <alignment vertical="center" wrapText="1"/>
    </xf>
    <xf numFmtId="0" fontId="37" fillId="0" borderId="80" xfId="0" applyFont="1" applyBorder="1" applyAlignment="1">
      <alignment vertical="center" wrapText="1"/>
    </xf>
    <xf numFmtId="0" fontId="39" fillId="19" borderId="0" xfId="0" applyFont="1" applyFill="1" applyBorder="1" applyAlignment="1">
      <alignment horizontal="center" vertical="center" wrapText="1"/>
    </xf>
    <xf numFmtId="0" fontId="0" fillId="19" borderId="0" xfId="0" applyFill="1"/>
    <xf numFmtId="0" fontId="40" fillId="19" borderId="8" xfId="0" applyFont="1" applyFill="1" applyBorder="1" applyAlignment="1">
      <alignment horizontal="center" vertical="center" wrapText="1"/>
    </xf>
    <xf numFmtId="0" fontId="9" fillId="21" borderId="0" xfId="0" applyFont="1" applyFill="1" applyAlignment="1">
      <alignment horizontal="center" vertical="center" wrapText="1"/>
    </xf>
    <xf numFmtId="0" fontId="9" fillId="21" borderId="0" xfId="0" applyFont="1" applyFill="1" applyAlignment="1">
      <alignment horizontal="center" vertical="center"/>
    </xf>
  </cellXfs>
  <cellStyles count="1548">
    <cellStyle name="Bad 2" xfId="135" xr:uid="{00000000-0005-0000-0000-000000000000}"/>
    <cellStyle name="Comma 2" xfId="136" xr:uid="{00000000-0005-0000-0000-00000100000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3" builtinId="9" hidden="1"/>
    <cellStyle name="Followed Hyperlink" xfId="1545" builtinId="9" hidden="1"/>
    <cellStyle name="Followed Hyperlink" xfId="154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2" builtinId="8" hidden="1"/>
    <cellStyle name="Hyperlink" xfId="1544" builtinId="8" hidden="1"/>
    <cellStyle name="Hyperlink" xfId="1546" builtinId="8" hidden="1"/>
    <cellStyle name="Normal" xfId="0" builtinId="0"/>
    <cellStyle name="Normal 2" xfId="134" xr:uid="{00000000-0005-0000-0000-000007060000}"/>
    <cellStyle name="Normal 2 2" xfId="1541" xr:uid="{00000000-0005-0000-0000-000008060000}"/>
    <cellStyle name="Normal 3" xfId="137" xr:uid="{00000000-0005-0000-0000-000009060000}"/>
    <cellStyle name="Note 2" xfId="138" xr:uid="{00000000-0005-0000-0000-00000A060000}"/>
    <cellStyle name="Standard_FDB602c" xfId="1" xr:uid="{00000000-0005-0000-0000-00000B06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10</xdr:col>
      <xdr:colOff>266700</xdr:colOff>
      <xdr:row>9</xdr:row>
      <xdr:rowOff>333375</xdr:rowOff>
    </xdr:from>
    <xdr:to>
      <xdr:col>10</xdr:col>
      <xdr:colOff>266700</xdr:colOff>
      <xdr:row>16</xdr:row>
      <xdr:rowOff>123825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9296400" y="3432175"/>
          <a:ext cx="0" cy="2457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95250</xdr:colOff>
      <xdr:row>19</xdr:row>
      <xdr:rowOff>123825</xdr:rowOff>
    </xdr:from>
    <xdr:to>
      <xdr:col>19</xdr:col>
      <xdr:colOff>338455</xdr:colOff>
      <xdr:row>23</xdr:row>
      <xdr:rowOff>75565</xdr:rowOff>
    </xdr:to>
    <xdr:pic>
      <xdr:nvPicPr>
        <xdr:cNvPr id="19" name="Picture 147">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163550" y="7045325"/>
          <a:ext cx="2701925" cy="876300"/>
        </a:xfrm>
        <a:prstGeom prst="rect">
          <a:avLst/>
        </a:prstGeom>
        <a:noFill/>
      </xdr:spPr>
    </xdr:pic>
    <xdr:clientData/>
  </xdr:twoCellAnchor>
  <xdr:twoCellAnchor>
    <xdr:from>
      <xdr:col>17</xdr:col>
      <xdr:colOff>284480</xdr:colOff>
      <xdr:row>13</xdr:row>
      <xdr:rowOff>304800</xdr:rowOff>
    </xdr:from>
    <xdr:to>
      <xdr:col>17</xdr:col>
      <xdr:colOff>295276</xdr:colOff>
      <xdr:row>19</xdr:row>
      <xdr:rowOff>66675</xdr:rowOff>
    </xdr:to>
    <xdr:cxnSp macro="">
      <xdr:nvCxnSpPr>
        <xdr:cNvPr id="20" name="Straight Arrow Connector 19">
          <a:extLst>
            <a:ext uri="{FF2B5EF4-FFF2-40B4-BE49-F238E27FC236}">
              <a16:creationId xmlns:a16="http://schemas.microsoft.com/office/drawing/2014/main" id="{00000000-0008-0000-0000-000014000000}"/>
            </a:ext>
          </a:extLst>
        </xdr:cNvPr>
        <xdr:cNvCxnSpPr/>
      </xdr:nvCxnSpPr>
      <xdr:spPr>
        <a:xfrm>
          <a:off x="14114780" y="4927600"/>
          <a:ext cx="10796" cy="20605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314960</xdr:colOff>
      <xdr:row>13</xdr:row>
      <xdr:rowOff>325120</xdr:rowOff>
    </xdr:from>
    <xdr:to>
      <xdr:col>18</xdr:col>
      <xdr:colOff>333376</xdr:colOff>
      <xdr:row>19</xdr:row>
      <xdr:rowOff>76200</xdr:rowOff>
    </xdr:to>
    <xdr:cxnSp macro="">
      <xdr:nvCxnSpPr>
        <xdr:cNvPr id="21" name="Straight Arrow Connector 20">
          <a:extLst>
            <a:ext uri="{FF2B5EF4-FFF2-40B4-BE49-F238E27FC236}">
              <a16:creationId xmlns:a16="http://schemas.microsoft.com/office/drawing/2014/main" id="{00000000-0008-0000-0000-000015000000}"/>
            </a:ext>
          </a:extLst>
        </xdr:cNvPr>
        <xdr:cNvCxnSpPr/>
      </xdr:nvCxnSpPr>
      <xdr:spPr>
        <a:xfrm>
          <a:off x="14818360" y="4947920"/>
          <a:ext cx="18416" cy="20497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67945</xdr:colOff>
      <xdr:row>5</xdr:row>
      <xdr:rowOff>635</xdr:rowOff>
    </xdr:from>
    <xdr:to>
      <xdr:col>15</xdr:col>
      <xdr:colOff>287021</xdr:colOff>
      <xdr:row>6</xdr:row>
      <xdr:rowOff>377191</xdr:rowOff>
    </xdr:to>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H="1" flipV="1">
          <a:off x="13367385" y="935355"/>
          <a:ext cx="219076" cy="5594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304800</xdr:colOff>
      <xdr:row>2</xdr:row>
      <xdr:rowOff>19050</xdr:rowOff>
    </xdr:from>
    <xdr:to>
      <xdr:col>16</xdr:col>
      <xdr:colOff>314325</xdr:colOff>
      <xdr:row>6</xdr:row>
      <xdr:rowOff>133351</xdr:rowOff>
    </xdr:to>
    <xdr:cxnSp macro="">
      <xdr:nvCxnSpPr>
        <xdr:cNvPr id="24" name="Straight Arrow Connector 23">
          <a:extLst>
            <a:ext uri="{FF2B5EF4-FFF2-40B4-BE49-F238E27FC236}">
              <a16:creationId xmlns:a16="http://schemas.microsoft.com/office/drawing/2014/main" id="{00000000-0008-0000-0000-000018000000}"/>
            </a:ext>
          </a:extLst>
        </xdr:cNvPr>
        <xdr:cNvCxnSpPr/>
      </xdr:nvCxnSpPr>
      <xdr:spPr>
        <a:xfrm flipV="1">
          <a:off x="13373100" y="374650"/>
          <a:ext cx="9525" cy="85090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323851</xdr:colOff>
      <xdr:row>9</xdr:row>
      <xdr:rowOff>101600</xdr:rowOff>
    </xdr:from>
    <xdr:to>
      <xdr:col>1</xdr:col>
      <xdr:colOff>203200</xdr:colOff>
      <xdr:row>17</xdr:row>
      <xdr:rowOff>104775</xdr:rowOff>
    </xdr:to>
    <xdr:cxnSp macro="">
      <xdr:nvCxnSpPr>
        <xdr:cNvPr id="25" name="Straight Arrow Connector 24">
          <a:extLst>
            <a:ext uri="{FF2B5EF4-FFF2-40B4-BE49-F238E27FC236}">
              <a16:creationId xmlns:a16="http://schemas.microsoft.com/office/drawing/2014/main" id="{00000000-0008-0000-0000-000019000000}"/>
            </a:ext>
          </a:extLst>
        </xdr:cNvPr>
        <xdr:cNvCxnSpPr/>
      </xdr:nvCxnSpPr>
      <xdr:spPr>
        <a:xfrm flipH="1">
          <a:off x="323851" y="3190240"/>
          <a:ext cx="692149" cy="216725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7</xdr:row>
      <xdr:rowOff>314325</xdr:rowOff>
    </xdr:from>
    <xdr:to>
      <xdr:col>1</xdr:col>
      <xdr:colOff>600075</xdr:colOff>
      <xdr:row>17</xdr:row>
      <xdr:rowOff>104775</xdr:rowOff>
    </xdr:to>
    <xdr:cxnSp macro="">
      <xdr:nvCxnSpPr>
        <xdr:cNvPr id="26" name="Straight Arrow Connector 25">
          <a:extLst>
            <a:ext uri="{FF2B5EF4-FFF2-40B4-BE49-F238E27FC236}">
              <a16:creationId xmlns:a16="http://schemas.microsoft.com/office/drawing/2014/main" id="{00000000-0008-0000-0000-00001A000000}"/>
            </a:ext>
          </a:extLst>
        </xdr:cNvPr>
        <xdr:cNvCxnSpPr/>
      </xdr:nvCxnSpPr>
      <xdr:spPr>
        <a:xfrm flipH="1">
          <a:off x="1384300" y="2651125"/>
          <a:ext cx="28575" cy="3397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1381125</xdr:colOff>
      <xdr:row>13</xdr:row>
      <xdr:rowOff>333375</xdr:rowOff>
    </xdr:from>
    <xdr:to>
      <xdr:col>6</xdr:col>
      <xdr:colOff>219075</xdr:colOff>
      <xdr:row>17</xdr:row>
      <xdr:rowOff>123825</xdr:rowOff>
    </xdr:to>
    <xdr:cxnSp macro="">
      <xdr:nvCxnSpPr>
        <xdr:cNvPr id="27" name="Straight Arrow Connector 26">
          <a:extLst>
            <a:ext uri="{FF2B5EF4-FFF2-40B4-BE49-F238E27FC236}">
              <a16:creationId xmlns:a16="http://schemas.microsoft.com/office/drawing/2014/main" id="{00000000-0008-0000-0000-00001B000000}"/>
            </a:ext>
          </a:extLst>
        </xdr:cNvPr>
        <xdr:cNvCxnSpPr/>
      </xdr:nvCxnSpPr>
      <xdr:spPr>
        <a:xfrm flipH="1">
          <a:off x="5038725" y="4956175"/>
          <a:ext cx="1987550" cy="1111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428625</xdr:colOff>
      <xdr:row>0</xdr:row>
      <xdr:rowOff>95250</xdr:rowOff>
    </xdr:from>
    <xdr:to>
      <xdr:col>18</xdr:col>
      <xdr:colOff>289560</xdr:colOff>
      <xdr:row>2</xdr:row>
      <xdr:rowOff>3175</xdr:rowOff>
    </xdr:to>
    <xdr:pic>
      <xdr:nvPicPr>
        <xdr:cNvPr id="28" name="Picture 152">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375265" y="95250"/>
          <a:ext cx="5316855" cy="273685"/>
        </a:xfrm>
        <a:prstGeom prst="rect">
          <a:avLst/>
        </a:prstGeom>
        <a:noFill/>
      </xdr:spPr>
    </xdr:pic>
    <xdr:clientData/>
  </xdr:twoCellAnchor>
  <xdr:twoCellAnchor>
    <xdr:from>
      <xdr:col>18</xdr:col>
      <xdr:colOff>457200</xdr:colOff>
      <xdr:row>3</xdr:row>
      <xdr:rowOff>133350</xdr:rowOff>
    </xdr:from>
    <xdr:to>
      <xdr:col>19</xdr:col>
      <xdr:colOff>152400</xdr:colOff>
      <xdr:row>6</xdr:row>
      <xdr:rowOff>114300</xdr:rowOff>
    </xdr:to>
    <xdr:cxnSp macro="">
      <xdr:nvCxnSpPr>
        <xdr:cNvPr id="29" name="Straight Arrow Connector 28">
          <a:extLst>
            <a:ext uri="{FF2B5EF4-FFF2-40B4-BE49-F238E27FC236}">
              <a16:creationId xmlns:a16="http://schemas.microsoft.com/office/drawing/2014/main" id="{00000000-0008-0000-0000-00001D000000}"/>
            </a:ext>
          </a:extLst>
        </xdr:cNvPr>
        <xdr:cNvCxnSpPr/>
      </xdr:nvCxnSpPr>
      <xdr:spPr>
        <a:xfrm flipV="1">
          <a:off x="14960600" y="666750"/>
          <a:ext cx="495300" cy="539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240030</xdr:colOff>
      <xdr:row>3</xdr:row>
      <xdr:rowOff>120015</xdr:rowOff>
    </xdr:from>
    <xdr:to>
      <xdr:col>15</xdr:col>
      <xdr:colOff>249555</xdr:colOff>
      <xdr:row>5</xdr:row>
      <xdr:rowOff>2540</xdr:rowOff>
    </xdr:to>
    <xdr:pic>
      <xdr:nvPicPr>
        <xdr:cNvPr id="30" name="Picture 156">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516110" y="668655"/>
          <a:ext cx="4032885" cy="268605"/>
        </a:xfrm>
        <a:prstGeom prst="rect">
          <a:avLst/>
        </a:prstGeom>
        <a:noFill/>
      </xdr:spPr>
    </xdr:pic>
    <xdr:clientData/>
  </xdr:twoCellAnchor>
  <xdr:twoCellAnchor editAs="oneCell">
    <xdr:from>
      <xdr:col>19</xdr:col>
      <xdr:colOff>47625</xdr:colOff>
      <xdr:row>1</xdr:row>
      <xdr:rowOff>180975</xdr:rowOff>
    </xdr:from>
    <xdr:to>
      <xdr:col>25</xdr:col>
      <xdr:colOff>236855</xdr:colOff>
      <xdr:row>3</xdr:row>
      <xdr:rowOff>85725</xdr:rowOff>
    </xdr:to>
    <xdr:pic>
      <xdr:nvPicPr>
        <xdr:cNvPr id="31" name="Picture 157">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5351125" y="358775"/>
          <a:ext cx="6775450" cy="260350"/>
        </a:xfrm>
        <a:prstGeom prst="rect">
          <a:avLst/>
        </a:prstGeom>
        <a:noFill/>
      </xdr:spPr>
    </xdr:pic>
    <xdr:clientData/>
  </xdr:twoCellAnchor>
  <xdr:twoCellAnchor>
    <xdr:from>
      <xdr:col>32</xdr:col>
      <xdr:colOff>802640</xdr:colOff>
      <xdr:row>3</xdr:row>
      <xdr:rowOff>50800</xdr:rowOff>
    </xdr:from>
    <xdr:to>
      <xdr:col>34</xdr:col>
      <xdr:colOff>304800</xdr:colOff>
      <xdr:row>6</xdr:row>
      <xdr:rowOff>72390</xdr:rowOff>
    </xdr:to>
    <xdr:cxnSp macro="">
      <xdr:nvCxnSpPr>
        <xdr:cNvPr id="32" name="Straight Arrow Connector 31">
          <a:extLst>
            <a:ext uri="{FF2B5EF4-FFF2-40B4-BE49-F238E27FC236}">
              <a16:creationId xmlns:a16="http://schemas.microsoft.com/office/drawing/2014/main" id="{00000000-0008-0000-0000-000020000000}"/>
            </a:ext>
          </a:extLst>
        </xdr:cNvPr>
        <xdr:cNvCxnSpPr/>
      </xdr:nvCxnSpPr>
      <xdr:spPr>
        <a:xfrm flipV="1">
          <a:off x="26786840" y="584200"/>
          <a:ext cx="1051560" cy="5803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203200</xdr:colOff>
      <xdr:row>5</xdr:row>
      <xdr:rowOff>50800</xdr:rowOff>
    </xdr:from>
    <xdr:to>
      <xdr:col>31</xdr:col>
      <xdr:colOff>345440</xdr:colOff>
      <xdr:row>6</xdr:row>
      <xdr:rowOff>233680</xdr:rowOff>
    </xdr:to>
    <xdr:cxnSp macro="">
      <xdr:nvCxnSpPr>
        <xdr:cNvPr id="33" name="Straight Arrow Connector 32">
          <a:extLst>
            <a:ext uri="{FF2B5EF4-FFF2-40B4-BE49-F238E27FC236}">
              <a16:creationId xmlns:a16="http://schemas.microsoft.com/office/drawing/2014/main" id="{00000000-0008-0000-0000-000021000000}"/>
            </a:ext>
          </a:extLst>
        </xdr:cNvPr>
        <xdr:cNvCxnSpPr/>
      </xdr:nvCxnSpPr>
      <xdr:spPr>
        <a:xfrm flipH="1" flipV="1">
          <a:off x="24587200" y="965200"/>
          <a:ext cx="815340" cy="3606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1016000</xdr:colOff>
      <xdr:row>17</xdr:row>
      <xdr:rowOff>20320</xdr:rowOff>
    </xdr:from>
    <xdr:to>
      <xdr:col>12</xdr:col>
      <xdr:colOff>517525</xdr:colOff>
      <xdr:row>23</xdr:row>
      <xdr:rowOff>90805</xdr:rowOff>
    </xdr:to>
    <xdr:pic>
      <xdr:nvPicPr>
        <xdr:cNvPr id="34" name="Picture 150">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593840" y="4561840"/>
          <a:ext cx="5211445" cy="174688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0"/>
  <sheetViews>
    <sheetView topLeftCell="AG10" zoomScale="125" zoomScaleNormal="125" zoomScalePageLayoutView="125" workbookViewId="0">
      <selection activeCell="AI21" sqref="AI21"/>
    </sheetView>
  </sheetViews>
  <sheetFormatPr baseColWidth="10" defaultColWidth="8.83203125" defaultRowHeight="15"/>
  <cols>
    <col min="1" max="1" width="10.6640625" style="1" customWidth="1"/>
    <col min="2" max="2" width="18.33203125" style="1" customWidth="1"/>
    <col min="3" max="3" width="10.1640625" style="1" customWidth="1"/>
    <col min="4" max="4" width="8.83203125" style="1"/>
    <col min="5" max="5" width="25.1640625" style="1" customWidth="1"/>
    <col min="6" max="6" width="16.1640625" style="1" customWidth="1"/>
    <col min="7" max="8" width="10.1640625" style="1" customWidth="1"/>
    <col min="9" max="9" width="12.1640625" style="1" customWidth="1"/>
    <col min="10" max="16" width="8.83203125" style="1"/>
    <col min="17" max="17" width="10" style="1" customWidth="1"/>
    <col min="18" max="18" width="8.83203125" style="1"/>
    <col min="19" max="19" width="10.5" style="1" customWidth="1"/>
    <col min="20" max="21" width="8.83203125" style="1"/>
    <col min="22" max="22" width="11.6640625" style="1" customWidth="1"/>
    <col min="23" max="27" width="12.6640625" style="1" customWidth="1"/>
    <col min="28" max="31" width="8.83203125" style="1"/>
    <col min="32" max="32" width="12.1640625" style="1" customWidth="1"/>
    <col min="33" max="33" width="11.5" style="1" customWidth="1"/>
    <col min="34" max="38" width="8.83203125" style="1"/>
    <col min="39" max="39" width="9.6640625" style="1" customWidth="1"/>
    <col min="40" max="44" width="8.83203125" style="1"/>
    <col min="45" max="45" width="10" style="1" customWidth="1"/>
    <col min="46" max="46" width="10.1640625" style="1" customWidth="1"/>
    <col min="47" max="16384" width="8.83203125" style="1"/>
  </cols>
  <sheetData>
    <row r="1" spans="1:46" ht="14" customHeight="1">
      <c r="A1" s="18" t="s">
        <v>76</v>
      </c>
      <c r="AH1" s="41"/>
      <c r="AI1" s="183" t="s">
        <v>147</v>
      </c>
      <c r="AJ1" s="184"/>
      <c r="AK1" s="184"/>
      <c r="AL1" s="184"/>
      <c r="AM1" s="184"/>
      <c r="AN1" s="185"/>
    </row>
    <row r="2" spans="1:46">
      <c r="O2" s="42"/>
      <c r="AC2" s="43"/>
      <c r="AH2" s="41"/>
      <c r="AI2" s="186"/>
      <c r="AJ2" s="187"/>
      <c r="AK2" s="187"/>
      <c r="AL2" s="187"/>
      <c r="AM2" s="187"/>
      <c r="AN2" s="188"/>
    </row>
    <row r="3" spans="1:46">
      <c r="AH3" s="41"/>
      <c r="AI3" s="186"/>
      <c r="AJ3" s="187"/>
      <c r="AK3" s="187"/>
      <c r="AL3" s="187"/>
      <c r="AM3" s="187"/>
      <c r="AN3" s="188"/>
    </row>
    <row r="4" spans="1:46" ht="16" thickBot="1">
      <c r="AH4" s="41"/>
      <c r="AI4" s="186"/>
      <c r="AJ4" s="187"/>
      <c r="AK4" s="189"/>
      <c r="AL4" s="189"/>
      <c r="AM4" s="189"/>
      <c r="AN4" s="190"/>
    </row>
    <row r="5" spans="1:46" ht="16" thickBot="1">
      <c r="AC5" s="191" t="s">
        <v>148</v>
      </c>
      <c r="AD5" s="192"/>
      <c r="AE5" s="192"/>
      <c r="AF5" s="192"/>
      <c r="AG5" s="192"/>
      <c r="AH5" s="192"/>
      <c r="AI5" s="192"/>
      <c r="AJ5" s="193"/>
      <c r="AK5" s="44"/>
      <c r="AL5" s="44"/>
      <c r="AM5" s="44"/>
      <c r="AN5" s="44"/>
    </row>
    <row r="7" spans="1:46" ht="112">
      <c r="A7" s="2" t="s">
        <v>44</v>
      </c>
      <c r="B7" s="2" t="s">
        <v>45</v>
      </c>
      <c r="C7" s="2" t="s">
        <v>1</v>
      </c>
      <c r="D7" s="2" t="s">
        <v>2</v>
      </c>
      <c r="E7" s="2" t="s">
        <v>3</v>
      </c>
      <c r="F7" s="21" t="s">
        <v>79</v>
      </c>
      <c r="G7" s="2" t="s">
        <v>46</v>
      </c>
      <c r="H7" s="2" t="s">
        <v>47</v>
      </c>
      <c r="I7" s="2" t="s">
        <v>161</v>
      </c>
      <c r="J7" s="2" t="s">
        <v>5</v>
      </c>
      <c r="K7" s="2" t="s">
        <v>6</v>
      </c>
      <c r="L7" s="2" t="s">
        <v>48</v>
      </c>
      <c r="M7" s="2" t="s">
        <v>49</v>
      </c>
      <c r="N7" s="2" t="s">
        <v>50</v>
      </c>
      <c r="O7" s="2" t="s">
        <v>51</v>
      </c>
      <c r="P7" s="2" t="s">
        <v>4</v>
      </c>
      <c r="Q7" s="19" t="s">
        <v>52</v>
      </c>
      <c r="R7" s="2" t="s">
        <v>0</v>
      </c>
      <c r="S7" s="19" t="s">
        <v>53</v>
      </c>
      <c r="T7" s="2" t="s">
        <v>54</v>
      </c>
      <c r="U7" s="2" t="s">
        <v>55</v>
      </c>
      <c r="V7" s="19" t="s">
        <v>56</v>
      </c>
      <c r="W7" s="19" t="s">
        <v>57</v>
      </c>
      <c r="X7" s="2" t="s">
        <v>149</v>
      </c>
      <c r="Y7" s="2" t="s">
        <v>150</v>
      </c>
      <c r="Z7" s="2" t="s">
        <v>151</v>
      </c>
      <c r="AA7" s="2" t="s">
        <v>160</v>
      </c>
      <c r="AB7" s="2" t="s">
        <v>58</v>
      </c>
      <c r="AC7" s="2" t="s">
        <v>59</v>
      </c>
      <c r="AD7" s="2" t="s">
        <v>60</v>
      </c>
      <c r="AE7" s="2" t="s">
        <v>61</v>
      </c>
      <c r="AF7" s="2" t="s">
        <v>152</v>
      </c>
      <c r="AG7" s="2" t="s">
        <v>165</v>
      </c>
      <c r="AH7" s="2" t="s">
        <v>62</v>
      </c>
      <c r="AI7" s="2" t="s">
        <v>63</v>
      </c>
      <c r="AJ7" s="2" t="s">
        <v>64</v>
      </c>
      <c r="AK7" s="2" t="s">
        <v>65</v>
      </c>
      <c r="AL7" s="2" t="s">
        <v>66</v>
      </c>
      <c r="AM7" s="2" t="s">
        <v>67</v>
      </c>
      <c r="AN7" s="2" t="s">
        <v>68</v>
      </c>
      <c r="AO7" s="2" t="s">
        <v>69</v>
      </c>
      <c r="AP7" s="2" t="s">
        <v>70</v>
      </c>
      <c r="AQ7" s="2" t="s">
        <v>71</v>
      </c>
      <c r="AR7" s="2" t="s">
        <v>72</v>
      </c>
      <c r="AS7" s="2" t="s">
        <v>73</v>
      </c>
      <c r="AT7" s="2" t="s">
        <v>74</v>
      </c>
    </row>
    <row r="8" spans="1:46" ht="48">
      <c r="A8" s="3">
        <v>1001</v>
      </c>
      <c r="B8" s="45" t="s">
        <v>142</v>
      </c>
      <c r="C8" s="9" t="s">
        <v>164</v>
      </c>
      <c r="D8" s="3"/>
      <c r="E8" s="14" t="s">
        <v>94</v>
      </c>
      <c r="F8" s="3" t="s">
        <v>93</v>
      </c>
      <c r="G8" s="3">
        <v>0</v>
      </c>
      <c r="H8" s="3">
        <v>1</v>
      </c>
      <c r="I8" s="3">
        <v>1</v>
      </c>
      <c r="J8" s="23">
        <v>11.833333333333332</v>
      </c>
      <c r="K8" s="23">
        <v>0.84166666666666667</v>
      </c>
      <c r="L8" s="23">
        <v>7.0816666666666661</v>
      </c>
      <c r="M8" s="23">
        <v>1.3183333333333334</v>
      </c>
      <c r="N8" s="23">
        <v>2.5333333333333332</v>
      </c>
      <c r="O8" s="5">
        <v>0</v>
      </c>
      <c r="P8" s="23">
        <v>78.924999999999997</v>
      </c>
      <c r="Q8" s="23">
        <v>76.391666666666666</v>
      </c>
      <c r="R8" s="23">
        <v>364.16666666666669</v>
      </c>
      <c r="S8" s="5">
        <f t="shared" ref="S8:S15" si="0">+L8*4+M8*9+N8*2+O8*7+Q8*4</f>
        <v>350.82499999999999</v>
      </c>
      <c r="T8" s="24">
        <v>17.833333333333332</v>
      </c>
      <c r="U8" s="24">
        <v>1.2116666666666664</v>
      </c>
      <c r="V8" s="12">
        <v>0</v>
      </c>
      <c r="W8" s="24">
        <v>1.2116666666666664</v>
      </c>
      <c r="X8" s="46">
        <v>0</v>
      </c>
      <c r="Y8" s="24">
        <v>1.04</v>
      </c>
      <c r="Z8" s="24">
        <v>1.45</v>
      </c>
      <c r="AA8" s="24">
        <v>12.166666666666666</v>
      </c>
      <c r="AB8" s="24">
        <v>0</v>
      </c>
      <c r="AC8" s="24">
        <v>0.20066666666666663</v>
      </c>
      <c r="AD8" s="24">
        <v>5.5999999999999994E-2</v>
      </c>
      <c r="AE8" s="24">
        <v>0</v>
      </c>
      <c r="AF8" s="24">
        <v>0</v>
      </c>
      <c r="AG8" s="24">
        <v>0</v>
      </c>
      <c r="AH8" s="24">
        <v>0.26750000000000002</v>
      </c>
      <c r="AI8" s="46">
        <v>0</v>
      </c>
      <c r="AJ8" s="24">
        <v>0.30366666666666664</v>
      </c>
      <c r="AK8" s="24">
        <v>0.58549999999999991</v>
      </c>
      <c r="AL8" s="24">
        <v>0.26116666666666666</v>
      </c>
      <c r="AM8" s="24">
        <v>0.16400000000000001</v>
      </c>
      <c r="AN8" s="24">
        <v>0.37383333333333335</v>
      </c>
      <c r="AO8" s="24">
        <v>0.25566666666666665</v>
      </c>
      <c r="AP8" s="24">
        <v>8.5166666666666668E-2</v>
      </c>
      <c r="AQ8" s="24">
        <v>0.42616666666666664</v>
      </c>
      <c r="AR8" s="24">
        <v>0.17133333333333331</v>
      </c>
      <c r="AS8" s="24">
        <v>0.1235</v>
      </c>
      <c r="AT8" s="24">
        <v>0.24716666666666665</v>
      </c>
    </row>
    <row r="9" spans="1:46" ht="16">
      <c r="A9" s="3">
        <v>1002</v>
      </c>
      <c r="B9" s="4" t="s">
        <v>137</v>
      </c>
      <c r="C9" s="3" t="s">
        <v>7</v>
      </c>
      <c r="D9" s="3">
        <v>20027</v>
      </c>
      <c r="E9" s="14" t="s">
        <v>138</v>
      </c>
      <c r="F9" s="3" t="s">
        <v>135</v>
      </c>
      <c r="G9" s="3">
        <v>0</v>
      </c>
      <c r="H9" s="3">
        <v>1</v>
      </c>
      <c r="I9" s="3">
        <v>1</v>
      </c>
      <c r="J9" s="23">
        <v>8.32</v>
      </c>
      <c r="K9" s="23">
        <v>0.09</v>
      </c>
      <c r="L9" s="23">
        <v>0.26</v>
      </c>
      <c r="M9" s="23">
        <v>0.05</v>
      </c>
      <c r="N9" s="23">
        <v>0.9</v>
      </c>
      <c r="O9" s="5">
        <v>0</v>
      </c>
      <c r="P9" s="23">
        <v>91.27</v>
      </c>
      <c r="Q9" s="55">
        <f t="shared" ref="Q9" si="1">100-J9-K9-L9-M9-N9-O9</f>
        <v>90.38</v>
      </c>
      <c r="R9" s="23">
        <v>381</v>
      </c>
      <c r="S9" s="5">
        <f t="shared" si="0"/>
        <v>364.81</v>
      </c>
      <c r="T9" s="24">
        <v>2</v>
      </c>
      <c r="U9" s="24">
        <v>0.47</v>
      </c>
      <c r="V9" s="12">
        <v>0</v>
      </c>
      <c r="W9" s="24">
        <v>0.47</v>
      </c>
      <c r="X9" s="46">
        <v>0</v>
      </c>
      <c r="Y9" s="24">
        <v>0.47</v>
      </c>
      <c r="Z9" s="24">
        <v>0.06</v>
      </c>
      <c r="AA9" s="24">
        <v>0</v>
      </c>
      <c r="AB9" s="24">
        <v>0</v>
      </c>
      <c r="AC9" s="24">
        <v>0</v>
      </c>
      <c r="AD9" s="24">
        <v>0</v>
      </c>
      <c r="AE9" s="24">
        <v>0</v>
      </c>
      <c r="AF9" s="24">
        <v>0</v>
      </c>
      <c r="AG9" s="24">
        <v>0</v>
      </c>
      <c r="AH9" s="24">
        <v>0</v>
      </c>
      <c r="AI9" s="46">
        <v>0</v>
      </c>
      <c r="AJ9" s="24">
        <v>0.01</v>
      </c>
      <c r="AK9" s="24">
        <v>3.5999999999999997E-2</v>
      </c>
      <c r="AL9" s="24">
        <v>6.0000000000000001E-3</v>
      </c>
      <c r="AM9" s="24">
        <v>6.0000000000000001E-3</v>
      </c>
      <c r="AN9" s="24">
        <v>1.2999999999999999E-2</v>
      </c>
      <c r="AO9" s="24">
        <v>8.9999999999999993E-3</v>
      </c>
      <c r="AP9" s="24">
        <v>1E-3</v>
      </c>
      <c r="AQ9" s="24">
        <v>1.4E-2</v>
      </c>
      <c r="AR9" s="24">
        <v>8.0000000000000002E-3</v>
      </c>
      <c r="AS9" s="24">
        <v>6.0000000000000001E-3</v>
      </c>
      <c r="AT9" s="24">
        <v>0.01</v>
      </c>
    </row>
    <row r="10" spans="1:46" ht="16">
      <c r="A10" s="6">
        <v>3002</v>
      </c>
      <c r="B10" s="45" t="s">
        <v>8</v>
      </c>
      <c r="C10" s="3" t="s">
        <v>7</v>
      </c>
      <c r="D10" s="8" t="s">
        <v>15</v>
      </c>
      <c r="E10" s="14" t="s">
        <v>9</v>
      </c>
      <c r="F10" s="3" t="s">
        <v>95</v>
      </c>
      <c r="G10" s="3">
        <v>36</v>
      </c>
      <c r="H10" s="3">
        <v>8</v>
      </c>
      <c r="I10" s="3">
        <v>7</v>
      </c>
      <c r="J10" s="3">
        <v>74.91</v>
      </c>
      <c r="K10" s="47">
        <v>0.86</v>
      </c>
      <c r="L10" s="3">
        <v>1.0900000000000001</v>
      </c>
      <c r="M10" s="3">
        <v>0.33</v>
      </c>
      <c r="N10" s="3">
        <v>2.6</v>
      </c>
      <c r="O10" s="3">
        <v>0</v>
      </c>
      <c r="P10" s="3">
        <v>22.84</v>
      </c>
      <c r="Q10" s="55">
        <f>100-J10-K10-L10-M10-N10-O10</f>
        <v>20.210000000000004</v>
      </c>
      <c r="R10" s="3">
        <v>89</v>
      </c>
      <c r="S10" s="5">
        <f t="shared" si="0"/>
        <v>93.370000000000019</v>
      </c>
      <c r="T10" s="6">
        <v>5</v>
      </c>
      <c r="U10" s="6">
        <v>0.26</v>
      </c>
      <c r="V10" s="12">
        <v>0</v>
      </c>
      <c r="W10" s="6">
        <v>0.26</v>
      </c>
      <c r="X10" s="46">
        <v>0</v>
      </c>
      <c r="Y10" s="6">
        <v>0.26</v>
      </c>
      <c r="Z10" s="6">
        <v>0.15</v>
      </c>
      <c r="AA10" s="6">
        <v>20</v>
      </c>
      <c r="AB10" s="6">
        <v>8.6999999999999993</v>
      </c>
      <c r="AC10" s="6">
        <v>3.1E-2</v>
      </c>
      <c r="AD10" s="6">
        <v>7.2999999999999995E-2</v>
      </c>
      <c r="AE10" s="6">
        <v>0</v>
      </c>
      <c r="AF10" s="6">
        <v>38.5</v>
      </c>
      <c r="AG10" s="6">
        <v>3</v>
      </c>
      <c r="AH10" s="6">
        <v>0.36699999999999999</v>
      </c>
      <c r="AI10" s="46">
        <v>0</v>
      </c>
      <c r="AJ10" s="6">
        <v>2.8000000000000001E-2</v>
      </c>
      <c r="AK10" s="6">
        <v>6.8000000000000005E-2</v>
      </c>
      <c r="AL10" s="6">
        <v>0.05</v>
      </c>
      <c r="AM10" s="6">
        <v>8.0000000000000002E-3</v>
      </c>
      <c r="AN10" s="6">
        <v>4.9000000000000002E-2</v>
      </c>
      <c r="AO10" s="6">
        <v>2.8000000000000001E-2</v>
      </c>
      <c r="AP10" s="6">
        <v>8.9999999999999993E-3</v>
      </c>
      <c r="AQ10" s="6">
        <v>4.7E-2</v>
      </c>
      <c r="AR10" s="6">
        <v>7.6999999999999999E-2</v>
      </c>
      <c r="AS10" s="6">
        <v>8.9999999999999993E-3</v>
      </c>
      <c r="AT10" s="6">
        <v>8.9999999999999993E-3</v>
      </c>
    </row>
    <row r="11" spans="1:46" ht="48">
      <c r="A11" s="6">
        <v>4002</v>
      </c>
      <c r="B11" s="7" t="s">
        <v>10</v>
      </c>
      <c r="C11" s="9" t="s">
        <v>164</v>
      </c>
      <c r="D11" s="3"/>
      <c r="E11" s="26" t="s">
        <v>94</v>
      </c>
      <c r="F11" s="9" t="s">
        <v>93</v>
      </c>
      <c r="G11" s="3">
        <v>9</v>
      </c>
      <c r="H11" s="3">
        <v>7</v>
      </c>
      <c r="I11" s="3">
        <v>5</v>
      </c>
      <c r="J11" s="27">
        <v>94.39500000000001</v>
      </c>
      <c r="K11" s="27">
        <v>0.54749999999999999</v>
      </c>
      <c r="L11" s="23">
        <v>1.0549999999999999</v>
      </c>
      <c r="M11" s="23">
        <v>0.21250000000000002</v>
      </c>
      <c r="N11" s="23">
        <v>0.97499999999999998</v>
      </c>
      <c r="O11" s="5">
        <v>0</v>
      </c>
      <c r="P11" s="23">
        <v>3.7875000000000001</v>
      </c>
      <c r="Q11" s="3">
        <v>2.8149999999999999</v>
      </c>
      <c r="R11" s="23">
        <v>18</v>
      </c>
      <c r="S11" s="5">
        <f t="shared" si="0"/>
        <v>19.342500000000001</v>
      </c>
      <c r="T11" s="24">
        <v>9.75</v>
      </c>
      <c r="U11" s="24">
        <v>0.435</v>
      </c>
      <c r="V11" s="12">
        <v>0</v>
      </c>
      <c r="W11" s="24">
        <v>0.435</v>
      </c>
      <c r="X11" s="46">
        <v>0</v>
      </c>
      <c r="Y11" s="24">
        <v>0.435</v>
      </c>
      <c r="Z11" s="24">
        <v>0.18000000000000002</v>
      </c>
      <c r="AA11" s="24">
        <v>20.75</v>
      </c>
      <c r="AB11" s="24">
        <v>15.525</v>
      </c>
      <c r="AC11" s="24">
        <v>4.5999999999999999E-2</v>
      </c>
      <c r="AD11" s="24">
        <v>3.5000000000000003E-2</v>
      </c>
      <c r="AE11" s="24">
        <v>0</v>
      </c>
      <c r="AF11" s="24">
        <v>446.125</v>
      </c>
      <c r="AG11" s="24">
        <v>37.25</v>
      </c>
      <c r="AH11" s="24">
        <v>6.9250000000000006E-2</v>
      </c>
      <c r="AI11" s="46">
        <v>0</v>
      </c>
      <c r="AJ11" s="24">
        <v>2.4250000000000001E-2</v>
      </c>
      <c r="AK11" s="24">
        <v>3.6750000000000005E-2</v>
      </c>
      <c r="AL11" s="24">
        <v>3.7250000000000005E-2</v>
      </c>
      <c r="AM11" s="24">
        <v>8.5000000000000006E-3</v>
      </c>
      <c r="AN11" s="24">
        <v>2.8249999999999997E-2</v>
      </c>
      <c r="AO11" s="24">
        <v>2.75E-2</v>
      </c>
      <c r="AP11" s="24">
        <v>7.4999999999999997E-3</v>
      </c>
      <c r="AQ11" s="24">
        <v>2.6000000000000002E-2</v>
      </c>
      <c r="AR11" s="24">
        <v>1.6250000000000001E-2</v>
      </c>
      <c r="AS11" s="24">
        <v>1.325E-2</v>
      </c>
      <c r="AT11" s="24">
        <v>1.8000000000000002E-2</v>
      </c>
    </row>
    <row r="12" spans="1:46" s="13" customFormat="1" ht="16">
      <c r="A12" s="6">
        <v>5005</v>
      </c>
      <c r="B12" s="7" t="s">
        <v>134</v>
      </c>
      <c r="C12" s="3" t="s">
        <v>7</v>
      </c>
      <c r="D12" s="10" t="s">
        <v>16</v>
      </c>
      <c r="E12" s="15" t="s">
        <v>75</v>
      </c>
      <c r="F12" s="3" t="s">
        <v>135</v>
      </c>
      <c r="G12" s="6">
        <v>12</v>
      </c>
      <c r="H12" s="6">
        <v>13</v>
      </c>
      <c r="I12" s="6">
        <v>10</v>
      </c>
      <c r="J12" s="11">
        <v>76.150000000000006</v>
      </c>
      <c r="K12" s="11">
        <v>1.06</v>
      </c>
      <c r="L12" s="6">
        <v>12.56</v>
      </c>
      <c r="M12" s="6">
        <v>9.51</v>
      </c>
      <c r="N12" s="6">
        <v>0</v>
      </c>
      <c r="O12" s="6">
        <v>0</v>
      </c>
      <c r="P12" s="6">
        <v>0.72</v>
      </c>
      <c r="Q12" s="55">
        <f>100-J12-K12-L12-M12-N12-O12</f>
        <v>0.71999999999999531</v>
      </c>
      <c r="R12" s="6">
        <v>143</v>
      </c>
      <c r="S12" s="12">
        <f t="shared" si="0"/>
        <v>138.70999999999998</v>
      </c>
      <c r="T12" s="6">
        <v>56</v>
      </c>
      <c r="U12" s="6">
        <v>1.75</v>
      </c>
      <c r="V12" s="6">
        <v>1.75</v>
      </c>
      <c r="W12" s="6">
        <v>0</v>
      </c>
      <c r="X12" s="46">
        <v>0</v>
      </c>
      <c r="Y12" s="6">
        <v>1.75</v>
      </c>
      <c r="Z12" s="6">
        <v>1.29</v>
      </c>
      <c r="AA12" s="6">
        <v>47</v>
      </c>
      <c r="AB12" s="6">
        <v>0</v>
      </c>
      <c r="AC12" s="6">
        <v>0.04</v>
      </c>
      <c r="AD12" s="6">
        <v>0.45700000000000002</v>
      </c>
      <c r="AE12" s="6">
        <v>160</v>
      </c>
      <c r="AF12" s="6">
        <v>0</v>
      </c>
      <c r="AG12" s="6">
        <v>160</v>
      </c>
      <c r="AH12" s="6">
        <v>0.17</v>
      </c>
      <c r="AI12" s="6">
        <v>0.89</v>
      </c>
      <c r="AJ12" s="6">
        <v>0.67100000000000004</v>
      </c>
      <c r="AK12" s="6">
        <v>1.0860000000000001</v>
      </c>
      <c r="AL12" s="6">
        <v>0.91200000000000003</v>
      </c>
      <c r="AM12" s="6">
        <v>0.38</v>
      </c>
      <c r="AN12" s="6">
        <v>0.68</v>
      </c>
      <c r="AO12" s="6">
        <v>0.55600000000000005</v>
      </c>
      <c r="AP12" s="6">
        <v>0.16700000000000001</v>
      </c>
      <c r="AQ12" s="6">
        <v>0.85799999999999998</v>
      </c>
      <c r="AR12" s="6">
        <v>0.309</v>
      </c>
      <c r="AS12" s="6">
        <v>0.27200000000000002</v>
      </c>
      <c r="AT12" s="6">
        <v>0.499</v>
      </c>
    </row>
    <row r="13" spans="1:46" s="13" customFormat="1" ht="32">
      <c r="A13" s="6">
        <v>6002</v>
      </c>
      <c r="B13" s="7" t="s">
        <v>153</v>
      </c>
      <c r="C13" s="3" t="s">
        <v>7</v>
      </c>
      <c r="D13" s="10" t="s">
        <v>154</v>
      </c>
      <c r="E13" s="15" t="s">
        <v>155</v>
      </c>
      <c r="F13" s="3" t="s">
        <v>95</v>
      </c>
      <c r="G13" s="6">
        <v>20</v>
      </c>
      <c r="H13" s="6">
        <v>12</v>
      </c>
      <c r="I13" s="6">
        <v>9</v>
      </c>
      <c r="J13" s="11">
        <v>69.459999999999994</v>
      </c>
      <c r="K13" s="11">
        <v>1.01</v>
      </c>
      <c r="L13" s="6">
        <v>20.85</v>
      </c>
      <c r="M13" s="6">
        <v>9.25</v>
      </c>
      <c r="N13" s="6">
        <v>0</v>
      </c>
      <c r="O13" s="6">
        <v>0</v>
      </c>
      <c r="P13" s="6">
        <v>0</v>
      </c>
      <c r="Q13" s="55">
        <v>0</v>
      </c>
      <c r="R13" s="6">
        <v>172</v>
      </c>
      <c r="S13" s="12">
        <f t="shared" si="0"/>
        <v>166.65</v>
      </c>
      <c r="T13" s="6">
        <v>11</v>
      </c>
      <c r="U13" s="6">
        <v>0.74</v>
      </c>
      <c r="V13" s="6">
        <v>0.74</v>
      </c>
      <c r="W13" s="6">
        <v>0</v>
      </c>
      <c r="X13" s="46">
        <f>+U13*30/100</f>
        <v>0.222</v>
      </c>
      <c r="Y13" s="24">
        <f>+V13-X13</f>
        <v>0.51800000000000002</v>
      </c>
      <c r="Z13" s="24">
        <v>0.8</v>
      </c>
      <c r="AA13" s="6">
        <v>4</v>
      </c>
      <c r="AB13" s="6">
        <v>0</v>
      </c>
      <c r="AC13" s="6">
        <v>6.3E-2</v>
      </c>
      <c r="AD13" s="6">
        <v>8.5000000000000006E-2</v>
      </c>
      <c r="AE13" s="6">
        <v>24</v>
      </c>
      <c r="AF13" s="6">
        <v>0</v>
      </c>
      <c r="AG13" s="6">
        <v>24</v>
      </c>
      <c r="AH13" s="6">
        <v>0.53</v>
      </c>
      <c r="AI13" s="6">
        <v>0.34</v>
      </c>
      <c r="AJ13" s="6">
        <v>1.0629999999999999</v>
      </c>
      <c r="AK13" s="6">
        <v>1.534</v>
      </c>
      <c r="AL13" s="6">
        <v>1.7250000000000001</v>
      </c>
      <c r="AM13" s="6">
        <v>0.56299999999999994</v>
      </c>
      <c r="AN13" s="6">
        <v>0.81599999999999995</v>
      </c>
      <c r="AO13" s="6">
        <v>0.86899999999999999</v>
      </c>
      <c r="AP13" s="6">
        <v>0.23699999999999999</v>
      </c>
      <c r="AQ13" s="6">
        <v>1.02</v>
      </c>
      <c r="AR13" s="6">
        <v>0.625</v>
      </c>
      <c r="AS13" s="6">
        <v>0.27400000000000002</v>
      </c>
      <c r="AT13" s="6">
        <v>0.68400000000000005</v>
      </c>
    </row>
    <row r="14" spans="1:46" s="13" customFormat="1" ht="16">
      <c r="A14" s="6">
        <v>7004</v>
      </c>
      <c r="B14" s="7" t="s">
        <v>139</v>
      </c>
      <c r="C14" s="3" t="s">
        <v>140</v>
      </c>
      <c r="D14" s="10" t="s">
        <v>156</v>
      </c>
      <c r="E14" s="15" t="s">
        <v>141</v>
      </c>
      <c r="F14" s="3" t="s">
        <v>95</v>
      </c>
      <c r="G14" s="48">
        <v>95</v>
      </c>
      <c r="H14" s="6">
        <v>9</v>
      </c>
      <c r="I14" s="6">
        <v>16</v>
      </c>
      <c r="J14" s="11">
        <v>9.3000000000000007</v>
      </c>
      <c r="K14" s="11">
        <v>7</v>
      </c>
      <c r="L14" s="6">
        <v>19.600000000000001</v>
      </c>
      <c r="M14" s="6">
        <v>2</v>
      </c>
      <c r="N14" s="6">
        <v>55.8</v>
      </c>
      <c r="O14" s="6">
        <v>0</v>
      </c>
      <c r="P14" s="6">
        <v>62.1</v>
      </c>
      <c r="Q14" s="55">
        <f>100-J14-K14-L14-M14-N14-O14</f>
        <v>6.2999999999999972</v>
      </c>
      <c r="R14" s="6">
        <v>229.53</v>
      </c>
      <c r="S14" s="12">
        <f t="shared" si="0"/>
        <v>233.2</v>
      </c>
      <c r="T14" s="6">
        <v>430</v>
      </c>
      <c r="U14" s="6">
        <v>18</v>
      </c>
      <c r="V14" s="6">
        <v>0</v>
      </c>
      <c r="W14" s="24">
        <v>18</v>
      </c>
      <c r="X14" s="46">
        <v>0</v>
      </c>
      <c r="Y14" s="24">
        <v>18</v>
      </c>
      <c r="Z14" s="24">
        <v>2.9</v>
      </c>
      <c r="AA14" s="6">
        <v>0</v>
      </c>
      <c r="AB14" s="6">
        <v>0</v>
      </c>
      <c r="AC14" s="6">
        <v>0.14000000000000001</v>
      </c>
      <c r="AD14" s="6">
        <v>0.95</v>
      </c>
      <c r="AE14" s="6">
        <v>0</v>
      </c>
      <c r="AF14" s="6">
        <v>0</v>
      </c>
      <c r="AG14" s="6">
        <v>0</v>
      </c>
      <c r="AH14" s="6">
        <v>0.3</v>
      </c>
      <c r="AI14" s="6">
        <v>0</v>
      </c>
      <c r="AJ14" s="6">
        <v>0</v>
      </c>
      <c r="AK14" s="6">
        <v>0</v>
      </c>
      <c r="AL14" s="6">
        <v>0</v>
      </c>
      <c r="AM14" s="6">
        <v>0</v>
      </c>
      <c r="AN14" s="6">
        <v>0</v>
      </c>
      <c r="AO14" s="6">
        <v>0</v>
      </c>
      <c r="AP14" s="6">
        <v>0.82</v>
      </c>
      <c r="AQ14" s="6">
        <v>0</v>
      </c>
      <c r="AR14" s="6">
        <v>0</v>
      </c>
      <c r="AS14" s="6">
        <v>0</v>
      </c>
      <c r="AT14" s="6">
        <v>0</v>
      </c>
    </row>
    <row r="15" spans="1:46" ht="32">
      <c r="A15" s="6">
        <v>8003</v>
      </c>
      <c r="B15" s="7" t="s">
        <v>12</v>
      </c>
      <c r="C15" s="6" t="s">
        <v>7</v>
      </c>
      <c r="D15" s="6">
        <v>14003</v>
      </c>
      <c r="E15" s="15" t="s">
        <v>13</v>
      </c>
      <c r="F15" s="6" t="s">
        <v>95</v>
      </c>
      <c r="G15" s="6">
        <v>0</v>
      </c>
      <c r="H15" s="12">
        <v>11</v>
      </c>
      <c r="I15" s="12">
        <v>16</v>
      </c>
      <c r="J15" s="6">
        <v>91.96</v>
      </c>
      <c r="K15" s="6">
        <v>0.16</v>
      </c>
      <c r="L15" s="6">
        <v>0.46</v>
      </c>
      <c r="M15" s="6">
        <v>0</v>
      </c>
      <c r="N15" s="6">
        <v>0</v>
      </c>
      <c r="O15" s="6">
        <v>3.9</v>
      </c>
      <c r="P15" s="6">
        <v>3.55</v>
      </c>
      <c r="Q15" s="55">
        <f>100-J15-K15-L15-M15-N15-O15</f>
        <v>3.5200000000000062</v>
      </c>
      <c r="R15" s="6">
        <v>43</v>
      </c>
      <c r="S15" s="5">
        <f t="shared" si="0"/>
        <v>43.220000000000027</v>
      </c>
      <c r="T15" s="6">
        <v>4</v>
      </c>
      <c r="U15" s="6">
        <v>0.02</v>
      </c>
      <c r="V15" s="6">
        <v>0</v>
      </c>
      <c r="W15" s="6">
        <v>0.02</v>
      </c>
      <c r="X15" s="46">
        <v>0</v>
      </c>
      <c r="Y15" s="6">
        <v>0.02</v>
      </c>
      <c r="Z15" s="6">
        <v>0.01</v>
      </c>
      <c r="AA15" s="6">
        <v>6</v>
      </c>
      <c r="AB15" s="6">
        <v>0</v>
      </c>
      <c r="AC15" s="6">
        <v>5.0000000000000001E-3</v>
      </c>
      <c r="AD15" s="6">
        <v>2.5000000000000001E-2</v>
      </c>
      <c r="AE15" s="6">
        <v>0</v>
      </c>
      <c r="AF15" s="6">
        <v>0</v>
      </c>
      <c r="AG15" s="6">
        <v>0</v>
      </c>
      <c r="AH15" s="6">
        <v>4.5999999999999999E-2</v>
      </c>
      <c r="AI15" s="6">
        <v>0</v>
      </c>
      <c r="AJ15" s="6">
        <v>0</v>
      </c>
      <c r="AK15" s="6">
        <v>0</v>
      </c>
      <c r="AL15" s="6">
        <v>0</v>
      </c>
      <c r="AM15" s="6">
        <v>0</v>
      </c>
      <c r="AN15" s="6">
        <v>0</v>
      </c>
      <c r="AO15" s="6">
        <v>0</v>
      </c>
      <c r="AP15" s="6">
        <v>0</v>
      </c>
      <c r="AQ15" s="6">
        <v>0</v>
      </c>
      <c r="AR15" s="6">
        <v>0</v>
      </c>
      <c r="AS15" s="6">
        <v>0</v>
      </c>
      <c r="AT15" s="6">
        <v>0</v>
      </c>
    </row>
    <row r="16" spans="1:46">
      <c r="A16" s="3">
        <v>9002</v>
      </c>
      <c r="B16" s="4" t="s">
        <v>14</v>
      </c>
      <c r="C16" s="3"/>
      <c r="D16" s="3"/>
      <c r="E16" s="14"/>
      <c r="F16" s="3" t="s">
        <v>136</v>
      </c>
      <c r="G16" s="6">
        <v>0</v>
      </c>
      <c r="H16" s="6">
        <v>19</v>
      </c>
      <c r="I16" s="6">
        <v>17</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8" spans="1:5" ht="16" thickBot="1"/>
    <row r="19" spans="1:5" ht="66" thickTop="1" thickBot="1">
      <c r="A19" s="49" t="s">
        <v>157</v>
      </c>
      <c r="B19" s="50" t="s">
        <v>158</v>
      </c>
      <c r="E19" s="51" t="s">
        <v>159</v>
      </c>
    </row>
    <row r="20" spans="1:5" ht="16" thickTop="1">
      <c r="E20" s="52"/>
    </row>
  </sheetData>
  <mergeCells count="2">
    <mergeCell ref="AI1:AN4"/>
    <mergeCell ref="AC5:AJ5"/>
  </mergeCells>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7"/>
  <sheetViews>
    <sheetView topLeftCell="U1" workbookViewId="0">
      <selection activeCell="Y25" sqref="Y25"/>
    </sheetView>
  </sheetViews>
  <sheetFormatPr baseColWidth="10" defaultColWidth="8.83203125" defaultRowHeight="14"/>
  <cols>
    <col min="1" max="1" width="11" style="25" customWidth="1"/>
    <col min="2" max="2" width="14" style="25" bestFit="1" customWidth="1"/>
    <col min="3" max="3" width="12.5" style="25" customWidth="1"/>
    <col min="4" max="4" width="8.83203125" style="25"/>
    <col min="5" max="5" width="23" style="25" customWidth="1"/>
    <col min="6" max="6" width="12.1640625" style="25" customWidth="1"/>
    <col min="7" max="7" width="8.83203125" style="25"/>
    <col min="8" max="8" width="10.33203125" style="25" customWidth="1"/>
    <col min="9" max="9" width="13.1640625" style="25" customWidth="1"/>
    <col min="10" max="22" width="8.83203125" style="25"/>
    <col min="23" max="23" width="9.33203125" style="25" bestFit="1" customWidth="1"/>
    <col min="24" max="25" width="10.5" style="25" customWidth="1"/>
    <col min="26" max="26" width="10.33203125" style="25" customWidth="1"/>
    <col min="27" max="27" width="12.5" style="25" customWidth="1"/>
    <col min="28" max="28" width="12.33203125" style="25" customWidth="1"/>
    <col min="29" max="29" width="13" style="25" customWidth="1"/>
    <col min="30" max="30" width="13.1640625" style="25" customWidth="1"/>
    <col min="31" max="31" width="8.6640625" style="25" bestFit="1" customWidth="1"/>
    <col min="32" max="32" width="11.5" style="25" bestFit="1" customWidth="1"/>
    <col min="33" max="33" width="8.83203125" style="25"/>
    <col min="34" max="34" width="11" style="25" customWidth="1"/>
    <col min="35" max="35" width="11.83203125" style="25" customWidth="1"/>
    <col min="36" max="16384" width="8.83203125" style="25"/>
  </cols>
  <sheetData>
    <row r="1" spans="1:46" s="1" customFormat="1" ht="96">
      <c r="A1" s="2" t="s">
        <v>103</v>
      </c>
      <c r="B1" s="2" t="s">
        <v>104</v>
      </c>
      <c r="C1" s="2" t="s">
        <v>1</v>
      </c>
      <c r="D1" s="2" t="s">
        <v>2</v>
      </c>
      <c r="E1" s="2" t="s">
        <v>3</v>
      </c>
      <c r="F1" s="22" t="s">
        <v>92</v>
      </c>
      <c r="G1" s="2" t="s">
        <v>105</v>
      </c>
      <c r="H1" s="2" t="s">
        <v>106</v>
      </c>
      <c r="I1" s="2" t="s">
        <v>162</v>
      </c>
      <c r="J1" s="2" t="s">
        <v>5</v>
      </c>
      <c r="K1" s="2" t="s">
        <v>6</v>
      </c>
      <c r="L1" s="2" t="s">
        <v>107</v>
      </c>
      <c r="M1" s="2" t="s">
        <v>108</v>
      </c>
      <c r="N1" s="2" t="s">
        <v>109</v>
      </c>
      <c r="O1" s="2" t="s">
        <v>110</v>
      </c>
      <c r="P1" s="2" t="s">
        <v>4</v>
      </c>
      <c r="Q1" s="19" t="s">
        <v>111</v>
      </c>
      <c r="R1" s="2" t="s">
        <v>0</v>
      </c>
      <c r="S1" s="19" t="s">
        <v>112</v>
      </c>
      <c r="T1" s="2" t="s">
        <v>113</v>
      </c>
      <c r="U1" s="2" t="s">
        <v>114</v>
      </c>
      <c r="V1" s="19" t="s">
        <v>115</v>
      </c>
      <c r="W1" s="19" t="s">
        <v>116</v>
      </c>
      <c r="X1" s="2" t="s">
        <v>149</v>
      </c>
      <c r="Y1" s="2" t="s">
        <v>150</v>
      </c>
      <c r="Z1" s="2" t="s">
        <v>151</v>
      </c>
      <c r="AA1" s="2" t="s">
        <v>160</v>
      </c>
      <c r="AB1" s="2" t="s">
        <v>117</v>
      </c>
      <c r="AC1" s="2" t="s">
        <v>118</v>
      </c>
      <c r="AD1" s="2" t="s">
        <v>119</v>
      </c>
      <c r="AE1" s="2" t="s">
        <v>120</v>
      </c>
      <c r="AF1" s="2" t="s">
        <v>152</v>
      </c>
      <c r="AG1" s="2" t="s">
        <v>165</v>
      </c>
      <c r="AH1" s="2" t="s">
        <v>121</v>
      </c>
      <c r="AI1" s="2" t="s">
        <v>122</v>
      </c>
      <c r="AJ1" s="2" t="s">
        <v>123</v>
      </c>
      <c r="AK1" s="2" t="s">
        <v>124</v>
      </c>
      <c r="AL1" s="2" t="s">
        <v>125</v>
      </c>
      <c r="AM1" s="2" t="s">
        <v>126</v>
      </c>
      <c r="AN1" s="2" t="s">
        <v>127</v>
      </c>
      <c r="AO1" s="2" t="s">
        <v>128</v>
      </c>
      <c r="AP1" s="2" t="s">
        <v>129</v>
      </c>
      <c r="AQ1" s="2" t="s">
        <v>130</v>
      </c>
      <c r="AR1" s="2" t="s">
        <v>131</v>
      </c>
      <c r="AS1" s="2" t="s">
        <v>132</v>
      </c>
      <c r="AT1" s="2" t="s">
        <v>133</v>
      </c>
    </row>
    <row r="2" spans="1:46" ht="16">
      <c r="A2" s="3">
        <v>1001</v>
      </c>
      <c r="B2" s="4" t="s">
        <v>142</v>
      </c>
      <c r="C2" s="29" t="s">
        <v>7</v>
      </c>
      <c r="D2" s="30" t="s">
        <v>80</v>
      </c>
      <c r="E2" s="31" t="s">
        <v>81</v>
      </c>
      <c r="F2" s="53">
        <v>0.16666666666666666</v>
      </c>
      <c r="G2" s="3">
        <v>0</v>
      </c>
      <c r="H2" s="3">
        <v>1</v>
      </c>
      <c r="I2" s="3">
        <v>1</v>
      </c>
      <c r="J2" s="3">
        <v>10.37</v>
      </c>
      <c r="K2" s="3">
        <v>1.53</v>
      </c>
      <c r="L2" s="3">
        <v>7.94</v>
      </c>
      <c r="M2" s="3">
        <v>2.92</v>
      </c>
      <c r="N2" s="3">
        <v>3.5</v>
      </c>
      <c r="O2" s="3">
        <v>0</v>
      </c>
      <c r="P2" s="3">
        <v>77.239999999999995</v>
      </c>
      <c r="Q2" s="3">
        <f>100-J2-K2-L2-M2-N2-O2</f>
        <v>73.739999999999995</v>
      </c>
      <c r="R2" s="3">
        <v>370</v>
      </c>
      <c r="S2" s="32"/>
      <c r="T2" s="3">
        <v>23</v>
      </c>
      <c r="U2" s="3">
        <v>1.47</v>
      </c>
      <c r="V2" s="16"/>
      <c r="W2" s="16"/>
      <c r="X2" s="38">
        <v>0</v>
      </c>
      <c r="Y2" s="38">
        <v>1.04</v>
      </c>
      <c r="Z2" s="38">
        <v>2.13</v>
      </c>
      <c r="AA2" s="38">
        <v>23</v>
      </c>
      <c r="AB2" s="3">
        <v>0</v>
      </c>
      <c r="AC2" s="3">
        <v>0.40100000000000002</v>
      </c>
      <c r="AD2" s="3">
        <v>9.2999999999999999E-2</v>
      </c>
      <c r="AE2" s="3">
        <v>0</v>
      </c>
      <c r="AF2" s="3">
        <v>0</v>
      </c>
      <c r="AG2" s="3">
        <v>0</v>
      </c>
      <c r="AH2" s="3">
        <v>0.50900000000000001</v>
      </c>
      <c r="AI2" s="3">
        <v>0</v>
      </c>
      <c r="AJ2" s="3">
        <v>0.33600000000000002</v>
      </c>
      <c r="AK2" s="3">
        <v>0.65700000000000003</v>
      </c>
      <c r="AL2" s="3">
        <v>0.30299999999999999</v>
      </c>
      <c r="AM2" s="3">
        <v>0.17899999999999999</v>
      </c>
      <c r="AN2" s="3">
        <v>0.41</v>
      </c>
      <c r="AO2" s="3">
        <v>0.29099999999999998</v>
      </c>
      <c r="AP2" s="3">
        <v>0.10100000000000001</v>
      </c>
      <c r="AQ2" s="3">
        <v>0.46600000000000003</v>
      </c>
      <c r="AR2" s="3">
        <v>0.20200000000000001</v>
      </c>
      <c r="AS2" s="3">
        <v>9.6000000000000002E-2</v>
      </c>
      <c r="AT2" s="3">
        <v>0.29799999999999999</v>
      </c>
    </row>
    <row r="3" spans="1:46" ht="32">
      <c r="A3" s="3">
        <v>1001</v>
      </c>
      <c r="B3" s="4" t="s">
        <v>142</v>
      </c>
      <c r="C3" s="29" t="s">
        <v>7</v>
      </c>
      <c r="D3" s="30" t="s">
        <v>82</v>
      </c>
      <c r="E3" s="31" t="s">
        <v>83</v>
      </c>
      <c r="F3" s="53">
        <v>0.16666666666666666</v>
      </c>
      <c r="G3" s="3">
        <v>0</v>
      </c>
      <c r="H3" s="3">
        <v>1</v>
      </c>
      <c r="I3" s="3">
        <v>1</v>
      </c>
      <c r="J3" s="3">
        <v>12.37</v>
      </c>
      <c r="K3" s="3">
        <v>1.27</v>
      </c>
      <c r="L3" s="3">
        <v>7.5</v>
      </c>
      <c r="M3" s="3">
        <v>2.68</v>
      </c>
      <c r="N3" s="3">
        <v>3.4</v>
      </c>
      <c r="O3" s="3">
        <v>0</v>
      </c>
      <c r="P3" s="3">
        <v>76.179999999999993</v>
      </c>
      <c r="Q3" s="3">
        <f t="shared" ref="Q3:Q7" si="0">100-J3-K3-L3-M3-N3-O3</f>
        <v>72.779999999999987</v>
      </c>
      <c r="R3" s="3">
        <v>362</v>
      </c>
      <c r="S3" s="32"/>
      <c r="T3" s="3">
        <v>33</v>
      </c>
      <c r="U3" s="3">
        <v>1.8</v>
      </c>
      <c r="V3" s="16"/>
      <c r="W3" s="16"/>
      <c r="X3" s="38">
        <v>0</v>
      </c>
      <c r="Y3" s="38">
        <v>1.04</v>
      </c>
      <c r="Z3" s="38">
        <v>2.02</v>
      </c>
      <c r="AA3" s="38">
        <v>20</v>
      </c>
      <c r="AB3" s="3">
        <v>0</v>
      </c>
      <c r="AC3" s="3">
        <v>0.41299999999999998</v>
      </c>
      <c r="AD3" s="3">
        <v>4.2999999999999997E-2</v>
      </c>
      <c r="AE3" s="3">
        <v>0</v>
      </c>
      <c r="AF3" s="3">
        <v>0</v>
      </c>
      <c r="AG3" s="3">
        <v>0</v>
      </c>
      <c r="AH3" s="3">
        <v>0.50900000000000001</v>
      </c>
      <c r="AI3" s="3">
        <v>0</v>
      </c>
      <c r="AJ3" s="3">
        <v>0.318</v>
      </c>
      <c r="AK3" s="3">
        <v>0.62</v>
      </c>
      <c r="AL3" s="3">
        <v>0.28599999999999998</v>
      </c>
      <c r="AM3" s="3">
        <v>0.16900000000000001</v>
      </c>
      <c r="AN3" s="3">
        <v>0.38700000000000001</v>
      </c>
      <c r="AO3" s="3">
        <v>0.27500000000000002</v>
      </c>
      <c r="AP3" s="3">
        <v>9.6000000000000002E-2</v>
      </c>
      <c r="AQ3" s="3">
        <v>0.44</v>
      </c>
      <c r="AR3" s="3">
        <v>0.19</v>
      </c>
      <c r="AS3" s="3">
        <v>9.0999999999999998E-2</v>
      </c>
      <c r="AT3" s="3">
        <v>0.28100000000000003</v>
      </c>
    </row>
    <row r="4" spans="1:46" ht="16">
      <c r="A4" s="3">
        <v>1001</v>
      </c>
      <c r="B4" s="4" t="s">
        <v>142</v>
      </c>
      <c r="C4" s="29" t="s">
        <v>7</v>
      </c>
      <c r="D4" s="30" t="s">
        <v>84</v>
      </c>
      <c r="E4" s="31" t="s">
        <v>85</v>
      </c>
      <c r="F4" s="53">
        <v>0.16666666666666666</v>
      </c>
      <c r="G4" s="3">
        <v>0</v>
      </c>
      <c r="H4" s="3">
        <v>1</v>
      </c>
      <c r="I4" s="3">
        <v>1</v>
      </c>
      <c r="J4" s="3">
        <v>10.46</v>
      </c>
      <c r="K4" s="3">
        <v>0.49</v>
      </c>
      <c r="L4" s="3">
        <v>6.81</v>
      </c>
      <c r="M4" s="3">
        <v>0.55000000000000004</v>
      </c>
      <c r="N4" s="3">
        <v>2.8</v>
      </c>
      <c r="O4" s="3">
        <v>0</v>
      </c>
      <c r="P4" s="3">
        <v>81.690000000000012</v>
      </c>
      <c r="Q4" s="3">
        <f t="shared" si="0"/>
        <v>78.89</v>
      </c>
      <c r="R4" s="3">
        <v>370</v>
      </c>
      <c r="S4" s="32"/>
      <c r="T4" s="6">
        <v>11</v>
      </c>
      <c r="U4" s="6">
        <v>1.6</v>
      </c>
      <c r="V4" s="16"/>
      <c r="W4" s="16"/>
      <c r="X4" s="38">
        <v>0</v>
      </c>
      <c r="Y4" s="38">
        <v>1.04</v>
      </c>
      <c r="Z4" s="38">
        <v>1.2</v>
      </c>
      <c r="AA4" s="38">
        <v>7</v>
      </c>
      <c r="AB4" s="3">
        <v>0</v>
      </c>
      <c r="AC4" s="3">
        <v>0.18</v>
      </c>
      <c r="AD4" s="3">
        <v>5.5E-2</v>
      </c>
      <c r="AE4" s="3">
        <v>0</v>
      </c>
      <c r="AF4" s="3">
        <v>0</v>
      </c>
      <c r="AG4" s="3">
        <v>0</v>
      </c>
      <c r="AH4" s="3">
        <v>0.107</v>
      </c>
      <c r="AI4" s="3">
        <v>0</v>
      </c>
      <c r="AJ4" s="3">
        <v>0.29399999999999998</v>
      </c>
      <c r="AK4" s="3">
        <v>0.56299999999999994</v>
      </c>
      <c r="AL4" s="3">
        <v>0.246</v>
      </c>
      <c r="AM4" s="3">
        <v>0.16</v>
      </c>
      <c r="AN4" s="3">
        <v>0.36399999999999999</v>
      </c>
      <c r="AO4" s="3">
        <v>0.24399999999999999</v>
      </c>
      <c r="AP4" s="3">
        <v>7.9000000000000001E-2</v>
      </c>
      <c r="AQ4" s="3">
        <v>0.41599999999999998</v>
      </c>
      <c r="AR4" s="3">
        <v>0.16</v>
      </c>
      <c r="AS4" s="3">
        <v>0.14000000000000001</v>
      </c>
      <c r="AT4" s="3">
        <v>0.22800000000000001</v>
      </c>
    </row>
    <row r="5" spans="1:46" ht="32">
      <c r="A5" s="3">
        <v>1001</v>
      </c>
      <c r="B5" s="4" t="s">
        <v>142</v>
      </c>
      <c r="C5" s="29" t="s">
        <v>7</v>
      </c>
      <c r="D5" s="30" t="s">
        <v>86</v>
      </c>
      <c r="E5" s="31" t="s">
        <v>87</v>
      </c>
      <c r="F5" s="53">
        <v>0.16666666666666666</v>
      </c>
      <c r="G5" s="3">
        <v>0</v>
      </c>
      <c r="H5" s="3">
        <v>1</v>
      </c>
      <c r="I5" s="3">
        <v>1</v>
      </c>
      <c r="J5" s="3">
        <v>11.62</v>
      </c>
      <c r="K5" s="3">
        <v>0.64</v>
      </c>
      <c r="L5" s="3">
        <v>7.13</v>
      </c>
      <c r="M5" s="3">
        <v>0.66</v>
      </c>
      <c r="N5" s="3">
        <v>1.3</v>
      </c>
      <c r="O5" s="3">
        <v>0</v>
      </c>
      <c r="P5" s="3">
        <v>79.95</v>
      </c>
      <c r="Q5" s="3">
        <f t="shared" si="0"/>
        <v>78.650000000000006</v>
      </c>
      <c r="R5" s="3">
        <v>365</v>
      </c>
      <c r="S5" s="32"/>
      <c r="T5" s="6">
        <v>28</v>
      </c>
      <c r="U5" s="6">
        <v>0.8</v>
      </c>
      <c r="V5" s="16"/>
      <c r="W5" s="16"/>
      <c r="X5" s="38">
        <v>0</v>
      </c>
      <c r="Y5" s="38">
        <v>1.04</v>
      </c>
      <c r="Z5" s="38">
        <v>1.0900000000000001</v>
      </c>
      <c r="AA5" s="38">
        <v>8</v>
      </c>
      <c r="AB5" s="3">
        <v>0</v>
      </c>
      <c r="AC5" s="3">
        <v>7.0000000000000007E-2</v>
      </c>
      <c r="AD5" s="3">
        <v>4.9000000000000002E-2</v>
      </c>
      <c r="AE5" s="3">
        <v>0</v>
      </c>
      <c r="AF5" s="3">
        <v>0</v>
      </c>
      <c r="AG5" s="3">
        <v>0</v>
      </c>
      <c r="AH5" s="3">
        <v>0.16400000000000001</v>
      </c>
      <c r="AI5" s="3">
        <v>0</v>
      </c>
      <c r="AJ5" s="3">
        <v>0.308</v>
      </c>
      <c r="AK5" s="3">
        <v>0.58899999999999997</v>
      </c>
      <c r="AL5" s="3">
        <v>0.25800000000000001</v>
      </c>
      <c r="AM5" s="3">
        <v>0.16800000000000001</v>
      </c>
      <c r="AN5" s="3">
        <v>0.38100000000000001</v>
      </c>
      <c r="AO5" s="3">
        <v>0.255</v>
      </c>
      <c r="AP5" s="3">
        <v>8.3000000000000004E-2</v>
      </c>
      <c r="AQ5" s="3">
        <v>0.435</v>
      </c>
      <c r="AR5" s="3">
        <v>0.16800000000000001</v>
      </c>
      <c r="AS5" s="3">
        <v>0.14599999999999999</v>
      </c>
      <c r="AT5" s="3">
        <v>0.23799999999999999</v>
      </c>
    </row>
    <row r="6" spans="1:46" ht="31.5" customHeight="1">
      <c r="A6" s="3">
        <v>1001</v>
      </c>
      <c r="B6" s="4" t="s">
        <v>142</v>
      </c>
      <c r="C6" s="29" t="s">
        <v>7</v>
      </c>
      <c r="D6" s="30" t="s">
        <v>88</v>
      </c>
      <c r="E6" s="31" t="s">
        <v>89</v>
      </c>
      <c r="F6" s="53">
        <v>0.16666666666666666</v>
      </c>
      <c r="G6" s="3">
        <v>0</v>
      </c>
      <c r="H6" s="3">
        <v>1</v>
      </c>
      <c r="I6" s="3">
        <v>1</v>
      </c>
      <c r="J6" s="3">
        <v>12.89</v>
      </c>
      <c r="K6" s="3">
        <v>0.57999999999999996</v>
      </c>
      <c r="L6" s="3">
        <v>6.61</v>
      </c>
      <c r="M6" s="3">
        <v>0.57999999999999996</v>
      </c>
      <c r="N6" s="3">
        <v>1.4</v>
      </c>
      <c r="O6" s="3">
        <v>0</v>
      </c>
      <c r="P6" s="3">
        <v>79.34</v>
      </c>
      <c r="Q6" s="3">
        <f t="shared" si="0"/>
        <v>77.94</v>
      </c>
      <c r="R6" s="3">
        <v>360</v>
      </c>
      <c r="S6" s="32"/>
      <c r="T6" s="6">
        <v>9</v>
      </c>
      <c r="U6" s="6">
        <v>0.8</v>
      </c>
      <c r="V6" s="16"/>
      <c r="W6" s="16"/>
      <c r="X6" s="38">
        <v>0</v>
      </c>
      <c r="Y6" s="38">
        <v>1.04</v>
      </c>
      <c r="Z6" s="38">
        <v>1.1599999999999999</v>
      </c>
      <c r="AA6" s="38">
        <v>9</v>
      </c>
      <c r="AB6" s="3">
        <v>0</v>
      </c>
      <c r="AC6" s="3">
        <v>7.0000000000000007E-2</v>
      </c>
      <c r="AD6" s="3">
        <v>4.8000000000000001E-2</v>
      </c>
      <c r="AE6" s="3">
        <v>0</v>
      </c>
      <c r="AF6" s="3">
        <v>0</v>
      </c>
      <c r="AG6" s="3">
        <v>0</v>
      </c>
      <c r="AH6" s="3">
        <v>0.14499999999999999</v>
      </c>
      <c r="AI6" s="3">
        <v>0</v>
      </c>
      <c r="AJ6" s="3">
        <v>0.28499999999999998</v>
      </c>
      <c r="AK6" s="3">
        <v>0.54600000000000004</v>
      </c>
      <c r="AL6" s="3">
        <v>0.23899999999999999</v>
      </c>
      <c r="AM6" s="3">
        <v>0.155</v>
      </c>
      <c r="AN6" s="3">
        <v>0.35299999999999998</v>
      </c>
      <c r="AO6" s="3">
        <v>0.23599999999999999</v>
      </c>
      <c r="AP6" s="3">
        <v>7.6999999999999999E-2</v>
      </c>
      <c r="AQ6" s="3">
        <v>0.40300000000000002</v>
      </c>
      <c r="AR6" s="3">
        <v>0.155</v>
      </c>
      <c r="AS6" s="3">
        <v>0.13500000000000001</v>
      </c>
      <c r="AT6" s="3">
        <v>0.221</v>
      </c>
    </row>
    <row r="7" spans="1:46" ht="32">
      <c r="A7" s="3">
        <v>1001</v>
      </c>
      <c r="B7" s="4" t="s">
        <v>142</v>
      </c>
      <c r="C7" s="29" t="s">
        <v>7</v>
      </c>
      <c r="D7" s="30" t="s">
        <v>90</v>
      </c>
      <c r="E7" s="31" t="s">
        <v>91</v>
      </c>
      <c r="F7" s="53">
        <v>0.16666666666666666</v>
      </c>
      <c r="G7" s="3">
        <v>0</v>
      </c>
      <c r="H7" s="3">
        <v>1</v>
      </c>
      <c r="I7" s="3">
        <v>1</v>
      </c>
      <c r="J7" s="3">
        <v>13.29</v>
      </c>
      <c r="K7" s="3">
        <v>0.54</v>
      </c>
      <c r="L7" s="3">
        <v>6.5</v>
      </c>
      <c r="M7" s="3">
        <v>0.52</v>
      </c>
      <c r="N7" s="3">
        <v>2.8</v>
      </c>
      <c r="O7" s="3">
        <v>0</v>
      </c>
      <c r="P7" s="3">
        <v>79.149999999999991</v>
      </c>
      <c r="Q7" s="3">
        <f t="shared" si="0"/>
        <v>76.350000000000009</v>
      </c>
      <c r="R7" s="3">
        <v>358</v>
      </c>
      <c r="S7" s="32"/>
      <c r="T7" s="6">
        <v>3</v>
      </c>
      <c r="U7" s="6">
        <v>0.8</v>
      </c>
      <c r="V7" s="16"/>
      <c r="W7" s="16"/>
      <c r="X7" s="38">
        <v>0</v>
      </c>
      <c r="Y7" s="38">
        <v>1.04</v>
      </c>
      <c r="Z7" s="38">
        <v>1.1000000000000001</v>
      </c>
      <c r="AA7" s="38">
        <v>6</v>
      </c>
      <c r="AB7" s="3">
        <v>0</v>
      </c>
      <c r="AC7" s="3">
        <v>7.0000000000000007E-2</v>
      </c>
      <c r="AD7" s="3">
        <v>4.8000000000000001E-2</v>
      </c>
      <c r="AE7" s="3">
        <v>0</v>
      </c>
      <c r="AF7" s="3">
        <v>0</v>
      </c>
      <c r="AG7" s="3">
        <v>0</v>
      </c>
      <c r="AH7" s="3">
        <v>0.17100000000000001</v>
      </c>
      <c r="AI7" s="3">
        <v>0</v>
      </c>
      <c r="AJ7" s="3">
        <v>0.28100000000000003</v>
      </c>
      <c r="AK7" s="3">
        <v>0.53800000000000003</v>
      </c>
      <c r="AL7" s="3">
        <v>0.23499999999999999</v>
      </c>
      <c r="AM7" s="3">
        <v>0.153</v>
      </c>
      <c r="AN7" s="3">
        <v>0.34799999999999998</v>
      </c>
      <c r="AO7" s="3">
        <v>0.23300000000000001</v>
      </c>
      <c r="AP7" s="3">
        <v>7.4999999999999997E-2</v>
      </c>
      <c r="AQ7" s="3">
        <v>0.39700000000000002</v>
      </c>
      <c r="AR7" s="3">
        <v>0.153</v>
      </c>
      <c r="AS7" s="3">
        <v>0.13300000000000001</v>
      </c>
      <c r="AT7" s="3">
        <v>0.217</v>
      </c>
    </row>
    <row r="8" spans="1:46" ht="15">
      <c r="A8" s="35"/>
      <c r="B8" s="35"/>
      <c r="C8" s="35"/>
      <c r="D8" s="35"/>
      <c r="E8" s="35"/>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row>
    <row r="9" spans="1:46" ht="16">
      <c r="A9" s="3">
        <v>1001</v>
      </c>
      <c r="B9" s="4" t="s">
        <v>142</v>
      </c>
      <c r="C9" s="33"/>
      <c r="D9" s="33"/>
      <c r="E9" s="34" t="s">
        <v>94</v>
      </c>
      <c r="F9" s="16"/>
      <c r="G9" s="28">
        <f t="shared" ref="G9:P9" si="1">SUM(G2*$F2,G3*$F3,G4*$F4,G5*$F5,G6*$F6,G7*$F7)</f>
        <v>0</v>
      </c>
      <c r="H9" s="28">
        <v>1</v>
      </c>
      <c r="I9" s="28">
        <v>1</v>
      </c>
      <c r="J9" s="28">
        <f t="shared" si="1"/>
        <v>11.833333333333332</v>
      </c>
      <c r="K9" s="28">
        <f t="shared" si="1"/>
        <v>0.84166666666666667</v>
      </c>
      <c r="L9" s="28">
        <f t="shared" si="1"/>
        <v>7.0816666666666661</v>
      </c>
      <c r="M9" s="28">
        <f t="shared" si="1"/>
        <v>1.3183333333333334</v>
      </c>
      <c r="N9" s="28">
        <f t="shared" si="1"/>
        <v>2.5333333333333332</v>
      </c>
      <c r="O9" s="28">
        <f t="shared" si="1"/>
        <v>0</v>
      </c>
      <c r="P9" s="28">
        <f t="shared" si="1"/>
        <v>78.924999999999997</v>
      </c>
      <c r="Q9" s="23">
        <f>AVERAGE(Q2:Q7)</f>
        <v>76.391666666666666</v>
      </c>
      <c r="R9" s="28">
        <f>SUM(R2*$F2,R3*$F3,R4*$F4,R5*$F5,R6*$F6,R7*$F7)</f>
        <v>364.16666666666669</v>
      </c>
      <c r="S9" s="28"/>
      <c r="T9" s="28">
        <f>SUM(T2*$F2,T3*$F3,T4*$F4,T5*$F5,T6*$F6,T7*$F7)</f>
        <v>17.833333333333332</v>
      </c>
      <c r="U9" s="28">
        <f>SUM(U2*$F2,U3*$F3,U4*$F4,U5*$F5,U6*$F6,U7*$F7)</f>
        <v>1.2116666666666664</v>
      </c>
      <c r="V9" s="16"/>
      <c r="W9" s="16"/>
      <c r="X9" s="28">
        <f t="shared" ref="X9:Y9" si="2">SUM(X2*$F2,X3*$F3,X4*$F4,X5*$F5,X6*$F6,X7*$F7)</f>
        <v>0</v>
      </c>
      <c r="Y9" s="28">
        <f t="shared" si="2"/>
        <v>1.04</v>
      </c>
      <c r="Z9" s="28">
        <f t="shared" ref="Z9:AT9" si="3">SUM(Z2*$F2,Z3*$F3,Z4*$F4,Z5*$F5,Z6*$F6,Z7*$F7)</f>
        <v>1.45</v>
      </c>
      <c r="AA9" s="28">
        <f t="shared" si="3"/>
        <v>12.166666666666666</v>
      </c>
      <c r="AB9" s="28">
        <f t="shared" si="3"/>
        <v>0</v>
      </c>
      <c r="AC9" s="28">
        <f t="shared" si="3"/>
        <v>0.20066666666666663</v>
      </c>
      <c r="AD9" s="28">
        <f t="shared" si="3"/>
        <v>5.5999999999999994E-2</v>
      </c>
      <c r="AE9" s="28">
        <f t="shared" si="3"/>
        <v>0</v>
      </c>
      <c r="AF9" s="28">
        <f t="shared" si="3"/>
        <v>0</v>
      </c>
      <c r="AG9" s="28">
        <f t="shared" si="3"/>
        <v>0</v>
      </c>
      <c r="AH9" s="28">
        <f t="shared" si="3"/>
        <v>0.26750000000000002</v>
      </c>
      <c r="AI9" s="28">
        <f t="shared" si="3"/>
        <v>0</v>
      </c>
      <c r="AJ9" s="28">
        <f t="shared" si="3"/>
        <v>0.30366666666666664</v>
      </c>
      <c r="AK9" s="28">
        <f t="shared" si="3"/>
        <v>0.58549999999999991</v>
      </c>
      <c r="AL9" s="28">
        <f t="shared" si="3"/>
        <v>0.26116666666666666</v>
      </c>
      <c r="AM9" s="28">
        <f t="shared" si="3"/>
        <v>0.16400000000000001</v>
      </c>
      <c r="AN9" s="28">
        <f t="shared" si="3"/>
        <v>0.37383333333333335</v>
      </c>
      <c r="AO9" s="28">
        <f t="shared" si="3"/>
        <v>0.25566666666666665</v>
      </c>
      <c r="AP9" s="28">
        <f t="shared" si="3"/>
        <v>8.5166666666666668E-2</v>
      </c>
      <c r="AQ9" s="28">
        <f t="shared" si="3"/>
        <v>0.42616666666666664</v>
      </c>
      <c r="AR9" s="28">
        <f t="shared" si="3"/>
        <v>0.17133333333333331</v>
      </c>
      <c r="AS9" s="28">
        <f t="shared" si="3"/>
        <v>0.1235</v>
      </c>
      <c r="AT9" s="28">
        <f t="shared" si="3"/>
        <v>0.24716666666666665</v>
      </c>
    </row>
    <row r="10" spans="1:46" ht="15">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ht="15">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ht="15">
      <c r="A12" s="6">
        <v>4002</v>
      </c>
      <c r="B12" s="7" t="s">
        <v>10</v>
      </c>
      <c r="C12" s="29" t="s">
        <v>7</v>
      </c>
      <c r="D12" s="30" t="s">
        <v>96</v>
      </c>
      <c r="E12" s="37" t="s">
        <v>97</v>
      </c>
      <c r="F12" s="3">
        <v>0.25</v>
      </c>
      <c r="G12" s="38">
        <v>9</v>
      </c>
      <c r="H12" s="38">
        <v>7</v>
      </c>
      <c r="I12" s="38">
        <v>5</v>
      </c>
      <c r="J12" s="3">
        <v>93</v>
      </c>
      <c r="K12" s="3">
        <v>0.5</v>
      </c>
      <c r="L12" s="3">
        <v>1.2</v>
      </c>
      <c r="M12" s="3">
        <v>0.2</v>
      </c>
      <c r="N12" s="3">
        <v>1.1000000000000001</v>
      </c>
      <c r="O12" s="3">
        <v>0</v>
      </c>
      <c r="P12" s="3">
        <v>5.0999999999999996</v>
      </c>
      <c r="Q12" s="3">
        <f t="shared" ref="Q12:Q15" si="4">100-J12-K12-L12-M12-N12-O12</f>
        <v>3.9999999999999996</v>
      </c>
      <c r="R12" s="3">
        <v>23</v>
      </c>
      <c r="S12" s="3"/>
      <c r="T12" s="3">
        <v>13</v>
      </c>
      <c r="U12" s="3">
        <v>0.51</v>
      </c>
      <c r="V12" s="3"/>
      <c r="W12" s="3"/>
      <c r="X12" s="3">
        <v>0</v>
      </c>
      <c r="Y12" s="3">
        <v>0.44</v>
      </c>
      <c r="Z12" s="3">
        <v>0.13</v>
      </c>
      <c r="AA12" s="3">
        <v>9</v>
      </c>
      <c r="AB12" s="3">
        <v>23.4</v>
      </c>
      <c r="AC12" s="3">
        <v>0.06</v>
      </c>
      <c r="AD12" s="3">
        <v>0.04</v>
      </c>
      <c r="AE12" s="3">
        <v>0</v>
      </c>
      <c r="AF12" s="3">
        <v>385</v>
      </c>
      <c r="AG12" s="3">
        <v>32</v>
      </c>
      <c r="AH12" s="3">
        <v>8.1000000000000003E-2</v>
      </c>
      <c r="AI12" s="3">
        <v>0</v>
      </c>
      <c r="AJ12" s="3">
        <v>2.9000000000000001E-2</v>
      </c>
      <c r="AK12" s="3">
        <v>4.3999999999999997E-2</v>
      </c>
      <c r="AL12" s="3">
        <v>4.3999999999999997E-2</v>
      </c>
      <c r="AM12" s="3">
        <v>0.01</v>
      </c>
      <c r="AN12" s="3">
        <v>3.1E-2</v>
      </c>
      <c r="AO12" s="3">
        <v>0.03</v>
      </c>
      <c r="AP12" s="3">
        <v>8.9999999999999993E-3</v>
      </c>
      <c r="AQ12" s="3">
        <v>3.1E-2</v>
      </c>
      <c r="AR12" s="3">
        <v>1.7999999999999999E-2</v>
      </c>
      <c r="AS12" s="3">
        <v>1.6E-2</v>
      </c>
      <c r="AT12" s="3">
        <v>2.1000000000000001E-2</v>
      </c>
    </row>
    <row r="13" spans="1:46" ht="15">
      <c r="A13" s="6">
        <v>4002</v>
      </c>
      <c r="B13" s="7" t="s">
        <v>10</v>
      </c>
      <c r="C13" s="29" t="s">
        <v>7</v>
      </c>
      <c r="D13" s="30" t="s">
        <v>98</v>
      </c>
      <c r="E13" s="37" t="s">
        <v>11</v>
      </c>
      <c r="F13" s="3">
        <v>0.25</v>
      </c>
      <c r="G13" s="38">
        <v>9</v>
      </c>
      <c r="H13" s="38">
        <v>7</v>
      </c>
      <c r="I13" s="38">
        <v>5</v>
      </c>
      <c r="J13" s="3">
        <v>94.52</v>
      </c>
      <c r="K13" s="3">
        <v>0.5</v>
      </c>
      <c r="L13" s="3">
        <v>0.88</v>
      </c>
      <c r="M13" s="3">
        <v>0.2</v>
      </c>
      <c r="N13" s="3">
        <v>1.2</v>
      </c>
      <c r="O13" s="3">
        <v>0</v>
      </c>
      <c r="P13" s="3">
        <v>3.89</v>
      </c>
      <c r="Q13" s="3">
        <f t="shared" si="4"/>
        <v>2.7000000000000037</v>
      </c>
      <c r="R13" s="3">
        <v>18</v>
      </c>
      <c r="S13" s="3"/>
      <c r="T13" s="3">
        <v>10</v>
      </c>
      <c r="U13" s="3">
        <v>0.27</v>
      </c>
      <c r="V13" s="3"/>
      <c r="W13" s="3"/>
      <c r="X13" s="3">
        <v>0</v>
      </c>
      <c r="Y13" s="3">
        <v>0.44</v>
      </c>
      <c r="Z13" s="3">
        <v>0.17</v>
      </c>
      <c r="AA13" s="3">
        <v>15</v>
      </c>
      <c r="AB13" s="3">
        <v>13.7</v>
      </c>
      <c r="AC13" s="3">
        <v>3.6999999999999998E-2</v>
      </c>
      <c r="AD13" s="3">
        <v>1.9E-2</v>
      </c>
      <c r="AE13" s="3">
        <v>0</v>
      </c>
      <c r="AF13" s="3">
        <v>499.5</v>
      </c>
      <c r="AG13" s="3">
        <v>42</v>
      </c>
      <c r="AH13" s="3">
        <v>0.08</v>
      </c>
      <c r="AI13" s="3">
        <v>0</v>
      </c>
      <c r="AJ13" s="3">
        <v>1.7999999999999999E-2</v>
      </c>
      <c r="AK13" s="3">
        <v>2.5000000000000001E-2</v>
      </c>
      <c r="AL13" s="3">
        <v>2.7E-2</v>
      </c>
      <c r="AM13" s="3">
        <v>6.0000000000000001E-3</v>
      </c>
      <c r="AN13" s="3">
        <v>2.7E-2</v>
      </c>
      <c r="AO13" s="3">
        <v>2.7E-2</v>
      </c>
      <c r="AP13" s="3">
        <v>6.0000000000000001E-3</v>
      </c>
      <c r="AQ13" s="3">
        <v>1.7999999999999999E-2</v>
      </c>
      <c r="AR13" s="3">
        <v>1.4E-2</v>
      </c>
      <c r="AS13" s="3">
        <v>8.9999999999999993E-3</v>
      </c>
      <c r="AT13" s="3">
        <v>1.4E-2</v>
      </c>
    </row>
    <row r="14" spans="1:46" ht="15">
      <c r="A14" s="6">
        <v>4002</v>
      </c>
      <c r="B14" s="7" t="s">
        <v>10</v>
      </c>
      <c r="C14" s="29" t="s">
        <v>7</v>
      </c>
      <c r="D14" s="30" t="s">
        <v>99</v>
      </c>
      <c r="E14" s="37" t="s">
        <v>100</v>
      </c>
      <c r="F14" s="3">
        <v>0.25</v>
      </c>
      <c r="G14" s="38">
        <v>9</v>
      </c>
      <c r="H14" s="38">
        <v>7</v>
      </c>
      <c r="I14" s="38">
        <v>5</v>
      </c>
      <c r="J14" s="3">
        <v>94.78</v>
      </c>
      <c r="K14" s="3">
        <v>0.69</v>
      </c>
      <c r="L14" s="3">
        <v>1.1599999999999999</v>
      </c>
      <c r="M14" s="3">
        <v>0.19</v>
      </c>
      <c r="N14" s="3">
        <v>0.9</v>
      </c>
      <c r="O14" s="3">
        <v>0</v>
      </c>
      <c r="P14" s="3">
        <v>3.18</v>
      </c>
      <c r="Q14" s="3">
        <f t="shared" si="4"/>
        <v>2.2799999999999994</v>
      </c>
      <c r="R14" s="3">
        <v>16</v>
      </c>
      <c r="S14" s="3"/>
      <c r="T14" s="3">
        <v>5</v>
      </c>
      <c r="U14" s="3">
        <v>0.47</v>
      </c>
      <c r="V14" s="3"/>
      <c r="W14" s="3"/>
      <c r="X14" s="3">
        <v>0</v>
      </c>
      <c r="Y14" s="3">
        <v>0.44</v>
      </c>
      <c r="Z14" s="3">
        <v>0.14000000000000001</v>
      </c>
      <c r="AA14" s="3">
        <v>29</v>
      </c>
      <c r="AB14" s="3">
        <v>16</v>
      </c>
      <c r="AC14" s="3">
        <v>4.5999999999999999E-2</v>
      </c>
      <c r="AD14" s="3">
        <v>3.4000000000000002E-2</v>
      </c>
      <c r="AE14" s="3">
        <v>0</v>
      </c>
      <c r="AF14" s="3">
        <f>+AG14*12</f>
        <v>900</v>
      </c>
      <c r="AG14" s="3">
        <v>75</v>
      </c>
      <c r="AH14" s="3">
        <v>0.06</v>
      </c>
      <c r="AI14" s="3">
        <v>0</v>
      </c>
      <c r="AJ14" s="3">
        <v>2.7E-2</v>
      </c>
      <c r="AK14" s="3">
        <v>4.2000000000000003E-2</v>
      </c>
      <c r="AL14" s="3">
        <v>4.2000000000000003E-2</v>
      </c>
      <c r="AM14" s="3">
        <v>0.01</v>
      </c>
      <c r="AN14" s="3">
        <v>0.03</v>
      </c>
      <c r="AO14" s="3">
        <v>2.9000000000000001E-2</v>
      </c>
      <c r="AP14" s="3">
        <v>8.0000000000000002E-3</v>
      </c>
      <c r="AQ14" s="3">
        <v>0.03</v>
      </c>
      <c r="AR14" s="3">
        <v>1.7999999999999999E-2</v>
      </c>
      <c r="AS14" s="3">
        <v>1.4999999999999999E-2</v>
      </c>
      <c r="AT14" s="3">
        <v>0.02</v>
      </c>
    </row>
    <row r="15" spans="1:46" ht="15">
      <c r="A15" s="6">
        <v>4002</v>
      </c>
      <c r="B15" s="7" t="s">
        <v>10</v>
      </c>
      <c r="C15" s="29" t="s">
        <v>7</v>
      </c>
      <c r="D15" s="30" t="s">
        <v>101</v>
      </c>
      <c r="E15" s="37" t="s">
        <v>102</v>
      </c>
      <c r="F15" s="3">
        <v>0.25</v>
      </c>
      <c r="G15" s="38">
        <v>9</v>
      </c>
      <c r="H15" s="38">
        <v>7</v>
      </c>
      <c r="I15" s="38">
        <v>5</v>
      </c>
      <c r="J15" s="3">
        <v>95.28</v>
      </c>
      <c r="K15" s="3">
        <v>0.5</v>
      </c>
      <c r="L15" s="3">
        <v>0.98</v>
      </c>
      <c r="M15" s="3">
        <v>0.26</v>
      </c>
      <c r="N15" s="3">
        <v>0.7</v>
      </c>
      <c r="O15" s="3">
        <v>0</v>
      </c>
      <c r="P15" s="3">
        <v>2.98</v>
      </c>
      <c r="Q15" s="3">
        <f t="shared" si="4"/>
        <v>2.2799999999999985</v>
      </c>
      <c r="R15" s="3">
        <v>15</v>
      </c>
      <c r="S15" s="3"/>
      <c r="T15" s="3">
        <v>11</v>
      </c>
      <c r="U15" s="3">
        <v>0.49</v>
      </c>
      <c r="V15" s="3"/>
      <c r="W15" s="3"/>
      <c r="X15" s="3">
        <v>0</v>
      </c>
      <c r="Y15" s="3">
        <v>0.44</v>
      </c>
      <c r="Z15" s="3">
        <v>0.28000000000000003</v>
      </c>
      <c r="AA15" s="3">
        <v>30</v>
      </c>
      <c r="AB15" s="3">
        <v>9</v>
      </c>
      <c r="AC15" s="3">
        <v>4.1000000000000002E-2</v>
      </c>
      <c r="AD15" s="3">
        <v>4.7E-2</v>
      </c>
      <c r="AE15" s="3">
        <v>0</v>
      </c>
      <c r="AF15" s="3">
        <v>0</v>
      </c>
      <c r="AG15" s="3">
        <v>0</v>
      </c>
      <c r="AH15" s="3">
        <v>5.6000000000000001E-2</v>
      </c>
      <c r="AI15" s="3">
        <v>0</v>
      </c>
      <c r="AJ15" s="3">
        <v>2.3E-2</v>
      </c>
      <c r="AK15" s="3">
        <v>3.5999999999999997E-2</v>
      </c>
      <c r="AL15" s="3">
        <v>3.5999999999999997E-2</v>
      </c>
      <c r="AM15" s="3">
        <v>8.0000000000000002E-3</v>
      </c>
      <c r="AN15" s="3">
        <v>2.5000000000000001E-2</v>
      </c>
      <c r="AO15" s="3">
        <v>2.4E-2</v>
      </c>
      <c r="AP15" s="3">
        <v>7.0000000000000001E-3</v>
      </c>
      <c r="AQ15" s="3">
        <v>2.5000000000000001E-2</v>
      </c>
      <c r="AR15" s="3">
        <v>1.4999999999999999E-2</v>
      </c>
      <c r="AS15" s="3">
        <v>1.2999999999999999E-2</v>
      </c>
      <c r="AT15" s="3">
        <v>1.7000000000000001E-2</v>
      </c>
    </row>
    <row r="16" spans="1:46" ht="15">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ht="16">
      <c r="A17" s="6">
        <v>4002</v>
      </c>
      <c r="B17" s="7" t="s">
        <v>10</v>
      </c>
      <c r="C17" s="33"/>
      <c r="D17" s="33"/>
      <c r="E17" s="34" t="s">
        <v>94</v>
      </c>
      <c r="F17" s="33"/>
      <c r="G17" s="39">
        <f>+SUM(G12*$F12,+G13*$F13+G14*$F14+G15*$F15)</f>
        <v>9</v>
      </c>
      <c r="H17" s="39">
        <f>+SUM(H12*$F12,+H13*$F13+H14*$F14+H15*$F15)</f>
        <v>7</v>
      </c>
      <c r="I17" s="39">
        <v>5</v>
      </c>
      <c r="J17" s="39">
        <f>+SUM(J12*$F12,+J13*$F13+J14*$F14+J15*$F15)</f>
        <v>94.39500000000001</v>
      </c>
      <c r="K17" s="39">
        <f t="shared" ref="K17:P17" si="5">+SUM(K12*$F12,+K13*$F13+K14*$F14+K15*$F15)</f>
        <v>0.54749999999999999</v>
      </c>
      <c r="L17" s="39">
        <f t="shared" si="5"/>
        <v>1.0549999999999999</v>
      </c>
      <c r="M17" s="39">
        <f t="shared" si="5"/>
        <v>0.21250000000000002</v>
      </c>
      <c r="N17" s="39">
        <f t="shared" si="5"/>
        <v>0.97499999999999998</v>
      </c>
      <c r="O17" s="39">
        <f t="shared" si="5"/>
        <v>0</v>
      </c>
      <c r="P17" s="39">
        <f t="shared" si="5"/>
        <v>3.7875000000000001</v>
      </c>
      <c r="Q17" s="54">
        <f>AVERAGE(Q12:Q15)</f>
        <v>2.8150000000000004</v>
      </c>
      <c r="R17" s="39">
        <f>+SUM(R12*$F12,+R13*$F13+R14*$F14+R15*$F15)</f>
        <v>18</v>
      </c>
      <c r="S17" s="33"/>
      <c r="T17" s="39">
        <f t="shared" ref="T17:U17" si="6">+SUM(T12*$F12,+T13*$F13+T14*$F14+T15*$F15)</f>
        <v>9.75</v>
      </c>
      <c r="U17" s="39">
        <f t="shared" si="6"/>
        <v>0.435</v>
      </c>
      <c r="V17" s="33"/>
      <c r="W17" s="33"/>
      <c r="X17" s="39">
        <f t="shared" ref="X17:Y17" si="7">+SUM(X12*$F12,+X13*$F13+X14*$F14+X15*$F15)</f>
        <v>0</v>
      </c>
      <c r="Y17" s="39">
        <f t="shared" si="7"/>
        <v>0.44</v>
      </c>
      <c r="Z17" s="39">
        <f t="shared" ref="Z17:AT17" si="8">+SUM(Z12*$F12,+Z13*$F13+Z14*$F14+Z15*$F15)</f>
        <v>0.18000000000000002</v>
      </c>
      <c r="AA17" s="39">
        <f t="shared" si="8"/>
        <v>20.75</v>
      </c>
      <c r="AB17" s="39">
        <f t="shared" si="8"/>
        <v>15.525</v>
      </c>
      <c r="AC17" s="39">
        <f t="shared" si="8"/>
        <v>4.5999999999999999E-2</v>
      </c>
      <c r="AD17" s="39">
        <f t="shared" si="8"/>
        <v>3.5000000000000003E-2</v>
      </c>
      <c r="AE17" s="39">
        <f t="shared" si="8"/>
        <v>0</v>
      </c>
      <c r="AF17" s="39">
        <f t="shared" si="8"/>
        <v>446.125</v>
      </c>
      <c r="AG17" s="39">
        <f t="shared" si="8"/>
        <v>37.25</v>
      </c>
      <c r="AH17" s="39">
        <f t="shared" si="8"/>
        <v>6.9250000000000006E-2</v>
      </c>
      <c r="AI17" s="39">
        <f t="shared" si="8"/>
        <v>0</v>
      </c>
      <c r="AJ17" s="39">
        <f t="shared" si="8"/>
        <v>2.4250000000000001E-2</v>
      </c>
      <c r="AK17" s="39">
        <f t="shared" si="8"/>
        <v>3.6750000000000005E-2</v>
      </c>
      <c r="AL17" s="39">
        <f t="shared" si="8"/>
        <v>3.7250000000000005E-2</v>
      </c>
      <c r="AM17" s="39">
        <f t="shared" si="8"/>
        <v>8.5000000000000006E-3</v>
      </c>
      <c r="AN17" s="39">
        <f t="shared" si="8"/>
        <v>2.8249999999999997E-2</v>
      </c>
      <c r="AO17" s="39">
        <f t="shared" si="8"/>
        <v>2.75E-2</v>
      </c>
      <c r="AP17" s="39">
        <f t="shared" si="8"/>
        <v>7.4999999999999997E-3</v>
      </c>
      <c r="AQ17" s="39">
        <f t="shared" si="8"/>
        <v>2.6000000000000002E-2</v>
      </c>
      <c r="AR17" s="39">
        <f t="shared" si="8"/>
        <v>1.6250000000000001E-2</v>
      </c>
      <c r="AS17" s="39">
        <f t="shared" si="8"/>
        <v>1.325E-2</v>
      </c>
      <c r="AT17" s="39">
        <f t="shared" si="8"/>
        <v>1.8000000000000002E-2</v>
      </c>
    </row>
  </sheetData>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26"/>
  <sheetViews>
    <sheetView zoomScaleNormal="100" zoomScalePageLayoutView="150" workbookViewId="0">
      <pane xSplit="2" ySplit="3" topLeftCell="C4" activePane="bottomRight" state="frozen"/>
      <selection pane="topRight" activeCell="C1" sqref="C1"/>
      <selection pane="bottomLeft" activeCell="A4" sqref="A4"/>
      <selection pane="bottomRight" activeCell="AO6" sqref="AO6"/>
    </sheetView>
  </sheetViews>
  <sheetFormatPr baseColWidth="10" defaultColWidth="8.83203125" defaultRowHeight="15"/>
  <cols>
    <col min="1" max="1" width="10.83203125" style="1" customWidth="1"/>
    <col min="2" max="2" width="39" style="1" bestFit="1" customWidth="1"/>
    <col min="3" max="3" width="21.33203125" style="57" customWidth="1"/>
    <col min="4" max="4" width="8.83203125" style="56" customWidth="1"/>
    <col min="5" max="5" width="24.5" style="1" customWidth="1"/>
    <col min="6" max="8" width="12.33203125" style="1" customWidth="1"/>
    <col min="9" max="9" width="18" style="1" customWidth="1"/>
    <col min="10" max="10" width="8.83203125" style="1" customWidth="1"/>
    <col min="11" max="12" width="9.1640625" style="1" customWidth="1"/>
    <col min="13" max="13" width="7.5" style="1" customWidth="1"/>
    <col min="14" max="14" width="9.6640625" style="1" customWidth="1"/>
    <col min="15" max="15" width="8.5" style="1" customWidth="1"/>
    <col min="16" max="16" width="14.33203125" style="1" customWidth="1"/>
    <col min="17" max="17" width="10.6640625" style="1" customWidth="1"/>
    <col min="18" max="18" width="8.5" style="1" customWidth="1"/>
    <col min="19" max="19" width="10.5" style="1" customWidth="1"/>
    <col min="20" max="20" width="11.6640625" style="1" customWidth="1"/>
    <col min="21" max="22" width="11.5" style="1" customWidth="1"/>
    <col min="23" max="27" width="14.5" style="1" customWidth="1"/>
    <col min="28" max="28" width="11.83203125" style="1" customWidth="1"/>
    <col min="29" max="29" width="12" style="1" customWidth="1"/>
    <col min="30" max="30" width="9" style="1" customWidth="1"/>
    <col min="31" max="31" width="9.5" style="1" customWidth="1"/>
    <col min="32" max="33" width="8.83203125" style="1" customWidth="1"/>
    <col min="34" max="34" width="13.5" style="1" customWidth="1"/>
    <col min="35" max="35" width="8.83203125" style="1" customWidth="1"/>
    <col min="36" max="36" width="12.1640625" style="1" customWidth="1"/>
    <col min="37" max="37" width="11.5" style="1" customWidth="1"/>
    <col min="38" max="38" width="11.6640625" style="1" customWidth="1"/>
    <col min="39" max="16384" width="8.83203125" style="1"/>
  </cols>
  <sheetData>
    <row r="1" spans="1:38">
      <c r="A1" s="18" t="s">
        <v>77</v>
      </c>
    </row>
    <row r="2" spans="1:38" ht="35" customHeight="1">
      <c r="H2" s="299" t="s">
        <v>1704</v>
      </c>
      <c r="I2" s="298" t="s">
        <v>1705</v>
      </c>
      <c r="AK2" s="298" t="s">
        <v>1707</v>
      </c>
      <c r="AL2" s="298" t="s">
        <v>1706</v>
      </c>
    </row>
    <row r="3" spans="1:38" ht="118.5" customHeight="1">
      <c r="A3" s="2" t="s">
        <v>103</v>
      </c>
      <c r="B3" s="2" t="s">
        <v>104</v>
      </c>
      <c r="C3" s="2" t="s">
        <v>1</v>
      </c>
      <c r="D3" s="2" t="s">
        <v>2</v>
      </c>
      <c r="E3" s="2" t="s">
        <v>3</v>
      </c>
      <c r="F3" s="21" t="s">
        <v>79</v>
      </c>
      <c r="G3" s="2" t="s">
        <v>105</v>
      </c>
      <c r="H3" s="2" t="s">
        <v>106</v>
      </c>
      <c r="I3" s="2" t="s">
        <v>162</v>
      </c>
      <c r="J3" s="2" t="s">
        <v>166</v>
      </c>
      <c r="K3" s="2" t="s">
        <v>167</v>
      </c>
      <c r="L3" s="2" t="s">
        <v>709</v>
      </c>
      <c r="M3" s="2" t="s">
        <v>710</v>
      </c>
      <c r="N3" s="2" t="s">
        <v>711</v>
      </c>
      <c r="O3" s="2" t="s">
        <v>712</v>
      </c>
      <c r="P3" s="2" t="s">
        <v>168</v>
      </c>
      <c r="Q3" s="19" t="s">
        <v>713</v>
      </c>
      <c r="R3" s="2" t="s">
        <v>169</v>
      </c>
      <c r="S3" s="19" t="s">
        <v>714</v>
      </c>
      <c r="T3" s="2" t="s">
        <v>170</v>
      </c>
      <c r="U3" s="2" t="s">
        <v>171</v>
      </c>
      <c r="V3" s="19" t="s">
        <v>183</v>
      </c>
      <c r="W3" s="19" t="s">
        <v>184</v>
      </c>
      <c r="X3" s="2" t="s">
        <v>172</v>
      </c>
      <c r="Y3" s="2" t="s">
        <v>173</v>
      </c>
      <c r="Z3" s="2" t="s">
        <v>174</v>
      </c>
      <c r="AA3" s="2" t="s">
        <v>175</v>
      </c>
      <c r="AB3" s="2" t="s">
        <v>176</v>
      </c>
      <c r="AC3" s="2" t="s">
        <v>177</v>
      </c>
      <c r="AD3" s="2" t="s">
        <v>178</v>
      </c>
      <c r="AE3" s="2" t="s">
        <v>179</v>
      </c>
      <c r="AF3" s="2" t="s">
        <v>180</v>
      </c>
      <c r="AG3" s="2" t="s">
        <v>563</v>
      </c>
      <c r="AH3" s="2" t="s">
        <v>562</v>
      </c>
      <c r="AI3" s="2" t="s">
        <v>181</v>
      </c>
      <c r="AJ3" s="2" t="s">
        <v>182</v>
      </c>
      <c r="AK3" s="2" t="s">
        <v>973</v>
      </c>
      <c r="AL3" s="2" t="s">
        <v>726</v>
      </c>
    </row>
    <row r="4" spans="1:38">
      <c r="A4" s="16">
        <v>101</v>
      </c>
      <c r="B4" s="16" t="s">
        <v>185</v>
      </c>
      <c r="C4" s="58" t="s">
        <v>553</v>
      </c>
      <c r="D4" s="3"/>
      <c r="E4" s="16"/>
      <c r="F4" s="16" t="s">
        <v>93</v>
      </c>
      <c r="G4" s="23">
        <v>0</v>
      </c>
      <c r="H4" s="23">
        <v>1</v>
      </c>
      <c r="I4" s="23">
        <v>1</v>
      </c>
      <c r="J4" s="23">
        <v>12.1</v>
      </c>
      <c r="K4" s="23">
        <v>0.5</v>
      </c>
      <c r="L4" s="23">
        <v>7.3</v>
      </c>
      <c r="M4" s="23">
        <v>0.75</v>
      </c>
      <c r="N4" s="23">
        <v>2.2000000000000002</v>
      </c>
      <c r="O4" s="23">
        <v>0</v>
      </c>
      <c r="P4" s="23"/>
      <c r="Q4" s="23">
        <v>77.150000000000006</v>
      </c>
      <c r="R4" s="23">
        <v>349</v>
      </c>
      <c r="S4" s="23"/>
      <c r="T4" s="23">
        <v>15</v>
      </c>
      <c r="U4" s="23">
        <v>1.3</v>
      </c>
      <c r="V4" s="23"/>
      <c r="W4" s="23"/>
      <c r="X4" s="23"/>
      <c r="Y4" s="23"/>
      <c r="Z4" s="23">
        <v>1.19</v>
      </c>
      <c r="AA4" s="23">
        <v>9.5</v>
      </c>
      <c r="AB4" s="23">
        <v>0</v>
      </c>
      <c r="AC4" s="23">
        <v>0.16</v>
      </c>
      <c r="AD4" s="23">
        <v>6.5000000000000002E-2</v>
      </c>
      <c r="AE4" s="23">
        <v>0</v>
      </c>
      <c r="AF4" s="23">
        <v>0</v>
      </c>
      <c r="AG4" s="23">
        <v>0</v>
      </c>
      <c r="AH4" s="23">
        <v>0</v>
      </c>
      <c r="AI4" s="23"/>
      <c r="AJ4" s="23">
        <v>0</v>
      </c>
      <c r="AK4" s="1">
        <v>101</v>
      </c>
      <c r="AL4" s="1">
        <v>1</v>
      </c>
    </row>
    <row r="5" spans="1:38" s="13" customFormat="1">
      <c r="A5" s="59">
        <v>102</v>
      </c>
      <c r="B5" s="59" t="s">
        <v>186</v>
      </c>
      <c r="C5" s="60" t="s">
        <v>554</v>
      </c>
      <c r="D5" s="6"/>
      <c r="E5" s="59"/>
      <c r="F5" s="59" t="s">
        <v>721</v>
      </c>
      <c r="G5" s="24">
        <f>G4</f>
        <v>0</v>
      </c>
      <c r="H5" s="23">
        <v>1</v>
      </c>
      <c r="I5" s="23">
        <v>1</v>
      </c>
      <c r="J5" s="24">
        <f t="shared" ref="J5:O6" si="0">J4</f>
        <v>12.1</v>
      </c>
      <c r="K5" s="24">
        <f t="shared" si="0"/>
        <v>0.5</v>
      </c>
      <c r="L5" s="24">
        <f t="shared" si="0"/>
        <v>7.3</v>
      </c>
      <c r="M5" s="24">
        <f t="shared" si="0"/>
        <v>0.75</v>
      </c>
      <c r="N5" s="24">
        <f t="shared" si="0"/>
        <v>2.2000000000000002</v>
      </c>
      <c r="O5" s="24">
        <f t="shared" si="0"/>
        <v>0</v>
      </c>
      <c r="P5" s="24"/>
      <c r="Q5" s="24">
        <f>Q4</f>
        <v>77.150000000000006</v>
      </c>
      <c r="R5" s="24">
        <f>R4</f>
        <v>349</v>
      </c>
      <c r="S5" s="24"/>
      <c r="T5" s="24">
        <f>T4</f>
        <v>15</v>
      </c>
      <c r="U5" s="24">
        <f>U4</f>
        <v>1.3</v>
      </c>
      <c r="V5" s="24"/>
      <c r="W5" s="24"/>
      <c r="X5" s="24"/>
      <c r="Y5" s="24"/>
      <c r="Z5" s="24">
        <f t="shared" ref="Z5:AH5" si="1">Z4</f>
        <v>1.19</v>
      </c>
      <c r="AA5" s="24">
        <f t="shared" si="1"/>
        <v>9.5</v>
      </c>
      <c r="AB5" s="24">
        <f t="shared" si="1"/>
        <v>0</v>
      </c>
      <c r="AC5" s="24">
        <f t="shared" si="1"/>
        <v>0.16</v>
      </c>
      <c r="AD5" s="24">
        <f t="shared" si="1"/>
        <v>6.5000000000000002E-2</v>
      </c>
      <c r="AE5" s="24">
        <f t="shared" si="1"/>
        <v>0</v>
      </c>
      <c r="AF5" s="24">
        <f t="shared" si="1"/>
        <v>0</v>
      </c>
      <c r="AG5" s="24">
        <f t="shared" si="1"/>
        <v>0</v>
      </c>
      <c r="AH5" s="24">
        <f t="shared" si="1"/>
        <v>0</v>
      </c>
      <c r="AI5" s="24"/>
      <c r="AJ5" s="24">
        <f>AJ4</f>
        <v>0</v>
      </c>
      <c r="AK5" s="1">
        <v>101</v>
      </c>
      <c r="AL5" s="1">
        <v>1</v>
      </c>
    </row>
    <row r="6" spans="1:38" s="13" customFormat="1">
      <c r="A6" s="59">
        <v>103</v>
      </c>
      <c r="B6" s="59" t="s">
        <v>187</v>
      </c>
      <c r="C6" s="60" t="s">
        <v>554</v>
      </c>
      <c r="D6" s="6"/>
      <c r="E6" s="59"/>
      <c r="F6" s="59" t="s">
        <v>721</v>
      </c>
      <c r="G6" s="24">
        <f>G5</f>
        <v>0</v>
      </c>
      <c r="H6" s="23">
        <v>1</v>
      </c>
      <c r="I6" s="23">
        <v>1</v>
      </c>
      <c r="J6" s="24">
        <f t="shared" si="0"/>
        <v>12.1</v>
      </c>
      <c r="K6" s="24">
        <f t="shared" si="0"/>
        <v>0.5</v>
      </c>
      <c r="L6" s="24">
        <f t="shared" si="0"/>
        <v>7.3</v>
      </c>
      <c r="M6" s="24">
        <f t="shared" si="0"/>
        <v>0.75</v>
      </c>
      <c r="N6" s="24">
        <f t="shared" si="0"/>
        <v>2.2000000000000002</v>
      </c>
      <c r="O6" s="24">
        <f t="shared" si="0"/>
        <v>0</v>
      </c>
      <c r="P6" s="24"/>
      <c r="Q6" s="24">
        <f>Q5</f>
        <v>77.150000000000006</v>
      </c>
      <c r="R6" s="24">
        <f>R5</f>
        <v>349</v>
      </c>
      <c r="S6" s="24"/>
      <c r="T6" s="24">
        <f>T5</f>
        <v>15</v>
      </c>
      <c r="U6" s="24">
        <f>U5</f>
        <v>1.3</v>
      </c>
      <c r="V6" s="24"/>
      <c r="W6" s="24"/>
      <c r="X6" s="24"/>
      <c r="Y6" s="24"/>
      <c r="Z6" s="24">
        <f t="shared" ref="Z6:AF6" si="2">Z5</f>
        <v>1.19</v>
      </c>
      <c r="AA6" s="24">
        <f t="shared" si="2"/>
        <v>9.5</v>
      </c>
      <c r="AB6" s="24">
        <f t="shared" si="2"/>
        <v>0</v>
      </c>
      <c r="AC6" s="24">
        <f t="shared" si="2"/>
        <v>0.16</v>
      </c>
      <c r="AD6" s="24">
        <f t="shared" si="2"/>
        <v>6.5000000000000002E-2</v>
      </c>
      <c r="AE6" s="24">
        <f t="shared" si="2"/>
        <v>0</v>
      </c>
      <c r="AF6" s="24">
        <f t="shared" si="2"/>
        <v>0</v>
      </c>
      <c r="AG6" s="24">
        <v>0</v>
      </c>
      <c r="AH6" s="24">
        <f>AH5</f>
        <v>0</v>
      </c>
      <c r="AI6" s="24"/>
      <c r="AJ6" s="24">
        <f>AJ5</f>
        <v>0</v>
      </c>
      <c r="AK6" s="1">
        <v>101</v>
      </c>
      <c r="AL6" s="1">
        <v>1</v>
      </c>
    </row>
    <row r="7" spans="1:38" s="13" customFormat="1">
      <c r="A7" s="59">
        <v>104</v>
      </c>
      <c r="B7" s="59" t="s">
        <v>188</v>
      </c>
      <c r="C7" s="60" t="s">
        <v>611</v>
      </c>
      <c r="D7" s="6" t="s">
        <v>613</v>
      </c>
      <c r="E7" s="59" t="s">
        <v>612</v>
      </c>
      <c r="F7" s="59" t="s">
        <v>95</v>
      </c>
      <c r="G7" s="24">
        <v>0</v>
      </c>
      <c r="H7" s="23">
        <v>1</v>
      </c>
      <c r="I7" s="23">
        <v>1</v>
      </c>
      <c r="J7" s="24">
        <v>11.9</v>
      </c>
      <c r="K7" s="24">
        <v>1.3</v>
      </c>
      <c r="L7" s="24">
        <v>7.8</v>
      </c>
      <c r="M7" s="24">
        <v>2.2000000000000002</v>
      </c>
      <c r="N7" s="24">
        <v>3</v>
      </c>
      <c r="O7" s="24">
        <v>0</v>
      </c>
      <c r="P7" s="24"/>
      <c r="Q7" s="24">
        <v>73.8</v>
      </c>
      <c r="R7" s="24">
        <v>352</v>
      </c>
      <c r="S7" s="24"/>
      <c r="T7" s="24">
        <v>22</v>
      </c>
      <c r="U7" s="24">
        <v>1.9</v>
      </c>
      <c r="V7" s="24"/>
      <c r="W7" s="24"/>
      <c r="X7" s="24"/>
      <c r="Y7" s="24"/>
      <c r="Z7" s="24">
        <v>2.02</v>
      </c>
      <c r="AA7" s="24">
        <v>40</v>
      </c>
      <c r="AB7" s="24">
        <v>0</v>
      </c>
      <c r="AC7" s="24">
        <v>0.38</v>
      </c>
      <c r="AD7" s="24">
        <v>7.0000000000000007E-2</v>
      </c>
      <c r="AE7" s="24">
        <v>0</v>
      </c>
      <c r="AF7" s="24">
        <v>0</v>
      </c>
      <c r="AG7" s="24">
        <v>0</v>
      </c>
      <c r="AH7" s="24">
        <v>0</v>
      </c>
      <c r="AI7" s="24"/>
      <c r="AJ7" s="24">
        <v>0</v>
      </c>
      <c r="AK7" s="1">
        <v>101</v>
      </c>
      <c r="AL7" s="1">
        <v>1</v>
      </c>
    </row>
    <row r="8" spans="1:38" s="13" customFormat="1">
      <c r="A8" s="59">
        <v>105</v>
      </c>
      <c r="B8" s="59" t="s">
        <v>189</v>
      </c>
      <c r="C8" s="60" t="s">
        <v>553</v>
      </c>
      <c r="D8" s="6"/>
      <c r="E8" s="59"/>
      <c r="F8" s="59" t="s">
        <v>93</v>
      </c>
      <c r="G8" s="24">
        <v>0</v>
      </c>
      <c r="H8" s="23">
        <v>1</v>
      </c>
      <c r="I8" s="23">
        <v>1</v>
      </c>
      <c r="J8" s="24">
        <v>13.149999999999999</v>
      </c>
      <c r="K8" s="24">
        <v>1.1000000000000001</v>
      </c>
      <c r="L8" s="24">
        <v>8.120000000000001</v>
      </c>
      <c r="M8" s="24">
        <v>4.0999999999999996</v>
      </c>
      <c r="N8" s="24">
        <v>10.65</v>
      </c>
      <c r="O8" s="24">
        <v>0</v>
      </c>
      <c r="P8" s="24"/>
      <c r="Q8" s="24">
        <v>62.88</v>
      </c>
      <c r="R8" s="24">
        <v>342.5</v>
      </c>
      <c r="S8" s="24"/>
      <c r="T8" s="24">
        <v>15.5</v>
      </c>
      <c r="U8" s="24">
        <v>3.25</v>
      </c>
      <c r="V8" s="24"/>
      <c r="W8" s="24"/>
      <c r="X8" s="24"/>
      <c r="Y8" s="24"/>
      <c r="Z8" s="24">
        <v>2.09</v>
      </c>
      <c r="AA8" s="24">
        <v>52</v>
      </c>
      <c r="AB8" s="24">
        <v>0</v>
      </c>
      <c r="AC8" s="24">
        <v>0.375</v>
      </c>
      <c r="AD8" s="24">
        <v>0.11</v>
      </c>
      <c r="AE8" s="24">
        <v>0</v>
      </c>
      <c r="AF8" s="24">
        <v>120.5</v>
      </c>
      <c r="AG8" s="24">
        <v>10.041666666666666</v>
      </c>
      <c r="AH8" s="24">
        <v>20.083333333333332</v>
      </c>
      <c r="AI8" s="24"/>
      <c r="AJ8" s="24">
        <v>0</v>
      </c>
      <c r="AK8" s="13">
        <v>102</v>
      </c>
      <c r="AL8" s="1">
        <v>1</v>
      </c>
    </row>
    <row r="9" spans="1:38" s="13" customFormat="1">
      <c r="A9" s="59">
        <v>106</v>
      </c>
      <c r="B9" s="59" t="s">
        <v>190</v>
      </c>
      <c r="C9" s="60" t="s">
        <v>555</v>
      </c>
      <c r="D9" s="6">
        <v>1023</v>
      </c>
      <c r="E9" s="59" t="s">
        <v>398</v>
      </c>
      <c r="F9" s="59" t="s">
        <v>95</v>
      </c>
      <c r="G9" s="24">
        <v>31.999999999999996</v>
      </c>
      <c r="H9" s="23">
        <v>1</v>
      </c>
      <c r="I9" s="23">
        <v>1</v>
      </c>
      <c r="J9" s="24">
        <v>55.1</v>
      </c>
      <c r="K9" s="24">
        <v>0.8</v>
      </c>
      <c r="L9" s="24">
        <v>4.0999999999999996</v>
      </c>
      <c r="M9" s="24">
        <v>2.5</v>
      </c>
      <c r="N9" s="24">
        <v>16.100000000000001</v>
      </c>
      <c r="O9" s="24">
        <v>0</v>
      </c>
      <c r="P9" s="24"/>
      <c r="Q9" s="24">
        <v>21.4</v>
      </c>
      <c r="R9" s="24">
        <v>157</v>
      </c>
      <c r="S9" s="24"/>
      <c r="T9" s="24">
        <v>18</v>
      </c>
      <c r="U9" s="24">
        <v>1.2</v>
      </c>
      <c r="V9" s="24"/>
      <c r="W9" s="24"/>
      <c r="X9" s="24"/>
      <c r="Y9" s="24"/>
      <c r="Z9" s="24">
        <v>1.95</v>
      </c>
      <c r="AA9" s="24">
        <v>78</v>
      </c>
      <c r="AB9" s="24">
        <v>0.9</v>
      </c>
      <c r="AC9" s="24">
        <v>0.18</v>
      </c>
      <c r="AD9" s="24">
        <v>0.1</v>
      </c>
      <c r="AE9" s="24">
        <v>0</v>
      </c>
      <c r="AF9" s="24">
        <v>98</v>
      </c>
      <c r="AG9" s="24">
        <v>8</v>
      </c>
      <c r="AH9" s="24">
        <v>16</v>
      </c>
      <c r="AI9" s="24"/>
      <c r="AJ9" s="24">
        <v>0</v>
      </c>
      <c r="AK9" s="13">
        <v>102</v>
      </c>
      <c r="AL9" s="1">
        <v>1</v>
      </c>
    </row>
    <row r="10" spans="1:38" s="13" customFormat="1">
      <c r="A10" s="59">
        <v>107</v>
      </c>
      <c r="B10" s="59" t="s">
        <v>191</v>
      </c>
      <c r="C10" s="60" t="s">
        <v>556</v>
      </c>
      <c r="D10" s="6"/>
      <c r="E10" s="59"/>
      <c r="F10" s="59" t="s">
        <v>135</v>
      </c>
      <c r="G10" s="24">
        <v>0</v>
      </c>
      <c r="H10" s="23">
        <v>1</v>
      </c>
      <c r="I10" s="23">
        <v>1</v>
      </c>
      <c r="J10" s="24">
        <f t="shared" ref="J10:R10" si="3">J9</f>
        <v>55.1</v>
      </c>
      <c r="K10" s="24">
        <f t="shared" si="3"/>
        <v>0.8</v>
      </c>
      <c r="L10" s="24">
        <f t="shared" si="3"/>
        <v>4.0999999999999996</v>
      </c>
      <c r="M10" s="24">
        <f t="shared" si="3"/>
        <v>2.5</v>
      </c>
      <c r="N10" s="24">
        <f t="shared" si="3"/>
        <v>16.100000000000001</v>
      </c>
      <c r="O10" s="24">
        <f t="shared" si="3"/>
        <v>0</v>
      </c>
      <c r="P10" s="24">
        <f t="shared" si="3"/>
        <v>0</v>
      </c>
      <c r="Q10" s="24">
        <f t="shared" si="3"/>
        <v>21.4</v>
      </c>
      <c r="R10" s="24">
        <f t="shared" si="3"/>
        <v>157</v>
      </c>
      <c r="S10" s="24"/>
      <c r="T10" s="24">
        <f>T9</f>
        <v>18</v>
      </c>
      <c r="U10" s="24">
        <f>U9</f>
        <v>1.2</v>
      </c>
      <c r="V10" s="24"/>
      <c r="W10" s="24"/>
      <c r="X10" s="24"/>
      <c r="Y10" s="24"/>
      <c r="Z10" s="24">
        <f t="shared" ref="Z10:AH10" si="4">Z9</f>
        <v>1.95</v>
      </c>
      <c r="AA10" s="24">
        <f t="shared" si="4"/>
        <v>78</v>
      </c>
      <c r="AB10" s="24">
        <f t="shared" si="4"/>
        <v>0.9</v>
      </c>
      <c r="AC10" s="24">
        <f t="shared" si="4"/>
        <v>0.18</v>
      </c>
      <c r="AD10" s="24">
        <f t="shared" si="4"/>
        <v>0.1</v>
      </c>
      <c r="AE10" s="24">
        <f t="shared" si="4"/>
        <v>0</v>
      </c>
      <c r="AF10" s="24">
        <f t="shared" si="4"/>
        <v>98</v>
      </c>
      <c r="AG10" s="24">
        <f t="shared" si="4"/>
        <v>8</v>
      </c>
      <c r="AH10" s="24">
        <f t="shared" si="4"/>
        <v>16</v>
      </c>
      <c r="AI10" s="24"/>
      <c r="AJ10" s="24">
        <f>AJ9</f>
        <v>0</v>
      </c>
      <c r="AK10" s="13">
        <v>102</v>
      </c>
      <c r="AL10" s="1">
        <v>1</v>
      </c>
    </row>
    <row r="11" spans="1:38" s="13" customFormat="1">
      <c r="A11" s="59">
        <v>108</v>
      </c>
      <c r="B11" s="59" t="s">
        <v>192</v>
      </c>
      <c r="C11" s="60" t="s">
        <v>555</v>
      </c>
      <c r="D11" s="61">
        <v>1022</v>
      </c>
      <c r="E11" s="62" t="s">
        <v>559</v>
      </c>
      <c r="F11" s="59" t="s">
        <v>95</v>
      </c>
      <c r="G11" s="24">
        <v>0</v>
      </c>
      <c r="H11" s="23">
        <v>1</v>
      </c>
      <c r="I11" s="23">
        <v>1</v>
      </c>
      <c r="J11" s="24">
        <v>13.6</v>
      </c>
      <c r="K11" s="24">
        <v>1.2</v>
      </c>
      <c r="L11" s="24">
        <v>7.9</v>
      </c>
      <c r="M11" s="24">
        <v>4.5</v>
      </c>
      <c r="N11" s="24">
        <v>9.4</v>
      </c>
      <c r="O11" s="24">
        <v>0</v>
      </c>
      <c r="P11" s="24"/>
      <c r="Q11" s="24">
        <v>63.4</v>
      </c>
      <c r="R11" s="24">
        <v>345</v>
      </c>
      <c r="S11" s="24"/>
      <c r="T11" s="24">
        <v>9</v>
      </c>
      <c r="U11" s="24">
        <v>2.6</v>
      </c>
      <c r="V11" s="24"/>
      <c r="W11" s="24"/>
      <c r="X11" s="24"/>
      <c r="Y11" s="24"/>
      <c r="Z11" s="24">
        <v>1.88</v>
      </c>
      <c r="AA11" s="24">
        <v>71</v>
      </c>
      <c r="AB11" s="24">
        <v>0</v>
      </c>
      <c r="AC11" s="24">
        <v>0.25</v>
      </c>
      <c r="AD11" s="24">
        <v>0.1</v>
      </c>
      <c r="AE11" s="24">
        <v>0</v>
      </c>
      <c r="AF11" s="24">
        <v>0</v>
      </c>
      <c r="AG11" s="24">
        <v>0</v>
      </c>
      <c r="AH11" s="24">
        <v>0</v>
      </c>
      <c r="AI11" s="24"/>
      <c r="AJ11" s="24">
        <v>0</v>
      </c>
      <c r="AK11" s="13">
        <v>102</v>
      </c>
      <c r="AL11" s="1">
        <v>1</v>
      </c>
    </row>
    <row r="12" spans="1:38" s="13" customFormat="1">
      <c r="A12" s="59">
        <v>109</v>
      </c>
      <c r="B12" s="59" t="s">
        <v>193</v>
      </c>
      <c r="C12" s="60" t="s">
        <v>558</v>
      </c>
      <c r="D12" s="6">
        <v>19034</v>
      </c>
      <c r="E12" s="59" t="s">
        <v>557</v>
      </c>
      <c r="F12" s="59" t="s">
        <v>95</v>
      </c>
      <c r="G12" s="24">
        <v>0</v>
      </c>
      <c r="H12" s="23">
        <v>1</v>
      </c>
      <c r="I12" s="23">
        <v>1</v>
      </c>
      <c r="J12" s="24">
        <v>3.32</v>
      </c>
      <c r="K12" s="24">
        <v>1.42</v>
      </c>
      <c r="L12" s="24">
        <v>12.94</v>
      </c>
      <c r="M12" s="24">
        <v>4.54</v>
      </c>
      <c r="N12" s="24">
        <v>14.5</v>
      </c>
      <c r="O12" s="24">
        <v>0</v>
      </c>
      <c r="P12" s="24">
        <v>77.78</v>
      </c>
      <c r="Q12" s="24"/>
      <c r="R12" s="24">
        <v>387</v>
      </c>
      <c r="S12" s="24"/>
      <c r="T12" s="24">
        <v>7</v>
      </c>
      <c r="U12" s="24">
        <v>3.19</v>
      </c>
      <c r="V12" s="24"/>
      <c r="W12" s="24"/>
      <c r="X12" s="24"/>
      <c r="Y12" s="24"/>
      <c r="Z12" s="24">
        <v>3.08</v>
      </c>
      <c r="AA12" s="24">
        <v>31</v>
      </c>
      <c r="AB12" s="24">
        <v>0</v>
      </c>
      <c r="AC12" s="24">
        <v>0.104</v>
      </c>
      <c r="AD12" s="24">
        <v>8.3000000000000004E-2</v>
      </c>
      <c r="AE12" s="24">
        <v>0</v>
      </c>
      <c r="AF12" s="24">
        <v>118</v>
      </c>
      <c r="AG12" s="24">
        <f>+AE12+AF12/12</f>
        <v>9.8333333333333339</v>
      </c>
      <c r="AH12" s="24">
        <f>+AE12+AF12/6</f>
        <v>19.666666666666668</v>
      </c>
      <c r="AI12" s="24"/>
      <c r="AJ12" s="24">
        <v>0</v>
      </c>
      <c r="AK12" s="13">
        <v>102</v>
      </c>
      <c r="AL12" s="1">
        <v>1</v>
      </c>
    </row>
    <row r="13" spans="1:38" s="13" customFormat="1">
      <c r="A13" s="59">
        <v>110</v>
      </c>
      <c r="B13" s="59" t="s">
        <v>194</v>
      </c>
      <c r="C13" s="60" t="s">
        <v>555</v>
      </c>
      <c r="D13" s="61">
        <v>1020</v>
      </c>
      <c r="E13" s="62" t="s">
        <v>414</v>
      </c>
      <c r="F13" s="59" t="s">
        <v>95</v>
      </c>
      <c r="G13" s="24">
        <v>0</v>
      </c>
      <c r="H13" s="23">
        <v>1</v>
      </c>
      <c r="I13" s="23">
        <v>1</v>
      </c>
      <c r="J13" s="24">
        <v>12.7</v>
      </c>
      <c r="K13" s="24">
        <v>0.7</v>
      </c>
      <c r="L13" s="24">
        <v>6.8</v>
      </c>
      <c r="M13" s="24">
        <v>3</v>
      </c>
      <c r="N13" s="24">
        <v>4.5</v>
      </c>
      <c r="O13" s="24">
        <v>0</v>
      </c>
      <c r="P13" s="24"/>
      <c r="Q13" s="24">
        <v>72.3</v>
      </c>
      <c r="R13" s="24">
        <v>352</v>
      </c>
      <c r="S13" s="24"/>
      <c r="T13" s="24">
        <v>20</v>
      </c>
      <c r="U13" s="24">
        <v>3.6</v>
      </c>
      <c r="V13" s="24"/>
      <c r="W13" s="24"/>
      <c r="X13" s="24"/>
      <c r="Y13" s="24"/>
      <c r="Z13" s="24">
        <v>4.3600000000000003</v>
      </c>
      <c r="AA13" s="24">
        <v>523</v>
      </c>
      <c r="AB13" s="24">
        <v>0</v>
      </c>
      <c r="AC13" s="24">
        <v>0.5</v>
      </c>
      <c r="AD13" s="24">
        <v>0.31</v>
      </c>
      <c r="AE13" s="24">
        <v>71.400000000000006</v>
      </c>
      <c r="AF13" s="24">
        <v>0</v>
      </c>
      <c r="AG13" s="24">
        <v>71</v>
      </c>
      <c r="AH13" s="24">
        <v>71</v>
      </c>
      <c r="AI13" s="24"/>
      <c r="AJ13" s="24">
        <v>0</v>
      </c>
      <c r="AK13" s="13">
        <v>102</v>
      </c>
      <c r="AL13" s="1">
        <v>1</v>
      </c>
    </row>
    <row r="14" spans="1:38" s="13" customFormat="1">
      <c r="A14" s="59">
        <v>111</v>
      </c>
      <c r="B14" s="59" t="s">
        <v>195</v>
      </c>
      <c r="C14" s="60" t="s">
        <v>555</v>
      </c>
      <c r="D14" s="61">
        <v>1020</v>
      </c>
      <c r="E14" s="62" t="s">
        <v>414</v>
      </c>
      <c r="F14" s="59" t="s">
        <v>95</v>
      </c>
      <c r="G14" s="24">
        <v>0</v>
      </c>
      <c r="H14" s="23">
        <v>1</v>
      </c>
      <c r="I14" s="23">
        <v>1</v>
      </c>
      <c r="J14" s="24">
        <v>12.7</v>
      </c>
      <c r="K14" s="24">
        <v>0.7</v>
      </c>
      <c r="L14" s="24">
        <v>6.8</v>
      </c>
      <c r="M14" s="24">
        <v>3</v>
      </c>
      <c r="N14" s="24">
        <v>4.5</v>
      </c>
      <c r="O14" s="24">
        <v>0</v>
      </c>
      <c r="P14" s="24"/>
      <c r="Q14" s="24">
        <v>72.3</v>
      </c>
      <c r="R14" s="24">
        <v>352</v>
      </c>
      <c r="S14" s="24"/>
      <c r="T14" s="24">
        <v>20</v>
      </c>
      <c r="U14" s="24">
        <v>3.6</v>
      </c>
      <c r="V14" s="24"/>
      <c r="W14" s="24"/>
      <c r="X14" s="24"/>
      <c r="Y14" s="24"/>
      <c r="Z14" s="24">
        <v>4.3600000000000003</v>
      </c>
      <c r="AA14" s="24">
        <v>523</v>
      </c>
      <c r="AB14" s="24">
        <v>0</v>
      </c>
      <c r="AC14" s="24">
        <v>0.5</v>
      </c>
      <c r="AD14" s="24">
        <v>0.31</v>
      </c>
      <c r="AE14" s="24">
        <v>71.400000000000006</v>
      </c>
      <c r="AF14" s="24">
        <v>0</v>
      </c>
      <c r="AG14" s="24">
        <v>71</v>
      </c>
      <c r="AH14" s="24">
        <v>71</v>
      </c>
      <c r="AI14" s="24"/>
      <c r="AJ14" s="24">
        <v>0</v>
      </c>
      <c r="AK14" s="13">
        <v>102</v>
      </c>
      <c r="AL14" s="1">
        <v>1</v>
      </c>
    </row>
    <row r="15" spans="1:38" s="13" customFormat="1">
      <c r="A15" s="59">
        <v>113</v>
      </c>
      <c r="B15" s="59" t="s">
        <v>196</v>
      </c>
      <c r="C15" s="60" t="s">
        <v>555</v>
      </c>
      <c r="D15" s="6">
        <v>1045</v>
      </c>
      <c r="E15" s="59" t="s">
        <v>399</v>
      </c>
      <c r="F15" s="59" t="s">
        <v>135</v>
      </c>
      <c r="G15" s="24">
        <v>0</v>
      </c>
      <c r="H15" s="23">
        <v>1</v>
      </c>
      <c r="I15" s="23">
        <v>1</v>
      </c>
      <c r="J15" s="24">
        <v>12.5</v>
      </c>
      <c r="K15" s="24">
        <v>1.7</v>
      </c>
      <c r="L15" s="24">
        <v>11.6</v>
      </c>
      <c r="M15" s="24">
        <v>2.5</v>
      </c>
      <c r="N15" s="24">
        <v>14</v>
      </c>
      <c r="O15" s="24">
        <v>0</v>
      </c>
      <c r="P15" s="24"/>
      <c r="Q15" s="24">
        <v>57.8</v>
      </c>
      <c r="R15" s="24">
        <v>328</v>
      </c>
      <c r="S15" s="24"/>
      <c r="T15" s="24">
        <v>39</v>
      </c>
      <c r="U15" s="24">
        <v>4.9000000000000004</v>
      </c>
      <c r="V15" s="24"/>
      <c r="W15" s="24"/>
      <c r="X15" s="24"/>
      <c r="Y15" s="24"/>
      <c r="Z15" s="24">
        <v>3</v>
      </c>
      <c r="AA15" s="24">
        <v>57</v>
      </c>
      <c r="AB15" s="24">
        <v>0</v>
      </c>
      <c r="AC15" s="24">
        <v>0.39</v>
      </c>
      <c r="AD15" s="24">
        <v>0.13</v>
      </c>
      <c r="AE15" s="24">
        <v>0</v>
      </c>
      <c r="AF15" s="24">
        <v>5</v>
      </c>
      <c r="AG15" s="24">
        <v>0</v>
      </c>
      <c r="AH15" s="24">
        <v>1</v>
      </c>
      <c r="AI15" s="24"/>
      <c r="AJ15" s="24">
        <v>0</v>
      </c>
      <c r="AK15" s="13">
        <v>103</v>
      </c>
      <c r="AL15" s="1">
        <v>1</v>
      </c>
    </row>
    <row r="16" spans="1:38" s="13" customFormat="1">
      <c r="A16" s="59">
        <v>114</v>
      </c>
      <c r="B16" s="59" t="s">
        <v>197</v>
      </c>
      <c r="C16" s="60" t="s">
        <v>555</v>
      </c>
      <c r="D16" s="6">
        <v>1042</v>
      </c>
      <c r="E16" s="59" t="s">
        <v>400</v>
      </c>
      <c r="F16" s="59" t="s">
        <v>95</v>
      </c>
      <c r="G16" s="24">
        <v>0</v>
      </c>
      <c r="H16" s="23">
        <v>1</v>
      </c>
      <c r="I16" s="23">
        <v>1</v>
      </c>
      <c r="J16" s="24">
        <v>11.7</v>
      </c>
      <c r="K16" s="24">
        <v>1.4</v>
      </c>
      <c r="L16" s="24">
        <v>11.4</v>
      </c>
      <c r="M16" s="24">
        <v>1.8</v>
      </c>
      <c r="N16" s="24">
        <v>11.3</v>
      </c>
      <c r="O16" s="24">
        <v>0</v>
      </c>
      <c r="P16" s="24"/>
      <c r="Q16" s="24">
        <v>62.4</v>
      </c>
      <c r="R16" s="24">
        <v>334</v>
      </c>
      <c r="S16" s="24"/>
      <c r="T16" s="24">
        <v>34</v>
      </c>
      <c r="U16" s="24">
        <v>3.8</v>
      </c>
      <c r="V16" s="24"/>
      <c r="W16" s="24"/>
      <c r="X16" s="24"/>
      <c r="Y16" s="24"/>
      <c r="Z16" s="24">
        <v>2.33</v>
      </c>
      <c r="AA16" s="24">
        <v>80</v>
      </c>
      <c r="AB16" s="24">
        <v>0</v>
      </c>
      <c r="AC16" s="24">
        <v>0.5</v>
      </c>
      <c r="AD16" s="24">
        <v>0.14000000000000001</v>
      </c>
      <c r="AE16" s="24">
        <v>0</v>
      </c>
      <c r="AF16" s="24">
        <v>2</v>
      </c>
      <c r="AG16" s="24">
        <v>0</v>
      </c>
      <c r="AH16" s="24">
        <v>0</v>
      </c>
      <c r="AI16" s="24"/>
      <c r="AJ16" s="24">
        <v>0</v>
      </c>
      <c r="AK16" s="13">
        <v>103</v>
      </c>
      <c r="AL16" s="1">
        <v>1</v>
      </c>
    </row>
    <row r="17" spans="1:38" s="13" customFormat="1">
      <c r="A17" s="59">
        <v>115</v>
      </c>
      <c r="B17" s="59" t="s">
        <v>198</v>
      </c>
      <c r="C17" s="60" t="s">
        <v>555</v>
      </c>
      <c r="D17" s="6">
        <v>1044</v>
      </c>
      <c r="E17" s="59" t="s">
        <v>401</v>
      </c>
      <c r="F17" s="59" t="s">
        <v>95</v>
      </c>
      <c r="G17" s="24">
        <v>0</v>
      </c>
      <c r="H17" s="23">
        <v>1</v>
      </c>
      <c r="I17" s="23">
        <v>1</v>
      </c>
      <c r="J17" s="24">
        <v>12.5</v>
      </c>
      <c r="K17" s="24">
        <v>1.7</v>
      </c>
      <c r="L17" s="24">
        <v>11.3</v>
      </c>
      <c r="M17" s="24">
        <v>2.5</v>
      </c>
      <c r="N17" s="24">
        <v>14</v>
      </c>
      <c r="O17" s="24">
        <v>0</v>
      </c>
      <c r="P17" s="24"/>
      <c r="Q17" s="24">
        <v>58</v>
      </c>
      <c r="R17" s="24">
        <v>328</v>
      </c>
      <c r="S17" s="24"/>
      <c r="T17" s="24">
        <v>39</v>
      </c>
      <c r="U17" s="24">
        <v>4</v>
      </c>
      <c r="V17" s="24"/>
      <c r="W17" s="24"/>
      <c r="X17" s="24"/>
      <c r="Y17" s="24"/>
      <c r="Z17" s="24">
        <v>3</v>
      </c>
      <c r="AA17" s="24">
        <v>0</v>
      </c>
      <c r="AB17" s="24">
        <v>0</v>
      </c>
      <c r="AC17" s="24">
        <v>0.43</v>
      </c>
      <c r="AD17" s="24">
        <v>0.14000000000000001</v>
      </c>
      <c r="AE17" s="24">
        <v>0</v>
      </c>
      <c r="AF17" s="24">
        <v>3</v>
      </c>
      <c r="AG17" s="24">
        <v>0</v>
      </c>
      <c r="AH17" s="24">
        <v>1</v>
      </c>
      <c r="AI17" s="24"/>
      <c r="AJ17" s="24">
        <v>0</v>
      </c>
      <c r="AK17" s="13">
        <v>103</v>
      </c>
      <c r="AL17" s="1">
        <v>1</v>
      </c>
    </row>
    <row r="18" spans="1:38" s="13" customFormat="1">
      <c r="A18" s="59">
        <v>116</v>
      </c>
      <c r="B18" s="59" t="s">
        <v>199</v>
      </c>
      <c r="C18" s="60" t="s">
        <v>555</v>
      </c>
      <c r="D18" s="61">
        <v>1043</v>
      </c>
      <c r="E18" s="62" t="s">
        <v>413</v>
      </c>
      <c r="F18" s="59" t="s">
        <v>95</v>
      </c>
      <c r="G18" s="24">
        <v>0</v>
      </c>
      <c r="H18" s="23">
        <v>1</v>
      </c>
      <c r="I18" s="23">
        <v>1</v>
      </c>
      <c r="J18" s="24">
        <v>12.2</v>
      </c>
      <c r="K18" s="24">
        <v>0.7</v>
      </c>
      <c r="L18" s="24">
        <v>11.2</v>
      </c>
      <c r="M18" s="24">
        <v>1.6</v>
      </c>
      <c r="N18" s="24">
        <v>3.6</v>
      </c>
      <c r="O18" s="24">
        <v>0</v>
      </c>
      <c r="P18" s="24"/>
      <c r="Q18" s="24">
        <v>70.7</v>
      </c>
      <c r="R18" s="24">
        <v>349</v>
      </c>
      <c r="S18" s="24"/>
      <c r="T18" s="24">
        <v>35</v>
      </c>
      <c r="U18" s="24">
        <v>5.6</v>
      </c>
      <c r="V18" s="24"/>
      <c r="W18" s="24"/>
      <c r="X18" s="24"/>
      <c r="Y18" s="24"/>
      <c r="Z18" s="24">
        <v>0.87</v>
      </c>
      <c r="AA18" s="24">
        <v>577</v>
      </c>
      <c r="AB18" s="24">
        <v>0</v>
      </c>
      <c r="AC18" s="24">
        <v>0.91</v>
      </c>
      <c r="AD18" s="24">
        <v>0.56999999999999995</v>
      </c>
      <c r="AE18" s="24">
        <v>93</v>
      </c>
      <c r="AF18" s="24">
        <v>2</v>
      </c>
      <c r="AG18" s="24">
        <v>93</v>
      </c>
      <c r="AH18" s="24">
        <v>93</v>
      </c>
      <c r="AI18" s="24"/>
      <c r="AJ18" s="24">
        <v>0.7</v>
      </c>
      <c r="AK18" s="13">
        <v>103</v>
      </c>
      <c r="AL18" s="1">
        <v>1</v>
      </c>
    </row>
    <row r="19" spans="1:38" s="13" customFormat="1">
      <c r="A19" s="59">
        <v>117</v>
      </c>
      <c r="B19" s="59" t="s">
        <v>200</v>
      </c>
      <c r="C19" s="60" t="s">
        <v>705</v>
      </c>
      <c r="D19" s="6">
        <v>1025</v>
      </c>
      <c r="E19" s="59" t="s">
        <v>402</v>
      </c>
      <c r="F19" s="59" t="s">
        <v>95</v>
      </c>
      <c r="G19" s="24">
        <v>0</v>
      </c>
      <c r="H19" s="23">
        <v>1</v>
      </c>
      <c r="I19" s="23">
        <v>1</v>
      </c>
      <c r="J19" s="24">
        <v>11</v>
      </c>
      <c r="K19" s="24">
        <v>2.7</v>
      </c>
      <c r="L19" s="24">
        <v>9.8000000000000007</v>
      </c>
      <c r="M19" s="24">
        <v>5.3</v>
      </c>
      <c r="N19" s="24">
        <v>8.8000000000000007</v>
      </c>
      <c r="O19" s="24">
        <v>0</v>
      </c>
      <c r="P19" s="24"/>
      <c r="Q19" s="24">
        <v>62.5</v>
      </c>
      <c r="R19" s="24">
        <v>354</v>
      </c>
      <c r="S19" s="24"/>
      <c r="T19" s="24">
        <v>32</v>
      </c>
      <c r="U19" s="24">
        <v>6.3</v>
      </c>
      <c r="V19" s="24"/>
      <c r="W19" s="24"/>
      <c r="X19" s="24"/>
      <c r="Y19" s="24"/>
      <c r="Z19" s="24">
        <v>4.1399999999999997</v>
      </c>
      <c r="AA19" s="24">
        <v>162</v>
      </c>
      <c r="AB19" s="24">
        <v>3</v>
      </c>
      <c r="AC19" s="24">
        <v>0.27</v>
      </c>
      <c r="AD19" s="24">
        <v>0.17</v>
      </c>
      <c r="AE19" s="24">
        <v>0</v>
      </c>
      <c r="AF19" s="24">
        <v>28</v>
      </c>
      <c r="AG19" s="24">
        <v>2</v>
      </c>
      <c r="AH19" s="24">
        <v>5</v>
      </c>
      <c r="AI19" s="24"/>
      <c r="AJ19" s="24">
        <v>0</v>
      </c>
      <c r="AK19" s="13">
        <v>105</v>
      </c>
      <c r="AL19" s="1">
        <v>1</v>
      </c>
    </row>
    <row r="20" spans="1:38" s="13" customFormat="1">
      <c r="A20" s="59">
        <v>118</v>
      </c>
      <c r="B20" s="59" t="s">
        <v>201</v>
      </c>
      <c r="C20" s="60" t="s">
        <v>553</v>
      </c>
      <c r="D20" s="6"/>
      <c r="E20" s="59"/>
      <c r="F20" s="59" t="s">
        <v>93</v>
      </c>
      <c r="G20" s="24">
        <v>0</v>
      </c>
      <c r="H20" s="23">
        <v>1</v>
      </c>
      <c r="I20" s="23">
        <v>1</v>
      </c>
      <c r="J20" s="24">
        <v>11.15</v>
      </c>
      <c r="K20" s="24">
        <v>3.1</v>
      </c>
      <c r="L20" s="24">
        <v>8.9499999999999993</v>
      </c>
      <c r="M20" s="24">
        <v>3.65</v>
      </c>
      <c r="N20" s="24">
        <v>15.700000000000001</v>
      </c>
      <c r="O20" s="24">
        <v>0</v>
      </c>
      <c r="P20" s="24"/>
      <c r="Q20" s="24">
        <v>57.449999999999989</v>
      </c>
      <c r="R20" s="24">
        <v>330</v>
      </c>
      <c r="S20" s="24"/>
      <c r="T20" s="24">
        <v>188</v>
      </c>
      <c r="U20" s="24">
        <v>25.45</v>
      </c>
      <c r="V20" s="24"/>
      <c r="W20" s="24"/>
      <c r="X20" s="24"/>
      <c r="Y20" s="24"/>
      <c r="Z20" s="24">
        <v>2.92</v>
      </c>
      <c r="AA20" s="24">
        <v>127.5</v>
      </c>
      <c r="AB20" s="24">
        <v>1.5</v>
      </c>
      <c r="AC20" s="24">
        <v>0.23</v>
      </c>
      <c r="AD20" s="24">
        <v>0.10500000000000001</v>
      </c>
      <c r="AE20" s="24">
        <v>0</v>
      </c>
      <c r="AF20" s="24">
        <v>1</v>
      </c>
      <c r="AG20" s="24">
        <v>8.3333333333333329E-2</v>
      </c>
      <c r="AH20" s="24">
        <v>0.16666666666666666</v>
      </c>
      <c r="AI20" s="24"/>
      <c r="AJ20" s="24">
        <v>0</v>
      </c>
      <c r="AK20" s="13">
        <v>105</v>
      </c>
      <c r="AL20" s="1">
        <v>1</v>
      </c>
    </row>
    <row r="21" spans="1:38" s="13" customFormat="1">
      <c r="A21" s="59">
        <v>119</v>
      </c>
      <c r="B21" s="59" t="s">
        <v>202</v>
      </c>
      <c r="C21" s="60" t="s">
        <v>561</v>
      </c>
      <c r="D21" s="6">
        <v>359</v>
      </c>
      <c r="E21" s="59" t="s">
        <v>560</v>
      </c>
      <c r="F21" s="59" t="s">
        <v>95</v>
      </c>
      <c r="G21" s="24">
        <v>0</v>
      </c>
      <c r="H21" s="23">
        <v>2</v>
      </c>
      <c r="I21" s="23">
        <v>2</v>
      </c>
      <c r="J21" s="24"/>
      <c r="K21" s="24"/>
      <c r="L21" s="24">
        <v>2.6</v>
      </c>
      <c r="M21" s="24">
        <v>0.7</v>
      </c>
      <c r="N21" s="24">
        <v>3.6</v>
      </c>
      <c r="O21" s="24">
        <v>0</v>
      </c>
      <c r="P21" s="24">
        <v>76.599999999999994</v>
      </c>
      <c r="Q21" s="24">
        <f>+P21-N21</f>
        <v>73</v>
      </c>
      <c r="R21" s="24">
        <v>314</v>
      </c>
      <c r="S21" s="24"/>
      <c r="T21" s="24">
        <v>46</v>
      </c>
      <c r="U21" s="24">
        <v>1.9</v>
      </c>
      <c r="V21" s="24"/>
      <c r="W21" s="24"/>
      <c r="X21" s="24"/>
      <c r="Y21" s="24"/>
      <c r="Z21" s="24">
        <v>0.7</v>
      </c>
      <c r="AA21" s="24">
        <v>0</v>
      </c>
      <c r="AB21" s="24">
        <v>72</v>
      </c>
      <c r="AC21" s="24">
        <v>0.3</v>
      </c>
      <c r="AD21" s="24">
        <v>0.1</v>
      </c>
      <c r="AE21" s="24">
        <v>0</v>
      </c>
      <c r="AF21" s="24">
        <f>+AG21*12</f>
        <v>168</v>
      </c>
      <c r="AG21" s="24">
        <v>14</v>
      </c>
      <c r="AH21" s="24">
        <f>+AF21/6</f>
        <v>28</v>
      </c>
      <c r="AI21" s="24"/>
      <c r="AJ21" s="24">
        <v>0</v>
      </c>
      <c r="AK21" s="13">
        <v>202</v>
      </c>
      <c r="AL21" s="13">
        <v>2</v>
      </c>
    </row>
    <row r="22" spans="1:38" s="13" customFormat="1">
      <c r="A22" s="59">
        <v>120</v>
      </c>
      <c r="B22" s="59" t="s">
        <v>203</v>
      </c>
      <c r="C22" s="60" t="s">
        <v>553</v>
      </c>
      <c r="D22" s="6"/>
      <c r="E22" s="59"/>
      <c r="F22" s="59" t="s">
        <v>93</v>
      </c>
      <c r="G22" s="24">
        <v>0</v>
      </c>
      <c r="H22" s="23">
        <v>1</v>
      </c>
      <c r="I22" s="23">
        <v>1</v>
      </c>
      <c r="J22" s="24">
        <v>11.7</v>
      </c>
      <c r="K22" s="24">
        <v>1.65</v>
      </c>
      <c r="L22" s="24">
        <v>10.050000000000001</v>
      </c>
      <c r="M22" s="24">
        <v>3.5</v>
      </c>
      <c r="N22" s="24">
        <v>12.95</v>
      </c>
      <c r="O22" s="24">
        <v>0</v>
      </c>
      <c r="P22" s="24"/>
      <c r="Q22" s="24">
        <v>60.149999999999991</v>
      </c>
      <c r="R22" s="24">
        <v>338.5</v>
      </c>
      <c r="S22" s="24"/>
      <c r="T22" s="24">
        <v>14</v>
      </c>
      <c r="U22" s="24">
        <v>4.7</v>
      </c>
      <c r="V22" s="24"/>
      <c r="W22" s="24"/>
      <c r="X22" s="24"/>
      <c r="Y22" s="24"/>
      <c r="Z22" s="24">
        <v>1.83</v>
      </c>
      <c r="AA22" s="24">
        <v>64</v>
      </c>
      <c r="AB22" s="24">
        <v>0</v>
      </c>
      <c r="AC22" s="24">
        <v>0.24</v>
      </c>
      <c r="AD22" s="24">
        <v>0.11</v>
      </c>
      <c r="AE22" s="24">
        <v>0</v>
      </c>
      <c r="AF22" s="24">
        <v>10.5</v>
      </c>
      <c r="AG22" s="24">
        <v>0.875</v>
      </c>
      <c r="AH22" s="24">
        <v>1.75</v>
      </c>
      <c r="AI22" s="24"/>
      <c r="AJ22" s="24">
        <v>0</v>
      </c>
      <c r="AK22" s="13">
        <v>104</v>
      </c>
      <c r="AL22" s="1">
        <v>1</v>
      </c>
    </row>
    <row r="23" spans="1:38" s="13" customFormat="1">
      <c r="A23" s="59">
        <v>121</v>
      </c>
      <c r="B23" s="59" t="s">
        <v>204</v>
      </c>
      <c r="C23" s="60" t="s">
        <v>553</v>
      </c>
      <c r="D23" s="6"/>
      <c r="E23" s="59"/>
      <c r="F23" s="59" t="s">
        <v>93</v>
      </c>
      <c r="G23" s="24">
        <v>0</v>
      </c>
      <c r="H23" s="23">
        <v>1</v>
      </c>
      <c r="I23" s="23">
        <v>1</v>
      </c>
      <c r="J23" s="24">
        <v>11.7</v>
      </c>
      <c r="K23" s="24">
        <v>1.65</v>
      </c>
      <c r="L23" s="24">
        <v>10.050000000000001</v>
      </c>
      <c r="M23" s="24">
        <v>3.5</v>
      </c>
      <c r="N23" s="24">
        <v>12.95</v>
      </c>
      <c r="O23" s="24">
        <v>0</v>
      </c>
      <c r="P23" s="24"/>
      <c r="Q23" s="24">
        <v>60.149999999999991</v>
      </c>
      <c r="R23" s="24">
        <v>338.5</v>
      </c>
      <c r="S23" s="24"/>
      <c r="T23" s="24">
        <v>14</v>
      </c>
      <c r="U23" s="24">
        <v>4.7</v>
      </c>
      <c r="V23" s="24"/>
      <c r="W23" s="24"/>
      <c r="X23" s="24"/>
      <c r="Y23" s="24"/>
      <c r="Z23" s="24">
        <v>1.83</v>
      </c>
      <c r="AA23" s="24">
        <v>25</v>
      </c>
      <c r="AB23" s="24">
        <v>0</v>
      </c>
      <c r="AC23" s="24">
        <v>0.24</v>
      </c>
      <c r="AD23" s="24">
        <v>0.11</v>
      </c>
      <c r="AE23" s="24">
        <v>0</v>
      </c>
      <c r="AF23" s="24">
        <v>4.1449999999999996</v>
      </c>
      <c r="AG23" s="24">
        <v>0.34541666666666665</v>
      </c>
      <c r="AH23" s="24">
        <v>0.6908333333333333</v>
      </c>
      <c r="AI23" s="24"/>
      <c r="AJ23" s="24">
        <v>0</v>
      </c>
      <c r="AK23" s="13">
        <v>104</v>
      </c>
      <c r="AL23" s="1">
        <v>1</v>
      </c>
    </row>
    <row r="24" spans="1:38" s="13" customFormat="1">
      <c r="A24" s="59">
        <v>122</v>
      </c>
      <c r="B24" s="59" t="s">
        <v>205</v>
      </c>
      <c r="C24" s="60" t="s">
        <v>566</v>
      </c>
      <c r="D24" s="6">
        <v>10014</v>
      </c>
      <c r="E24" s="59" t="s">
        <v>567</v>
      </c>
      <c r="F24" s="59" t="s">
        <v>95</v>
      </c>
      <c r="G24" s="24">
        <v>0</v>
      </c>
      <c r="H24" s="23">
        <v>6</v>
      </c>
      <c r="I24" s="23">
        <v>12</v>
      </c>
      <c r="J24" s="24">
        <v>4.9000000000000004</v>
      </c>
      <c r="K24" s="24">
        <v>5</v>
      </c>
      <c r="L24" s="24">
        <v>15.3</v>
      </c>
      <c r="M24" s="24">
        <v>54.1</v>
      </c>
      <c r="N24" s="24">
        <v>14.3</v>
      </c>
      <c r="O24" s="24">
        <v>0</v>
      </c>
      <c r="P24" s="24"/>
      <c r="Q24" s="24">
        <v>6.4</v>
      </c>
      <c r="R24" s="24">
        <v>602</v>
      </c>
      <c r="S24" s="24"/>
      <c r="T24" s="24">
        <v>1430</v>
      </c>
      <c r="U24" s="24">
        <v>9.6999999999999993</v>
      </c>
      <c r="V24" s="24"/>
      <c r="W24" s="24"/>
      <c r="X24" s="24"/>
      <c r="Y24" s="24"/>
      <c r="Z24" s="24">
        <v>1.72</v>
      </c>
      <c r="AA24" s="24">
        <v>103</v>
      </c>
      <c r="AB24" s="24">
        <v>0</v>
      </c>
      <c r="AC24" s="24">
        <v>1.01</v>
      </c>
      <c r="AD24" s="24">
        <v>0.34</v>
      </c>
      <c r="AE24" s="24">
        <v>0</v>
      </c>
      <c r="AF24" s="24">
        <v>5</v>
      </c>
      <c r="AG24" s="24">
        <v>0</v>
      </c>
      <c r="AH24" s="24">
        <v>1</v>
      </c>
      <c r="AI24" s="24"/>
      <c r="AJ24" s="24">
        <v>0</v>
      </c>
      <c r="AK24" s="13">
        <v>303</v>
      </c>
      <c r="AL24" s="13">
        <v>3</v>
      </c>
    </row>
    <row r="25" spans="1:38" s="13" customFormat="1">
      <c r="A25" s="59">
        <v>123</v>
      </c>
      <c r="B25" s="59" t="s">
        <v>206</v>
      </c>
      <c r="C25" s="60" t="s">
        <v>553</v>
      </c>
      <c r="D25" s="6"/>
      <c r="E25" s="59"/>
      <c r="F25" s="59" t="s">
        <v>721</v>
      </c>
      <c r="G25" s="24">
        <v>0</v>
      </c>
      <c r="H25" s="23">
        <v>1</v>
      </c>
      <c r="I25" s="23">
        <v>1</v>
      </c>
      <c r="J25" s="24">
        <v>88.85</v>
      </c>
      <c r="K25" s="24">
        <v>0.35</v>
      </c>
      <c r="L25" s="24">
        <v>0.9</v>
      </c>
      <c r="M25" s="24">
        <v>0.5</v>
      </c>
      <c r="N25" s="24">
        <v>1.1499999999999999</v>
      </c>
      <c r="O25" s="24">
        <v>0</v>
      </c>
      <c r="P25" s="24"/>
      <c r="Q25" s="24">
        <v>8.2500000000000053</v>
      </c>
      <c r="R25" s="24">
        <v>43.5</v>
      </c>
      <c r="S25" s="24"/>
      <c r="T25" s="24">
        <v>25.5</v>
      </c>
      <c r="U25" s="24">
        <v>0.45</v>
      </c>
      <c r="V25" s="24"/>
      <c r="W25" s="24"/>
      <c r="X25" s="24"/>
      <c r="Y25" s="24"/>
      <c r="Z25" s="24">
        <v>0.19500000000000001</v>
      </c>
      <c r="AA25" s="24">
        <v>4.5</v>
      </c>
      <c r="AB25" s="24">
        <v>0.05</v>
      </c>
      <c r="AC25" s="24">
        <v>1.4999999999999999E-2</v>
      </c>
      <c r="AD25" s="24">
        <v>3.0000000000000002E-2</v>
      </c>
      <c r="AE25" s="24">
        <v>3.5</v>
      </c>
      <c r="AF25" s="24">
        <v>2</v>
      </c>
      <c r="AG25" s="24">
        <v>3.6666666666666665</v>
      </c>
      <c r="AH25" s="24">
        <v>3.8333333333333335</v>
      </c>
      <c r="AI25" s="24"/>
      <c r="AJ25" s="24">
        <v>4.4999999999999998E-2</v>
      </c>
      <c r="AK25" s="13">
        <v>106</v>
      </c>
      <c r="AL25" s="1">
        <v>1</v>
      </c>
    </row>
    <row r="26" spans="1:38" s="13" customFormat="1">
      <c r="A26" s="59">
        <v>124</v>
      </c>
      <c r="B26" s="59" t="s">
        <v>207</v>
      </c>
      <c r="C26" s="60" t="s">
        <v>553</v>
      </c>
      <c r="D26" s="6"/>
      <c r="E26" s="59"/>
      <c r="F26" s="59" t="s">
        <v>721</v>
      </c>
      <c r="G26" s="24">
        <v>0</v>
      </c>
      <c r="H26" s="23">
        <v>1</v>
      </c>
      <c r="I26" s="23">
        <v>1</v>
      </c>
      <c r="J26" s="24">
        <v>12.45</v>
      </c>
      <c r="K26" s="24">
        <v>0.7</v>
      </c>
      <c r="L26" s="24">
        <v>9</v>
      </c>
      <c r="M26" s="24">
        <v>2.2999999999999998</v>
      </c>
      <c r="N26" s="24">
        <v>4.05</v>
      </c>
      <c r="O26" s="24">
        <v>0</v>
      </c>
      <c r="P26" s="24"/>
      <c r="Q26" s="24">
        <v>71.5</v>
      </c>
      <c r="R26" s="24">
        <v>350.5</v>
      </c>
      <c r="S26" s="24"/>
      <c r="T26" s="24">
        <v>27.5</v>
      </c>
      <c r="U26" s="24">
        <v>4.5999999999999996</v>
      </c>
      <c r="V26" s="24"/>
      <c r="W26" s="24"/>
      <c r="X26" s="24"/>
      <c r="Y26" s="24"/>
      <c r="Z26" s="24">
        <v>2.6150000000000002</v>
      </c>
      <c r="AA26" s="24">
        <v>550</v>
      </c>
      <c r="AB26" s="24">
        <v>0</v>
      </c>
      <c r="AC26" s="24">
        <v>0.70500000000000007</v>
      </c>
      <c r="AD26" s="24">
        <v>0.43999999999999995</v>
      </c>
      <c r="AE26" s="24">
        <v>82.2</v>
      </c>
      <c r="AF26" s="24">
        <v>1</v>
      </c>
      <c r="AG26" s="24">
        <v>82.283333333333331</v>
      </c>
      <c r="AH26" s="24">
        <v>82.366666666666674</v>
      </c>
      <c r="AI26" s="24"/>
      <c r="AJ26" s="24">
        <v>0.35</v>
      </c>
      <c r="AK26" s="13">
        <v>106</v>
      </c>
      <c r="AL26" s="1">
        <v>1</v>
      </c>
    </row>
    <row r="27" spans="1:38" s="13" customFormat="1">
      <c r="A27" s="59">
        <v>125</v>
      </c>
      <c r="B27" s="59" t="s">
        <v>208</v>
      </c>
      <c r="C27" s="60" t="s">
        <v>553</v>
      </c>
      <c r="D27" s="6"/>
      <c r="E27" s="59"/>
      <c r="F27" s="59" t="s">
        <v>93</v>
      </c>
      <c r="G27" s="24">
        <v>0</v>
      </c>
      <c r="H27" s="23">
        <v>6</v>
      </c>
      <c r="I27" s="23">
        <v>12</v>
      </c>
      <c r="J27" s="24">
        <v>7</v>
      </c>
      <c r="K27" s="24">
        <v>5.1349999999999998</v>
      </c>
      <c r="L27" s="24">
        <v>41</v>
      </c>
      <c r="M27" s="24">
        <v>14.44</v>
      </c>
      <c r="N27" s="24">
        <v>12.504999999999999</v>
      </c>
      <c r="O27" s="24">
        <v>0</v>
      </c>
      <c r="P27" s="24"/>
      <c r="Q27" s="24">
        <v>19.919999999999998</v>
      </c>
      <c r="R27" s="24">
        <v>399</v>
      </c>
      <c r="S27" s="24"/>
      <c r="T27" s="24">
        <v>220</v>
      </c>
      <c r="U27" s="24">
        <v>7.6749999999999998</v>
      </c>
      <c r="V27" s="24"/>
      <c r="W27" s="24"/>
      <c r="X27" s="24"/>
      <c r="Y27" s="24"/>
      <c r="Z27" s="24">
        <v>3.92</v>
      </c>
      <c r="AA27" s="24">
        <v>310</v>
      </c>
      <c r="AB27" s="24">
        <v>0</v>
      </c>
      <c r="AC27" s="24">
        <v>0.8</v>
      </c>
      <c r="AD27" s="24">
        <v>0.35</v>
      </c>
      <c r="AE27" s="24">
        <v>0</v>
      </c>
      <c r="AF27" s="24">
        <v>47</v>
      </c>
      <c r="AG27" s="24">
        <v>3.9166666666666665</v>
      </c>
      <c r="AH27" s="24">
        <v>7.833333333333333</v>
      </c>
      <c r="AI27" s="24"/>
      <c r="AJ27" s="24">
        <v>0</v>
      </c>
      <c r="AK27" s="13">
        <v>302</v>
      </c>
      <c r="AL27" s="13">
        <v>3</v>
      </c>
    </row>
    <row r="28" spans="1:38" s="13" customFormat="1">
      <c r="A28" s="59">
        <v>126</v>
      </c>
      <c r="B28" s="59" t="s">
        <v>209</v>
      </c>
      <c r="C28" s="60" t="s">
        <v>566</v>
      </c>
      <c r="D28" s="6">
        <v>1001</v>
      </c>
      <c r="E28" s="59" t="s">
        <v>719</v>
      </c>
      <c r="F28" s="59" t="s">
        <v>135</v>
      </c>
      <c r="G28" s="24">
        <v>0</v>
      </c>
      <c r="H28" s="23">
        <v>1</v>
      </c>
      <c r="I28" s="23">
        <v>1</v>
      </c>
      <c r="J28" s="24">
        <v>10</v>
      </c>
      <c r="K28" s="24">
        <v>3.1</v>
      </c>
      <c r="L28" s="24">
        <v>14.7</v>
      </c>
      <c r="M28" s="24">
        <v>5.6</v>
      </c>
      <c r="N28" s="24">
        <v>7.5</v>
      </c>
      <c r="O28" s="24">
        <v>0</v>
      </c>
      <c r="P28" s="24"/>
      <c r="Q28" s="24">
        <v>59.2</v>
      </c>
      <c r="R28" s="24">
        <v>360</v>
      </c>
      <c r="S28" s="24"/>
      <c r="T28" s="24">
        <v>162</v>
      </c>
      <c r="U28" s="24">
        <v>9.5</v>
      </c>
      <c r="V28" s="24"/>
      <c r="W28" s="24"/>
      <c r="X28" s="24"/>
      <c r="Y28" s="24"/>
      <c r="Z28" s="24">
        <v>2.5</v>
      </c>
      <c r="AA28" s="24">
        <v>82</v>
      </c>
      <c r="AB28" s="24">
        <v>1</v>
      </c>
      <c r="AC28" s="24">
        <v>7.0000000000000007E-2</v>
      </c>
      <c r="AD28" s="24">
        <v>0.21</v>
      </c>
      <c r="AE28" s="24">
        <v>0</v>
      </c>
      <c r="AF28" s="24">
        <v>0</v>
      </c>
      <c r="AG28" s="24">
        <v>0</v>
      </c>
      <c r="AH28" s="24">
        <v>0</v>
      </c>
      <c r="AI28" s="24"/>
      <c r="AJ28" s="24">
        <v>0</v>
      </c>
      <c r="AK28" s="13">
        <v>106</v>
      </c>
      <c r="AL28" s="1">
        <v>1</v>
      </c>
    </row>
    <row r="29" spans="1:38" s="13" customFormat="1">
      <c r="A29" s="59">
        <v>127</v>
      </c>
      <c r="B29" s="59" t="s">
        <v>210</v>
      </c>
      <c r="C29" s="60" t="s">
        <v>607</v>
      </c>
      <c r="D29" s="6">
        <v>20005</v>
      </c>
      <c r="E29" s="59" t="s">
        <v>610</v>
      </c>
      <c r="F29" s="59" t="s">
        <v>135</v>
      </c>
      <c r="G29" s="24">
        <v>0</v>
      </c>
      <c r="H29" s="23">
        <v>1</v>
      </c>
      <c r="I29" s="23">
        <v>1</v>
      </c>
      <c r="J29" s="24">
        <v>10.09</v>
      </c>
      <c r="K29" s="24">
        <v>1.1100000000000001</v>
      </c>
      <c r="L29" s="24">
        <v>9.91</v>
      </c>
      <c r="M29" s="24">
        <v>1.1599999999999999</v>
      </c>
      <c r="N29" s="24">
        <v>15.6</v>
      </c>
      <c r="O29" s="24">
        <v>0</v>
      </c>
      <c r="P29" s="24">
        <v>77.72</v>
      </c>
      <c r="Q29" s="24"/>
      <c r="R29" s="24">
        <v>352</v>
      </c>
      <c r="S29" s="24"/>
      <c r="T29" s="24">
        <v>29</v>
      </c>
      <c r="U29" s="24">
        <v>2.5</v>
      </c>
      <c r="V29" s="24"/>
      <c r="W29" s="24"/>
      <c r="X29" s="24"/>
      <c r="Y29" s="24"/>
      <c r="Z29" s="24">
        <v>2.13</v>
      </c>
      <c r="AA29" s="24">
        <v>23</v>
      </c>
      <c r="AB29" s="24">
        <v>0</v>
      </c>
      <c r="AC29" s="24">
        <v>0.191</v>
      </c>
      <c r="AD29" s="24">
        <v>0.114</v>
      </c>
      <c r="AE29" s="24">
        <v>0</v>
      </c>
      <c r="AF29" s="24">
        <v>13</v>
      </c>
      <c r="AG29" s="24">
        <f>+AE29+AF29/12</f>
        <v>1.0833333333333333</v>
      </c>
      <c r="AH29" s="24">
        <f>+AE29+AF29/6</f>
        <v>2.1666666666666665</v>
      </c>
      <c r="AI29" s="24"/>
      <c r="AJ29" s="24">
        <v>0</v>
      </c>
      <c r="AK29" s="13">
        <v>106</v>
      </c>
      <c r="AL29" s="1">
        <v>1</v>
      </c>
    </row>
    <row r="30" spans="1:38" s="13" customFormat="1">
      <c r="A30" s="59">
        <v>128</v>
      </c>
      <c r="B30" s="59" t="s">
        <v>211</v>
      </c>
      <c r="C30" s="60" t="s">
        <v>553</v>
      </c>
      <c r="D30" s="6"/>
      <c r="E30" s="59"/>
      <c r="F30" s="59" t="s">
        <v>721</v>
      </c>
      <c r="G30" s="24">
        <v>0</v>
      </c>
      <c r="H30" s="23">
        <v>1</v>
      </c>
      <c r="I30" s="23">
        <v>1</v>
      </c>
      <c r="J30" s="24">
        <v>3.6</v>
      </c>
      <c r="K30" s="24">
        <v>2.5666666666666664</v>
      </c>
      <c r="L30" s="24">
        <v>8.8333333333333339</v>
      </c>
      <c r="M30" s="24">
        <v>1.0999999999999999</v>
      </c>
      <c r="N30" s="24">
        <v>5.15</v>
      </c>
      <c r="O30" s="24">
        <v>0</v>
      </c>
      <c r="P30" s="24"/>
      <c r="Q30" s="24">
        <v>78.750000000000014</v>
      </c>
      <c r="R30" s="24">
        <v>370.33333333333331</v>
      </c>
      <c r="S30" s="24"/>
      <c r="T30" s="24">
        <v>12.066666666666668</v>
      </c>
      <c r="U30" s="24">
        <v>6.0666666666666664</v>
      </c>
      <c r="V30" s="24"/>
      <c r="W30" s="24"/>
      <c r="X30" s="24"/>
      <c r="Y30" s="24"/>
      <c r="Z30" s="24">
        <v>0.79999999999999993</v>
      </c>
      <c r="AA30" s="24">
        <v>159.66666666666666</v>
      </c>
      <c r="AB30" s="24">
        <v>0</v>
      </c>
      <c r="AC30" s="24">
        <v>0.66666666666666663</v>
      </c>
      <c r="AD30" s="24">
        <v>0.94000000000000006</v>
      </c>
      <c r="AE30" s="24">
        <v>0</v>
      </c>
      <c r="AF30" s="24">
        <v>84.333333333333329</v>
      </c>
      <c r="AG30" s="24">
        <v>7.0277777777777777</v>
      </c>
      <c r="AH30" s="24">
        <v>14.055555555555555</v>
      </c>
      <c r="AI30" s="24"/>
      <c r="AJ30" s="24">
        <v>0</v>
      </c>
      <c r="AK30" s="13">
        <v>106</v>
      </c>
      <c r="AL30" s="1">
        <v>1</v>
      </c>
    </row>
    <row r="31" spans="1:38" s="13" customFormat="1">
      <c r="A31" s="59">
        <v>129</v>
      </c>
      <c r="B31" s="59" t="s">
        <v>212</v>
      </c>
      <c r="C31" s="60" t="s">
        <v>553</v>
      </c>
      <c r="D31" s="6"/>
      <c r="E31" s="59"/>
      <c r="F31" s="59" t="s">
        <v>721</v>
      </c>
      <c r="G31" s="24">
        <v>0</v>
      </c>
      <c r="H31" s="23">
        <v>4</v>
      </c>
      <c r="I31" s="23">
        <v>12</v>
      </c>
      <c r="J31" s="24">
        <v>12.200000000000001</v>
      </c>
      <c r="K31" s="24">
        <v>3.7966666666666669</v>
      </c>
      <c r="L31" s="24">
        <v>22.866666666666664</v>
      </c>
      <c r="M31" s="24">
        <v>1.72</v>
      </c>
      <c r="N31" s="24">
        <v>20.766666666666666</v>
      </c>
      <c r="O31" s="24">
        <v>0</v>
      </c>
      <c r="P31" s="24"/>
      <c r="Q31" s="24">
        <v>38.650000000000006</v>
      </c>
      <c r="R31" s="24">
        <v>303</v>
      </c>
      <c r="S31" s="24"/>
      <c r="T31" s="24">
        <v>88.666666666666671</v>
      </c>
      <c r="U31" s="24">
        <v>7.163333333333334</v>
      </c>
      <c r="V31" s="24"/>
      <c r="W31" s="24"/>
      <c r="X31" s="24"/>
      <c r="Y31" s="24"/>
      <c r="Z31" s="24">
        <v>2.9766666666666666</v>
      </c>
      <c r="AA31" s="24">
        <v>301</v>
      </c>
      <c r="AB31" s="24">
        <v>0.9</v>
      </c>
      <c r="AC31" s="24">
        <v>0.48</v>
      </c>
      <c r="AD31" s="24">
        <v>0.22333333333333336</v>
      </c>
      <c r="AE31" s="24">
        <v>0</v>
      </c>
      <c r="AF31" s="24">
        <v>11.666666666666666</v>
      </c>
      <c r="AG31" s="24">
        <v>0.97222222222222221</v>
      </c>
      <c r="AH31" s="24">
        <v>1.9444444444444444</v>
      </c>
      <c r="AI31" s="24"/>
      <c r="AJ31" s="24">
        <v>0</v>
      </c>
      <c r="AK31" s="13">
        <v>301</v>
      </c>
      <c r="AL31" s="13">
        <v>3</v>
      </c>
    </row>
    <row r="32" spans="1:38" s="13" customFormat="1">
      <c r="A32" s="59">
        <v>130</v>
      </c>
      <c r="B32" s="59" t="s">
        <v>213</v>
      </c>
      <c r="C32" s="60" t="s">
        <v>566</v>
      </c>
      <c r="D32" s="6">
        <v>3019</v>
      </c>
      <c r="E32" s="59" t="s">
        <v>424</v>
      </c>
      <c r="F32" s="59" t="s">
        <v>95</v>
      </c>
      <c r="G32" s="24">
        <v>0</v>
      </c>
      <c r="H32" s="23">
        <v>4</v>
      </c>
      <c r="I32" s="23">
        <v>12</v>
      </c>
      <c r="J32" s="24">
        <v>11.6</v>
      </c>
      <c r="K32" s="24">
        <v>4.4000000000000004</v>
      </c>
      <c r="L32" s="24">
        <v>27.2</v>
      </c>
      <c r="M32" s="24">
        <v>1.7</v>
      </c>
      <c r="N32" s="24">
        <v>16.7</v>
      </c>
      <c r="O32" s="24">
        <v>0</v>
      </c>
      <c r="P32" s="24"/>
      <c r="Q32" s="24">
        <v>38.4</v>
      </c>
      <c r="R32" s="24">
        <v>311</v>
      </c>
      <c r="S32" s="24"/>
      <c r="T32" s="24">
        <v>151</v>
      </c>
      <c r="U32" s="24">
        <v>7.6</v>
      </c>
      <c r="V32" s="24"/>
      <c r="W32" s="24"/>
      <c r="X32" s="24"/>
      <c r="Y32" s="24"/>
      <c r="Z32" s="24">
        <v>2.62</v>
      </c>
      <c r="AA32" s="24">
        <v>607</v>
      </c>
      <c r="AB32" s="24">
        <v>3</v>
      </c>
      <c r="AC32" s="24">
        <v>0.52</v>
      </c>
      <c r="AD32" s="24">
        <v>0.2</v>
      </c>
      <c r="AE32" s="24">
        <v>0</v>
      </c>
      <c r="AF32" s="24">
        <v>111</v>
      </c>
      <c r="AG32" s="24">
        <v>9</v>
      </c>
      <c r="AH32" s="24">
        <v>18</v>
      </c>
      <c r="AI32" s="24"/>
      <c r="AJ32" s="24">
        <v>0</v>
      </c>
      <c r="AK32" s="13">
        <v>301</v>
      </c>
      <c r="AL32" s="13">
        <v>3</v>
      </c>
    </row>
    <row r="33" spans="1:38" s="13" customFormat="1">
      <c r="A33" s="59">
        <v>131</v>
      </c>
      <c r="B33" s="59" t="s">
        <v>214</v>
      </c>
      <c r="C33" s="60" t="s">
        <v>566</v>
      </c>
      <c r="D33" s="6">
        <v>3017</v>
      </c>
      <c r="E33" s="59" t="s">
        <v>425</v>
      </c>
      <c r="F33" s="59" t="s">
        <v>95</v>
      </c>
      <c r="G33" s="24">
        <v>0</v>
      </c>
      <c r="H33" s="23">
        <v>4</v>
      </c>
      <c r="I33" s="23">
        <v>12</v>
      </c>
      <c r="J33" s="24">
        <v>11.4</v>
      </c>
      <c r="K33" s="24">
        <v>3.51</v>
      </c>
      <c r="L33" s="24">
        <v>24.6</v>
      </c>
      <c r="M33" s="24">
        <v>1.7</v>
      </c>
      <c r="N33" s="24">
        <v>16.3</v>
      </c>
      <c r="O33" s="24">
        <v>0</v>
      </c>
      <c r="P33" s="24"/>
      <c r="Q33" s="24">
        <v>42.5</v>
      </c>
      <c r="R33" s="24">
        <v>316</v>
      </c>
      <c r="S33" s="24"/>
      <c r="T33" s="24">
        <v>84</v>
      </c>
      <c r="U33" s="24">
        <v>6</v>
      </c>
      <c r="V33" s="24"/>
      <c r="W33" s="24"/>
      <c r="X33" s="24"/>
      <c r="Y33" s="24"/>
      <c r="Z33" s="24">
        <v>2.33</v>
      </c>
      <c r="AA33" s="24">
        <v>346</v>
      </c>
      <c r="AB33" s="24">
        <v>3</v>
      </c>
      <c r="AC33" s="24">
        <v>0.31</v>
      </c>
      <c r="AD33" s="24">
        <v>0.11</v>
      </c>
      <c r="AE33" s="24">
        <v>0</v>
      </c>
      <c r="AF33" s="24">
        <v>140</v>
      </c>
      <c r="AG33" s="24">
        <v>12</v>
      </c>
      <c r="AH33" s="24">
        <v>23</v>
      </c>
      <c r="AI33" s="24"/>
      <c r="AJ33" s="24">
        <v>0</v>
      </c>
      <c r="AK33" s="13">
        <v>301</v>
      </c>
      <c r="AL33" s="13">
        <v>3</v>
      </c>
    </row>
    <row r="34" spans="1:38" s="13" customFormat="1">
      <c r="A34" s="59">
        <v>132</v>
      </c>
      <c r="B34" s="59" t="s">
        <v>215</v>
      </c>
      <c r="C34" s="60" t="s">
        <v>601</v>
      </c>
      <c r="D34" s="6"/>
      <c r="E34" s="59"/>
      <c r="F34" s="59" t="s">
        <v>721</v>
      </c>
      <c r="G34" s="24">
        <f>AVERAGE(G32:G33)</f>
        <v>0</v>
      </c>
      <c r="H34" s="23">
        <v>4</v>
      </c>
      <c r="I34" s="23">
        <v>12</v>
      </c>
      <c r="J34" s="24">
        <f t="shared" ref="J34:O34" si="5">AVERAGE(J32:J33)</f>
        <v>11.5</v>
      </c>
      <c r="K34" s="24">
        <f t="shared" si="5"/>
        <v>3.9550000000000001</v>
      </c>
      <c r="L34" s="24">
        <f t="shared" si="5"/>
        <v>25.9</v>
      </c>
      <c r="M34" s="24">
        <f t="shared" si="5"/>
        <v>1.7</v>
      </c>
      <c r="N34" s="24">
        <f t="shared" si="5"/>
        <v>16.5</v>
      </c>
      <c r="O34" s="24">
        <f t="shared" si="5"/>
        <v>0</v>
      </c>
      <c r="P34" s="24"/>
      <c r="Q34" s="24">
        <f>AVERAGE(Q32:Q33)</f>
        <v>40.450000000000003</v>
      </c>
      <c r="R34" s="24">
        <f>AVERAGE(R32:R33)</f>
        <v>313.5</v>
      </c>
      <c r="S34" s="24"/>
      <c r="T34" s="24">
        <f>AVERAGE(T32:T33)</f>
        <v>117.5</v>
      </c>
      <c r="U34" s="24">
        <f>AVERAGE(U32:U33)</f>
        <v>6.8</v>
      </c>
      <c r="V34" s="24"/>
      <c r="W34" s="24"/>
      <c r="X34" s="24"/>
      <c r="Y34" s="24"/>
      <c r="Z34" s="24">
        <f t="shared" ref="Z34:AF34" si="6">AVERAGE(Z32:Z33)</f>
        <v>2.4750000000000001</v>
      </c>
      <c r="AA34" s="24">
        <f t="shared" si="6"/>
        <v>476.5</v>
      </c>
      <c r="AB34" s="24">
        <f t="shared" si="6"/>
        <v>3</v>
      </c>
      <c r="AC34" s="24">
        <f t="shared" si="6"/>
        <v>0.41500000000000004</v>
      </c>
      <c r="AD34" s="24">
        <f t="shared" si="6"/>
        <v>0.155</v>
      </c>
      <c r="AE34" s="24">
        <f t="shared" si="6"/>
        <v>0</v>
      </c>
      <c r="AF34" s="24">
        <f t="shared" si="6"/>
        <v>125.5</v>
      </c>
      <c r="AG34" s="24">
        <f>+AE34+AF34/12</f>
        <v>10.458333333333334</v>
      </c>
      <c r="AH34" s="24">
        <f>+AE34+AF34/6</f>
        <v>20.916666666666668</v>
      </c>
      <c r="AI34" s="24"/>
      <c r="AJ34" s="24">
        <f>AVERAGE(AJ32:AJ33)</f>
        <v>0</v>
      </c>
      <c r="AK34" s="13">
        <v>301</v>
      </c>
      <c r="AL34" s="13">
        <v>3</v>
      </c>
    </row>
    <row r="35" spans="1:38" s="13" customFormat="1">
      <c r="A35" s="59">
        <v>133</v>
      </c>
      <c r="B35" s="59" t="s">
        <v>216</v>
      </c>
      <c r="C35" s="60" t="s">
        <v>566</v>
      </c>
      <c r="D35" s="6">
        <v>3021</v>
      </c>
      <c r="E35" s="59" t="s">
        <v>427</v>
      </c>
      <c r="F35" s="59" t="s">
        <v>135</v>
      </c>
      <c r="G35" s="24">
        <v>0</v>
      </c>
      <c r="H35" s="23">
        <v>4</v>
      </c>
      <c r="I35" s="23">
        <v>12</v>
      </c>
      <c r="J35" s="24">
        <v>12.1</v>
      </c>
      <c r="K35" s="24">
        <v>3.8</v>
      </c>
      <c r="L35" s="24">
        <v>20.9</v>
      </c>
      <c r="M35" s="24">
        <v>2.1</v>
      </c>
      <c r="N35" s="24">
        <v>22.1</v>
      </c>
      <c r="O35" s="24">
        <v>0</v>
      </c>
      <c r="P35" s="24"/>
      <c r="Q35" s="24">
        <v>38.9</v>
      </c>
      <c r="R35" s="24">
        <v>303</v>
      </c>
      <c r="S35" s="24"/>
      <c r="T35" s="24">
        <v>172</v>
      </c>
      <c r="U35" s="24">
        <v>5.4</v>
      </c>
      <c r="V35" s="24"/>
      <c r="W35" s="24"/>
      <c r="X35" s="24"/>
      <c r="Y35" s="24"/>
      <c r="Z35" s="24">
        <v>2.9</v>
      </c>
      <c r="AA35" s="24">
        <v>340</v>
      </c>
      <c r="AB35" s="24">
        <v>1.5</v>
      </c>
      <c r="AC35" s="24">
        <v>0.72</v>
      </c>
      <c r="AD35" s="24">
        <v>0.14000000000000001</v>
      </c>
      <c r="AE35" s="24">
        <v>0</v>
      </c>
      <c r="AF35" s="24">
        <v>230</v>
      </c>
      <c r="AG35" s="24">
        <v>19</v>
      </c>
      <c r="AH35" s="24">
        <v>38</v>
      </c>
      <c r="AI35" s="24"/>
      <c r="AJ35" s="24">
        <v>0</v>
      </c>
      <c r="AK35" s="13">
        <v>301</v>
      </c>
      <c r="AL35" s="13">
        <v>3</v>
      </c>
    </row>
    <row r="36" spans="1:38" s="13" customFormat="1">
      <c r="A36" s="59">
        <v>134</v>
      </c>
      <c r="B36" s="59" t="s">
        <v>217</v>
      </c>
      <c r="C36" s="60" t="s">
        <v>566</v>
      </c>
      <c r="D36" s="6">
        <v>10009</v>
      </c>
      <c r="E36" s="59" t="s">
        <v>568</v>
      </c>
      <c r="F36" s="59" t="s">
        <v>95</v>
      </c>
      <c r="G36" s="24">
        <v>0</v>
      </c>
      <c r="H36" s="23">
        <v>5</v>
      </c>
      <c r="I36" s="23">
        <v>12</v>
      </c>
      <c r="J36" s="24">
        <v>5.9</v>
      </c>
      <c r="K36" s="24">
        <v>2.2999999999999998</v>
      </c>
      <c r="L36" s="24">
        <v>20.100000000000001</v>
      </c>
      <c r="M36" s="24">
        <v>48.4</v>
      </c>
      <c r="N36" s="24">
        <v>8.3000000000000007</v>
      </c>
      <c r="O36" s="24">
        <v>0</v>
      </c>
      <c r="P36" s="24"/>
      <c r="Q36" s="24">
        <v>15</v>
      </c>
      <c r="R36" s="24">
        <v>593</v>
      </c>
      <c r="S36" s="24"/>
      <c r="T36" s="24">
        <v>117</v>
      </c>
      <c r="U36" s="24">
        <v>5.5</v>
      </c>
      <c r="V36" s="24"/>
      <c r="W36" s="24"/>
      <c r="X36" s="24"/>
      <c r="Y36" s="24"/>
      <c r="Z36" s="24">
        <v>2.2400000000000002</v>
      </c>
      <c r="AA36" s="24">
        <v>110</v>
      </c>
      <c r="AB36" s="24">
        <v>0</v>
      </c>
      <c r="AC36" s="24">
        <v>0.85</v>
      </c>
      <c r="AD36" s="24">
        <v>0.14000000000000001</v>
      </c>
      <c r="AE36" s="24">
        <v>0</v>
      </c>
      <c r="AF36" s="24">
        <v>4</v>
      </c>
      <c r="AG36" s="24">
        <v>0</v>
      </c>
      <c r="AH36" s="24">
        <v>1</v>
      </c>
      <c r="AI36" s="24"/>
      <c r="AJ36" s="24">
        <v>0</v>
      </c>
      <c r="AK36" s="13">
        <v>303</v>
      </c>
      <c r="AL36" s="13">
        <v>3</v>
      </c>
    </row>
    <row r="37" spans="1:38" s="13" customFormat="1">
      <c r="A37" s="59">
        <v>135</v>
      </c>
      <c r="B37" s="59" t="s">
        <v>218</v>
      </c>
      <c r="C37" s="60" t="s">
        <v>566</v>
      </c>
      <c r="D37" s="6">
        <v>10010</v>
      </c>
      <c r="E37" s="59" t="s">
        <v>569</v>
      </c>
      <c r="F37" s="59" t="s">
        <v>95</v>
      </c>
      <c r="G37" s="24">
        <v>73</v>
      </c>
      <c r="H37" s="23">
        <v>5</v>
      </c>
      <c r="I37" s="23">
        <v>12</v>
      </c>
      <c r="J37" s="24">
        <v>7.7</v>
      </c>
      <c r="K37" s="24">
        <v>1.4</v>
      </c>
      <c r="L37" s="24">
        <v>6.8</v>
      </c>
      <c r="M37" s="24">
        <v>70.900000000000006</v>
      </c>
      <c r="N37" s="24">
        <v>11.2</v>
      </c>
      <c r="O37" s="24">
        <v>0</v>
      </c>
      <c r="P37" s="24"/>
      <c r="Q37" s="24">
        <v>2</v>
      </c>
      <c r="R37" s="24">
        <v>696</v>
      </c>
      <c r="S37" s="24"/>
      <c r="T37" s="24">
        <v>44</v>
      </c>
      <c r="U37" s="24">
        <v>2.2000000000000002</v>
      </c>
      <c r="V37" s="24"/>
      <c r="W37" s="24"/>
      <c r="X37" s="24"/>
      <c r="Y37" s="24"/>
      <c r="Z37" s="24">
        <v>1.3</v>
      </c>
      <c r="AA37" s="24">
        <v>114</v>
      </c>
      <c r="AB37" s="24">
        <v>4.5999999999999996</v>
      </c>
      <c r="AC37" s="24">
        <v>0.27</v>
      </c>
      <c r="AD37" s="24">
        <v>0.1</v>
      </c>
      <c r="AE37" s="24">
        <v>0</v>
      </c>
      <c r="AF37" s="24">
        <v>0</v>
      </c>
      <c r="AG37" s="24">
        <v>0</v>
      </c>
      <c r="AH37" s="24">
        <v>0</v>
      </c>
      <c r="AI37" s="24"/>
      <c r="AJ37" s="24">
        <v>0</v>
      </c>
      <c r="AK37" s="13">
        <v>303</v>
      </c>
      <c r="AL37" s="13">
        <v>3</v>
      </c>
    </row>
    <row r="38" spans="1:38" s="13" customFormat="1">
      <c r="A38" s="59">
        <v>136</v>
      </c>
      <c r="B38" s="59" t="s">
        <v>219</v>
      </c>
      <c r="C38" s="60" t="s">
        <v>566</v>
      </c>
      <c r="D38" s="6">
        <v>10008</v>
      </c>
      <c r="E38" s="59" t="s">
        <v>570</v>
      </c>
      <c r="F38" s="59" t="s">
        <v>95</v>
      </c>
      <c r="G38" s="24">
        <v>0</v>
      </c>
      <c r="H38" s="23">
        <v>5</v>
      </c>
      <c r="I38" s="23">
        <v>12</v>
      </c>
      <c r="J38" s="24">
        <v>5.9</v>
      </c>
      <c r="K38" s="24">
        <v>2.2999999999999998</v>
      </c>
      <c r="L38" s="24">
        <v>16.5</v>
      </c>
      <c r="M38" s="24">
        <v>48</v>
      </c>
      <c r="N38" s="24">
        <v>5.8</v>
      </c>
      <c r="O38" s="24">
        <v>0</v>
      </c>
      <c r="P38" s="24"/>
      <c r="Q38" s="24">
        <v>21.5</v>
      </c>
      <c r="R38" s="24">
        <v>595</v>
      </c>
      <c r="S38" s="24"/>
      <c r="T38" s="24">
        <v>33</v>
      </c>
      <c r="U38" s="24">
        <v>4.9000000000000004</v>
      </c>
      <c r="V38" s="24"/>
      <c r="W38" s="24"/>
      <c r="X38" s="24"/>
      <c r="Y38" s="24"/>
      <c r="Z38" s="24">
        <v>5.36</v>
      </c>
      <c r="AA38" s="24">
        <v>24</v>
      </c>
      <c r="AB38" s="24">
        <v>0</v>
      </c>
      <c r="AC38" s="24">
        <v>0.65</v>
      </c>
      <c r="AD38" s="24">
        <v>0.25</v>
      </c>
      <c r="AE38" s="24">
        <v>0</v>
      </c>
      <c r="AF38" s="24">
        <v>6</v>
      </c>
      <c r="AG38" s="24">
        <f>+AE38+AF38/12</f>
        <v>0.5</v>
      </c>
      <c r="AH38" s="24">
        <f>+AE38+AF38/6</f>
        <v>1</v>
      </c>
      <c r="AI38" s="24"/>
      <c r="AJ38" s="24">
        <v>0</v>
      </c>
      <c r="AK38" s="13">
        <v>303</v>
      </c>
      <c r="AL38" s="13">
        <v>3</v>
      </c>
    </row>
    <row r="39" spans="1:38" s="13" customFormat="1">
      <c r="A39" s="59">
        <v>137</v>
      </c>
      <c r="B39" s="59" t="s">
        <v>220</v>
      </c>
      <c r="C39" s="60" t="s">
        <v>566</v>
      </c>
      <c r="D39" s="6">
        <v>3011</v>
      </c>
      <c r="E39" s="59" t="s">
        <v>428</v>
      </c>
      <c r="F39" s="59" t="s">
        <v>95</v>
      </c>
      <c r="G39" s="24">
        <v>0</v>
      </c>
      <c r="H39" s="23">
        <v>4</v>
      </c>
      <c r="I39" s="23">
        <v>12</v>
      </c>
      <c r="J39" s="24">
        <v>12.4</v>
      </c>
      <c r="K39" s="24">
        <v>3.6</v>
      </c>
      <c r="L39" s="24">
        <v>25.3</v>
      </c>
      <c r="M39" s="24">
        <v>1.1000000000000001</v>
      </c>
      <c r="N39" s="24">
        <v>14.3</v>
      </c>
      <c r="O39" s="24">
        <v>0</v>
      </c>
      <c r="P39" s="24"/>
      <c r="Q39" s="24">
        <v>43.3</v>
      </c>
      <c r="R39" s="24">
        <v>313</v>
      </c>
      <c r="S39" s="24"/>
      <c r="T39" s="24">
        <v>112</v>
      </c>
      <c r="U39" s="24">
        <v>5.97</v>
      </c>
      <c r="V39" s="24"/>
      <c r="W39" s="24"/>
      <c r="X39" s="24"/>
      <c r="Y39" s="24"/>
      <c r="Z39" s="24">
        <v>3.37</v>
      </c>
      <c r="AA39" s="24">
        <v>439</v>
      </c>
      <c r="AB39" s="24">
        <v>1.5</v>
      </c>
      <c r="AC39" s="24">
        <v>0.9</v>
      </c>
      <c r="AD39" s="24">
        <v>0.15</v>
      </c>
      <c r="AE39" s="24">
        <v>0</v>
      </c>
      <c r="AF39" s="24">
        <v>19</v>
      </c>
      <c r="AG39" s="24">
        <v>2</v>
      </c>
      <c r="AH39" s="24">
        <v>3</v>
      </c>
      <c r="AI39" s="24"/>
      <c r="AJ39" s="24">
        <v>0</v>
      </c>
      <c r="AK39" s="13">
        <v>301</v>
      </c>
      <c r="AL39" s="13">
        <v>3</v>
      </c>
    </row>
    <row r="40" spans="1:38" s="13" customFormat="1">
      <c r="A40" s="59">
        <v>138</v>
      </c>
      <c r="B40" s="59" t="s">
        <v>221</v>
      </c>
      <c r="C40" s="60" t="s">
        <v>566</v>
      </c>
      <c r="D40" s="6">
        <v>3010</v>
      </c>
      <c r="E40" s="59" t="s">
        <v>429</v>
      </c>
      <c r="F40" s="59" t="s">
        <v>95</v>
      </c>
      <c r="G40" s="24">
        <v>0</v>
      </c>
      <c r="H40" s="23">
        <v>4</v>
      </c>
      <c r="I40" s="23">
        <v>12</v>
      </c>
      <c r="J40" s="24">
        <v>9.9</v>
      </c>
      <c r="K40" s="24">
        <v>3.1</v>
      </c>
      <c r="L40" s="24">
        <v>22.3</v>
      </c>
      <c r="M40" s="24">
        <v>5.0999999999999996</v>
      </c>
      <c r="N40" s="24">
        <v>25.2</v>
      </c>
      <c r="O40" s="24">
        <v>0</v>
      </c>
      <c r="P40" s="24"/>
      <c r="Q40" s="24">
        <v>34.299999999999997</v>
      </c>
      <c r="R40" s="24">
        <v>323</v>
      </c>
      <c r="S40" s="24"/>
      <c r="T40" s="24">
        <v>235</v>
      </c>
      <c r="U40" s="24">
        <v>6.8</v>
      </c>
      <c r="V40" s="24"/>
      <c r="W40" s="24"/>
      <c r="X40" s="24"/>
      <c r="Y40" s="24"/>
      <c r="Z40" s="24">
        <v>3.37</v>
      </c>
      <c r="AA40" s="24">
        <v>400</v>
      </c>
      <c r="AB40" s="24">
        <v>8</v>
      </c>
      <c r="AC40" s="24">
        <v>0.48</v>
      </c>
      <c r="AD40" s="24">
        <v>0.16</v>
      </c>
      <c r="AE40" s="24">
        <v>0</v>
      </c>
      <c r="AF40" s="24">
        <v>175</v>
      </c>
      <c r="AG40" s="24">
        <v>15</v>
      </c>
      <c r="AH40" s="24">
        <v>29</v>
      </c>
      <c r="AI40" s="24"/>
      <c r="AJ40" s="24">
        <v>0</v>
      </c>
      <c r="AK40" s="13">
        <v>301</v>
      </c>
      <c r="AL40" s="13">
        <v>3</v>
      </c>
    </row>
    <row r="41" spans="1:38" s="13" customFormat="1">
      <c r="A41" s="59">
        <v>139</v>
      </c>
      <c r="B41" s="59" t="s">
        <v>222</v>
      </c>
      <c r="C41" s="60" t="s">
        <v>566</v>
      </c>
      <c r="D41" s="6">
        <v>3007</v>
      </c>
      <c r="E41" s="59" t="s">
        <v>430</v>
      </c>
      <c r="F41" s="59" t="s">
        <v>135</v>
      </c>
      <c r="G41" s="24">
        <v>0</v>
      </c>
      <c r="H41" s="23">
        <v>4</v>
      </c>
      <c r="I41" s="23">
        <v>12</v>
      </c>
      <c r="J41" s="24">
        <v>90.7</v>
      </c>
      <c r="K41" s="24">
        <v>1.2</v>
      </c>
      <c r="L41" s="24">
        <v>1.8</v>
      </c>
      <c r="M41" s="24">
        <v>0.2</v>
      </c>
      <c r="N41" s="24">
        <v>3.4</v>
      </c>
      <c r="O41" s="24">
        <v>0</v>
      </c>
      <c r="P41" s="24"/>
      <c r="Q41" s="24">
        <v>2.8</v>
      </c>
      <c r="R41" s="24">
        <v>27</v>
      </c>
      <c r="S41" s="24"/>
      <c r="T41" s="24">
        <v>29</v>
      </c>
      <c r="U41" s="24">
        <v>1</v>
      </c>
      <c r="V41" s="24"/>
      <c r="W41" s="24"/>
      <c r="X41" s="24"/>
      <c r="Y41" s="24"/>
      <c r="Z41" s="24">
        <v>0.27</v>
      </c>
      <c r="AA41" s="24">
        <v>18</v>
      </c>
      <c r="AB41" s="24">
        <v>3.1</v>
      </c>
      <c r="AC41" s="24">
        <v>0.03</v>
      </c>
      <c r="AD41" s="24">
        <v>0.05</v>
      </c>
      <c r="AE41" s="24">
        <v>0</v>
      </c>
      <c r="AF41" s="24">
        <v>137</v>
      </c>
      <c r="AG41" s="24">
        <v>11</v>
      </c>
      <c r="AH41" s="24">
        <v>23</v>
      </c>
      <c r="AI41" s="24"/>
      <c r="AJ41" s="24">
        <v>0</v>
      </c>
      <c r="AK41" s="13">
        <v>301</v>
      </c>
      <c r="AL41" s="13">
        <v>3</v>
      </c>
    </row>
    <row r="42" spans="1:38" s="13" customFormat="1">
      <c r="A42" s="59">
        <v>140</v>
      </c>
      <c r="B42" s="59" t="s">
        <v>223</v>
      </c>
      <c r="C42" s="60" t="s">
        <v>553</v>
      </c>
      <c r="D42" s="6"/>
      <c r="E42" s="59"/>
      <c r="F42" s="59" t="s">
        <v>721</v>
      </c>
      <c r="G42" s="24">
        <v>0</v>
      </c>
      <c r="H42" s="23">
        <v>1</v>
      </c>
      <c r="I42" s="23">
        <v>12</v>
      </c>
      <c r="J42" s="24">
        <v>4.794999999999999</v>
      </c>
      <c r="K42" s="24">
        <v>2.7683333333333331</v>
      </c>
      <c r="L42" s="24">
        <v>8.8116666666666674</v>
      </c>
      <c r="M42" s="24">
        <v>5.246666666666667</v>
      </c>
      <c r="N42" s="24">
        <v>5.8500000000000005</v>
      </c>
      <c r="O42" s="24">
        <v>0</v>
      </c>
      <c r="P42" s="24"/>
      <c r="Q42" s="24">
        <v>72.528333333333336</v>
      </c>
      <c r="R42" s="24">
        <v>395.33333333333331</v>
      </c>
      <c r="S42" s="24"/>
      <c r="T42" s="24">
        <v>719.66666666666663</v>
      </c>
      <c r="U42" s="24">
        <v>45.486666666666672</v>
      </c>
      <c r="V42" s="24"/>
      <c r="W42" s="24"/>
      <c r="X42" s="24"/>
      <c r="Y42" s="24"/>
      <c r="Z42" s="24">
        <v>8.01</v>
      </c>
      <c r="AA42" s="24">
        <v>241.83333333333334</v>
      </c>
      <c r="AB42" s="24">
        <v>19.833333333333332</v>
      </c>
      <c r="AC42" s="24">
        <v>1.1299999999999999</v>
      </c>
      <c r="AD42" s="24">
        <v>1.1580000000000001</v>
      </c>
      <c r="AE42" s="24">
        <v>0</v>
      </c>
      <c r="AF42" s="24">
        <v>0</v>
      </c>
      <c r="AG42" s="24">
        <v>0</v>
      </c>
      <c r="AH42" s="24">
        <v>0</v>
      </c>
      <c r="AI42" s="24"/>
      <c r="AJ42" s="24">
        <v>3.7433333333333336</v>
      </c>
      <c r="AK42" s="13">
        <v>1501</v>
      </c>
      <c r="AL42" s="13">
        <v>15</v>
      </c>
    </row>
    <row r="43" spans="1:38" s="13" customFormat="1">
      <c r="A43" s="59">
        <v>141</v>
      </c>
      <c r="B43" s="59" t="s">
        <v>224</v>
      </c>
      <c r="C43" s="60" t="s">
        <v>566</v>
      </c>
      <c r="D43" s="6">
        <v>3007</v>
      </c>
      <c r="E43" s="59" t="s">
        <v>430</v>
      </c>
      <c r="F43" s="59" t="s">
        <v>135</v>
      </c>
      <c r="G43" s="24">
        <v>0</v>
      </c>
      <c r="H43" s="23">
        <v>4</v>
      </c>
      <c r="I43" s="23">
        <v>12</v>
      </c>
      <c r="J43" s="24">
        <v>90.7</v>
      </c>
      <c r="K43" s="24">
        <v>1.2</v>
      </c>
      <c r="L43" s="24">
        <v>1.8</v>
      </c>
      <c r="M43" s="24">
        <v>0.2</v>
      </c>
      <c r="N43" s="24">
        <v>3.4</v>
      </c>
      <c r="O43" s="24">
        <v>0</v>
      </c>
      <c r="P43" s="24"/>
      <c r="Q43" s="24">
        <v>2.8</v>
      </c>
      <c r="R43" s="24">
        <v>27</v>
      </c>
      <c r="S43" s="24"/>
      <c r="T43" s="24">
        <v>29</v>
      </c>
      <c r="U43" s="24">
        <v>1</v>
      </c>
      <c r="V43" s="24"/>
      <c r="W43" s="24"/>
      <c r="X43" s="24"/>
      <c r="Y43" s="24"/>
      <c r="Z43" s="24">
        <v>0.27</v>
      </c>
      <c r="AA43" s="24">
        <v>18</v>
      </c>
      <c r="AB43" s="24">
        <v>3.1</v>
      </c>
      <c r="AC43" s="24">
        <v>0.03</v>
      </c>
      <c r="AD43" s="24">
        <v>0.05</v>
      </c>
      <c r="AE43" s="24">
        <v>0</v>
      </c>
      <c r="AF43" s="24">
        <v>137</v>
      </c>
      <c r="AG43" s="24">
        <v>11</v>
      </c>
      <c r="AH43" s="24">
        <v>23</v>
      </c>
      <c r="AI43" s="24"/>
      <c r="AJ43" s="24">
        <v>0</v>
      </c>
      <c r="AK43" s="13">
        <v>301</v>
      </c>
      <c r="AL43" s="13">
        <v>3</v>
      </c>
    </row>
    <row r="44" spans="1:38" s="13" customFormat="1">
      <c r="A44" s="59">
        <v>142</v>
      </c>
      <c r="B44" s="59" t="s">
        <v>225</v>
      </c>
      <c r="C44" s="60" t="s">
        <v>553</v>
      </c>
      <c r="D44" s="6"/>
      <c r="E44" s="59"/>
      <c r="F44" s="59" t="s">
        <v>721</v>
      </c>
      <c r="G44" s="24">
        <v>0</v>
      </c>
      <c r="H44" s="23">
        <v>4</v>
      </c>
      <c r="I44" s="23">
        <v>12</v>
      </c>
      <c r="J44" s="24">
        <v>10.125</v>
      </c>
      <c r="K44" s="24">
        <v>3.2</v>
      </c>
      <c r="L44" s="24">
        <v>25.75</v>
      </c>
      <c r="M44" s="24">
        <v>1</v>
      </c>
      <c r="N44" s="24">
        <v>16.600000000000001</v>
      </c>
      <c r="O44" s="24">
        <v>0</v>
      </c>
      <c r="P44" s="24"/>
      <c r="Q44" s="24">
        <v>43.324999999999996</v>
      </c>
      <c r="R44" s="24">
        <v>318.5</v>
      </c>
      <c r="S44" s="24"/>
      <c r="T44" s="24">
        <v>71</v>
      </c>
      <c r="U44" s="24">
        <v>7.2650000000000006</v>
      </c>
      <c r="V44" s="24"/>
      <c r="W44" s="24"/>
      <c r="X44" s="24"/>
      <c r="Y44" s="24"/>
      <c r="Z44" s="24">
        <v>3.2450000000000001</v>
      </c>
      <c r="AA44" s="24">
        <v>77.5</v>
      </c>
      <c r="AB44" s="24">
        <v>3.4</v>
      </c>
      <c r="AC44" s="24">
        <v>0.495</v>
      </c>
      <c r="AD44" s="24">
        <v>0.18</v>
      </c>
      <c r="AE44" s="24">
        <v>0</v>
      </c>
      <c r="AF44" s="24">
        <v>7.5</v>
      </c>
      <c r="AG44" s="24">
        <v>0.625</v>
      </c>
      <c r="AH44" s="24">
        <v>1.25</v>
      </c>
      <c r="AI44" s="24"/>
      <c r="AJ44" s="24">
        <v>0</v>
      </c>
      <c r="AK44" s="13">
        <v>301</v>
      </c>
      <c r="AL44" s="13">
        <v>3</v>
      </c>
    </row>
    <row r="45" spans="1:38" s="13" customFormat="1">
      <c r="A45" s="59">
        <v>143</v>
      </c>
      <c r="B45" s="59" t="s">
        <v>226</v>
      </c>
      <c r="C45" s="60" t="s">
        <v>553</v>
      </c>
      <c r="D45" s="6"/>
      <c r="E45" s="59"/>
      <c r="F45" s="59" t="s">
        <v>721</v>
      </c>
      <c r="G45" s="24">
        <v>0</v>
      </c>
      <c r="H45" s="23">
        <v>19</v>
      </c>
      <c r="I45" s="23">
        <v>15</v>
      </c>
      <c r="J45" s="24">
        <v>21.32</v>
      </c>
      <c r="K45" s="24">
        <v>1.7</v>
      </c>
      <c r="L45" s="24">
        <v>8.120000000000001</v>
      </c>
      <c r="M45" s="24">
        <v>15.479999999999999</v>
      </c>
      <c r="N45" s="24">
        <v>1.5200000000000002</v>
      </c>
      <c r="O45" s="24">
        <v>0</v>
      </c>
      <c r="P45" s="24"/>
      <c r="Q45" s="24">
        <v>51.86</v>
      </c>
      <c r="R45" s="24">
        <v>382.4</v>
      </c>
      <c r="S45" s="24"/>
      <c r="T45" s="24">
        <v>78.599999999999994</v>
      </c>
      <c r="U45" s="24">
        <v>1.58</v>
      </c>
      <c r="V45" s="24"/>
      <c r="W45" s="24"/>
      <c r="X45" s="24"/>
      <c r="Y45" s="24"/>
      <c r="Z45" s="24">
        <v>0.55999999999999994</v>
      </c>
      <c r="AA45" s="24">
        <v>8.1999999999999993</v>
      </c>
      <c r="AB45" s="24">
        <v>0</v>
      </c>
      <c r="AC45" s="24">
        <v>6.6000000000000017E-2</v>
      </c>
      <c r="AD45" s="24">
        <v>0.22400000000000003</v>
      </c>
      <c r="AE45" s="24">
        <v>86.6</v>
      </c>
      <c r="AF45" s="24">
        <v>51.3</v>
      </c>
      <c r="AG45" s="24">
        <v>90.875</v>
      </c>
      <c r="AH45" s="24">
        <v>95.149999999999991</v>
      </c>
      <c r="AI45" s="24"/>
      <c r="AJ45" s="24">
        <v>0.6100000000000001</v>
      </c>
      <c r="AK45" s="13">
        <v>1201</v>
      </c>
      <c r="AL45" s="13">
        <v>12</v>
      </c>
    </row>
    <row r="46" spans="1:38" s="13" customFormat="1">
      <c r="A46" s="59">
        <v>144</v>
      </c>
      <c r="B46" s="59" t="s">
        <v>227</v>
      </c>
      <c r="C46" s="60" t="s">
        <v>553</v>
      </c>
      <c r="D46" s="6"/>
      <c r="E46" s="59"/>
      <c r="F46" s="59" t="s">
        <v>721</v>
      </c>
      <c r="G46" s="24">
        <v>0</v>
      </c>
      <c r="H46" s="23">
        <v>19</v>
      </c>
      <c r="I46" s="23">
        <v>15</v>
      </c>
      <c r="J46" s="24">
        <v>4.4000000000000004</v>
      </c>
      <c r="K46" s="24">
        <v>1.5</v>
      </c>
      <c r="L46" s="24">
        <v>6.35</v>
      </c>
      <c r="M46" s="24">
        <v>21.049999999999997</v>
      </c>
      <c r="N46" s="24">
        <v>2.7</v>
      </c>
      <c r="O46" s="24">
        <v>0</v>
      </c>
      <c r="P46" s="24"/>
      <c r="Q46" s="24">
        <v>64</v>
      </c>
      <c r="R46" s="24">
        <v>476</v>
      </c>
      <c r="S46" s="24"/>
      <c r="T46" s="24">
        <v>41.5</v>
      </c>
      <c r="U46" s="24">
        <v>1.4</v>
      </c>
      <c r="V46" s="24"/>
      <c r="W46" s="24"/>
      <c r="X46" s="24"/>
      <c r="Y46" s="24"/>
      <c r="Z46" s="24">
        <v>0.71499999999999997</v>
      </c>
      <c r="AA46" s="24">
        <v>22</v>
      </c>
      <c r="AB46" s="24">
        <v>5</v>
      </c>
      <c r="AC46" s="24">
        <v>0.125</v>
      </c>
      <c r="AD46" s="24">
        <v>4.4999999999999998E-2</v>
      </c>
      <c r="AE46" s="24">
        <v>22.75</v>
      </c>
      <c r="AF46" s="24">
        <v>17.5</v>
      </c>
      <c r="AG46" s="24">
        <v>24.208333333333332</v>
      </c>
      <c r="AH46" s="24">
        <v>25.666666666666668</v>
      </c>
      <c r="AI46" s="24"/>
      <c r="AJ46" s="24">
        <v>0.05</v>
      </c>
      <c r="AK46" s="65">
        <v>1201</v>
      </c>
      <c r="AL46" s="65">
        <v>12</v>
      </c>
    </row>
    <row r="47" spans="1:38" s="13" customFormat="1">
      <c r="A47" s="59">
        <v>145</v>
      </c>
      <c r="B47" s="59" t="s">
        <v>228</v>
      </c>
      <c r="C47" s="60" t="s">
        <v>566</v>
      </c>
      <c r="D47" s="6">
        <v>1007</v>
      </c>
      <c r="E47" s="59" t="s">
        <v>571</v>
      </c>
      <c r="F47" s="59" t="s">
        <v>95</v>
      </c>
      <c r="G47" s="24">
        <v>0</v>
      </c>
      <c r="H47" s="23">
        <v>1</v>
      </c>
      <c r="I47" s="23">
        <v>1</v>
      </c>
      <c r="J47" s="24">
        <v>36.9</v>
      </c>
      <c r="K47" s="24">
        <v>1.7</v>
      </c>
      <c r="L47" s="24">
        <v>7.7</v>
      </c>
      <c r="M47" s="24">
        <v>1.9</v>
      </c>
      <c r="N47" s="24">
        <v>3.1</v>
      </c>
      <c r="O47" s="24">
        <v>0</v>
      </c>
      <c r="P47" s="24"/>
      <c r="Q47" s="24">
        <v>48.8</v>
      </c>
      <c r="R47" s="24">
        <v>249</v>
      </c>
      <c r="S47" s="24"/>
      <c r="T47" s="24">
        <v>37</v>
      </c>
      <c r="U47" s="24">
        <v>1.7</v>
      </c>
      <c r="V47" s="24"/>
      <c r="W47" s="24"/>
      <c r="X47" s="24"/>
      <c r="Y47" s="24"/>
      <c r="Z47" s="24">
        <v>0.8</v>
      </c>
      <c r="AA47" s="24">
        <v>28</v>
      </c>
      <c r="AB47" s="24">
        <v>0</v>
      </c>
      <c r="AC47" s="24">
        <v>0.16</v>
      </c>
      <c r="AD47" s="24">
        <v>0.06</v>
      </c>
      <c r="AE47" s="24">
        <v>0</v>
      </c>
      <c r="AF47" s="24">
        <v>0</v>
      </c>
      <c r="AG47" s="24">
        <v>0</v>
      </c>
      <c r="AH47" s="24">
        <v>0</v>
      </c>
      <c r="AI47" s="24"/>
      <c r="AJ47" s="24">
        <v>7.0000000000000007E-2</v>
      </c>
      <c r="AK47" s="65">
        <v>103</v>
      </c>
      <c r="AL47" s="38">
        <v>1</v>
      </c>
    </row>
    <row r="48" spans="1:38" s="13" customFormat="1">
      <c r="A48" s="59">
        <v>146</v>
      </c>
      <c r="B48" s="59" t="s">
        <v>229</v>
      </c>
      <c r="C48" s="60" t="s">
        <v>566</v>
      </c>
      <c r="D48" s="6">
        <v>1005</v>
      </c>
      <c r="E48" s="59" t="s">
        <v>572</v>
      </c>
      <c r="F48" s="59" t="s">
        <v>95</v>
      </c>
      <c r="G48" s="24">
        <v>0</v>
      </c>
      <c r="H48" s="23">
        <v>1</v>
      </c>
      <c r="I48" s="23">
        <v>1</v>
      </c>
      <c r="J48" s="24">
        <v>36</v>
      </c>
      <c r="K48" s="24">
        <v>1.7</v>
      </c>
      <c r="L48" s="24">
        <v>8</v>
      </c>
      <c r="M48" s="24">
        <v>1.5</v>
      </c>
      <c r="N48" s="24">
        <v>5.9</v>
      </c>
      <c r="O48" s="24">
        <v>0</v>
      </c>
      <c r="P48" s="24"/>
      <c r="Q48" s="24">
        <v>46.9</v>
      </c>
      <c r="R48" s="24">
        <v>245</v>
      </c>
      <c r="S48" s="24"/>
      <c r="T48" s="24">
        <v>56</v>
      </c>
      <c r="U48" s="24">
        <v>2.6</v>
      </c>
      <c r="V48" s="24"/>
      <c r="W48" s="24"/>
      <c r="X48" s="24"/>
      <c r="Y48" s="24"/>
      <c r="Z48" s="24">
        <v>1.3</v>
      </c>
      <c r="AA48" s="24">
        <v>37</v>
      </c>
      <c r="AB48" s="24">
        <v>0</v>
      </c>
      <c r="AC48" s="24">
        <v>0.22</v>
      </c>
      <c r="AD48" s="24">
        <v>0.01</v>
      </c>
      <c r="AE48" s="24">
        <v>0</v>
      </c>
      <c r="AF48" s="24">
        <v>0</v>
      </c>
      <c r="AG48" s="24">
        <v>0</v>
      </c>
      <c r="AH48" s="24">
        <v>0</v>
      </c>
      <c r="AI48" s="24"/>
      <c r="AJ48" s="24">
        <v>0.05</v>
      </c>
      <c r="AK48" s="65">
        <v>103</v>
      </c>
      <c r="AL48" s="38">
        <v>1</v>
      </c>
    </row>
    <row r="49" spans="1:38" s="13" customFormat="1">
      <c r="A49" s="59">
        <v>147</v>
      </c>
      <c r="B49" s="59" t="s">
        <v>230</v>
      </c>
      <c r="C49" s="60" t="s">
        <v>566</v>
      </c>
      <c r="D49" s="6">
        <v>1006</v>
      </c>
      <c r="E49" s="59" t="s">
        <v>439</v>
      </c>
      <c r="F49" s="59" t="s">
        <v>135</v>
      </c>
      <c r="G49" s="24">
        <v>0</v>
      </c>
      <c r="H49" s="23">
        <v>19</v>
      </c>
      <c r="I49" s="23">
        <v>1</v>
      </c>
      <c r="J49" s="24">
        <v>23.5</v>
      </c>
      <c r="K49" s="24">
        <v>1.8</v>
      </c>
      <c r="L49" s="24">
        <v>8.3000000000000007</v>
      </c>
      <c r="M49" s="24">
        <v>14.4</v>
      </c>
      <c r="N49" s="24">
        <v>1.5</v>
      </c>
      <c r="O49" s="24">
        <v>0</v>
      </c>
      <c r="P49" s="24"/>
      <c r="Q49" s="24">
        <v>50.6</v>
      </c>
      <c r="R49" s="24">
        <v>368</v>
      </c>
      <c r="S49" s="24"/>
      <c r="T49" s="24">
        <v>80</v>
      </c>
      <c r="U49" s="24">
        <v>1.9</v>
      </c>
      <c r="V49" s="24"/>
      <c r="W49" s="24"/>
      <c r="X49" s="24"/>
      <c r="Y49" s="24"/>
      <c r="Z49" s="24">
        <v>0.8</v>
      </c>
      <c r="AA49" s="24">
        <v>33</v>
      </c>
      <c r="AB49" s="24">
        <v>0.6</v>
      </c>
      <c r="AC49" s="24">
        <v>0.2</v>
      </c>
      <c r="AD49" s="24">
        <v>0.16</v>
      </c>
      <c r="AE49" s="24">
        <v>70</v>
      </c>
      <c r="AF49" s="24">
        <v>43</v>
      </c>
      <c r="AG49" s="24">
        <v>74</v>
      </c>
      <c r="AH49" s="24">
        <v>77</v>
      </c>
      <c r="AI49" s="24"/>
      <c r="AJ49" s="24">
        <v>0.23</v>
      </c>
      <c r="AK49" s="65">
        <v>103</v>
      </c>
      <c r="AL49" s="38">
        <v>1</v>
      </c>
    </row>
    <row r="50" spans="1:38" s="13" customFormat="1">
      <c r="A50" s="59">
        <v>148</v>
      </c>
      <c r="B50" s="59" t="s">
        <v>231</v>
      </c>
      <c r="C50" s="60" t="s">
        <v>553</v>
      </c>
      <c r="D50" s="6"/>
      <c r="E50" s="59"/>
      <c r="F50" s="59" t="s">
        <v>93</v>
      </c>
      <c r="G50" s="24">
        <v>0</v>
      </c>
      <c r="H50" s="23">
        <v>1</v>
      </c>
      <c r="I50" s="23">
        <v>1</v>
      </c>
      <c r="J50" s="24">
        <v>25</v>
      </c>
      <c r="K50" s="24">
        <v>2.25</v>
      </c>
      <c r="L50" s="24">
        <v>7.25</v>
      </c>
      <c r="M50" s="24">
        <v>10.9</v>
      </c>
      <c r="N50" s="24">
        <v>2.5</v>
      </c>
      <c r="O50" s="24">
        <v>0</v>
      </c>
      <c r="P50" s="24"/>
      <c r="Q50" s="24">
        <v>52.1</v>
      </c>
      <c r="R50" s="24">
        <v>340.5</v>
      </c>
      <c r="S50" s="24"/>
      <c r="T50" s="24">
        <v>73</v>
      </c>
      <c r="U50" s="24">
        <v>2</v>
      </c>
      <c r="V50" s="24"/>
      <c r="W50" s="24"/>
      <c r="X50" s="24"/>
      <c r="Y50" s="24"/>
      <c r="Z50" s="24">
        <v>0.64999999999999991</v>
      </c>
      <c r="AA50" s="24">
        <v>15.5</v>
      </c>
      <c r="AB50" s="24">
        <v>0</v>
      </c>
      <c r="AC50" s="24">
        <v>0.14500000000000002</v>
      </c>
      <c r="AD50" s="24">
        <v>6.5000000000000002E-2</v>
      </c>
      <c r="AE50" s="24">
        <v>43.5</v>
      </c>
      <c r="AF50" s="24">
        <v>45.5</v>
      </c>
      <c r="AG50" s="24">
        <v>47.291666666666664</v>
      </c>
      <c r="AH50" s="24">
        <v>51.083333333333336</v>
      </c>
      <c r="AI50" s="24"/>
      <c r="AJ50" s="24">
        <v>0.2</v>
      </c>
      <c r="AK50" s="65">
        <v>103</v>
      </c>
      <c r="AL50" s="38">
        <v>1</v>
      </c>
    </row>
    <row r="51" spans="1:38" s="13" customFormat="1">
      <c r="A51" s="59">
        <v>149</v>
      </c>
      <c r="B51" s="59" t="s">
        <v>232</v>
      </c>
      <c r="C51" s="60" t="s">
        <v>553</v>
      </c>
      <c r="D51" s="6"/>
      <c r="E51" s="59"/>
      <c r="F51" s="59" t="s">
        <v>93</v>
      </c>
      <c r="G51" s="24">
        <v>0</v>
      </c>
      <c r="H51" s="23">
        <v>1</v>
      </c>
      <c r="I51" s="23">
        <v>1</v>
      </c>
      <c r="J51" s="24">
        <v>8.85</v>
      </c>
      <c r="K51" s="24">
        <v>0.9</v>
      </c>
      <c r="L51" s="24">
        <v>13.2</v>
      </c>
      <c r="M51" s="24">
        <v>1.45</v>
      </c>
      <c r="N51" s="24">
        <v>3.25</v>
      </c>
      <c r="O51" s="24">
        <v>0</v>
      </c>
      <c r="P51" s="24"/>
      <c r="Q51" s="24">
        <v>72.349999999999994</v>
      </c>
      <c r="R51" s="24">
        <v>362</v>
      </c>
      <c r="S51" s="24"/>
      <c r="T51" s="24">
        <v>19.5</v>
      </c>
      <c r="U51" s="24">
        <v>1.45</v>
      </c>
      <c r="V51" s="24"/>
      <c r="W51" s="24"/>
      <c r="X51" s="24"/>
      <c r="Y51" s="24"/>
      <c r="Z51" s="24">
        <v>0.6</v>
      </c>
      <c r="AA51" s="24">
        <v>16.5</v>
      </c>
      <c r="AB51" s="24">
        <v>0</v>
      </c>
      <c r="AC51" s="24">
        <v>7.0000000000000007E-2</v>
      </c>
      <c r="AD51" s="24">
        <v>4.4999999999999998E-2</v>
      </c>
      <c r="AE51" s="24">
        <v>0</v>
      </c>
      <c r="AF51" s="24">
        <v>0</v>
      </c>
      <c r="AG51" s="24">
        <v>0</v>
      </c>
      <c r="AH51" s="24">
        <v>0</v>
      </c>
      <c r="AI51" s="24"/>
      <c r="AJ51" s="24">
        <v>0</v>
      </c>
      <c r="AK51" s="65">
        <v>103</v>
      </c>
      <c r="AL51" s="38">
        <v>1</v>
      </c>
    </row>
    <row r="52" spans="1:38" s="13" customFormat="1">
      <c r="A52" s="59">
        <v>201</v>
      </c>
      <c r="B52" s="59" t="s">
        <v>233</v>
      </c>
      <c r="C52" s="60" t="s">
        <v>553</v>
      </c>
      <c r="D52" s="6"/>
      <c r="E52" s="59"/>
      <c r="F52" s="59" t="s">
        <v>721</v>
      </c>
      <c r="G52" s="127">
        <f>+G53+20</f>
        <v>31.666666666666664</v>
      </c>
      <c r="H52" s="23">
        <v>12</v>
      </c>
      <c r="I52" s="23">
        <v>9</v>
      </c>
      <c r="J52" s="24">
        <v>68.033333333333346</v>
      </c>
      <c r="K52" s="24">
        <v>1.0333333333333334</v>
      </c>
      <c r="L52" s="24">
        <v>19.633333333333336</v>
      </c>
      <c r="M52" s="24">
        <v>11.200000000000001</v>
      </c>
      <c r="N52" s="24">
        <v>0</v>
      </c>
      <c r="O52" s="24">
        <v>0</v>
      </c>
      <c r="P52" s="24"/>
      <c r="Q52" s="24">
        <v>9.9999999999981881E-2</v>
      </c>
      <c r="R52" s="24">
        <v>179.66666666666666</v>
      </c>
      <c r="S52" s="24"/>
      <c r="T52" s="24">
        <v>8.3333333333333339</v>
      </c>
      <c r="U52" s="24">
        <v>5.6333333333333329</v>
      </c>
      <c r="V52" s="24"/>
      <c r="W52" s="24"/>
      <c r="X52" s="24"/>
      <c r="Y52" s="24"/>
      <c r="Z52" s="24">
        <v>3.69</v>
      </c>
      <c r="AA52" s="24">
        <v>1.3333333333333333</v>
      </c>
      <c r="AB52" s="24">
        <v>0.53333333333333333</v>
      </c>
      <c r="AC52" s="24">
        <v>0</v>
      </c>
      <c r="AD52" s="24">
        <v>0.20666666666666667</v>
      </c>
      <c r="AE52" s="24">
        <v>14.666666666666666</v>
      </c>
      <c r="AF52" s="24">
        <v>9.3333333333333339</v>
      </c>
      <c r="AG52" s="24">
        <v>15.444444444444445</v>
      </c>
      <c r="AH52" s="24">
        <v>16.222222222222221</v>
      </c>
      <c r="AI52" s="24"/>
      <c r="AJ52" s="24">
        <v>1.9833333333333332</v>
      </c>
      <c r="AK52" s="65">
        <v>702</v>
      </c>
      <c r="AL52" s="65">
        <v>7</v>
      </c>
    </row>
    <row r="53" spans="1:38" s="13" customFormat="1">
      <c r="A53" s="59">
        <v>202</v>
      </c>
      <c r="B53" s="59" t="s">
        <v>234</v>
      </c>
      <c r="C53" s="60" t="s">
        <v>603</v>
      </c>
      <c r="D53" s="6"/>
      <c r="E53" s="59"/>
      <c r="F53" s="59" t="s">
        <v>721</v>
      </c>
      <c r="G53" s="127">
        <v>11.666666666666666</v>
      </c>
      <c r="H53" s="23">
        <v>12</v>
      </c>
      <c r="I53" s="23">
        <v>9</v>
      </c>
      <c r="J53" s="24">
        <f t="shared" ref="J53:R54" si="7">J52</f>
        <v>68.033333333333346</v>
      </c>
      <c r="K53" s="24">
        <f t="shared" si="7"/>
        <v>1.0333333333333334</v>
      </c>
      <c r="L53" s="24">
        <f t="shared" si="7"/>
        <v>19.633333333333336</v>
      </c>
      <c r="M53" s="24">
        <f t="shared" si="7"/>
        <v>11.200000000000001</v>
      </c>
      <c r="N53" s="24">
        <f t="shared" si="7"/>
        <v>0</v>
      </c>
      <c r="O53" s="24">
        <f t="shared" si="7"/>
        <v>0</v>
      </c>
      <c r="P53" s="24">
        <f t="shared" si="7"/>
        <v>0</v>
      </c>
      <c r="Q53" s="24">
        <f t="shared" si="7"/>
        <v>9.9999999999981881E-2</v>
      </c>
      <c r="R53" s="24">
        <f t="shared" si="7"/>
        <v>179.66666666666666</v>
      </c>
      <c r="S53" s="24"/>
      <c r="T53" s="24">
        <f>T52</f>
        <v>8.3333333333333339</v>
      </c>
      <c r="U53" s="24">
        <f>U52</f>
        <v>5.6333333333333329</v>
      </c>
      <c r="V53" s="24"/>
      <c r="W53" s="24"/>
      <c r="X53" s="24"/>
      <c r="Y53" s="24"/>
      <c r="Z53" s="24">
        <f t="shared" ref="Z53:AH54" si="8">Z52</f>
        <v>3.69</v>
      </c>
      <c r="AA53" s="24">
        <f t="shared" si="8"/>
        <v>1.3333333333333333</v>
      </c>
      <c r="AB53" s="24">
        <f t="shared" si="8"/>
        <v>0.53333333333333333</v>
      </c>
      <c r="AC53" s="24">
        <f t="shared" si="8"/>
        <v>0</v>
      </c>
      <c r="AD53" s="24">
        <f t="shared" si="8"/>
        <v>0.20666666666666667</v>
      </c>
      <c r="AE53" s="24">
        <f t="shared" si="8"/>
        <v>14.666666666666666</v>
      </c>
      <c r="AF53" s="24">
        <f t="shared" si="8"/>
        <v>9.3333333333333339</v>
      </c>
      <c r="AG53" s="24">
        <f t="shared" si="8"/>
        <v>15.444444444444445</v>
      </c>
      <c r="AH53" s="24">
        <f t="shared" si="8"/>
        <v>16.222222222222221</v>
      </c>
      <c r="AI53" s="24"/>
      <c r="AJ53" s="24">
        <f>AJ52</f>
        <v>1.9833333333333332</v>
      </c>
      <c r="AK53" s="65">
        <v>702</v>
      </c>
      <c r="AL53" s="65">
        <v>7</v>
      </c>
    </row>
    <row r="54" spans="1:38" s="13" customFormat="1">
      <c r="A54" s="59">
        <v>203</v>
      </c>
      <c r="B54" s="59" t="s">
        <v>235</v>
      </c>
      <c r="C54" s="60" t="s">
        <v>604</v>
      </c>
      <c r="D54" s="6"/>
      <c r="E54" s="59"/>
      <c r="F54" s="59" t="s">
        <v>721</v>
      </c>
      <c r="G54" s="24">
        <v>0</v>
      </c>
      <c r="H54" s="23">
        <v>12</v>
      </c>
      <c r="I54" s="23">
        <v>9</v>
      </c>
      <c r="J54" s="24">
        <f t="shared" si="7"/>
        <v>68.033333333333346</v>
      </c>
      <c r="K54" s="24">
        <f t="shared" si="7"/>
        <v>1.0333333333333334</v>
      </c>
      <c r="L54" s="24">
        <f t="shared" si="7"/>
        <v>19.633333333333336</v>
      </c>
      <c r="M54" s="24">
        <f t="shared" si="7"/>
        <v>11.200000000000001</v>
      </c>
      <c r="N54" s="24">
        <f t="shared" si="7"/>
        <v>0</v>
      </c>
      <c r="O54" s="24">
        <f t="shared" si="7"/>
        <v>0</v>
      </c>
      <c r="P54" s="24">
        <f t="shared" si="7"/>
        <v>0</v>
      </c>
      <c r="Q54" s="24">
        <f t="shared" si="7"/>
        <v>9.9999999999981881E-2</v>
      </c>
      <c r="R54" s="24">
        <f t="shared" si="7"/>
        <v>179.66666666666666</v>
      </c>
      <c r="S54" s="24"/>
      <c r="T54" s="24">
        <f>T53</f>
        <v>8.3333333333333339</v>
      </c>
      <c r="U54" s="24">
        <f>U53</f>
        <v>5.6333333333333329</v>
      </c>
      <c r="V54" s="24"/>
      <c r="W54" s="24"/>
      <c r="X54" s="24"/>
      <c r="Y54" s="24"/>
      <c r="Z54" s="24">
        <f t="shared" si="8"/>
        <v>3.69</v>
      </c>
      <c r="AA54" s="24">
        <f t="shared" si="8"/>
        <v>1.3333333333333333</v>
      </c>
      <c r="AB54" s="24">
        <f t="shared" si="8"/>
        <v>0.53333333333333333</v>
      </c>
      <c r="AC54" s="24">
        <f t="shared" si="8"/>
        <v>0</v>
      </c>
      <c r="AD54" s="24">
        <f t="shared" si="8"/>
        <v>0.20666666666666667</v>
      </c>
      <c r="AE54" s="24">
        <f t="shared" si="8"/>
        <v>14.666666666666666</v>
      </c>
      <c r="AF54" s="24">
        <f t="shared" si="8"/>
        <v>9.3333333333333339</v>
      </c>
      <c r="AG54" s="24">
        <f t="shared" si="8"/>
        <v>15.444444444444445</v>
      </c>
      <c r="AH54" s="24">
        <f t="shared" si="8"/>
        <v>16.222222222222221</v>
      </c>
      <c r="AI54" s="24"/>
      <c r="AJ54" s="24">
        <f>AJ53</f>
        <v>1.9833333333333332</v>
      </c>
      <c r="AK54" s="65">
        <v>702</v>
      </c>
      <c r="AL54" s="65">
        <v>7</v>
      </c>
    </row>
    <row r="55" spans="1:38" s="13" customFormat="1">
      <c r="A55" s="59">
        <v>204</v>
      </c>
      <c r="B55" s="59" t="s">
        <v>236</v>
      </c>
      <c r="C55" s="60" t="s">
        <v>566</v>
      </c>
      <c r="D55" s="6">
        <v>7020</v>
      </c>
      <c r="E55" s="59" t="s">
        <v>449</v>
      </c>
      <c r="F55" s="59" t="s">
        <v>135</v>
      </c>
      <c r="G55" s="24">
        <v>0</v>
      </c>
      <c r="H55" s="23">
        <v>12</v>
      </c>
      <c r="I55" s="23">
        <v>9</v>
      </c>
      <c r="J55" s="24">
        <v>57.2</v>
      </c>
      <c r="K55" s="24">
        <v>0.7</v>
      </c>
      <c r="L55" s="24">
        <v>18.899999999999999</v>
      </c>
      <c r="M55" s="24">
        <v>23.5</v>
      </c>
      <c r="N55" s="24">
        <v>0</v>
      </c>
      <c r="O55" s="24">
        <v>0</v>
      </c>
      <c r="P55" s="24"/>
      <c r="Q55" s="24">
        <v>0</v>
      </c>
      <c r="R55" s="24">
        <v>286</v>
      </c>
      <c r="S55" s="24"/>
      <c r="T55" s="24">
        <v>25</v>
      </c>
      <c r="U55" s="24">
        <v>1.1000000000000001</v>
      </c>
      <c r="V55" s="24"/>
      <c r="W55" s="24"/>
      <c r="X55" s="24"/>
      <c r="Y55" s="24"/>
      <c r="Z55" s="24">
        <v>1.59</v>
      </c>
      <c r="AA55" s="24">
        <v>4</v>
      </c>
      <c r="AB55" s="24">
        <v>0</v>
      </c>
      <c r="AC55" s="24">
        <v>0.63</v>
      </c>
      <c r="AD55" s="24">
        <v>0.17</v>
      </c>
      <c r="AE55" s="24">
        <v>0</v>
      </c>
      <c r="AF55" s="24">
        <v>0</v>
      </c>
      <c r="AG55" s="24">
        <v>0</v>
      </c>
      <c r="AH55" s="24">
        <v>0</v>
      </c>
      <c r="AI55" s="24"/>
      <c r="AJ55" s="24">
        <v>0.6</v>
      </c>
      <c r="AK55" s="65">
        <v>702</v>
      </c>
      <c r="AL55" s="65">
        <v>7</v>
      </c>
    </row>
    <row r="56" spans="1:38" s="13" customFormat="1">
      <c r="A56" s="59">
        <v>205</v>
      </c>
      <c r="B56" s="59" t="s">
        <v>237</v>
      </c>
      <c r="C56" s="60" t="s">
        <v>553</v>
      </c>
      <c r="D56" s="6"/>
      <c r="E56" s="59"/>
      <c r="F56" s="59" t="s">
        <v>721</v>
      </c>
      <c r="G56" s="24">
        <v>18.333333333333332</v>
      </c>
      <c r="H56" s="23">
        <v>12</v>
      </c>
      <c r="I56" s="23">
        <v>9</v>
      </c>
      <c r="J56" s="24">
        <v>67.600000000000009</v>
      </c>
      <c r="K56" s="24">
        <v>1</v>
      </c>
      <c r="L56" s="24">
        <v>18.366666666666667</v>
      </c>
      <c r="M56" s="24">
        <v>11.866666666666665</v>
      </c>
      <c r="N56" s="24">
        <v>0</v>
      </c>
      <c r="O56" s="24">
        <v>0</v>
      </c>
      <c r="P56" s="24"/>
      <c r="Q56" s="24">
        <v>1.166666666666659</v>
      </c>
      <c r="R56" s="24">
        <v>184.66666666666666</v>
      </c>
      <c r="S56" s="24"/>
      <c r="T56" s="24">
        <v>10.666666666666666</v>
      </c>
      <c r="U56" s="24">
        <v>3.5999999999999996</v>
      </c>
      <c r="V56" s="24"/>
      <c r="W56" s="24"/>
      <c r="X56" s="24"/>
      <c r="Y56" s="24"/>
      <c r="Z56" s="24">
        <v>3.4166666666666665</v>
      </c>
      <c r="AA56" s="24">
        <v>7</v>
      </c>
      <c r="AB56" s="24">
        <v>0.40000000000000008</v>
      </c>
      <c r="AC56" s="24">
        <v>0.15</v>
      </c>
      <c r="AD56" s="24">
        <v>0.21333333333333335</v>
      </c>
      <c r="AE56" s="24">
        <v>8.3333333333333339</v>
      </c>
      <c r="AF56" s="24">
        <v>0</v>
      </c>
      <c r="AG56" s="24">
        <v>8.3333333333333339</v>
      </c>
      <c r="AH56" s="24">
        <v>8.3333333333333339</v>
      </c>
      <c r="AI56" s="24"/>
      <c r="AJ56" s="24">
        <v>2.6066666666666669</v>
      </c>
      <c r="AK56" s="65">
        <v>702</v>
      </c>
      <c r="AL56" s="65">
        <v>7</v>
      </c>
    </row>
    <row r="57" spans="1:38" s="13" customFormat="1">
      <c r="A57" s="59">
        <v>206</v>
      </c>
      <c r="B57" s="59" t="s">
        <v>238</v>
      </c>
      <c r="C57" s="60" t="s">
        <v>566</v>
      </c>
      <c r="D57" s="6">
        <v>7006</v>
      </c>
      <c r="E57" s="59" t="s">
        <v>573</v>
      </c>
      <c r="F57" s="59" t="s">
        <v>95</v>
      </c>
      <c r="G57" s="24">
        <v>0</v>
      </c>
      <c r="H57" s="23">
        <v>12</v>
      </c>
      <c r="I57" s="23">
        <v>9</v>
      </c>
      <c r="J57" s="24">
        <v>60.5</v>
      </c>
      <c r="K57" s="24">
        <v>1.4</v>
      </c>
      <c r="L57" s="24">
        <v>18.600000000000001</v>
      </c>
      <c r="M57" s="24">
        <v>8.9</v>
      </c>
      <c r="N57" s="24">
        <v>0</v>
      </c>
      <c r="O57" s="24">
        <v>0</v>
      </c>
      <c r="P57" s="24"/>
      <c r="Q57" s="24">
        <v>10.8</v>
      </c>
      <c r="R57" s="24">
        <v>197</v>
      </c>
      <c r="S57" s="24"/>
      <c r="T57" s="24">
        <v>4</v>
      </c>
      <c r="U57" s="24">
        <v>3.8</v>
      </c>
      <c r="V57" s="24"/>
      <c r="W57" s="24"/>
      <c r="X57" s="24"/>
      <c r="Y57" s="24"/>
      <c r="Z57" s="24">
        <v>1.93</v>
      </c>
      <c r="AA57" s="24">
        <v>8</v>
      </c>
      <c r="AB57" s="24">
        <v>0</v>
      </c>
      <c r="AC57" s="24">
        <v>0.04</v>
      </c>
      <c r="AD57" s="24">
        <v>0.2</v>
      </c>
      <c r="AE57" s="24">
        <v>0</v>
      </c>
      <c r="AF57" s="24">
        <v>10</v>
      </c>
      <c r="AG57" s="24">
        <v>1</v>
      </c>
      <c r="AH57" s="24">
        <v>2</v>
      </c>
      <c r="AI57" s="24"/>
      <c r="AJ57" s="24">
        <v>1.7</v>
      </c>
      <c r="AK57" s="65">
        <v>702</v>
      </c>
      <c r="AL57" s="65">
        <v>7</v>
      </c>
    </row>
    <row r="58" spans="1:38" s="13" customFormat="1">
      <c r="A58" s="59">
        <v>207</v>
      </c>
      <c r="B58" s="59" t="s">
        <v>239</v>
      </c>
      <c r="C58" s="60" t="s">
        <v>566</v>
      </c>
      <c r="D58" s="6">
        <v>7009</v>
      </c>
      <c r="E58" s="59" t="s">
        <v>454</v>
      </c>
      <c r="F58" s="59" t="s">
        <v>135</v>
      </c>
      <c r="G58" s="24">
        <v>35</v>
      </c>
      <c r="H58" s="23">
        <v>12</v>
      </c>
      <c r="I58" s="23">
        <v>9</v>
      </c>
      <c r="J58" s="24">
        <v>63.6</v>
      </c>
      <c r="K58" s="24">
        <v>0.9</v>
      </c>
      <c r="L58" s="24">
        <v>18.7</v>
      </c>
      <c r="M58" s="24">
        <v>13</v>
      </c>
      <c r="N58" s="24">
        <v>0</v>
      </c>
      <c r="O58" s="24">
        <v>0</v>
      </c>
      <c r="P58" s="24"/>
      <c r="Q58" s="24">
        <v>3.8</v>
      </c>
      <c r="R58" s="24">
        <v>207</v>
      </c>
      <c r="S58" s="24"/>
      <c r="T58" s="24">
        <v>13</v>
      </c>
      <c r="U58" s="24">
        <v>2.5</v>
      </c>
      <c r="V58" s="24"/>
      <c r="W58" s="24"/>
      <c r="X58" s="24"/>
      <c r="Y58" s="24"/>
      <c r="Z58" s="24">
        <v>0.89</v>
      </c>
      <c r="AA58" s="24">
        <v>11</v>
      </c>
      <c r="AB58" s="24">
        <v>1.2</v>
      </c>
      <c r="AC58" s="24">
        <v>0.14000000000000001</v>
      </c>
      <c r="AD58" s="24">
        <v>0.12</v>
      </c>
      <c r="AE58" s="24">
        <v>75</v>
      </c>
      <c r="AF58" s="24">
        <v>0</v>
      </c>
      <c r="AG58" s="24">
        <v>75</v>
      </c>
      <c r="AH58" s="24">
        <v>75</v>
      </c>
      <c r="AI58" s="24"/>
      <c r="AJ58" s="24">
        <v>0.63</v>
      </c>
      <c r="AK58" s="65">
        <v>703</v>
      </c>
      <c r="AL58" s="65">
        <v>7</v>
      </c>
    </row>
    <row r="59" spans="1:38" s="13" customFormat="1">
      <c r="A59" s="59">
        <v>208</v>
      </c>
      <c r="B59" s="59" t="s">
        <v>240</v>
      </c>
      <c r="C59" s="60" t="s">
        <v>566</v>
      </c>
      <c r="D59" s="6">
        <v>7021</v>
      </c>
      <c r="E59" s="59" t="s">
        <v>455</v>
      </c>
      <c r="F59" s="59" t="s">
        <v>95</v>
      </c>
      <c r="G59" s="24">
        <v>0</v>
      </c>
      <c r="H59" s="23">
        <v>12</v>
      </c>
      <c r="I59" s="23">
        <v>9</v>
      </c>
      <c r="J59" s="24">
        <v>67</v>
      </c>
      <c r="K59" s="24">
        <v>1.3</v>
      </c>
      <c r="L59" s="24">
        <v>24.4</v>
      </c>
      <c r="M59" s="24">
        <v>4.8</v>
      </c>
      <c r="N59" s="24">
        <v>0</v>
      </c>
      <c r="O59" s="24">
        <v>0</v>
      </c>
      <c r="P59" s="24"/>
      <c r="Q59" s="24">
        <v>2.5</v>
      </c>
      <c r="R59" s="24">
        <v>151</v>
      </c>
      <c r="S59" s="24"/>
      <c r="T59" s="24">
        <v>12</v>
      </c>
      <c r="U59" s="24">
        <v>1</v>
      </c>
      <c r="V59" s="24"/>
      <c r="W59" s="24"/>
      <c r="X59" s="24"/>
      <c r="Y59" s="24"/>
      <c r="Z59" s="24">
        <v>1.6</v>
      </c>
      <c r="AA59" s="24">
        <v>11</v>
      </c>
      <c r="AB59" s="24">
        <v>0</v>
      </c>
      <c r="AC59" s="24">
        <v>0.46</v>
      </c>
      <c r="AD59" s="24">
        <v>0.06</v>
      </c>
      <c r="AE59" s="24">
        <v>10</v>
      </c>
      <c r="AF59" s="24">
        <v>0</v>
      </c>
      <c r="AG59" s="24">
        <v>10</v>
      </c>
      <c r="AH59" s="24">
        <v>10</v>
      </c>
      <c r="AI59" s="24"/>
      <c r="AJ59" s="24">
        <v>5.3</v>
      </c>
      <c r="AK59" s="65">
        <v>702</v>
      </c>
      <c r="AL59" s="65">
        <v>7</v>
      </c>
    </row>
    <row r="60" spans="1:38" s="13" customFormat="1">
      <c r="A60" s="59">
        <v>209</v>
      </c>
      <c r="B60" s="59" t="s">
        <v>241</v>
      </c>
      <c r="C60" s="60" t="s">
        <v>553</v>
      </c>
      <c r="D60" s="6"/>
      <c r="E60" s="59"/>
      <c r="F60" s="59" t="s">
        <v>721</v>
      </c>
      <c r="G60" s="24">
        <v>0</v>
      </c>
      <c r="H60" s="23">
        <v>19</v>
      </c>
      <c r="I60" s="23">
        <v>9</v>
      </c>
      <c r="J60" s="24">
        <v>85.504999999999995</v>
      </c>
      <c r="K60" s="24">
        <v>1.7550000000000001</v>
      </c>
      <c r="L60" s="24">
        <v>2.9</v>
      </c>
      <c r="M60" s="24">
        <v>1.7849999999999999</v>
      </c>
      <c r="N60" s="24">
        <v>1.9500000000000002</v>
      </c>
      <c r="O60" s="24">
        <v>0</v>
      </c>
      <c r="P60" s="24">
        <v>8.06</v>
      </c>
      <c r="Q60" s="24">
        <v>6.1050000000000031</v>
      </c>
      <c r="R60" s="24">
        <v>83.55</v>
      </c>
      <c r="S60" s="24"/>
      <c r="T60" s="24">
        <v>26.5</v>
      </c>
      <c r="U60" s="24">
        <v>0.69500000000000006</v>
      </c>
      <c r="V60" s="24"/>
      <c r="W60" s="24"/>
      <c r="X60" s="24"/>
      <c r="Y60" s="24"/>
      <c r="Z60" s="24">
        <v>0.39250000000000002</v>
      </c>
      <c r="AA60" s="24">
        <v>18</v>
      </c>
      <c r="AB60" s="24">
        <v>0.625</v>
      </c>
      <c r="AC60" s="24">
        <v>4.1500000000000002E-2</v>
      </c>
      <c r="AD60" s="24">
        <v>3.2000000000000001E-2</v>
      </c>
      <c r="AE60" s="24">
        <v>0.25</v>
      </c>
      <c r="AF60" s="24">
        <v>483.875</v>
      </c>
      <c r="AG60" s="24">
        <v>40.572916666666664</v>
      </c>
      <c r="AH60" s="24">
        <v>80.895833333333329</v>
      </c>
      <c r="AI60" s="24"/>
      <c r="AJ60" s="24">
        <v>2.5000000000000001E-2</v>
      </c>
      <c r="AK60" s="65">
        <v>1811</v>
      </c>
      <c r="AL60" s="65">
        <v>18</v>
      </c>
    </row>
    <row r="61" spans="1:38" s="13" customFormat="1">
      <c r="A61" s="59">
        <v>210</v>
      </c>
      <c r="B61" s="59" t="s">
        <v>242</v>
      </c>
      <c r="C61" s="60" t="s">
        <v>553</v>
      </c>
      <c r="D61" s="6"/>
      <c r="E61" s="59"/>
      <c r="F61" s="59" t="s">
        <v>93</v>
      </c>
      <c r="G61" s="24">
        <v>4.5</v>
      </c>
      <c r="H61" s="23">
        <v>12</v>
      </c>
      <c r="I61" s="23">
        <v>8</v>
      </c>
      <c r="J61" s="24">
        <v>74.995000000000005</v>
      </c>
      <c r="K61" s="24">
        <v>1.3483333333333334</v>
      </c>
      <c r="L61" s="24">
        <v>18.799999999999997</v>
      </c>
      <c r="M61" s="24">
        <v>4.1449999999999996</v>
      </c>
      <c r="N61" s="24">
        <v>0</v>
      </c>
      <c r="O61" s="24">
        <v>0</v>
      </c>
      <c r="P61" s="24"/>
      <c r="Q61" s="24"/>
      <c r="R61" s="24">
        <v>115.5</v>
      </c>
      <c r="S61" s="24"/>
      <c r="T61" s="24">
        <v>11.166666666666666</v>
      </c>
      <c r="U61" s="24">
        <v>6.4666666666666659</v>
      </c>
      <c r="V61" s="24"/>
      <c r="W61" s="24"/>
      <c r="X61" s="24"/>
      <c r="Y61" s="24"/>
      <c r="Z61" s="24">
        <v>2.9299999999999997</v>
      </c>
      <c r="AA61" s="24">
        <v>249.83333333333331</v>
      </c>
      <c r="AB61" s="24">
        <v>12.7</v>
      </c>
      <c r="AC61" s="24">
        <v>0.30016666666666664</v>
      </c>
      <c r="AD61" s="24">
        <v>2.2949999999999999</v>
      </c>
      <c r="AE61" s="24">
        <v>11303.833333333332</v>
      </c>
      <c r="AF61" s="24">
        <v>142.83333333333331</v>
      </c>
      <c r="AG61" s="24">
        <v>11315.736111111109</v>
      </c>
      <c r="AH61" s="24">
        <v>11327.638888888887</v>
      </c>
      <c r="AI61" s="24"/>
      <c r="AJ61" s="24">
        <v>58.223333333333329</v>
      </c>
      <c r="AK61" s="65">
        <v>701</v>
      </c>
      <c r="AL61" s="65">
        <v>7</v>
      </c>
    </row>
    <row r="62" spans="1:38" s="13" customFormat="1">
      <c r="A62" s="59">
        <v>211</v>
      </c>
      <c r="B62" s="59" t="s">
        <v>605</v>
      </c>
      <c r="C62" s="60" t="s">
        <v>607</v>
      </c>
      <c r="D62" s="6">
        <v>13341</v>
      </c>
      <c r="E62" s="59" t="s">
        <v>679</v>
      </c>
      <c r="F62" s="59" t="s">
        <v>95</v>
      </c>
      <c r="G62" s="24">
        <v>0</v>
      </c>
      <c r="H62" s="23">
        <v>12</v>
      </c>
      <c r="I62" s="23">
        <v>8</v>
      </c>
      <c r="J62" s="24">
        <v>84.16</v>
      </c>
      <c r="K62" s="24">
        <v>0.55000000000000004</v>
      </c>
      <c r="L62" s="24">
        <v>12.07</v>
      </c>
      <c r="M62" s="24">
        <v>3.69</v>
      </c>
      <c r="N62" s="24">
        <v>0</v>
      </c>
      <c r="O62" s="24">
        <v>0</v>
      </c>
      <c r="P62" s="24">
        <v>0</v>
      </c>
      <c r="Q62" s="24"/>
      <c r="R62" s="24">
        <v>85</v>
      </c>
      <c r="S62" s="24"/>
      <c r="T62" s="24">
        <v>69</v>
      </c>
      <c r="U62" s="24">
        <v>0.59</v>
      </c>
      <c r="V62" s="24"/>
      <c r="W62" s="24"/>
      <c r="X62" s="24"/>
      <c r="Y62" s="24"/>
      <c r="Z62" s="24">
        <v>1.42</v>
      </c>
      <c r="AA62" s="24">
        <v>5</v>
      </c>
      <c r="AB62" s="24">
        <v>0</v>
      </c>
      <c r="AC62" s="24">
        <v>0</v>
      </c>
      <c r="AD62" s="24">
        <v>6.4000000000000001E-2</v>
      </c>
      <c r="AE62" s="24">
        <v>0</v>
      </c>
      <c r="AF62" s="24">
        <v>0</v>
      </c>
      <c r="AG62" s="24">
        <v>0</v>
      </c>
      <c r="AH62" s="24">
        <v>0</v>
      </c>
      <c r="AI62" s="24"/>
      <c r="AJ62" s="24">
        <v>1.39</v>
      </c>
      <c r="AK62" s="65">
        <v>701</v>
      </c>
      <c r="AL62" s="65">
        <v>7</v>
      </c>
    </row>
    <row r="63" spans="1:38" s="13" customFormat="1">
      <c r="A63" s="59">
        <v>212</v>
      </c>
      <c r="B63" s="59" t="s">
        <v>243</v>
      </c>
      <c r="C63" s="60" t="s">
        <v>553</v>
      </c>
      <c r="D63" s="6"/>
      <c r="E63" s="59"/>
      <c r="F63" s="59" t="s">
        <v>721</v>
      </c>
      <c r="G63" s="24">
        <v>0</v>
      </c>
      <c r="H63" s="23">
        <v>12</v>
      </c>
      <c r="I63" s="23">
        <v>9</v>
      </c>
      <c r="J63" s="24">
        <v>56.166666666666664</v>
      </c>
      <c r="K63" s="24">
        <v>2.2333333333333329</v>
      </c>
      <c r="L63" s="24">
        <v>11.166666666666666</v>
      </c>
      <c r="M63" s="24">
        <v>24.433333333333334</v>
      </c>
      <c r="N63" s="24">
        <v>1.6666666666666667</v>
      </c>
      <c r="O63" s="24">
        <v>0</v>
      </c>
      <c r="P63" s="24"/>
      <c r="Q63" s="24">
        <v>4.3333333333333366</v>
      </c>
      <c r="R63" s="24">
        <v>285</v>
      </c>
      <c r="S63" s="24"/>
      <c r="T63" s="24">
        <v>48.333333333333336</v>
      </c>
      <c r="U63" s="24">
        <v>1.2</v>
      </c>
      <c r="V63" s="24"/>
      <c r="W63" s="24"/>
      <c r="X63" s="24"/>
      <c r="Y63" s="24"/>
      <c r="Z63" s="24">
        <v>2.4733333333333332</v>
      </c>
      <c r="AA63" s="24">
        <v>11</v>
      </c>
      <c r="AB63" s="24">
        <v>0</v>
      </c>
      <c r="AC63" s="24">
        <v>3.6666666666666674E-2</v>
      </c>
      <c r="AD63" s="24">
        <v>9.9999999999999992E-2</v>
      </c>
      <c r="AE63" s="24">
        <v>52.333333333333336</v>
      </c>
      <c r="AF63" s="24">
        <v>30.333333333333332</v>
      </c>
      <c r="AG63" s="24">
        <v>54.861111111111114</v>
      </c>
      <c r="AH63" s="24">
        <v>57.388888888888893</v>
      </c>
      <c r="AI63" s="24"/>
      <c r="AJ63" s="24">
        <v>1.04</v>
      </c>
      <c r="AK63" s="65">
        <v>702</v>
      </c>
      <c r="AL63" s="65">
        <v>7</v>
      </c>
    </row>
    <row r="64" spans="1:38" s="13" customFormat="1">
      <c r="A64" s="59">
        <v>213</v>
      </c>
      <c r="B64" s="59" t="s">
        <v>244</v>
      </c>
      <c r="C64" s="60" t="s">
        <v>632</v>
      </c>
      <c r="D64" s="6" t="s">
        <v>633</v>
      </c>
      <c r="E64" s="59" t="s">
        <v>634</v>
      </c>
      <c r="F64" s="59" t="s">
        <v>135</v>
      </c>
      <c r="G64" s="24">
        <v>0</v>
      </c>
      <c r="H64" s="23">
        <v>12</v>
      </c>
      <c r="I64" s="23">
        <v>9</v>
      </c>
      <c r="J64" s="24">
        <v>57.7</v>
      </c>
      <c r="K64" s="24">
        <v>2.9</v>
      </c>
      <c r="L64" s="24">
        <v>27.1</v>
      </c>
      <c r="M64" s="24">
        <v>14.9</v>
      </c>
      <c r="N64" s="24">
        <v>0</v>
      </c>
      <c r="O64" s="24">
        <v>0</v>
      </c>
      <c r="P64" s="24"/>
      <c r="Q64" s="24">
        <v>0</v>
      </c>
      <c r="R64" s="24">
        <v>243</v>
      </c>
      <c r="S64" s="24"/>
      <c r="T64" s="24">
        <v>12</v>
      </c>
      <c r="U64" s="24">
        <v>2.1</v>
      </c>
      <c r="V64" s="24"/>
      <c r="W64" s="24"/>
      <c r="X64" s="24"/>
      <c r="Y64" s="24"/>
      <c r="Z64" s="24">
        <v>3.57</v>
      </c>
      <c r="AA64" s="24">
        <v>9</v>
      </c>
      <c r="AB64" s="24">
        <v>0</v>
      </c>
      <c r="AC64" s="24">
        <v>0.02</v>
      </c>
      <c r="AD64" s="24">
        <v>0.15</v>
      </c>
      <c r="AE64" s="24">
        <v>0</v>
      </c>
      <c r="AF64" s="24">
        <v>0</v>
      </c>
      <c r="AG64" s="24">
        <v>0</v>
      </c>
      <c r="AH64" s="24">
        <v>0</v>
      </c>
      <c r="AI64" s="24"/>
      <c r="AJ64" s="24">
        <v>1.6</v>
      </c>
      <c r="AK64" s="65">
        <v>702</v>
      </c>
      <c r="AL64" s="65">
        <v>7</v>
      </c>
    </row>
    <row r="65" spans="1:38" s="13" customFormat="1">
      <c r="A65" s="59">
        <v>214</v>
      </c>
      <c r="B65" s="59" t="s">
        <v>245</v>
      </c>
      <c r="C65" s="60" t="s">
        <v>607</v>
      </c>
      <c r="D65" s="6">
        <v>10123</v>
      </c>
      <c r="E65" s="59" t="s">
        <v>720</v>
      </c>
      <c r="F65" s="59" t="s">
        <v>95</v>
      </c>
      <c r="G65" s="24">
        <v>0</v>
      </c>
      <c r="H65" s="23">
        <v>12</v>
      </c>
      <c r="I65" s="23">
        <v>9</v>
      </c>
      <c r="J65" s="127">
        <v>46.74</v>
      </c>
      <c r="K65" s="127">
        <v>2.59</v>
      </c>
      <c r="L65" s="127">
        <v>13.66</v>
      </c>
      <c r="M65" s="127">
        <v>37.130000000000003</v>
      </c>
      <c r="N65" s="127">
        <v>0</v>
      </c>
      <c r="O65" s="127">
        <v>0</v>
      </c>
      <c r="P65" s="127">
        <v>0</v>
      </c>
      <c r="Q65" s="127"/>
      <c r="R65" s="127">
        <v>393</v>
      </c>
      <c r="S65" s="127"/>
      <c r="T65" s="127">
        <v>6</v>
      </c>
      <c r="U65" s="127">
        <v>0.38</v>
      </c>
      <c r="V65" s="127"/>
      <c r="W65" s="127"/>
      <c r="X65" s="127"/>
      <c r="Y65" s="127"/>
      <c r="Z65" s="127">
        <v>1.1399999999999999</v>
      </c>
      <c r="AA65" s="127">
        <v>0</v>
      </c>
      <c r="AB65" s="127">
        <v>0</v>
      </c>
      <c r="AC65" s="127">
        <v>0.27600000000000002</v>
      </c>
      <c r="AD65" s="127">
        <v>8.1000000000000003E-2</v>
      </c>
      <c r="AE65" s="127">
        <v>11</v>
      </c>
      <c r="AF65" s="127">
        <v>0</v>
      </c>
      <c r="AG65" s="127">
        <f>+AE65+AF65/12</f>
        <v>11</v>
      </c>
      <c r="AH65" s="127">
        <f>+AE65+AF65/6</f>
        <v>11</v>
      </c>
      <c r="AI65" s="127"/>
      <c r="AJ65" s="127">
        <v>0.5</v>
      </c>
      <c r="AK65" s="65">
        <v>702</v>
      </c>
      <c r="AL65" s="65">
        <v>7</v>
      </c>
    </row>
    <row r="66" spans="1:38" s="13" customFormat="1">
      <c r="A66" s="59">
        <v>215</v>
      </c>
      <c r="B66" s="59" t="s">
        <v>246</v>
      </c>
      <c r="C66" s="60" t="s">
        <v>553</v>
      </c>
      <c r="D66" s="6"/>
      <c r="E66" s="59"/>
      <c r="F66" s="59" t="s">
        <v>721</v>
      </c>
      <c r="G66" s="24">
        <v>0</v>
      </c>
      <c r="H66" s="23">
        <v>12</v>
      </c>
      <c r="I66" s="23">
        <v>9</v>
      </c>
      <c r="J66" s="24">
        <v>40.33</v>
      </c>
      <c r="K66" s="24">
        <v>3.4249999999999998</v>
      </c>
      <c r="L66" s="24">
        <v>15.31</v>
      </c>
      <c r="M66" s="24">
        <v>38.734999999999999</v>
      </c>
      <c r="N66" s="24">
        <v>0</v>
      </c>
      <c r="O66" s="24">
        <v>0</v>
      </c>
      <c r="P66" s="24"/>
      <c r="Q66" s="24">
        <v>2.2000000000000028</v>
      </c>
      <c r="R66" s="24">
        <v>421.5</v>
      </c>
      <c r="S66" s="24"/>
      <c r="T66" s="24">
        <v>10.5</v>
      </c>
      <c r="U66" s="24">
        <v>1.0449999999999999</v>
      </c>
      <c r="V66" s="24"/>
      <c r="W66" s="24"/>
      <c r="X66" s="24"/>
      <c r="Y66" s="24"/>
      <c r="Z66" s="24">
        <v>2.0350000000000001</v>
      </c>
      <c r="AA66" s="24">
        <v>2</v>
      </c>
      <c r="AB66" s="24">
        <v>0</v>
      </c>
      <c r="AC66" s="24">
        <v>0.32250000000000001</v>
      </c>
      <c r="AD66" s="24">
        <v>0.22649999999999998</v>
      </c>
      <c r="AE66" s="24">
        <v>6</v>
      </c>
      <c r="AF66" s="24">
        <v>0</v>
      </c>
      <c r="AG66" s="24">
        <v>6</v>
      </c>
      <c r="AH66" s="24">
        <v>6</v>
      </c>
      <c r="AI66" s="24"/>
      <c r="AJ66" s="24">
        <v>0.91500000000000004</v>
      </c>
      <c r="AK66" s="65">
        <v>702</v>
      </c>
      <c r="AL66" s="65">
        <v>7</v>
      </c>
    </row>
    <row r="67" spans="1:38" s="13" customFormat="1">
      <c r="A67" s="59">
        <v>216</v>
      </c>
      <c r="B67" s="59" t="s">
        <v>247</v>
      </c>
      <c r="C67" s="60" t="s">
        <v>607</v>
      </c>
      <c r="D67" s="6">
        <v>23572</v>
      </c>
      <c r="E67" s="59" t="s">
        <v>681</v>
      </c>
      <c r="F67" s="59" t="s">
        <v>135</v>
      </c>
      <c r="G67" s="24">
        <v>0</v>
      </c>
      <c r="H67" s="23">
        <v>12</v>
      </c>
      <c r="I67" s="23">
        <v>9</v>
      </c>
      <c r="J67" s="24">
        <v>61.87</v>
      </c>
      <c r="K67" s="24">
        <v>0.84</v>
      </c>
      <c r="L67" s="24">
        <v>17.170000000000002</v>
      </c>
      <c r="M67" s="24">
        <v>20</v>
      </c>
      <c r="N67" s="24">
        <v>0</v>
      </c>
      <c r="O67" s="24">
        <v>0</v>
      </c>
      <c r="P67" s="24">
        <v>0</v>
      </c>
      <c r="Q67" s="24"/>
      <c r="R67" s="24">
        <v>254</v>
      </c>
      <c r="S67" s="24"/>
      <c r="T67" s="24">
        <v>18</v>
      </c>
      <c r="U67" s="24">
        <v>1.94</v>
      </c>
      <c r="V67" s="24"/>
      <c r="W67" s="24"/>
      <c r="X67" s="24"/>
      <c r="Y67" s="24"/>
      <c r="Z67" s="24">
        <v>4.18</v>
      </c>
      <c r="AA67" s="24">
        <v>7</v>
      </c>
      <c r="AB67" s="24">
        <v>0</v>
      </c>
      <c r="AC67" s="24">
        <v>4.2999999999999997E-2</v>
      </c>
      <c r="AD67" s="24">
        <v>0.151</v>
      </c>
      <c r="AE67" s="24">
        <v>4</v>
      </c>
      <c r="AF67" s="24">
        <v>0</v>
      </c>
      <c r="AG67" s="24">
        <v>4</v>
      </c>
      <c r="AH67" s="24">
        <v>4</v>
      </c>
      <c r="AI67" s="24"/>
      <c r="AJ67" s="24">
        <v>2.14</v>
      </c>
      <c r="AK67" s="65">
        <v>702</v>
      </c>
      <c r="AL67" s="65">
        <v>7</v>
      </c>
    </row>
    <row r="68" spans="1:38" s="13" customFormat="1">
      <c r="A68" s="59">
        <v>217</v>
      </c>
      <c r="B68" s="59" t="s">
        <v>248</v>
      </c>
      <c r="C68" s="60" t="s">
        <v>553</v>
      </c>
      <c r="D68" s="6"/>
      <c r="E68" s="59"/>
      <c r="F68" s="59" t="s">
        <v>721</v>
      </c>
      <c r="G68" s="24">
        <v>15.333</v>
      </c>
      <c r="H68" s="23">
        <v>12</v>
      </c>
      <c r="I68" s="23">
        <v>9</v>
      </c>
      <c r="J68" s="24">
        <v>69.033333333333346</v>
      </c>
      <c r="K68" s="24">
        <v>1</v>
      </c>
      <c r="L68" s="24">
        <v>19.133333333333333</v>
      </c>
      <c r="M68" s="24">
        <v>11.966666666666667</v>
      </c>
      <c r="N68" s="24">
        <v>0</v>
      </c>
      <c r="O68" s="24">
        <v>0</v>
      </c>
      <c r="P68" s="24"/>
      <c r="Q68" s="24">
        <v>0</v>
      </c>
      <c r="R68" s="24">
        <v>180</v>
      </c>
      <c r="S68" s="24"/>
      <c r="T68" s="24">
        <v>15.333333333333334</v>
      </c>
      <c r="U68" s="24">
        <v>2.2333333333333329</v>
      </c>
      <c r="V68" s="24"/>
      <c r="W68" s="24"/>
      <c r="X68" s="24"/>
      <c r="Y68" s="24"/>
      <c r="Z68" s="24">
        <v>1.5366666666666668</v>
      </c>
      <c r="AA68" s="24">
        <v>4</v>
      </c>
      <c r="AB68" s="24">
        <v>2.3333333333333335</v>
      </c>
      <c r="AC68" s="24">
        <v>0.18000000000000002</v>
      </c>
      <c r="AD68" s="24">
        <v>0.34</v>
      </c>
      <c r="AE68" s="24">
        <v>29.333333333333332</v>
      </c>
      <c r="AF68" s="24">
        <v>0</v>
      </c>
      <c r="AG68" s="24">
        <v>29.333333333333332</v>
      </c>
      <c r="AH68" s="24">
        <v>29.333333333333332</v>
      </c>
      <c r="AI68" s="24"/>
      <c r="AJ68" s="24">
        <v>0.56333333333333335</v>
      </c>
      <c r="AK68" s="65">
        <v>702</v>
      </c>
      <c r="AL68" s="65">
        <v>7</v>
      </c>
    </row>
    <row r="69" spans="1:38" s="13" customFormat="1">
      <c r="A69" s="59">
        <v>301</v>
      </c>
      <c r="B69" s="59" t="s">
        <v>249</v>
      </c>
      <c r="C69" s="60" t="s">
        <v>553</v>
      </c>
      <c r="D69" s="6"/>
      <c r="E69" s="59"/>
      <c r="F69" s="59" t="s">
        <v>721</v>
      </c>
      <c r="G69" s="24">
        <v>41.875</v>
      </c>
      <c r="H69" s="23">
        <v>14</v>
      </c>
      <c r="I69" s="23">
        <v>11</v>
      </c>
      <c r="J69" s="24">
        <v>74.412499999999994</v>
      </c>
      <c r="K69" s="24">
        <v>1.5262499999999997</v>
      </c>
      <c r="L69" s="24">
        <v>19.175000000000001</v>
      </c>
      <c r="M69" s="24">
        <v>3.9125000000000001</v>
      </c>
      <c r="N69" s="24">
        <v>0</v>
      </c>
      <c r="O69" s="24">
        <v>0</v>
      </c>
      <c r="P69" s="24"/>
      <c r="Q69" s="24">
        <v>0.97375000000000389</v>
      </c>
      <c r="R69" s="24">
        <v>111.875</v>
      </c>
      <c r="S69" s="24"/>
      <c r="T69" s="24">
        <v>45</v>
      </c>
      <c r="U69" s="24">
        <v>0.93500000000000005</v>
      </c>
      <c r="V69" s="24"/>
      <c r="W69" s="24"/>
      <c r="X69" s="24"/>
      <c r="Y69" s="24"/>
      <c r="Z69" s="24">
        <v>0.88875000000000004</v>
      </c>
      <c r="AA69" s="24">
        <v>9.625</v>
      </c>
      <c r="AB69" s="24">
        <v>0.3125</v>
      </c>
      <c r="AC69" s="24">
        <v>7.2500000000000009E-2</v>
      </c>
      <c r="AD69" s="24">
        <v>0.15000000000000002</v>
      </c>
      <c r="AE69" s="24">
        <v>140.76249999999999</v>
      </c>
      <c r="AF69" s="24">
        <v>0</v>
      </c>
      <c r="AG69" s="24">
        <v>140.76249999999999</v>
      </c>
      <c r="AH69" s="24">
        <v>140.76249999999999</v>
      </c>
      <c r="AI69" s="24"/>
      <c r="AJ69" s="24">
        <v>3.5625000000000004</v>
      </c>
      <c r="AK69" s="65">
        <v>606</v>
      </c>
      <c r="AL69" s="65">
        <v>6</v>
      </c>
    </row>
    <row r="70" spans="1:38" s="13" customFormat="1">
      <c r="A70" s="59">
        <v>302</v>
      </c>
      <c r="B70" s="59" t="s">
        <v>250</v>
      </c>
      <c r="C70" s="60" t="s">
        <v>553</v>
      </c>
      <c r="D70" s="6"/>
      <c r="E70" s="59"/>
      <c r="F70" s="59" t="s">
        <v>721</v>
      </c>
      <c r="G70" s="24">
        <v>0</v>
      </c>
      <c r="H70" s="23">
        <v>14</v>
      </c>
      <c r="I70" s="23">
        <v>11</v>
      </c>
      <c r="J70" s="24">
        <v>80.133333333333326</v>
      </c>
      <c r="K70" s="24">
        <v>1.1666666666666667</v>
      </c>
      <c r="L70" s="24">
        <v>16.900000000000002</v>
      </c>
      <c r="M70" s="24">
        <v>1.7</v>
      </c>
      <c r="N70" s="24">
        <v>0</v>
      </c>
      <c r="O70" s="24">
        <v>0</v>
      </c>
      <c r="P70" s="24"/>
      <c r="Q70" s="24">
        <v>0.10000000000000431</v>
      </c>
      <c r="R70" s="24">
        <v>82.666666666666671</v>
      </c>
      <c r="S70" s="24"/>
      <c r="T70" s="24">
        <v>72.666666666666671</v>
      </c>
      <c r="U70" s="24">
        <v>1.1000000000000001</v>
      </c>
      <c r="V70" s="24"/>
      <c r="W70" s="24"/>
      <c r="X70" s="24"/>
      <c r="Y70" s="24"/>
      <c r="Z70" s="24">
        <v>0.8533333333333335</v>
      </c>
      <c r="AA70" s="24">
        <v>8.3333333333333339</v>
      </c>
      <c r="AB70" s="24">
        <v>0.23333333333333331</v>
      </c>
      <c r="AC70" s="24">
        <v>4.3333333333333335E-2</v>
      </c>
      <c r="AD70" s="24">
        <v>0.12666666666666668</v>
      </c>
      <c r="AE70" s="24">
        <v>6.666666666666667</v>
      </c>
      <c r="AF70" s="24">
        <v>0</v>
      </c>
      <c r="AG70" s="24">
        <v>6.666666666666667</v>
      </c>
      <c r="AH70" s="24">
        <v>6.666666666666667</v>
      </c>
      <c r="AI70" s="24"/>
      <c r="AJ70" s="24">
        <v>2.23</v>
      </c>
      <c r="AK70" s="65">
        <v>606</v>
      </c>
      <c r="AL70" s="65">
        <v>6</v>
      </c>
    </row>
    <row r="71" spans="1:38" s="13" customFormat="1">
      <c r="A71" s="59">
        <v>303</v>
      </c>
      <c r="B71" s="59" t="s">
        <v>251</v>
      </c>
      <c r="C71" s="60" t="s">
        <v>566</v>
      </c>
      <c r="D71" s="6">
        <v>8008</v>
      </c>
      <c r="E71" s="59" t="s">
        <v>471</v>
      </c>
      <c r="F71" s="59" t="s">
        <v>135</v>
      </c>
      <c r="G71" s="24">
        <v>0</v>
      </c>
      <c r="H71" s="23">
        <v>14</v>
      </c>
      <c r="I71" s="23">
        <v>11</v>
      </c>
      <c r="J71" s="24">
        <v>12.2</v>
      </c>
      <c r="K71" s="24">
        <v>4.2</v>
      </c>
      <c r="L71" s="24">
        <v>71.8</v>
      </c>
      <c r="M71" s="24">
        <v>10.7</v>
      </c>
      <c r="N71" s="24">
        <v>0</v>
      </c>
      <c r="O71" s="24">
        <v>0</v>
      </c>
      <c r="P71" s="24"/>
      <c r="Q71" s="24">
        <v>1.2</v>
      </c>
      <c r="R71" s="24">
        <v>388</v>
      </c>
      <c r="S71" s="24"/>
      <c r="T71" s="24">
        <v>516</v>
      </c>
      <c r="U71" s="24">
        <v>4</v>
      </c>
      <c r="V71" s="24"/>
      <c r="W71" s="24"/>
      <c r="X71" s="24"/>
      <c r="Y71" s="24"/>
      <c r="Z71" s="24">
        <v>2</v>
      </c>
      <c r="AA71" s="24">
        <v>28</v>
      </c>
      <c r="AB71" s="24">
        <v>0</v>
      </c>
      <c r="AC71" s="24">
        <v>0</v>
      </c>
      <c r="AD71" s="24">
        <v>0</v>
      </c>
      <c r="AE71" s="24">
        <v>186</v>
      </c>
      <c r="AF71" s="24">
        <v>0</v>
      </c>
      <c r="AG71" s="24">
        <v>186</v>
      </c>
      <c r="AH71" s="24">
        <v>186</v>
      </c>
      <c r="AI71" s="24"/>
      <c r="AJ71" s="24">
        <v>5</v>
      </c>
      <c r="AK71" s="65">
        <v>607</v>
      </c>
      <c r="AL71" s="65">
        <v>6</v>
      </c>
    </row>
    <row r="72" spans="1:38" s="13" customFormat="1">
      <c r="A72" s="59">
        <v>304</v>
      </c>
      <c r="B72" s="59" t="s">
        <v>252</v>
      </c>
      <c r="C72" s="60" t="s">
        <v>566</v>
      </c>
      <c r="D72" s="6">
        <v>8002</v>
      </c>
      <c r="E72" s="59" t="s">
        <v>462</v>
      </c>
      <c r="F72" s="59" t="s">
        <v>95</v>
      </c>
      <c r="G72" s="24">
        <v>0</v>
      </c>
      <c r="H72" s="23">
        <v>14</v>
      </c>
      <c r="I72" s="23">
        <v>11</v>
      </c>
      <c r="J72" s="24">
        <v>11.2</v>
      </c>
      <c r="K72" s="24">
        <v>10</v>
      </c>
      <c r="L72" s="24">
        <v>59.5</v>
      </c>
      <c r="M72" s="24">
        <v>10.6</v>
      </c>
      <c r="N72" s="24">
        <v>0</v>
      </c>
      <c r="O72" s="24">
        <v>0</v>
      </c>
      <c r="P72" s="24"/>
      <c r="Q72" s="24">
        <v>0</v>
      </c>
      <c r="R72" s="24">
        <v>333</v>
      </c>
      <c r="S72" s="24"/>
      <c r="T72" s="24">
        <v>2790</v>
      </c>
      <c r="U72" s="24">
        <v>6.9</v>
      </c>
      <c r="V72" s="24"/>
      <c r="W72" s="24"/>
      <c r="X72" s="24"/>
      <c r="Y72" s="24"/>
      <c r="Z72" s="24">
        <v>16</v>
      </c>
      <c r="AA72" s="24">
        <v>46</v>
      </c>
      <c r="AB72" s="24">
        <v>0</v>
      </c>
      <c r="AC72" s="24">
        <v>0.34</v>
      </c>
      <c r="AD72" s="24">
        <v>0.52</v>
      </c>
      <c r="AE72" s="24">
        <v>141</v>
      </c>
      <c r="AF72" s="24">
        <v>0</v>
      </c>
      <c r="AG72" s="24">
        <v>141</v>
      </c>
      <c r="AH72" s="24">
        <v>141</v>
      </c>
      <c r="AI72" s="24"/>
      <c r="AJ72" s="24">
        <v>60</v>
      </c>
      <c r="AK72" s="65">
        <v>601</v>
      </c>
      <c r="AL72" s="65">
        <v>6</v>
      </c>
    </row>
    <row r="73" spans="1:38" s="13" customFormat="1">
      <c r="A73" s="59">
        <v>305</v>
      </c>
      <c r="B73" s="59" t="s">
        <v>253</v>
      </c>
      <c r="C73" s="60" t="s">
        <v>566</v>
      </c>
      <c r="D73" s="6">
        <v>8011</v>
      </c>
      <c r="E73" s="59" t="s">
        <v>472</v>
      </c>
      <c r="F73" s="59" t="s">
        <v>135</v>
      </c>
      <c r="G73" s="24">
        <v>49</v>
      </c>
      <c r="H73" s="23">
        <v>14</v>
      </c>
      <c r="I73" s="23">
        <v>11</v>
      </c>
      <c r="J73" s="24">
        <v>75.099999999999994</v>
      </c>
      <c r="K73" s="24">
        <v>1.6</v>
      </c>
      <c r="L73" s="24">
        <v>18.399999999999999</v>
      </c>
      <c r="M73" s="24">
        <v>1.1000000000000001</v>
      </c>
      <c r="N73" s="24">
        <v>0</v>
      </c>
      <c r="O73" s="24">
        <v>0</v>
      </c>
      <c r="P73" s="24"/>
      <c r="Q73" s="24">
        <v>3.9</v>
      </c>
      <c r="R73" s="24">
        <v>99</v>
      </c>
      <c r="S73" s="24"/>
      <c r="T73" s="24">
        <v>59</v>
      </c>
      <c r="U73" s="24">
        <v>1.5</v>
      </c>
      <c r="V73" s="24"/>
      <c r="W73" s="24"/>
      <c r="X73" s="24"/>
      <c r="Y73" s="24"/>
      <c r="Z73" s="24">
        <v>1.43</v>
      </c>
      <c r="AA73" s="24">
        <v>14</v>
      </c>
      <c r="AB73" s="24">
        <v>0.3</v>
      </c>
      <c r="AC73" s="24">
        <v>0.04</v>
      </c>
      <c r="AD73" s="24">
        <v>0.08</v>
      </c>
      <c r="AE73" s="24">
        <v>11</v>
      </c>
      <c r="AF73" s="24">
        <v>56</v>
      </c>
      <c r="AG73" s="24">
        <v>16</v>
      </c>
      <c r="AH73" s="24">
        <v>20</v>
      </c>
      <c r="AI73" s="24"/>
      <c r="AJ73" s="24">
        <v>2.14</v>
      </c>
      <c r="AK73" s="65">
        <v>606</v>
      </c>
      <c r="AL73" s="65">
        <v>6</v>
      </c>
    </row>
    <row r="74" spans="1:38" s="13" customFormat="1">
      <c r="A74" s="59">
        <v>306</v>
      </c>
      <c r="B74" s="59" t="s">
        <v>254</v>
      </c>
      <c r="C74" s="60" t="s">
        <v>553</v>
      </c>
      <c r="D74" s="6"/>
      <c r="E74" s="59"/>
      <c r="F74" s="59" t="s">
        <v>721</v>
      </c>
      <c r="G74" s="24">
        <v>0</v>
      </c>
      <c r="H74" s="23">
        <v>14</v>
      </c>
      <c r="I74" s="23">
        <v>11</v>
      </c>
      <c r="J74" s="24">
        <v>54.099999999999994</v>
      </c>
      <c r="K74" s="24">
        <v>7.3</v>
      </c>
      <c r="L74" s="24">
        <v>26.799999999999997</v>
      </c>
      <c r="M74" s="24">
        <v>11.6</v>
      </c>
      <c r="N74" s="24">
        <v>0</v>
      </c>
      <c r="O74" s="24">
        <v>0</v>
      </c>
      <c r="P74" s="24">
        <v>0</v>
      </c>
      <c r="Q74" s="24">
        <v>0.20000000000001172</v>
      </c>
      <c r="R74" s="24">
        <v>211.5</v>
      </c>
      <c r="S74" s="24"/>
      <c r="T74" s="24">
        <v>307</v>
      </c>
      <c r="U74" s="24">
        <v>3.75</v>
      </c>
      <c r="V74" s="24"/>
      <c r="W74" s="24"/>
      <c r="X74" s="24"/>
      <c r="Y74" s="24"/>
      <c r="Z74" s="24">
        <v>1.875</v>
      </c>
      <c r="AA74" s="24">
        <v>11.5</v>
      </c>
      <c r="AB74" s="24">
        <v>0</v>
      </c>
      <c r="AC74" s="24">
        <v>0.08</v>
      </c>
      <c r="AD74" s="24">
        <v>0.29499999999999998</v>
      </c>
      <c r="AE74" s="24">
        <v>22</v>
      </c>
      <c r="AF74" s="24">
        <v>0</v>
      </c>
      <c r="AG74" s="24">
        <v>22</v>
      </c>
      <c r="AH74" s="24">
        <v>22</v>
      </c>
      <c r="AI74" s="24"/>
      <c r="AJ74" s="24">
        <v>4.9000000000000004</v>
      </c>
      <c r="AK74" s="65">
        <v>606</v>
      </c>
      <c r="AL74" s="65">
        <v>6</v>
      </c>
    </row>
    <row r="75" spans="1:38" s="13" customFormat="1">
      <c r="A75" s="59">
        <v>307</v>
      </c>
      <c r="B75" s="59" t="s">
        <v>255</v>
      </c>
      <c r="C75" s="60" t="s">
        <v>553</v>
      </c>
      <c r="D75" s="6"/>
      <c r="E75" s="59"/>
      <c r="F75" s="59" t="s">
        <v>721</v>
      </c>
      <c r="G75" s="24">
        <v>0</v>
      </c>
      <c r="H75" s="23">
        <v>14</v>
      </c>
      <c r="I75" s="23">
        <v>11</v>
      </c>
      <c r="J75" s="24">
        <v>42.960499999999996</v>
      </c>
      <c r="K75" s="24">
        <v>0.96292500000000003</v>
      </c>
      <c r="L75" s="24">
        <v>12.57025</v>
      </c>
      <c r="M75" s="24">
        <v>2.9212499999999997</v>
      </c>
      <c r="N75" s="24">
        <v>0</v>
      </c>
      <c r="O75" s="24">
        <v>0</v>
      </c>
      <c r="P75" s="24"/>
      <c r="Q75" s="24">
        <v>1.085075000000006</v>
      </c>
      <c r="R75" s="24">
        <v>76.585000000000008</v>
      </c>
      <c r="S75" s="24"/>
      <c r="T75" s="24">
        <v>13.79</v>
      </c>
      <c r="U75" s="24">
        <v>0.41764999999999997</v>
      </c>
      <c r="V75" s="24"/>
      <c r="W75" s="24"/>
      <c r="X75" s="24"/>
      <c r="Y75" s="24"/>
      <c r="Z75" s="24">
        <v>0.51635000000000009</v>
      </c>
      <c r="AA75" s="24">
        <v>4.45</v>
      </c>
      <c r="AB75" s="24">
        <v>0.30150000000000005</v>
      </c>
      <c r="AC75" s="24">
        <v>6.7975000000000008E-2</v>
      </c>
      <c r="AD75" s="24">
        <v>0.11582499999999998</v>
      </c>
      <c r="AE75" s="24">
        <v>181.37174999999996</v>
      </c>
      <c r="AF75" s="24">
        <v>0</v>
      </c>
      <c r="AG75" s="24">
        <v>181.37174999999996</v>
      </c>
      <c r="AH75" s="24">
        <v>181.37174999999996</v>
      </c>
      <c r="AI75" s="24"/>
      <c r="AJ75" s="24">
        <v>2.9465750000000002</v>
      </c>
      <c r="AK75" s="65">
        <v>606</v>
      </c>
      <c r="AL75" s="65">
        <v>6</v>
      </c>
    </row>
    <row r="76" spans="1:38" s="13" customFormat="1">
      <c r="A76" s="59">
        <v>401</v>
      </c>
      <c r="B76" s="59" t="s">
        <v>256</v>
      </c>
      <c r="C76" s="60" t="s">
        <v>566</v>
      </c>
      <c r="D76" s="6">
        <v>6022</v>
      </c>
      <c r="E76" s="59" t="s">
        <v>474</v>
      </c>
      <c r="F76" s="59" t="s">
        <v>135</v>
      </c>
      <c r="G76" s="24">
        <v>0</v>
      </c>
      <c r="H76" s="23">
        <v>15</v>
      </c>
      <c r="I76" s="23">
        <v>13</v>
      </c>
      <c r="J76" s="24">
        <v>86.3</v>
      </c>
      <c r="K76" s="24">
        <v>0.7</v>
      </c>
      <c r="L76" s="24">
        <v>3.3</v>
      </c>
      <c r="M76" s="24">
        <v>3.5</v>
      </c>
      <c r="N76" s="24">
        <v>0</v>
      </c>
      <c r="O76" s="24">
        <v>0</v>
      </c>
      <c r="P76" s="24"/>
      <c r="Q76" s="24">
        <v>6.1</v>
      </c>
      <c r="R76" s="24">
        <v>70</v>
      </c>
      <c r="S76" s="24"/>
      <c r="T76" s="24">
        <v>119</v>
      </c>
      <c r="U76" s="24">
        <v>0.1</v>
      </c>
      <c r="V76" s="24"/>
      <c r="W76" s="24"/>
      <c r="X76" s="24"/>
      <c r="Y76" s="24"/>
      <c r="Z76" s="24">
        <v>0.63</v>
      </c>
      <c r="AA76" s="24">
        <v>8</v>
      </c>
      <c r="AB76" s="24">
        <v>0</v>
      </c>
      <c r="AC76" s="24">
        <v>0</v>
      </c>
      <c r="AD76" s="24">
        <v>0.27</v>
      </c>
      <c r="AE76" s="24">
        <v>40</v>
      </c>
      <c r="AF76" s="24">
        <v>18</v>
      </c>
      <c r="AG76" s="24">
        <v>41</v>
      </c>
      <c r="AH76" s="24">
        <v>43</v>
      </c>
      <c r="AI76" s="24"/>
      <c r="AJ76" s="24">
        <v>0.59</v>
      </c>
      <c r="AK76" s="65">
        <v>401</v>
      </c>
      <c r="AL76" s="65">
        <v>4</v>
      </c>
    </row>
    <row r="77" spans="1:38" s="13" customFormat="1">
      <c r="A77" s="59">
        <v>402</v>
      </c>
      <c r="B77" s="59" t="s">
        <v>257</v>
      </c>
      <c r="C77" s="60" t="s">
        <v>553</v>
      </c>
      <c r="D77" s="6"/>
      <c r="E77" s="59"/>
      <c r="F77" s="59" t="s">
        <v>721</v>
      </c>
      <c r="G77" s="24">
        <v>0</v>
      </c>
      <c r="H77" s="23">
        <v>15</v>
      </c>
      <c r="I77" s="23">
        <v>13</v>
      </c>
      <c r="J77" s="24">
        <v>87.174999999999997</v>
      </c>
      <c r="K77" s="24">
        <v>0.72499999999999987</v>
      </c>
      <c r="L77" s="24">
        <v>3.3499999999999996</v>
      </c>
      <c r="M77" s="24">
        <v>2.65</v>
      </c>
      <c r="N77" s="24">
        <v>0</v>
      </c>
      <c r="O77" s="24">
        <v>0</v>
      </c>
      <c r="P77" s="24"/>
      <c r="Q77" s="24">
        <v>6.1000000000000032</v>
      </c>
      <c r="R77" s="24">
        <v>62</v>
      </c>
      <c r="S77" s="24"/>
      <c r="T77" s="24">
        <v>121.75</v>
      </c>
      <c r="U77" s="24">
        <v>0.1</v>
      </c>
      <c r="V77" s="24"/>
      <c r="W77" s="24"/>
      <c r="X77" s="24"/>
      <c r="Y77" s="24"/>
      <c r="Z77" s="24">
        <v>0.55249999999999999</v>
      </c>
      <c r="AA77" s="24">
        <v>7.5</v>
      </c>
      <c r="AB77" s="24">
        <v>0.25</v>
      </c>
      <c r="AC77" s="24">
        <v>7.4999999999999997E-3</v>
      </c>
      <c r="AD77" s="24">
        <v>0.2475</v>
      </c>
      <c r="AE77" s="24">
        <v>30</v>
      </c>
      <c r="AF77" s="24">
        <v>13.75</v>
      </c>
      <c r="AG77" s="24">
        <v>31.145833333333332</v>
      </c>
      <c r="AH77" s="24">
        <v>32.291666666666664</v>
      </c>
      <c r="AI77" s="24"/>
      <c r="AJ77" s="24">
        <v>0.54249999999999998</v>
      </c>
      <c r="AK77" s="65">
        <v>401</v>
      </c>
      <c r="AL77" s="65">
        <v>4</v>
      </c>
    </row>
    <row r="78" spans="1:38" s="13" customFormat="1">
      <c r="A78" s="59">
        <v>403</v>
      </c>
      <c r="B78" s="59" t="s">
        <v>258</v>
      </c>
      <c r="C78" s="60" t="s">
        <v>607</v>
      </c>
      <c r="D78" s="6">
        <v>14177</v>
      </c>
      <c r="E78" s="59" t="s">
        <v>606</v>
      </c>
      <c r="F78" s="59" t="s">
        <v>135</v>
      </c>
      <c r="G78" s="24">
        <v>0</v>
      </c>
      <c r="H78" s="23">
        <v>15</v>
      </c>
      <c r="I78" s="23">
        <v>13</v>
      </c>
      <c r="J78" s="24">
        <v>80.790000000000006</v>
      </c>
      <c r="K78" s="24">
        <v>0.78</v>
      </c>
      <c r="L78" s="24">
        <v>3.23</v>
      </c>
      <c r="M78" s="24">
        <v>3.24</v>
      </c>
      <c r="N78" s="24">
        <v>0.4</v>
      </c>
      <c r="O78" s="24">
        <v>0</v>
      </c>
      <c r="P78" s="24">
        <v>11.96</v>
      </c>
      <c r="Q78" s="24"/>
      <c r="R78" s="24">
        <v>85</v>
      </c>
      <c r="S78" s="24"/>
      <c r="T78" s="24">
        <v>95</v>
      </c>
      <c r="U78" s="24">
        <v>0.3</v>
      </c>
      <c r="V78" s="24"/>
      <c r="W78" s="24"/>
      <c r="X78" s="24"/>
      <c r="Y78" s="24"/>
      <c r="Z78" s="24">
        <v>0.48</v>
      </c>
      <c r="AA78" s="24">
        <v>5</v>
      </c>
      <c r="AB78" s="24">
        <v>0.1</v>
      </c>
      <c r="AC78" s="24">
        <v>4.2999999999999997E-2</v>
      </c>
      <c r="AD78" s="24">
        <v>0.18</v>
      </c>
      <c r="AE78" s="24">
        <v>26</v>
      </c>
      <c r="AF78" s="24">
        <v>5</v>
      </c>
      <c r="AG78" s="24">
        <f>+AE78+AF78/12</f>
        <v>26.416666666666668</v>
      </c>
      <c r="AH78" s="24">
        <f>+AE78+AF78/6</f>
        <v>26.833333333333332</v>
      </c>
      <c r="AI78" s="24"/>
      <c r="AJ78" s="24">
        <v>0.4</v>
      </c>
      <c r="AK78" s="65">
        <v>401</v>
      </c>
      <c r="AL78" s="65">
        <v>4</v>
      </c>
    </row>
    <row r="79" spans="1:38" s="13" customFormat="1">
      <c r="A79" s="59">
        <v>404</v>
      </c>
      <c r="B79" s="59" t="s">
        <v>259</v>
      </c>
      <c r="C79" s="60" t="s">
        <v>608</v>
      </c>
      <c r="D79" s="6"/>
      <c r="E79" s="59"/>
      <c r="F79" s="59" t="s">
        <v>135</v>
      </c>
      <c r="G79" s="24">
        <f>G77</f>
        <v>0</v>
      </c>
      <c r="H79" s="23">
        <v>15</v>
      </c>
      <c r="I79" s="23">
        <v>13</v>
      </c>
      <c r="J79" s="24">
        <f t="shared" ref="J79:R79" si="9">J77</f>
        <v>87.174999999999997</v>
      </c>
      <c r="K79" s="24">
        <f t="shared" si="9"/>
        <v>0.72499999999999987</v>
      </c>
      <c r="L79" s="24">
        <f t="shared" si="9"/>
        <v>3.3499999999999996</v>
      </c>
      <c r="M79" s="24">
        <f t="shared" si="9"/>
        <v>2.65</v>
      </c>
      <c r="N79" s="24">
        <f t="shared" si="9"/>
        <v>0</v>
      </c>
      <c r="O79" s="24">
        <f t="shared" si="9"/>
        <v>0</v>
      </c>
      <c r="P79" s="24">
        <f t="shared" si="9"/>
        <v>0</v>
      </c>
      <c r="Q79" s="24">
        <f t="shared" si="9"/>
        <v>6.1000000000000032</v>
      </c>
      <c r="R79" s="24">
        <f t="shared" si="9"/>
        <v>62</v>
      </c>
      <c r="S79" s="24"/>
      <c r="T79" s="24">
        <f>T77</f>
        <v>121.75</v>
      </c>
      <c r="U79" s="24">
        <f>U77</f>
        <v>0.1</v>
      </c>
      <c r="V79" s="24"/>
      <c r="W79" s="24"/>
      <c r="X79" s="24"/>
      <c r="Y79" s="24"/>
      <c r="Z79" s="24">
        <f t="shared" ref="Z79:AH79" si="10">Z77</f>
        <v>0.55249999999999999</v>
      </c>
      <c r="AA79" s="24">
        <f t="shared" si="10"/>
        <v>7.5</v>
      </c>
      <c r="AB79" s="24">
        <f t="shared" si="10"/>
        <v>0.25</v>
      </c>
      <c r="AC79" s="24">
        <f t="shared" si="10"/>
        <v>7.4999999999999997E-3</v>
      </c>
      <c r="AD79" s="24">
        <f t="shared" si="10"/>
        <v>0.2475</v>
      </c>
      <c r="AE79" s="24">
        <f t="shared" si="10"/>
        <v>30</v>
      </c>
      <c r="AF79" s="24">
        <f t="shared" si="10"/>
        <v>13.75</v>
      </c>
      <c r="AG79" s="24">
        <f t="shared" si="10"/>
        <v>31.145833333333332</v>
      </c>
      <c r="AH79" s="24">
        <f t="shared" si="10"/>
        <v>32.291666666666664</v>
      </c>
      <c r="AI79" s="24"/>
      <c r="AJ79" s="24">
        <f>AJ77</f>
        <v>0.54249999999999998</v>
      </c>
      <c r="AK79" s="65">
        <v>401</v>
      </c>
      <c r="AL79" s="65">
        <v>4</v>
      </c>
    </row>
    <row r="80" spans="1:38" s="13" customFormat="1">
      <c r="A80" s="59">
        <v>405</v>
      </c>
      <c r="B80" s="59" t="s">
        <v>260</v>
      </c>
      <c r="C80" s="60" t="s">
        <v>566</v>
      </c>
      <c r="D80" s="6">
        <v>6023</v>
      </c>
      <c r="E80" s="59" t="s">
        <v>477</v>
      </c>
      <c r="F80" s="59" t="s">
        <v>135</v>
      </c>
      <c r="G80" s="24">
        <v>0</v>
      </c>
      <c r="H80" s="23">
        <v>15</v>
      </c>
      <c r="I80" s="23">
        <v>13</v>
      </c>
      <c r="J80" s="24">
        <v>85.3</v>
      </c>
      <c r="K80" s="24">
        <v>0.9</v>
      </c>
      <c r="L80" s="24">
        <v>3.5</v>
      </c>
      <c r="M80" s="24">
        <v>4.5</v>
      </c>
      <c r="N80" s="24">
        <v>0</v>
      </c>
      <c r="O80" s="24">
        <v>0</v>
      </c>
      <c r="P80" s="24"/>
      <c r="Q80" s="24">
        <v>5.8</v>
      </c>
      <c r="R80" s="24">
        <v>78</v>
      </c>
      <c r="S80" s="24"/>
      <c r="T80" s="24">
        <v>180</v>
      </c>
      <c r="U80" s="24">
        <v>0.1</v>
      </c>
      <c r="V80" s="24"/>
      <c r="W80" s="24"/>
      <c r="X80" s="24"/>
      <c r="Y80" s="24"/>
      <c r="Z80" s="24">
        <v>0.35</v>
      </c>
      <c r="AA80" s="24">
        <v>1</v>
      </c>
      <c r="AB80" s="24">
        <v>0.5</v>
      </c>
      <c r="AC80" s="24">
        <v>0.05</v>
      </c>
      <c r="AD80" s="24">
        <v>0.19</v>
      </c>
      <c r="AE80" s="24">
        <v>32</v>
      </c>
      <c r="AF80" s="24">
        <v>0</v>
      </c>
      <c r="AG80" s="24">
        <v>32</v>
      </c>
      <c r="AH80" s="24">
        <v>32</v>
      </c>
      <c r="AI80" s="24"/>
      <c r="AJ80" s="24">
        <v>0.35</v>
      </c>
      <c r="AK80" s="65">
        <v>401</v>
      </c>
      <c r="AL80" s="65">
        <v>4</v>
      </c>
    </row>
    <row r="81" spans="1:38" s="13" customFormat="1">
      <c r="A81" s="59">
        <v>406</v>
      </c>
      <c r="B81" s="59" t="s">
        <v>261</v>
      </c>
      <c r="C81" s="60" t="s">
        <v>566</v>
      </c>
      <c r="D81" s="63">
        <v>6014</v>
      </c>
      <c r="E81" s="64" t="s">
        <v>478</v>
      </c>
      <c r="F81" s="59" t="s">
        <v>135</v>
      </c>
      <c r="G81" s="24">
        <v>0</v>
      </c>
      <c r="H81" s="23">
        <v>15</v>
      </c>
      <c r="I81" s="23">
        <v>13</v>
      </c>
      <c r="J81" s="24">
        <v>89.8</v>
      </c>
      <c r="K81" s="24">
        <v>0.7</v>
      </c>
      <c r="L81" s="24">
        <v>2.2000000000000002</v>
      </c>
      <c r="M81" s="24">
        <v>2.8</v>
      </c>
      <c r="N81" s="24">
        <v>0</v>
      </c>
      <c r="O81" s="24">
        <v>0</v>
      </c>
      <c r="P81" s="24"/>
      <c r="Q81" s="24">
        <v>4.5</v>
      </c>
      <c r="R81" s="24">
        <v>52</v>
      </c>
      <c r="S81" s="24"/>
      <c r="T81" s="24">
        <v>56</v>
      </c>
      <c r="U81" s="24">
        <v>1.5</v>
      </c>
      <c r="V81" s="24"/>
      <c r="W81" s="24"/>
      <c r="X81" s="24"/>
      <c r="Y81" s="24"/>
      <c r="Z81" s="24">
        <v>0.35</v>
      </c>
      <c r="AA81" s="24">
        <v>8</v>
      </c>
      <c r="AB81" s="24">
        <v>0</v>
      </c>
      <c r="AC81" s="24">
        <v>0.61</v>
      </c>
      <c r="AD81" s="24">
        <v>0.08</v>
      </c>
      <c r="AE81" s="24">
        <v>13</v>
      </c>
      <c r="AF81" s="24">
        <v>18</v>
      </c>
      <c r="AG81" s="24">
        <v>15</v>
      </c>
      <c r="AH81" s="24">
        <v>16</v>
      </c>
      <c r="AI81" s="24"/>
      <c r="AJ81" s="24">
        <v>0.6</v>
      </c>
      <c r="AK81" s="65">
        <v>401</v>
      </c>
      <c r="AL81" s="65">
        <v>4</v>
      </c>
    </row>
    <row r="82" spans="1:38" s="13" customFormat="1">
      <c r="A82" s="59">
        <v>407</v>
      </c>
      <c r="B82" s="59" t="s">
        <v>262</v>
      </c>
      <c r="C82" s="60" t="s">
        <v>553</v>
      </c>
      <c r="D82" s="6"/>
      <c r="E82" s="59"/>
      <c r="F82" s="59" t="s">
        <v>721</v>
      </c>
      <c r="G82" s="24">
        <v>0</v>
      </c>
      <c r="H82" s="23">
        <v>15</v>
      </c>
      <c r="I82" s="23">
        <v>13</v>
      </c>
      <c r="J82" s="24">
        <v>15.025</v>
      </c>
      <c r="K82" s="24">
        <v>4.2249999999999996</v>
      </c>
      <c r="L82" s="24">
        <v>20.375</v>
      </c>
      <c r="M82" s="24">
        <v>9.1749999999999989</v>
      </c>
      <c r="N82" s="24">
        <v>0</v>
      </c>
      <c r="O82" s="24">
        <v>0</v>
      </c>
      <c r="P82" s="24"/>
      <c r="Q82" s="24">
        <v>51.2</v>
      </c>
      <c r="R82" s="24">
        <v>368.75</v>
      </c>
      <c r="S82" s="24"/>
      <c r="T82" s="24">
        <v>725.75</v>
      </c>
      <c r="U82" s="24">
        <v>0.35</v>
      </c>
      <c r="V82" s="24"/>
      <c r="W82" s="24"/>
      <c r="X82" s="24"/>
      <c r="Y82" s="24"/>
      <c r="Z82" s="24">
        <v>2.1875</v>
      </c>
      <c r="AA82" s="24">
        <v>27</v>
      </c>
      <c r="AB82" s="24">
        <v>2</v>
      </c>
      <c r="AC82" s="24">
        <v>0.2475</v>
      </c>
      <c r="AD82" s="24">
        <v>1.0150000000000001</v>
      </c>
      <c r="AE82" s="24">
        <v>114.25</v>
      </c>
      <c r="AF82" s="24">
        <v>51</v>
      </c>
      <c r="AG82" s="24">
        <v>118.5</v>
      </c>
      <c r="AH82" s="24">
        <v>122.75</v>
      </c>
      <c r="AI82" s="24"/>
      <c r="AJ82" s="24">
        <v>2</v>
      </c>
      <c r="AK82" s="65">
        <v>401</v>
      </c>
      <c r="AL82" s="65">
        <v>4</v>
      </c>
    </row>
    <row r="83" spans="1:38" s="13" customFormat="1">
      <c r="A83" s="59">
        <v>408</v>
      </c>
      <c r="B83" s="59" t="s">
        <v>263</v>
      </c>
      <c r="C83" s="60" t="s">
        <v>561</v>
      </c>
      <c r="D83" s="6">
        <v>252</v>
      </c>
      <c r="E83" s="59" t="s">
        <v>642</v>
      </c>
      <c r="F83" s="59" t="s">
        <v>135</v>
      </c>
      <c r="G83" s="24">
        <v>0</v>
      </c>
      <c r="H83" s="23">
        <v>15</v>
      </c>
      <c r="I83" s="23">
        <v>13</v>
      </c>
      <c r="J83" s="24"/>
      <c r="K83" s="24"/>
      <c r="L83" s="24">
        <v>21.6</v>
      </c>
      <c r="M83" s="24">
        <v>19</v>
      </c>
      <c r="N83" s="24">
        <v>0</v>
      </c>
      <c r="O83" s="24">
        <v>0</v>
      </c>
      <c r="P83" s="24">
        <v>51.6</v>
      </c>
      <c r="Q83" s="24"/>
      <c r="R83" s="24">
        <v>464</v>
      </c>
      <c r="S83" s="24"/>
      <c r="T83" s="24">
        <v>770</v>
      </c>
      <c r="U83" s="24">
        <v>8</v>
      </c>
      <c r="V83" s="24"/>
      <c r="W83" s="24"/>
      <c r="X83" s="24"/>
      <c r="Y83" s="24"/>
      <c r="Z83" s="24">
        <v>3.5</v>
      </c>
      <c r="AA83" s="24">
        <v>42</v>
      </c>
      <c r="AB83" s="24">
        <v>37</v>
      </c>
      <c r="AC83" s="24">
        <v>0.3</v>
      </c>
      <c r="AD83" s="24">
        <v>0.6</v>
      </c>
      <c r="AE83" s="24">
        <v>420</v>
      </c>
      <c r="AF83" s="24">
        <v>0</v>
      </c>
      <c r="AG83" s="24">
        <v>420</v>
      </c>
      <c r="AH83" s="24">
        <v>420</v>
      </c>
      <c r="AI83" s="24"/>
      <c r="AJ83" s="24">
        <v>1</v>
      </c>
      <c r="AK83" s="65">
        <v>1501</v>
      </c>
      <c r="AL83" s="65">
        <v>15</v>
      </c>
    </row>
    <row r="84" spans="1:38" s="13" customFormat="1">
      <c r="A84" s="59">
        <v>409</v>
      </c>
      <c r="B84" s="59" t="s">
        <v>264</v>
      </c>
      <c r="C84" s="60" t="s">
        <v>607</v>
      </c>
      <c r="D84" s="6">
        <v>1178</v>
      </c>
      <c r="E84" s="59" t="s">
        <v>643</v>
      </c>
      <c r="F84" s="59" t="s">
        <v>135</v>
      </c>
      <c r="G84" s="24">
        <v>0</v>
      </c>
      <c r="H84" s="23">
        <v>15</v>
      </c>
      <c r="I84" s="23">
        <v>13</v>
      </c>
      <c r="J84" s="24">
        <v>71</v>
      </c>
      <c r="K84" s="24">
        <v>0.9</v>
      </c>
      <c r="L84" s="24">
        <v>7</v>
      </c>
      <c r="M84" s="24">
        <v>14.1</v>
      </c>
      <c r="N84" s="24">
        <v>0</v>
      </c>
      <c r="O84" s="24">
        <v>0</v>
      </c>
      <c r="P84" s="24">
        <v>7</v>
      </c>
      <c r="Q84" s="24"/>
      <c r="R84" s="24">
        <v>181</v>
      </c>
      <c r="S84" s="24"/>
      <c r="T84" s="24">
        <v>141</v>
      </c>
      <c r="U84" s="24">
        <v>0.06</v>
      </c>
      <c r="V84" s="24"/>
      <c r="W84" s="24"/>
      <c r="X84" s="24"/>
      <c r="Y84" s="24"/>
      <c r="Z84" s="24">
        <v>0.27</v>
      </c>
      <c r="AA84" s="24">
        <v>11</v>
      </c>
      <c r="AB84" s="24">
        <v>0.9</v>
      </c>
      <c r="AC84" s="24">
        <v>0.04</v>
      </c>
      <c r="AD84" s="24">
        <v>0.24</v>
      </c>
      <c r="AE84" s="24">
        <v>117</v>
      </c>
      <c r="AF84" s="24">
        <v>27</v>
      </c>
      <c r="AG84" s="24">
        <f>+AE84+AF84/12</f>
        <v>119.25</v>
      </c>
      <c r="AH84" s="24">
        <f>+AE84+AF84/6</f>
        <v>121.5</v>
      </c>
      <c r="AI84" s="24"/>
      <c r="AJ84" s="24">
        <v>0.3</v>
      </c>
      <c r="AK84" s="65">
        <v>402</v>
      </c>
      <c r="AL84" s="65">
        <v>4</v>
      </c>
    </row>
    <row r="85" spans="1:38" s="13" customFormat="1">
      <c r="A85" s="59">
        <v>410</v>
      </c>
      <c r="B85" s="59" t="s">
        <v>265</v>
      </c>
      <c r="C85" s="60" t="s">
        <v>607</v>
      </c>
      <c r="D85" s="6">
        <v>1056</v>
      </c>
      <c r="E85" s="59" t="s">
        <v>644</v>
      </c>
      <c r="F85" s="59" t="s">
        <v>135</v>
      </c>
      <c r="G85" s="24">
        <v>0</v>
      </c>
      <c r="H85" s="23">
        <v>15</v>
      </c>
      <c r="I85" s="23">
        <v>13</v>
      </c>
      <c r="J85" s="24">
        <v>73.069999999999993</v>
      </c>
      <c r="K85" s="24">
        <v>0.51</v>
      </c>
      <c r="L85" s="24">
        <v>2.44</v>
      </c>
      <c r="M85" s="24">
        <v>19.350000000000001</v>
      </c>
      <c r="N85" s="24">
        <v>0</v>
      </c>
      <c r="O85" s="24">
        <v>0</v>
      </c>
      <c r="P85" s="24">
        <v>4.63</v>
      </c>
      <c r="Q85" s="24"/>
      <c r="R85" s="24">
        <v>198</v>
      </c>
      <c r="S85" s="24"/>
      <c r="T85" s="24">
        <v>101</v>
      </c>
      <c r="U85" s="24">
        <v>7.0000000000000007E-2</v>
      </c>
      <c r="V85" s="24"/>
      <c r="W85" s="24"/>
      <c r="X85" s="24"/>
      <c r="Y85" s="24"/>
      <c r="Z85" s="24">
        <v>0.33</v>
      </c>
      <c r="AA85" s="24">
        <v>6</v>
      </c>
      <c r="AB85" s="24">
        <v>0.9</v>
      </c>
      <c r="AC85" s="24">
        <v>0.02</v>
      </c>
      <c r="AD85" s="24">
        <v>0.16800000000000001</v>
      </c>
      <c r="AE85" s="24">
        <v>121</v>
      </c>
      <c r="AF85" s="24">
        <v>25.5</v>
      </c>
      <c r="AG85" s="24">
        <f>+AE85+AF85/12</f>
        <v>123.125</v>
      </c>
      <c r="AH85" s="24">
        <f>+AE85+AF85/6</f>
        <v>125.25</v>
      </c>
      <c r="AI85" s="24"/>
      <c r="AJ85" s="24">
        <v>0.21</v>
      </c>
      <c r="AK85" s="65">
        <v>402</v>
      </c>
      <c r="AL85" s="65">
        <v>4</v>
      </c>
    </row>
    <row r="86" spans="1:38" s="13" customFormat="1">
      <c r="A86" s="59">
        <v>411</v>
      </c>
      <c r="B86" s="59" t="s">
        <v>266</v>
      </c>
      <c r="C86" s="60" t="s">
        <v>566</v>
      </c>
      <c r="D86" s="6">
        <v>6026</v>
      </c>
      <c r="E86" s="59" t="s">
        <v>574</v>
      </c>
      <c r="F86" s="59" t="s">
        <v>135</v>
      </c>
      <c r="G86" s="24">
        <v>0</v>
      </c>
      <c r="H86" s="23">
        <v>15</v>
      </c>
      <c r="I86" s="23">
        <v>13</v>
      </c>
      <c r="J86" s="24">
        <v>82</v>
      </c>
      <c r="K86" s="24">
        <v>0.7</v>
      </c>
      <c r="L86" s="24">
        <v>2.9</v>
      </c>
      <c r="M86" s="24">
        <v>3.1</v>
      </c>
      <c r="N86" s="24">
        <v>0</v>
      </c>
      <c r="O86" s="24">
        <v>0</v>
      </c>
      <c r="P86" s="24"/>
      <c r="Q86" s="24">
        <v>11.3</v>
      </c>
      <c r="R86" s="24">
        <v>85</v>
      </c>
      <c r="S86" s="24"/>
      <c r="T86" s="24">
        <v>149</v>
      </c>
      <c r="U86" s="24">
        <v>0.2</v>
      </c>
      <c r="V86" s="24"/>
      <c r="W86" s="24"/>
      <c r="X86" s="24"/>
      <c r="Y86" s="24"/>
      <c r="Z86" s="24">
        <v>0.34</v>
      </c>
      <c r="AA86" s="24">
        <v>0</v>
      </c>
      <c r="AB86" s="24">
        <v>0</v>
      </c>
      <c r="AC86" s="24">
        <v>0.1</v>
      </c>
      <c r="AD86" s="24">
        <v>0.2</v>
      </c>
      <c r="AE86" s="24">
        <v>32</v>
      </c>
      <c r="AF86" s="24">
        <v>23</v>
      </c>
      <c r="AG86" s="24">
        <v>34</v>
      </c>
      <c r="AH86" s="24">
        <v>36</v>
      </c>
      <c r="AI86" s="24"/>
      <c r="AJ86" s="24">
        <v>0.2</v>
      </c>
      <c r="AK86" s="65">
        <v>402</v>
      </c>
      <c r="AL86" s="65">
        <v>4</v>
      </c>
    </row>
    <row r="87" spans="1:38" s="13" customFormat="1">
      <c r="A87" s="59">
        <v>412</v>
      </c>
      <c r="B87" s="59" t="s">
        <v>267</v>
      </c>
      <c r="C87" s="60" t="s">
        <v>553</v>
      </c>
      <c r="D87" s="6"/>
      <c r="E87" s="59"/>
      <c r="F87" s="59" t="s">
        <v>721</v>
      </c>
      <c r="G87" s="24">
        <v>0</v>
      </c>
      <c r="H87" s="23">
        <v>15</v>
      </c>
      <c r="I87" s="23">
        <v>13</v>
      </c>
      <c r="J87" s="24">
        <v>66.25</v>
      </c>
      <c r="K87" s="24">
        <v>1.9749999999999999</v>
      </c>
      <c r="L87" s="24">
        <v>17.099999999999998</v>
      </c>
      <c r="M87" s="24">
        <v>11.324999999999999</v>
      </c>
      <c r="N87" s="24">
        <v>0</v>
      </c>
      <c r="O87" s="24">
        <v>0</v>
      </c>
      <c r="P87" s="24"/>
      <c r="Q87" s="24">
        <v>3.3500000000000014</v>
      </c>
      <c r="R87" s="24">
        <v>183.75</v>
      </c>
      <c r="S87" s="24"/>
      <c r="T87" s="24">
        <v>265.25</v>
      </c>
      <c r="U87" s="24">
        <v>0.3</v>
      </c>
      <c r="V87" s="24"/>
      <c r="W87" s="24"/>
      <c r="X87" s="24"/>
      <c r="Y87" s="24"/>
      <c r="Z87" s="24">
        <v>1.1075000000000002</v>
      </c>
      <c r="AA87" s="24">
        <v>17.5</v>
      </c>
      <c r="AB87" s="24">
        <v>0.25</v>
      </c>
      <c r="AC87" s="24">
        <v>4.2500000000000003E-2</v>
      </c>
      <c r="AD87" s="24">
        <v>0.315</v>
      </c>
      <c r="AE87" s="24">
        <v>64</v>
      </c>
      <c r="AF87" s="24">
        <v>46.75</v>
      </c>
      <c r="AG87" s="24">
        <v>67.895833333333329</v>
      </c>
      <c r="AH87" s="24">
        <v>71.791666666666671</v>
      </c>
      <c r="AI87" s="24"/>
      <c r="AJ87" s="24">
        <v>0.88250000000000006</v>
      </c>
      <c r="AK87" s="65">
        <v>404</v>
      </c>
      <c r="AL87" s="65">
        <v>4</v>
      </c>
    </row>
    <row r="88" spans="1:38" s="13" customFormat="1">
      <c r="A88" s="59">
        <v>413</v>
      </c>
      <c r="B88" s="59" t="s">
        <v>268</v>
      </c>
      <c r="C88" s="60" t="s">
        <v>566</v>
      </c>
      <c r="D88" s="6">
        <v>7011</v>
      </c>
      <c r="E88" s="59" t="s">
        <v>485</v>
      </c>
      <c r="F88" s="59" t="s">
        <v>135</v>
      </c>
      <c r="G88" s="24">
        <v>13</v>
      </c>
      <c r="H88" s="23">
        <v>13</v>
      </c>
      <c r="I88" s="23">
        <v>10</v>
      </c>
      <c r="J88" s="24">
        <v>75.900000000000006</v>
      </c>
      <c r="K88" s="24">
        <v>0.9</v>
      </c>
      <c r="L88" s="24">
        <v>12.7</v>
      </c>
      <c r="M88" s="24">
        <v>8.1</v>
      </c>
      <c r="N88" s="24">
        <v>0</v>
      </c>
      <c r="O88" s="24">
        <v>0</v>
      </c>
      <c r="P88" s="24"/>
      <c r="Q88" s="24">
        <v>2.4</v>
      </c>
      <c r="R88" s="24">
        <v>134</v>
      </c>
      <c r="S88" s="24"/>
      <c r="T88" s="24">
        <v>54</v>
      </c>
      <c r="U88" s="24">
        <v>1.7</v>
      </c>
      <c r="V88" s="24"/>
      <c r="W88" s="24"/>
      <c r="X88" s="24"/>
      <c r="Y88" s="24"/>
      <c r="Z88" s="24">
        <v>1.1299999999999999</v>
      </c>
      <c r="AA88" s="24">
        <v>83</v>
      </c>
      <c r="AB88" s="24">
        <v>0</v>
      </c>
      <c r="AC88" s="24">
        <v>0.12</v>
      </c>
      <c r="AD88" s="24">
        <v>0.51</v>
      </c>
      <c r="AE88" s="24">
        <v>186</v>
      </c>
      <c r="AF88" s="24">
        <v>0</v>
      </c>
      <c r="AG88" s="24">
        <v>186</v>
      </c>
      <c r="AH88" s="24">
        <v>186</v>
      </c>
      <c r="AI88" s="24"/>
      <c r="AJ88" s="24">
        <v>1.7</v>
      </c>
      <c r="AK88" s="65">
        <v>501</v>
      </c>
      <c r="AL88" s="65">
        <v>5</v>
      </c>
    </row>
    <row r="89" spans="1:38" s="13" customFormat="1">
      <c r="A89" s="59">
        <v>414</v>
      </c>
      <c r="B89" s="59" t="s">
        <v>269</v>
      </c>
      <c r="C89" s="60" t="s">
        <v>683</v>
      </c>
      <c r="D89" s="6"/>
      <c r="E89" s="59"/>
      <c r="F89" s="59" t="s">
        <v>721</v>
      </c>
      <c r="G89" s="24">
        <v>0</v>
      </c>
      <c r="H89" s="23">
        <v>15</v>
      </c>
      <c r="I89" s="23">
        <v>13</v>
      </c>
      <c r="J89" s="24">
        <f t="shared" ref="J89:O89" si="11">AVERAGE(J76:J81,J86:J87)</f>
        <v>83.098749999999995</v>
      </c>
      <c r="K89" s="24">
        <f t="shared" si="11"/>
        <v>0.9006249999999999</v>
      </c>
      <c r="L89" s="24">
        <f t="shared" si="11"/>
        <v>4.8662499999999991</v>
      </c>
      <c r="M89" s="24">
        <f t="shared" si="11"/>
        <v>4.2206250000000001</v>
      </c>
      <c r="N89" s="24">
        <f t="shared" si="11"/>
        <v>0.05</v>
      </c>
      <c r="O89" s="24">
        <f t="shared" si="11"/>
        <v>0</v>
      </c>
      <c r="P89" s="24"/>
      <c r="Q89" s="24"/>
      <c r="R89" s="24">
        <f>AVERAGE(R76:R81,R86:R87)</f>
        <v>84.71875</v>
      </c>
      <c r="S89" s="24"/>
      <c r="T89" s="24">
        <f>AVERAGE(T76:T81,T86:T87)</f>
        <v>138.46875</v>
      </c>
      <c r="U89" s="24">
        <f>AVERAGE(U76:U81,U86:U87)</f>
        <v>0.33750000000000002</v>
      </c>
      <c r="V89" s="24"/>
      <c r="W89" s="24"/>
      <c r="X89" s="24"/>
      <c r="Y89" s="24"/>
      <c r="Z89" s="24">
        <f t="shared" ref="Z89:AH89" si="12">AVERAGE(Z76:Z81,Z86:Z87)</f>
        <v>0.54531249999999998</v>
      </c>
      <c r="AA89" s="24">
        <f t="shared" si="12"/>
        <v>6.8125</v>
      </c>
      <c r="AB89" s="24">
        <f t="shared" si="12"/>
        <v>0.16875000000000001</v>
      </c>
      <c r="AC89" s="24">
        <f t="shared" si="12"/>
        <v>0.10756249999999999</v>
      </c>
      <c r="AD89" s="24">
        <f t="shared" si="12"/>
        <v>0.21625</v>
      </c>
      <c r="AE89" s="24">
        <f t="shared" si="12"/>
        <v>33.375</v>
      </c>
      <c r="AF89" s="24">
        <f t="shared" si="12"/>
        <v>17.28125</v>
      </c>
      <c r="AG89" s="24">
        <f t="shared" si="12"/>
        <v>34.825520833333336</v>
      </c>
      <c r="AH89" s="24">
        <f t="shared" si="12"/>
        <v>36.276041666666664</v>
      </c>
      <c r="AI89" s="24"/>
      <c r="AJ89" s="24">
        <f>AVERAGE(AJ76:AJ81,AJ86:AJ87)</f>
        <v>0.51343749999999999</v>
      </c>
      <c r="AK89" s="65">
        <v>403</v>
      </c>
      <c r="AL89" s="65">
        <v>4</v>
      </c>
    </row>
    <row r="90" spans="1:38" s="13" customFormat="1">
      <c r="A90" s="59">
        <v>501</v>
      </c>
      <c r="B90" s="59" t="s">
        <v>270</v>
      </c>
      <c r="C90" s="60" t="s">
        <v>566</v>
      </c>
      <c r="D90" s="6">
        <v>6002</v>
      </c>
      <c r="E90" s="59" t="s">
        <v>486</v>
      </c>
      <c r="F90" s="59" t="s">
        <v>95</v>
      </c>
      <c r="G90" s="24">
        <v>0</v>
      </c>
      <c r="H90" s="23">
        <v>17</v>
      </c>
      <c r="I90" s="23">
        <v>14</v>
      </c>
      <c r="J90" s="24">
        <v>15.3</v>
      </c>
      <c r="K90" s="24">
        <v>1.7</v>
      </c>
      <c r="L90" s="24">
        <v>1.1000000000000001</v>
      </c>
      <c r="M90" s="24">
        <v>81.3</v>
      </c>
      <c r="N90" s="24">
        <v>0</v>
      </c>
      <c r="O90" s="24">
        <v>0</v>
      </c>
      <c r="P90" s="24"/>
      <c r="Q90" s="24">
        <v>0.6</v>
      </c>
      <c r="R90" s="24">
        <v>739</v>
      </c>
      <c r="S90" s="24"/>
      <c r="T90" s="24">
        <v>17</v>
      </c>
      <c r="U90" s="24">
        <v>0.01</v>
      </c>
      <c r="V90" s="24"/>
      <c r="W90" s="24"/>
      <c r="X90" s="24"/>
      <c r="Y90" s="24"/>
      <c r="Z90" s="24">
        <v>0.06</v>
      </c>
      <c r="AA90" s="24">
        <v>6</v>
      </c>
      <c r="AB90" s="24">
        <v>0</v>
      </c>
      <c r="AC90" s="24">
        <v>0</v>
      </c>
      <c r="AD90" s="24">
        <v>0.05</v>
      </c>
      <c r="AE90" s="24">
        <v>832</v>
      </c>
      <c r="AF90" s="24">
        <v>153</v>
      </c>
      <c r="AG90" s="24">
        <v>845</v>
      </c>
      <c r="AH90" s="24">
        <v>858</v>
      </c>
      <c r="AI90" s="24"/>
      <c r="AJ90" s="24">
        <v>0</v>
      </c>
      <c r="AK90" s="65">
        <v>1103</v>
      </c>
      <c r="AL90" s="65">
        <v>11</v>
      </c>
    </row>
    <row r="91" spans="1:38" s="13" customFormat="1">
      <c r="A91" s="59">
        <v>502</v>
      </c>
      <c r="B91" s="59" t="s">
        <v>271</v>
      </c>
      <c r="C91" s="60" t="s">
        <v>566</v>
      </c>
      <c r="D91" s="6">
        <v>6008</v>
      </c>
      <c r="E91" s="59" t="s">
        <v>575</v>
      </c>
      <c r="F91" s="59" t="s">
        <v>95</v>
      </c>
      <c r="G91" s="24">
        <v>0</v>
      </c>
      <c r="H91" s="23">
        <v>17</v>
      </c>
      <c r="I91" s="23">
        <v>14</v>
      </c>
      <c r="J91" s="24">
        <v>0</v>
      </c>
      <c r="K91" s="24">
        <v>0.5</v>
      </c>
      <c r="L91" s="24">
        <v>0.3</v>
      </c>
      <c r="M91" s="24">
        <v>99.9</v>
      </c>
      <c r="N91" s="24">
        <v>0</v>
      </c>
      <c r="O91" s="24">
        <v>0</v>
      </c>
      <c r="P91" s="24"/>
      <c r="Q91" s="24">
        <v>0</v>
      </c>
      <c r="R91" s="24">
        <v>898</v>
      </c>
      <c r="S91" s="24"/>
      <c r="T91" s="24">
        <v>2</v>
      </c>
      <c r="U91" s="24">
        <v>0.2</v>
      </c>
      <c r="V91" s="24"/>
      <c r="W91" s="24"/>
      <c r="X91" s="24"/>
      <c r="Y91" s="24"/>
      <c r="Z91" s="24">
        <v>0.01</v>
      </c>
      <c r="AA91" s="24">
        <v>0</v>
      </c>
      <c r="AB91" s="24">
        <v>0</v>
      </c>
      <c r="AC91" s="24">
        <v>0</v>
      </c>
      <c r="AD91" s="24">
        <v>0.01</v>
      </c>
      <c r="AE91" s="24">
        <v>860</v>
      </c>
      <c r="AF91" s="24">
        <v>480</v>
      </c>
      <c r="AG91" s="24">
        <v>900</v>
      </c>
      <c r="AH91" s="24">
        <v>940</v>
      </c>
      <c r="AI91" s="24"/>
      <c r="AJ91" s="24">
        <v>0</v>
      </c>
      <c r="AK91" s="65">
        <v>1103</v>
      </c>
      <c r="AL91" s="65">
        <v>11</v>
      </c>
    </row>
    <row r="92" spans="1:38" s="13" customFormat="1">
      <c r="A92" s="59">
        <v>503</v>
      </c>
      <c r="B92" s="59" t="s">
        <v>272</v>
      </c>
      <c r="C92" s="60" t="s">
        <v>553</v>
      </c>
      <c r="D92" s="6"/>
      <c r="E92" s="59"/>
      <c r="F92" s="59" t="s">
        <v>93</v>
      </c>
      <c r="G92" s="24">
        <v>0</v>
      </c>
      <c r="H92" s="23">
        <v>16</v>
      </c>
      <c r="I92" s="23">
        <v>14</v>
      </c>
      <c r="J92" s="24">
        <v>43.833333333333336</v>
      </c>
      <c r="K92" s="24">
        <v>1.6333333333333335</v>
      </c>
      <c r="L92" s="24">
        <v>0.13333333333333333</v>
      </c>
      <c r="M92" s="24">
        <v>54.1</v>
      </c>
      <c r="N92" s="24">
        <v>0</v>
      </c>
      <c r="O92" s="24">
        <v>0</v>
      </c>
      <c r="P92" s="24"/>
      <c r="Q92" s="24">
        <v>0.29999999999999716</v>
      </c>
      <c r="R92" s="24">
        <v>488.66666666666669</v>
      </c>
      <c r="S92" s="24"/>
      <c r="T92" s="24">
        <v>10.333333333333334</v>
      </c>
      <c r="U92" s="24">
        <v>0</v>
      </c>
      <c r="V92" s="24"/>
      <c r="W92" s="24"/>
      <c r="X92" s="24"/>
      <c r="Y92" s="24"/>
      <c r="Z92" s="24">
        <v>0</v>
      </c>
      <c r="AA92" s="24">
        <v>0.66666666666666663</v>
      </c>
      <c r="AB92" s="24">
        <v>8.3333333333333329E-2</v>
      </c>
      <c r="AC92" s="24">
        <v>3.3333333333333335E-3</v>
      </c>
      <c r="AD92" s="24">
        <v>0.01</v>
      </c>
      <c r="AE92" s="24">
        <v>768</v>
      </c>
      <c r="AF92" s="24">
        <v>610</v>
      </c>
      <c r="AG92" s="24">
        <v>818.83333333333337</v>
      </c>
      <c r="AH92" s="24">
        <v>869.66666666666663</v>
      </c>
      <c r="AI92" s="24"/>
      <c r="AJ92" s="24">
        <v>1.2366666666666666</v>
      </c>
      <c r="AK92" s="65">
        <v>1101</v>
      </c>
      <c r="AL92" s="65">
        <v>11</v>
      </c>
    </row>
    <row r="93" spans="1:38" s="13" customFormat="1">
      <c r="A93" s="59">
        <v>504</v>
      </c>
      <c r="B93" s="59" t="s">
        <v>273</v>
      </c>
      <c r="C93" s="60" t="s">
        <v>611</v>
      </c>
      <c r="D93" s="6" t="s">
        <v>685</v>
      </c>
      <c r="E93" s="59" t="s">
        <v>684</v>
      </c>
      <c r="F93" s="59" t="s">
        <v>95</v>
      </c>
      <c r="G93" s="24">
        <v>0</v>
      </c>
      <c r="H93" s="23">
        <v>16</v>
      </c>
      <c r="I93" s="23">
        <v>14</v>
      </c>
      <c r="J93" s="24">
        <v>16.5</v>
      </c>
      <c r="K93" s="24">
        <v>1.9</v>
      </c>
      <c r="L93" s="24">
        <v>0.2</v>
      </c>
      <c r="M93" s="24">
        <v>80.7</v>
      </c>
      <c r="N93" s="24">
        <v>0</v>
      </c>
      <c r="O93" s="24">
        <v>0</v>
      </c>
      <c r="P93" s="24"/>
      <c r="Q93" s="24">
        <v>0.7</v>
      </c>
      <c r="R93" s="24">
        <v>730</v>
      </c>
      <c r="S93" s="24"/>
      <c r="T93" s="24">
        <v>3</v>
      </c>
      <c r="U93" s="24">
        <v>0.1</v>
      </c>
      <c r="V93" s="24"/>
      <c r="W93" s="24"/>
      <c r="X93" s="24"/>
      <c r="Y93" s="24"/>
      <c r="Z93" s="24">
        <v>0</v>
      </c>
      <c r="AA93" s="24">
        <v>1</v>
      </c>
      <c r="AB93" s="24">
        <v>0.2</v>
      </c>
      <c r="AC93" s="24">
        <v>0.01</v>
      </c>
      <c r="AD93" s="24">
        <v>0.04</v>
      </c>
      <c r="AE93" s="24">
        <v>768</v>
      </c>
      <c r="AF93" s="24">
        <v>610</v>
      </c>
      <c r="AG93" s="24">
        <f>+AE93+AF93/12</f>
        <v>818.83333333333337</v>
      </c>
      <c r="AH93" s="24">
        <f>+AE93+AF93/6</f>
        <v>869.66666666666663</v>
      </c>
      <c r="AI93" s="24"/>
      <c r="AJ93" s="24">
        <v>0.1</v>
      </c>
      <c r="AK93" s="65">
        <v>1101</v>
      </c>
      <c r="AL93" s="65">
        <v>11</v>
      </c>
    </row>
    <row r="94" spans="1:38" s="13" customFormat="1">
      <c r="A94" s="59">
        <v>505</v>
      </c>
      <c r="B94" s="59" t="s">
        <v>274</v>
      </c>
      <c r="C94" s="60" t="s">
        <v>566</v>
      </c>
      <c r="D94" s="6">
        <v>10012</v>
      </c>
      <c r="E94" s="59" t="s">
        <v>576</v>
      </c>
      <c r="F94" s="59" t="s">
        <v>95</v>
      </c>
      <c r="G94" s="24">
        <v>0</v>
      </c>
      <c r="H94" s="23">
        <v>16</v>
      </c>
      <c r="I94" s="23">
        <v>14</v>
      </c>
      <c r="J94" s="24">
        <v>5.9</v>
      </c>
      <c r="K94" s="24">
        <v>2.2999999999999998</v>
      </c>
      <c r="L94" s="24">
        <v>20.100000000000001</v>
      </c>
      <c r="M94" s="24">
        <v>48.4</v>
      </c>
      <c r="N94" s="24">
        <v>8.3000000000000007</v>
      </c>
      <c r="O94" s="24">
        <v>0</v>
      </c>
      <c r="P94" s="24"/>
      <c r="Q94" s="24">
        <v>15</v>
      </c>
      <c r="R94" s="24">
        <v>593</v>
      </c>
      <c r="S94" s="24"/>
      <c r="T94" s="24">
        <v>117</v>
      </c>
      <c r="U94" s="24">
        <v>5.5</v>
      </c>
      <c r="V94" s="24"/>
      <c r="W94" s="24"/>
      <c r="X94" s="24"/>
      <c r="Y94" s="24"/>
      <c r="Z94" s="24">
        <v>2.2400000000000002</v>
      </c>
      <c r="AA94" s="24">
        <v>110</v>
      </c>
      <c r="AB94" s="24">
        <v>0</v>
      </c>
      <c r="AC94" s="24">
        <v>0.85</v>
      </c>
      <c r="AD94" s="24">
        <v>0.14000000000000001</v>
      </c>
      <c r="AE94" s="24">
        <v>0</v>
      </c>
      <c r="AF94" s="24">
        <v>4</v>
      </c>
      <c r="AG94" s="24">
        <v>0</v>
      </c>
      <c r="AH94" s="24">
        <v>1</v>
      </c>
      <c r="AI94" s="24"/>
      <c r="AJ94" s="24">
        <v>0</v>
      </c>
      <c r="AK94" s="65">
        <v>303</v>
      </c>
      <c r="AL94" s="65">
        <v>3</v>
      </c>
    </row>
    <row r="95" spans="1:38" s="13" customFormat="1">
      <c r="A95" s="59">
        <v>506</v>
      </c>
      <c r="B95" s="59" t="s">
        <v>275</v>
      </c>
      <c r="C95" s="60" t="s">
        <v>553</v>
      </c>
      <c r="D95" s="6"/>
      <c r="E95" s="59"/>
      <c r="F95" s="59" t="s">
        <v>721</v>
      </c>
      <c r="G95" s="24">
        <v>0</v>
      </c>
      <c r="H95" s="23">
        <v>16</v>
      </c>
      <c r="I95" s="23">
        <v>14</v>
      </c>
      <c r="J95" s="24">
        <v>0</v>
      </c>
      <c r="K95" s="24">
        <v>0</v>
      </c>
      <c r="L95" s="24">
        <v>2.5000000000000001E-2</v>
      </c>
      <c r="M95" s="24">
        <v>99.974999999999994</v>
      </c>
      <c r="N95" s="24">
        <v>0</v>
      </c>
      <c r="O95" s="24">
        <v>0</v>
      </c>
      <c r="P95" s="24"/>
      <c r="Q95" s="24">
        <v>0</v>
      </c>
      <c r="R95" s="24">
        <v>900</v>
      </c>
      <c r="S95" s="24"/>
      <c r="T95" s="24">
        <v>0.25</v>
      </c>
      <c r="U95" s="24">
        <v>2.5000000000000001E-2</v>
      </c>
      <c r="V95" s="24"/>
      <c r="W95" s="24"/>
      <c r="X95" s="24"/>
      <c r="Y95" s="24"/>
      <c r="Z95" s="24">
        <v>3.5000000000000003E-2</v>
      </c>
      <c r="AA95" s="24">
        <v>0</v>
      </c>
      <c r="AB95" s="24">
        <v>0</v>
      </c>
      <c r="AC95" s="24">
        <v>0</v>
      </c>
      <c r="AD95" s="24">
        <v>0</v>
      </c>
      <c r="AE95" s="24">
        <v>1.595</v>
      </c>
      <c r="AF95" s="24">
        <v>0</v>
      </c>
      <c r="AG95" s="24">
        <v>1.595</v>
      </c>
      <c r="AH95" s="24">
        <v>1.595</v>
      </c>
      <c r="AI95" s="24"/>
      <c r="AJ95" s="24">
        <v>0</v>
      </c>
      <c r="AK95" s="65">
        <v>1103</v>
      </c>
      <c r="AL95" s="65">
        <v>11</v>
      </c>
    </row>
    <row r="96" spans="1:38" s="13" customFormat="1">
      <c r="A96" s="59">
        <v>507</v>
      </c>
      <c r="B96" s="59" t="s">
        <v>276</v>
      </c>
      <c r="C96" s="60" t="s">
        <v>553</v>
      </c>
      <c r="D96" s="6"/>
      <c r="E96" s="59"/>
      <c r="F96" s="59" t="s">
        <v>721</v>
      </c>
      <c r="G96" s="24">
        <v>0</v>
      </c>
      <c r="H96" s="23">
        <v>16</v>
      </c>
      <c r="I96" s="23">
        <v>14</v>
      </c>
      <c r="J96" s="24">
        <v>0</v>
      </c>
      <c r="K96" s="24">
        <v>0</v>
      </c>
      <c r="L96" s="24">
        <v>0</v>
      </c>
      <c r="M96" s="24">
        <v>99.974999999999994</v>
      </c>
      <c r="N96" s="24">
        <v>0</v>
      </c>
      <c r="O96" s="24">
        <v>0</v>
      </c>
      <c r="P96" s="24"/>
      <c r="Q96" s="24">
        <v>2.5000000000005684E-2</v>
      </c>
      <c r="R96" s="24">
        <v>900</v>
      </c>
      <c r="S96" s="24"/>
      <c r="T96" s="24">
        <v>0</v>
      </c>
      <c r="U96" s="24">
        <v>2.5000000000000001E-2</v>
      </c>
      <c r="V96" s="24"/>
      <c r="W96" s="24"/>
      <c r="X96" s="24"/>
      <c r="Y96" s="24"/>
      <c r="Z96" s="24">
        <v>3.2500000000000001E-2</v>
      </c>
      <c r="AA96" s="24">
        <v>0</v>
      </c>
      <c r="AB96" s="24">
        <v>0</v>
      </c>
      <c r="AC96" s="24">
        <v>0</v>
      </c>
      <c r="AD96" s="24">
        <v>0</v>
      </c>
      <c r="AE96" s="24">
        <v>1.595</v>
      </c>
      <c r="AF96" s="24">
        <v>2.75</v>
      </c>
      <c r="AG96" s="24">
        <v>1.8241666666666667</v>
      </c>
      <c r="AH96" s="24">
        <v>2.0533333333333332</v>
      </c>
      <c r="AI96" s="24"/>
      <c r="AJ96" s="24">
        <v>0</v>
      </c>
      <c r="AK96" s="65">
        <v>1101</v>
      </c>
      <c r="AL96" s="65">
        <v>11</v>
      </c>
    </row>
    <row r="97" spans="1:38" s="13" customFormat="1">
      <c r="A97" s="59">
        <v>508</v>
      </c>
      <c r="B97" s="59" t="s">
        <v>277</v>
      </c>
      <c r="C97" s="60" t="s">
        <v>686</v>
      </c>
      <c r="D97" s="6"/>
      <c r="E97" s="59"/>
      <c r="F97" s="59" t="s">
        <v>135</v>
      </c>
      <c r="G97" s="24">
        <v>0</v>
      </c>
      <c r="H97" s="23">
        <v>16</v>
      </c>
      <c r="I97" s="23">
        <v>14</v>
      </c>
      <c r="J97" s="24">
        <f t="shared" ref="J97:O97" si="13">J93</f>
        <v>16.5</v>
      </c>
      <c r="K97" s="24">
        <f t="shared" si="13"/>
        <v>1.9</v>
      </c>
      <c r="L97" s="24">
        <f t="shared" si="13"/>
        <v>0.2</v>
      </c>
      <c r="M97" s="24">
        <f t="shared" si="13"/>
        <v>80.7</v>
      </c>
      <c r="N97" s="24">
        <f t="shared" si="13"/>
        <v>0</v>
      </c>
      <c r="O97" s="24">
        <f t="shared" si="13"/>
        <v>0</v>
      </c>
      <c r="P97" s="24"/>
      <c r="Q97" s="24">
        <f>Q93</f>
        <v>0.7</v>
      </c>
      <c r="R97" s="24">
        <f>R93</f>
        <v>730</v>
      </c>
      <c r="S97" s="24"/>
      <c r="T97" s="24">
        <f>T93</f>
        <v>3</v>
      </c>
      <c r="U97" s="24">
        <f>U93</f>
        <v>0.1</v>
      </c>
      <c r="V97" s="24"/>
      <c r="W97" s="24"/>
      <c r="X97" s="24"/>
      <c r="Y97" s="24"/>
      <c r="Z97" s="24">
        <f t="shared" ref="Z97:AH97" si="14">Z93</f>
        <v>0</v>
      </c>
      <c r="AA97" s="24">
        <f t="shared" si="14"/>
        <v>1</v>
      </c>
      <c r="AB97" s="24">
        <f t="shared" si="14"/>
        <v>0.2</v>
      </c>
      <c r="AC97" s="24">
        <f t="shared" si="14"/>
        <v>0.01</v>
      </c>
      <c r="AD97" s="24">
        <f t="shared" si="14"/>
        <v>0.04</v>
      </c>
      <c r="AE97" s="24">
        <f t="shared" si="14"/>
        <v>768</v>
      </c>
      <c r="AF97" s="24">
        <f t="shared" si="14"/>
        <v>610</v>
      </c>
      <c r="AG97" s="24">
        <f t="shared" si="14"/>
        <v>818.83333333333337</v>
      </c>
      <c r="AH97" s="24">
        <f t="shared" si="14"/>
        <v>869.66666666666663</v>
      </c>
      <c r="AI97" s="24"/>
      <c r="AJ97" s="24">
        <f>AJ93</f>
        <v>0.1</v>
      </c>
      <c r="AK97" s="65">
        <v>1103</v>
      </c>
      <c r="AL97" s="65">
        <v>11</v>
      </c>
    </row>
    <row r="98" spans="1:38" s="13" customFormat="1">
      <c r="A98" s="59">
        <v>509</v>
      </c>
      <c r="B98" s="59" t="s">
        <v>278</v>
      </c>
      <c r="C98" s="60" t="s">
        <v>566</v>
      </c>
      <c r="D98" s="6">
        <v>9001</v>
      </c>
      <c r="E98" s="59" t="s">
        <v>577</v>
      </c>
      <c r="F98" s="59" t="s">
        <v>95</v>
      </c>
      <c r="G98" s="24">
        <v>0</v>
      </c>
      <c r="H98" s="23">
        <v>17</v>
      </c>
      <c r="I98" s="23">
        <v>14</v>
      </c>
      <c r="J98" s="24">
        <v>1</v>
      </c>
      <c r="K98" s="24">
        <v>0.3</v>
      </c>
      <c r="L98" s="24">
        <v>0</v>
      </c>
      <c r="M98" s="24">
        <v>99</v>
      </c>
      <c r="N98" s="24">
        <v>0</v>
      </c>
      <c r="O98" s="24">
        <v>0</v>
      </c>
      <c r="P98" s="24"/>
      <c r="Q98" s="24">
        <v>0</v>
      </c>
      <c r="R98" s="24">
        <v>890</v>
      </c>
      <c r="S98" s="24"/>
      <c r="T98" s="24">
        <v>1</v>
      </c>
      <c r="U98" s="24">
        <v>0.1</v>
      </c>
      <c r="V98" s="24"/>
      <c r="W98" s="24"/>
      <c r="X98" s="24"/>
      <c r="Y98" s="24"/>
      <c r="Z98" s="24">
        <v>0.11</v>
      </c>
      <c r="AA98" s="24">
        <v>0</v>
      </c>
      <c r="AB98" s="24">
        <v>0</v>
      </c>
      <c r="AC98" s="24">
        <v>0</v>
      </c>
      <c r="AD98" s="24">
        <v>0</v>
      </c>
      <c r="AE98" s="24">
        <v>0</v>
      </c>
      <c r="AF98" s="24">
        <v>0</v>
      </c>
      <c r="AG98" s="24">
        <v>0</v>
      </c>
      <c r="AH98" s="24">
        <v>0</v>
      </c>
      <c r="AI98" s="24"/>
      <c r="AJ98" s="24">
        <v>0</v>
      </c>
      <c r="AK98" s="65">
        <v>1103</v>
      </c>
      <c r="AL98" s="65">
        <v>11</v>
      </c>
    </row>
    <row r="99" spans="1:38" s="13" customFormat="1">
      <c r="A99" s="59">
        <v>510</v>
      </c>
      <c r="B99" s="59" t="s">
        <v>279</v>
      </c>
      <c r="C99" s="60" t="s">
        <v>676</v>
      </c>
      <c r="D99" s="6">
        <v>9007</v>
      </c>
      <c r="E99" s="59" t="s">
        <v>491</v>
      </c>
      <c r="F99" s="59" t="s">
        <v>135</v>
      </c>
      <c r="G99" s="24">
        <v>0</v>
      </c>
      <c r="H99" s="23">
        <v>16</v>
      </c>
      <c r="I99" s="23">
        <v>14</v>
      </c>
      <c r="J99" s="24">
        <v>0</v>
      </c>
      <c r="K99" s="24">
        <v>0</v>
      </c>
      <c r="L99" s="24">
        <v>0</v>
      </c>
      <c r="M99" s="24">
        <v>100</v>
      </c>
      <c r="N99" s="24">
        <v>0</v>
      </c>
      <c r="O99" s="24">
        <v>0</v>
      </c>
      <c r="P99" s="24"/>
      <c r="Q99" s="24">
        <v>0</v>
      </c>
      <c r="R99" s="24">
        <v>900</v>
      </c>
      <c r="S99" s="24"/>
      <c r="T99" s="24">
        <v>0</v>
      </c>
      <c r="U99" s="24">
        <v>0</v>
      </c>
      <c r="V99" s="24"/>
      <c r="W99" s="24"/>
      <c r="X99" s="24"/>
      <c r="Y99" s="24"/>
      <c r="Z99" s="24">
        <v>0</v>
      </c>
      <c r="AA99" s="24">
        <v>0</v>
      </c>
      <c r="AB99" s="24">
        <v>0</v>
      </c>
      <c r="AC99" s="24">
        <v>0</v>
      </c>
      <c r="AD99" s="24">
        <v>0</v>
      </c>
      <c r="AE99" s="24">
        <v>0</v>
      </c>
      <c r="AF99" s="24">
        <v>0</v>
      </c>
      <c r="AG99" s="24">
        <v>0</v>
      </c>
      <c r="AH99" s="24">
        <v>0</v>
      </c>
      <c r="AI99" s="24"/>
      <c r="AJ99" s="24">
        <v>0</v>
      </c>
      <c r="AK99" s="65">
        <v>1101</v>
      </c>
      <c r="AL99" s="65">
        <v>11</v>
      </c>
    </row>
    <row r="100" spans="1:38" s="13" customFormat="1">
      <c r="A100" s="59">
        <v>601</v>
      </c>
      <c r="B100" s="59" t="s">
        <v>280</v>
      </c>
      <c r="C100" s="60" t="s">
        <v>566</v>
      </c>
      <c r="D100" s="6">
        <v>5004</v>
      </c>
      <c r="E100" s="59" t="s">
        <v>578</v>
      </c>
      <c r="F100" s="59" t="s">
        <v>95</v>
      </c>
      <c r="G100" s="24">
        <v>38</v>
      </c>
      <c r="H100" s="23">
        <v>8</v>
      </c>
      <c r="I100" s="23">
        <v>7</v>
      </c>
      <c r="J100" s="24">
        <v>74.400000000000006</v>
      </c>
      <c r="K100" s="24">
        <v>0.9</v>
      </c>
      <c r="L100" s="24">
        <v>1.08</v>
      </c>
      <c r="M100" s="24">
        <v>0.3</v>
      </c>
      <c r="N100" s="24">
        <v>2.75</v>
      </c>
      <c r="O100" s="24">
        <v>0</v>
      </c>
      <c r="P100" s="24"/>
      <c r="Q100" s="24">
        <v>20.6</v>
      </c>
      <c r="R100" s="24">
        <v>95</v>
      </c>
      <c r="S100" s="24"/>
      <c r="T100" s="24">
        <v>10</v>
      </c>
      <c r="U100" s="24">
        <v>0.3</v>
      </c>
      <c r="V100" s="24"/>
      <c r="W100" s="24"/>
      <c r="X100" s="24"/>
      <c r="Y100" s="24"/>
      <c r="Z100" s="24">
        <v>0.36</v>
      </c>
      <c r="AA100" s="24">
        <v>22</v>
      </c>
      <c r="AB100" s="24">
        <v>4</v>
      </c>
      <c r="AC100" s="24">
        <v>0.05</v>
      </c>
      <c r="AD100" s="24">
        <v>0.05</v>
      </c>
      <c r="AE100" s="24">
        <v>0</v>
      </c>
      <c r="AF100" s="24">
        <v>56</v>
      </c>
      <c r="AG100" s="24">
        <v>5</v>
      </c>
      <c r="AH100" s="24">
        <v>9</v>
      </c>
      <c r="AI100" s="24"/>
      <c r="AJ100" s="24">
        <v>0</v>
      </c>
      <c r="AK100" s="65">
        <v>1002</v>
      </c>
      <c r="AL100" s="65">
        <v>10</v>
      </c>
    </row>
    <row r="101" spans="1:38" s="13" customFormat="1">
      <c r="A101" s="59">
        <v>602</v>
      </c>
      <c r="B101" s="59" t="s">
        <v>281</v>
      </c>
      <c r="C101" s="60" t="s">
        <v>566</v>
      </c>
      <c r="D101" s="6">
        <v>5023</v>
      </c>
      <c r="E101" s="59" t="s">
        <v>497</v>
      </c>
      <c r="F101" s="59" t="s">
        <v>95</v>
      </c>
      <c r="G101" s="24">
        <v>25</v>
      </c>
      <c r="H101" s="23">
        <v>8</v>
      </c>
      <c r="I101" s="23">
        <v>7</v>
      </c>
      <c r="J101" s="24">
        <v>87.6</v>
      </c>
      <c r="K101" s="24">
        <v>0.7</v>
      </c>
      <c r="L101" s="24">
        <v>0.9</v>
      </c>
      <c r="M101" s="24">
        <v>0.2</v>
      </c>
      <c r="N101" s="24">
        <v>3.1</v>
      </c>
      <c r="O101" s="24">
        <v>0</v>
      </c>
      <c r="P101" s="24"/>
      <c r="Q101" s="24">
        <v>7.5</v>
      </c>
      <c r="R101" s="24">
        <v>42</v>
      </c>
      <c r="S101" s="24"/>
      <c r="T101" s="24">
        <v>23</v>
      </c>
      <c r="U101" s="24">
        <v>0.2</v>
      </c>
      <c r="V101" s="24"/>
      <c r="W101" s="24"/>
      <c r="X101" s="24"/>
      <c r="Y101" s="24"/>
      <c r="Z101" s="24">
        <v>0.05</v>
      </c>
      <c r="AA101" s="24">
        <v>52</v>
      </c>
      <c r="AB101" s="24">
        <v>45</v>
      </c>
      <c r="AC101" s="24">
        <v>0.04</v>
      </c>
      <c r="AD101" s="24">
        <v>0.03</v>
      </c>
      <c r="AE101" s="24">
        <v>0</v>
      </c>
      <c r="AF101" s="24">
        <v>57</v>
      </c>
      <c r="AG101" s="24">
        <v>5</v>
      </c>
      <c r="AH101" s="24">
        <v>9</v>
      </c>
      <c r="AI101" s="24"/>
      <c r="AJ101" s="24">
        <v>0</v>
      </c>
      <c r="AK101" s="65">
        <v>1002</v>
      </c>
      <c r="AL101" s="65">
        <v>10</v>
      </c>
    </row>
    <row r="102" spans="1:38" s="13" customFormat="1">
      <c r="A102" s="59">
        <v>603</v>
      </c>
      <c r="B102" s="59" t="s">
        <v>282</v>
      </c>
      <c r="C102" s="60" t="s">
        <v>566</v>
      </c>
      <c r="D102" s="6">
        <v>5024</v>
      </c>
      <c r="E102" s="59" t="s">
        <v>579</v>
      </c>
      <c r="F102" s="59" t="s">
        <v>95</v>
      </c>
      <c r="G102" s="24">
        <v>24</v>
      </c>
      <c r="H102" s="23">
        <v>8</v>
      </c>
      <c r="I102" s="23">
        <v>6</v>
      </c>
      <c r="J102" s="24">
        <v>89.8</v>
      </c>
      <c r="K102" s="24">
        <v>0.5</v>
      </c>
      <c r="L102" s="24">
        <v>0.6</v>
      </c>
      <c r="M102" s="24">
        <v>0.3</v>
      </c>
      <c r="N102" s="24">
        <v>2.1</v>
      </c>
      <c r="O102" s="24">
        <v>0</v>
      </c>
      <c r="P102" s="24"/>
      <c r="Q102" s="24">
        <v>6.8</v>
      </c>
      <c r="R102" s="24">
        <v>36</v>
      </c>
      <c r="S102" s="24"/>
      <c r="T102" s="24">
        <v>21</v>
      </c>
      <c r="U102" s="24">
        <v>0.6</v>
      </c>
      <c r="V102" s="24"/>
      <c r="W102" s="24"/>
      <c r="X102" s="24"/>
      <c r="Y102" s="24"/>
      <c r="Z102" s="24">
        <v>0.2</v>
      </c>
      <c r="AA102" s="24">
        <v>37</v>
      </c>
      <c r="AB102" s="24">
        <v>51</v>
      </c>
      <c r="AC102" s="24">
        <v>0.04</v>
      </c>
      <c r="AD102" s="24">
        <v>0.03</v>
      </c>
      <c r="AE102" s="24">
        <v>0</v>
      </c>
      <c r="AF102" s="24">
        <v>1018</v>
      </c>
      <c r="AG102" s="24">
        <v>85</v>
      </c>
      <c r="AH102" s="24">
        <v>170</v>
      </c>
      <c r="AI102" s="24"/>
      <c r="AJ102" s="24">
        <v>0</v>
      </c>
      <c r="AK102" s="65">
        <v>1001</v>
      </c>
      <c r="AL102" s="65">
        <v>10</v>
      </c>
    </row>
    <row r="103" spans="1:38" s="13" customFormat="1">
      <c r="A103" s="59">
        <v>604</v>
      </c>
      <c r="B103" s="59" t="s">
        <v>283</v>
      </c>
      <c r="C103" s="60" t="s">
        <v>566</v>
      </c>
      <c r="D103" s="6">
        <v>5003</v>
      </c>
      <c r="E103" s="59" t="s">
        <v>580</v>
      </c>
      <c r="F103" s="59" t="s">
        <v>95</v>
      </c>
      <c r="G103" s="24">
        <v>29.000000000000004</v>
      </c>
      <c r="H103" s="23">
        <v>7</v>
      </c>
      <c r="I103" s="23">
        <v>7</v>
      </c>
      <c r="J103" s="24">
        <v>74</v>
      </c>
      <c r="K103" s="24">
        <v>1.9</v>
      </c>
      <c r="L103" s="24">
        <v>1.6</v>
      </c>
      <c r="M103" s="24">
        <v>19.600000000000001</v>
      </c>
      <c r="N103" s="24">
        <v>4</v>
      </c>
      <c r="O103" s="24">
        <v>0</v>
      </c>
      <c r="P103" s="24"/>
      <c r="Q103" s="24">
        <v>0</v>
      </c>
      <c r="R103" s="24">
        <v>185</v>
      </c>
      <c r="S103" s="24"/>
      <c r="T103" s="24">
        <v>19</v>
      </c>
      <c r="U103" s="24">
        <v>1</v>
      </c>
      <c r="V103" s="24"/>
      <c r="W103" s="24"/>
      <c r="X103" s="24"/>
      <c r="Y103" s="24"/>
      <c r="Z103" s="24">
        <v>0.39</v>
      </c>
      <c r="AA103" s="24">
        <v>67</v>
      </c>
      <c r="AB103" s="24">
        <v>14</v>
      </c>
      <c r="AC103" s="24">
        <v>7.0000000000000007E-2</v>
      </c>
      <c r="AD103" s="24">
        <v>0.15</v>
      </c>
      <c r="AE103" s="24">
        <v>0</v>
      </c>
      <c r="AF103" s="24">
        <v>27</v>
      </c>
      <c r="AG103" s="24">
        <v>2</v>
      </c>
      <c r="AH103" s="24">
        <v>5</v>
      </c>
      <c r="AI103" s="24"/>
      <c r="AJ103" s="24">
        <v>0</v>
      </c>
      <c r="AK103" s="65">
        <v>1002</v>
      </c>
      <c r="AL103" s="65">
        <v>10</v>
      </c>
    </row>
    <row r="104" spans="1:38" s="13" customFormat="1">
      <c r="A104" s="59">
        <v>605</v>
      </c>
      <c r="B104" s="59" t="s">
        <v>284</v>
      </c>
      <c r="C104" s="60" t="s">
        <v>566</v>
      </c>
      <c r="D104" s="6">
        <v>5019</v>
      </c>
      <c r="E104" s="59" t="s">
        <v>581</v>
      </c>
      <c r="F104" s="59" t="s">
        <v>95</v>
      </c>
      <c r="G104" s="24">
        <v>28.000000000000004</v>
      </c>
      <c r="H104" s="23">
        <v>8</v>
      </c>
      <c r="I104" s="23">
        <v>6</v>
      </c>
      <c r="J104" s="24">
        <v>83</v>
      </c>
      <c r="K104" s="24">
        <v>0.5</v>
      </c>
      <c r="L104" s="24">
        <v>0.6</v>
      </c>
      <c r="M104" s="24">
        <v>0.3</v>
      </c>
      <c r="N104" s="24">
        <v>1.6</v>
      </c>
      <c r="O104" s="24">
        <v>0</v>
      </c>
      <c r="P104" s="24"/>
      <c r="Q104" s="24">
        <v>14</v>
      </c>
      <c r="R104" s="24">
        <v>64</v>
      </c>
      <c r="S104" s="24"/>
      <c r="T104" s="24">
        <v>14</v>
      </c>
      <c r="U104" s="24">
        <v>0.2</v>
      </c>
      <c r="V104" s="24"/>
      <c r="W104" s="24"/>
      <c r="X104" s="24"/>
      <c r="Y104" s="24"/>
      <c r="Z104" s="24">
        <v>0.14000000000000001</v>
      </c>
      <c r="AA104" s="24">
        <v>54</v>
      </c>
      <c r="AB104" s="24">
        <v>35</v>
      </c>
      <c r="AC104" s="24">
        <v>0.03</v>
      </c>
      <c r="AD104" s="24">
        <v>0.04</v>
      </c>
      <c r="AE104" s="24">
        <v>0</v>
      </c>
      <c r="AF104" s="24">
        <v>1105</v>
      </c>
      <c r="AG104" s="24">
        <v>92</v>
      </c>
      <c r="AH104" s="24">
        <v>184</v>
      </c>
      <c r="AI104" s="24"/>
      <c r="AJ104" s="24">
        <v>0</v>
      </c>
      <c r="AK104" s="65">
        <v>1001</v>
      </c>
      <c r="AL104" s="65">
        <v>10</v>
      </c>
    </row>
    <row r="105" spans="1:38" s="13" customFormat="1">
      <c r="A105" s="59">
        <v>606</v>
      </c>
      <c r="B105" s="59" t="s">
        <v>285</v>
      </c>
      <c r="C105" s="60" t="s">
        <v>566</v>
      </c>
      <c r="D105" s="6">
        <v>5030</v>
      </c>
      <c r="E105" s="59" t="s">
        <v>582</v>
      </c>
      <c r="F105" s="59" t="s">
        <v>95</v>
      </c>
      <c r="G105" s="24">
        <v>31.999999999999996</v>
      </c>
      <c r="H105" s="23">
        <v>8</v>
      </c>
      <c r="I105" s="23">
        <v>7</v>
      </c>
      <c r="J105" s="24">
        <v>88.6</v>
      </c>
      <c r="K105" s="24">
        <v>0.3</v>
      </c>
      <c r="L105" s="24">
        <v>0.48</v>
      </c>
      <c r="M105" s="24">
        <v>0.2</v>
      </c>
      <c r="N105" s="24">
        <v>2.2999999999999998</v>
      </c>
      <c r="O105" s="24">
        <v>0</v>
      </c>
      <c r="P105" s="24"/>
      <c r="Q105" s="24">
        <v>8.1</v>
      </c>
      <c r="R105" s="24">
        <v>41</v>
      </c>
      <c r="S105" s="24"/>
      <c r="T105" s="24">
        <v>16</v>
      </c>
      <c r="U105" s="24">
        <v>0.4</v>
      </c>
      <c r="V105" s="24"/>
      <c r="W105" s="24"/>
      <c r="X105" s="24"/>
      <c r="Y105" s="24"/>
      <c r="Z105" s="24">
        <v>0.37</v>
      </c>
      <c r="AA105" s="24">
        <v>32</v>
      </c>
      <c r="AB105" s="24">
        <v>36.4</v>
      </c>
      <c r="AC105" s="24">
        <v>0.05</v>
      </c>
      <c r="AD105" s="24">
        <v>0.03</v>
      </c>
      <c r="AE105" s="24">
        <v>0</v>
      </c>
      <c r="AF105" s="24">
        <v>31</v>
      </c>
      <c r="AG105" s="24">
        <v>3</v>
      </c>
      <c r="AH105" s="24">
        <v>5</v>
      </c>
      <c r="AI105" s="24"/>
      <c r="AJ105" s="24">
        <v>0</v>
      </c>
      <c r="AK105" s="65">
        <v>1002</v>
      </c>
      <c r="AL105" s="65">
        <v>10</v>
      </c>
    </row>
    <row r="106" spans="1:38" s="13" customFormat="1">
      <c r="A106" s="59">
        <v>607</v>
      </c>
      <c r="B106" s="59" t="s">
        <v>286</v>
      </c>
      <c r="C106" s="60" t="s">
        <v>566</v>
      </c>
      <c r="D106" s="6">
        <v>5025</v>
      </c>
      <c r="E106" s="59" t="s">
        <v>498</v>
      </c>
      <c r="F106" s="59" t="s">
        <v>95</v>
      </c>
      <c r="G106" s="24">
        <v>48</v>
      </c>
      <c r="H106" s="23">
        <v>8</v>
      </c>
      <c r="I106" s="23">
        <v>7</v>
      </c>
      <c r="J106" s="24">
        <v>75.7</v>
      </c>
      <c r="K106" s="24">
        <v>0.8</v>
      </c>
      <c r="L106" s="24">
        <v>2.4</v>
      </c>
      <c r="M106" s="24">
        <v>0.9</v>
      </c>
      <c r="N106" s="24">
        <v>11.7</v>
      </c>
      <c r="O106" s="24">
        <v>0</v>
      </c>
      <c r="P106" s="24"/>
      <c r="Q106" s="24">
        <v>8.6999999999999993</v>
      </c>
      <c r="R106" s="24">
        <v>75</v>
      </c>
      <c r="S106" s="24"/>
      <c r="T106" s="24">
        <v>10</v>
      </c>
      <c r="U106" s="24">
        <v>0.6</v>
      </c>
      <c r="V106" s="24"/>
      <c r="W106" s="24"/>
      <c r="X106" s="24"/>
      <c r="Y106" s="24"/>
      <c r="Z106" s="24">
        <v>0.8</v>
      </c>
      <c r="AA106" s="24">
        <v>7</v>
      </c>
      <c r="AB106" s="24">
        <v>29</v>
      </c>
      <c r="AC106" s="24">
        <v>0.03</v>
      </c>
      <c r="AD106" s="24">
        <v>0.14000000000000001</v>
      </c>
      <c r="AE106" s="24">
        <v>0</v>
      </c>
      <c r="AF106" s="24">
        <v>764</v>
      </c>
      <c r="AG106" s="24">
        <v>64</v>
      </c>
      <c r="AH106" s="24">
        <v>127</v>
      </c>
      <c r="AI106" s="24"/>
      <c r="AJ106" s="24">
        <v>0</v>
      </c>
      <c r="AK106" s="65">
        <v>1002</v>
      </c>
      <c r="AL106" s="65">
        <v>10</v>
      </c>
    </row>
    <row r="107" spans="1:38" s="13" customFormat="1">
      <c r="A107" s="59">
        <v>608</v>
      </c>
      <c r="B107" s="59" t="s">
        <v>287</v>
      </c>
      <c r="C107" s="60" t="s">
        <v>566</v>
      </c>
      <c r="D107" s="6">
        <v>5028</v>
      </c>
      <c r="E107" s="59" t="s">
        <v>583</v>
      </c>
      <c r="F107" s="59" t="s">
        <v>95</v>
      </c>
      <c r="G107" s="24">
        <v>15.000000000000002</v>
      </c>
      <c r="H107" s="23">
        <v>8</v>
      </c>
      <c r="I107" s="23">
        <v>7</v>
      </c>
      <c r="J107" s="24">
        <v>86</v>
      </c>
      <c r="K107" s="24">
        <v>0.3</v>
      </c>
      <c r="L107" s="24">
        <v>0.4</v>
      </c>
      <c r="M107" s="24">
        <v>0.2</v>
      </c>
      <c r="N107" s="24">
        <v>4</v>
      </c>
      <c r="O107" s="24">
        <v>0</v>
      </c>
      <c r="P107" s="24"/>
      <c r="Q107" s="24">
        <v>9.1</v>
      </c>
      <c r="R107" s="24">
        <v>48</v>
      </c>
      <c r="S107" s="24"/>
      <c r="T107" s="24">
        <v>8</v>
      </c>
      <c r="U107" s="24">
        <v>0.3</v>
      </c>
      <c r="V107" s="24"/>
      <c r="W107" s="24"/>
      <c r="X107" s="24"/>
      <c r="Y107" s="24"/>
      <c r="Z107" s="24">
        <v>0.08</v>
      </c>
      <c r="AA107" s="24">
        <v>7</v>
      </c>
      <c r="AB107" s="24">
        <v>4</v>
      </c>
      <c r="AC107" s="24">
        <v>0.03</v>
      </c>
      <c r="AD107" s="24">
        <v>0.03</v>
      </c>
      <c r="AE107" s="24">
        <v>0</v>
      </c>
      <c r="AF107" s="24">
        <v>14</v>
      </c>
      <c r="AG107" s="24">
        <v>1</v>
      </c>
      <c r="AH107" s="24">
        <v>2</v>
      </c>
      <c r="AI107" s="24"/>
      <c r="AJ107" s="24">
        <v>0</v>
      </c>
      <c r="AK107" s="65">
        <v>1002</v>
      </c>
      <c r="AL107" s="65">
        <v>10</v>
      </c>
    </row>
    <row r="108" spans="1:38" s="13" customFormat="1">
      <c r="A108" s="59">
        <v>609</v>
      </c>
      <c r="B108" s="59" t="s">
        <v>288</v>
      </c>
      <c r="C108" s="60" t="s">
        <v>566</v>
      </c>
      <c r="D108" s="6">
        <v>5027</v>
      </c>
      <c r="E108" s="59" t="s">
        <v>584</v>
      </c>
      <c r="F108" s="59" t="s">
        <v>95</v>
      </c>
      <c r="G108" s="24">
        <v>12</v>
      </c>
      <c r="H108" s="23">
        <v>8</v>
      </c>
      <c r="I108" s="23">
        <v>7</v>
      </c>
      <c r="J108" s="24">
        <v>86.7</v>
      </c>
      <c r="K108" s="24">
        <v>0.4</v>
      </c>
      <c r="L108" s="24">
        <v>1</v>
      </c>
      <c r="M108" s="24">
        <v>0.1</v>
      </c>
      <c r="N108" s="24">
        <v>1.9</v>
      </c>
      <c r="O108" s="24">
        <v>0</v>
      </c>
      <c r="P108" s="24"/>
      <c r="Q108" s="24">
        <v>9.9</v>
      </c>
      <c r="R108" s="24">
        <v>48</v>
      </c>
      <c r="S108" s="24"/>
      <c r="T108" s="24">
        <v>5</v>
      </c>
      <c r="U108" s="24">
        <v>0.3</v>
      </c>
      <c r="V108" s="24"/>
      <c r="W108" s="24"/>
      <c r="X108" s="24"/>
      <c r="Y108" s="24"/>
      <c r="Z108" s="24">
        <v>0.11</v>
      </c>
      <c r="AA108" s="24">
        <v>0</v>
      </c>
      <c r="AB108" s="24">
        <v>8</v>
      </c>
      <c r="AC108" s="24">
        <v>0.01</v>
      </c>
      <c r="AD108" s="24">
        <v>0.03</v>
      </c>
      <c r="AE108" s="24">
        <v>0</v>
      </c>
      <c r="AF108" s="24">
        <v>157</v>
      </c>
      <c r="AG108" s="24">
        <v>13</v>
      </c>
      <c r="AH108" s="24">
        <v>26</v>
      </c>
      <c r="AI108" s="24"/>
      <c r="AJ108" s="24">
        <v>0</v>
      </c>
      <c r="AK108" s="65">
        <v>1002</v>
      </c>
      <c r="AL108" s="65">
        <v>10</v>
      </c>
    </row>
    <row r="109" spans="1:38" s="13" customFormat="1">
      <c r="A109" s="59">
        <v>610</v>
      </c>
      <c r="B109" s="59" t="s">
        <v>289</v>
      </c>
      <c r="C109" s="60" t="s">
        <v>566</v>
      </c>
      <c r="D109" s="6">
        <v>5031</v>
      </c>
      <c r="E109" s="59" t="s">
        <v>585</v>
      </c>
      <c r="F109" s="59" t="s">
        <v>95</v>
      </c>
      <c r="G109" s="24">
        <v>6.9999999999999947</v>
      </c>
      <c r="H109" s="23">
        <v>8</v>
      </c>
      <c r="I109" s="23">
        <v>7</v>
      </c>
      <c r="J109" s="24">
        <v>86.9</v>
      </c>
      <c r="K109" s="24">
        <v>0.4</v>
      </c>
      <c r="L109" s="24">
        <v>0.7</v>
      </c>
      <c r="M109" s="24">
        <v>0.1</v>
      </c>
      <c r="N109" s="24">
        <v>2</v>
      </c>
      <c r="O109" s="24">
        <v>0</v>
      </c>
      <c r="P109" s="24"/>
      <c r="Q109" s="24">
        <v>9.9</v>
      </c>
      <c r="R109" s="24">
        <v>47</v>
      </c>
      <c r="S109" s="24"/>
      <c r="T109" s="24">
        <v>10</v>
      </c>
      <c r="U109" s="24">
        <v>0.4</v>
      </c>
      <c r="V109" s="24"/>
      <c r="W109" s="24"/>
      <c r="X109" s="24"/>
      <c r="Y109" s="24"/>
      <c r="Z109" s="24">
        <v>0.1</v>
      </c>
      <c r="AA109" s="24">
        <v>1</v>
      </c>
      <c r="AB109" s="24">
        <v>4</v>
      </c>
      <c r="AC109" s="24">
        <v>0.04</v>
      </c>
      <c r="AD109" s="24">
        <v>0.06</v>
      </c>
      <c r="AE109" s="24">
        <v>0</v>
      </c>
      <c r="AF109" s="24">
        <v>74</v>
      </c>
      <c r="AG109" s="24">
        <v>6</v>
      </c>
      <c r="AH109" s="24">
        <v>12</v>
      </c>
      <c r="AI109" s="24"/>
      <c r="AJ109" s="24">
        <v>0</v>
      </c>
      <c r="AK109" s="65">
        <v>1002</v>
      </c>
      <c r="AL109" s="65">
        <v>10</v>
      </c>
    </row>
    <row r="110" spans="1:38" s="13" customFormat="1">
      <c r="A110" s="59">
        <v>611</v>
      </c>
      <c r="B110" s="59" t="s">
        <v>290</v>
      </c>
      <c r="C110" s="60" t="s">
        <v>553</v>
      </c>
      <c r="D110" s="6"/>
      <c r="E110" s="59"/>
      <c r="F110" s="59" t="s">
        <v>93</v>
      </c>
      <c r="G110" s="24">
        <v>9.9999999999999982</v>
      </c>
      <c r="H110" s="23">
        <v>8</v>
      </c>
      <c r="I110" s="23">
        <v>7</v>
      </c>
      <c r="J110" s="24">
        <v>84.8</v>
      </c>
      <c r="K110" s="24">
        <v>0.22500000000000001</v>
      </c>
      <c r="L110" s="24">
        <v>0.3</v>
      </c>
      <c r="M110" s="24">
        <v>0.05</v>
      </c>
      <c r="N110" s="24">
        <v>2.3499999999999996</v>
      </c>
      <c r="O110" s="24">
        <v>0</v>
      </c>
      <c r="P110" s="24"/>
      <c r="Q110" s="24">
        <v>12.275000000000002</v>
      </c>
      <c r="R110" s="24">
        <v>56</v>
      </c>
      <c r="S110" s="24"/>
      <c r="T110" s="24">
        <v>6</v>
      </c>
      <c r="U110" s="24">
        <v>0.35</v>
      </c>
      <c r="V110" s="24"/>
      <c r="W110" s="24"/>
      <c r="X110" s="24"/>
      <c r="Y110" s="24"/>
      <c r="Z110" s="24">
        <v>7.0000000000000007E-2</v>
      </c>
      <c r="AA110" s="24">
        <v>2.5</v>
      </c>
      <c r="AB110" s="24">
        <v>4</v>
      </c>
      <c r="AC110" s="24">
        <v>2.2499999999999999E-2</v>
      </c>
      <c r="AD110" s="24">
        <v>0.01</v>
      </c>
      <c r="AE110" s="24">
        <v>0</v>
      </c>
      <c r="AF110" s="24">
        <v>12.5</v>
      </c>
      <c r="AG110" s="24">
        <v>1.0416666666666667</v>
      </c>
      <c r="AH110" s="24">
        <v>2.0833333333333335</v>
      </c>
      <c r="AI110" s="24"/>
      <c r="AJ110" s="24">
        <v>0</v>
      </c>
      <c r="AK110" s="65">
        <v>1002</v>
      </c>
      <c r="AL110" s="65">
        <v>10</v>
      </c>
    </row>
    <row r="111" spans="1:38" s="13" customFormat="1">
      <c r="A111" s="59">
        <v>612</v>
      </c>
      <c r="B111" s="59" t="s">
        <v>291</v>
      </c>
      <c r="C111" s="60" t="s">
        <v>566</v>
      </c>
      <c r="D111" s="6">
        <v>5015</v>
      </c>
      <c r="E111" s="59" t="s">
        <v>503</v>
      </c>
      <c r="F111" s="59" t="s">
        <v>95</v>
      </c>
      <c r="G111" s="24">
        <v>34</v>
      </c>
      <c r="H111" s="23">
        <v>8</v>
      </c>
      <c r="I111" s="23">
        <v>7</v>
      </c>
      <c r="J111" s="24">
        <v>89.5</v>
      </c>
      <c r="K111" s="24">
        <v>0.3</v>
      </c>
      <c r="L111" s="24">
        <v>0.82</v>
      </c>
      <c r="M111" s="24">
        <v>0.2</v>
      </c>
      <c r="N111" s="24">
        <v>2.5</v>
      </c>
      <c r="O111" s="24">
        <v>0</v>
      </c>
      <c r="P111" s="24"/>
      <c r="Q111" s="24">
        <v>6.7</v>
      </c>
      <c r="R111" s="24">
        <v>37</v>
      </c>
      <c r="S111" s="24"/>
      <c r="T111" s="24">
        <v>33</v>
      </c>
      <c r="U111" s="24">
        <v>0.3</v>
      </c>
      <c r="V111" s="24"/>
      <c r="W111" s="24"/>
      <c r="X111" s="24"/>
      <c r="Y111" s="24"/>
      <c r="Z111" s="24">
        <v>0.1</v>
      </c>
      <c r="AA111" s="24">
        <v>11</v>
      </c>
      <c r="AB111" s="24">
        <v>44</v>
      </c>
      <c r="AC111" s="24">
        <v>0.03</v>
      </c>
      <c r="AD111" s="24">
        <v>0.02</v>
      </c>
      <c r="AE111" s="24">
        <v>0</v>
      </c>
      <c r="AF111" s="24">
        <v>10</v>
      </c>
      <c r="AG111" s="24">
        <v>1</v>
      </c>
      <c r="AH111" s="24">
        <v>2</v>
      </c>
      <c r="AI111" s="24"/>
      <c r="AJ111" s="24">
        <v>0</v>
      </c>
      <c r="AK111" s="65">
        <v>1002</v>
      </c>
      <c r="AL111" s="65">
        <v>10</v>
      </c>
    </row>
    <row r="112" spans="1:38" s="13" customFormat="1">
      <c r="A112" s="59">
        <v>613</v>
      </c>
      <c r="B112" s="59" t="s">
        <v>292</v>
      </c>
      <c r="C112" s="60" t="s">
        <v>561</v>
      </c>
      <c r="D112" s="6">
        <v>135</v>
      </c>
      <c r="E112" s="59" t="s">
        <v>645</v>
      </c>
      <c r="F112" s="59" t="s">
        <v>95</v>
      </c>
      <c r="G112" s="24">
        <v>50</v>
      </c>
      <c r="H112" s="23">
        <v>8</v>
      </c>
      <c r="I112" s="23">
        <v>7</v>
      </c>
      <c r="J112" s="24"/>
      <c r="K112" s="24"/>
      <c r="L112" s="24">
        <v>0.7</v>
      </c>
      <c r="M112" s="24">
        <v>0.1</v>
      </c>
      <c r="N112" s="24">
        <v>1.1000000000000001</v>
      </c>
      <c r="O112" s="24">
        <v>0</v>
      </c>
      <c r="P112" s="24">
        <v>8.4</v>
      </c>
      <c r="Q112" s="24"/>
      <c r="R112" s="24">
        <v>33</v>
      </c>
      <c r="S112" s="24"/>
      <c r="T112" s="24">
        <v>12</v>
      </c>
      <c r="U112" s="24">
        <v>0.06</v>
      </c>
      <c r="V112" s="24"/>
      <c r="W112" s="24"/>
      <c r="X112" s="24"/>
      <c r="Y112" s="24"/>
      <c r="Z112" s="24">
        <v>7.0000000000000007E-2</v>
      </c>
      <c r="AA112" s="24">
        <v>10</v>
      </c>
      <c r="AB112" s="24">
        <v>33.299999999999997</v>
      </c>
      <c r="AC112" s="24">
        <v>0</v>
      </c>
      <c r="AD112" s="24">
        <v>0</v>
      </c>
      <c r="AE112" s="24">
        <v>0</v>
      </c>
      <c r="AF112" s="24">
        <v>24</v>
      </c>
      <c r="AG112" s="24">
        <v>2</v>
      </c>
      <c r="AH112" s="24">
        <v>4</v>
      </c>
      <c r="AI112" s="24"/>
      <c r="AJ112" s="24">
        <v>0</v>
      </c>
      <c r="AK112" s="65">
        <v>1002</v>
      </c>
      <c r="AL112" s="65">
        <v>10</v>
      </c>
    </row>
    <row r="113" spans="1:38" s="13" customFormat="1">
      <c r="A113" s="59">
        <v>614</v>
      </c>
      <c r="B113" s="59" t="s">
        <v>293</v>
      </c>
      <c r="C113" s="60" t="s">
        <v>566</v>
      </c>
      <c r="D113" s="6">
        <v>5010</v>
      </c>
      <c r="E113" s="59" t="s">
        <v>586</v>
      </c>
      <c r="F113" s="59" t="s">
        <v>135</v>
      </c>
      <c r="G113" s="24">
        <v>5.0000000000000044</v>
      </c>
      <c r="H113" s="23">
        <v>8</v>
      </c>
      <c r="I113" s="23">
        <v>7</v>
      </c>
      <c r="J113" s="24">
        <v>80.7</v>
      </c>
      <c r="K113" s="24">
        <v>0.6</v>
      </c>
      <c r="L113" s="24">
        <v>0.6</v>
      </c>
      <c r="M113" s="24">
        <v>0.1</v>
      </c>
      <c r="N113" s="24">
        <v>2</v>
      </c>
      <c r="O113" s="24">
        <v>0</v>
      </c>
      <c r="P113" s="24"/>
      <c r="Q113" s="24">
        <v>16</v>
      </c>
      <c r="R113" s="24">
        <v>71</v>
      </c>
      <c r="S113" s="24"/>
      <c r="T113" s="24">
        <v>14</v>
      </c>
      <c r="U113" s="24">
        <v>0.3</v>
      </c>
      <c r="V113" s="24"/>
      <c r="W113" s="24"/>
      <c r="X113" s="24"/>
      <c r="Y113" s="24"/>
      <c r="Z113" s="24">
        <v>0.1</v>
      </c>
      <c r="AA113" s="24">
        <v>4</v>
      </c>
      <c r="AB113" s="24">
        <v>14</v>
      </c>
      <c r="AC113" s="24">
        <v>0.03</v>
      </c>
      <c r="AD113" s="24">
        <v>0.03</v>
      </c>
      <c r="AE113" s="24">
        <v>0</v>
      </c>
      <c r="AF113" s="24">
        <v>29</v>
      </c>
      <c r="AG113" s="24">
        <v>2</v>
      </c>
      <c r="AH113" s="24">
        <v>5</v>
      </c>
      <c r="AI113" s="24"/>
      <c r="AJ113" s="24">
        <v>0</v>
      </c>
      <c r="AK113" s="65">
        <v>1002</v>
      </c>
      <c r="AL113" s="65">
        <v>10</v>
      </c>
    </row>
    <row r="114" spans="1:38" s="13" customFormat="1">
      <c r="A114" s="59">
        <v>615</v>
      </c>
      <c r="B114" s="59" t="s">
        <v>294</v>
      </c>
      <c r="C114" s="60" t="s">
        <v>566</v>
      </c>
      <c r="D114" s="6">
        <v>5034</v>
      </c>
      <c r="E114" s="59" t="s">
        <v>587</v>
      </c>
      <c r="F114" s="59" t="s">
        <v>135</v>
      </c>
      <c r="G114" s="24">
        <v>4.0000000000000036</v>
      </c>
      <c r="H114" s="23">
        <v>8</v>
      </c>
      <c r="I114" s="23">
        <v>7</v>
      </c>
      <c r="J114" s="24">
        <v>90</v>
      </c>
      <c r="K114" s="24">
        <v>0.4</v>
      </c>
      <c r="L114" s="24">
        <v>0.7</v>
      </c>
      <c r="M114" s="24">
        <v>0.2</v>
      </c>
      <c r="N114" s="24">
        <v>2.5</v>
      </c>
      <c r="O114" s="24">
        <v>0</v>
      </c>
      <c r="P114" s="24"/>
      <c r="Q114" s="24">
        <v>6.3</v>
      </c>
      <c r="R114" s="24">
        <v>35</v>
      </c>
      <c r="S114" s="24"/>
      <c r="T114" s="24">
        <v>19</v>
      </c>
      <c r="U114" s="24">
        <v>0.6</v>
      </c>
      <c r="V114" s="24"/>
      <c r="W114" s="24"/>
      <c r="X114" s="24"/>
      <c r="Y114" s="24"/>
      <c r="Z114" s="24">
        <v>0.18</v>
      </c>
      <c r="AA114" s="24">
        <v>39</v>
      </c>
      <c r="AB114" s="24">
        <v>49</v>
      </c>
      <c r="AC114" s="24">
        <v>0.03</v>
      </c>
      <c r="AD114" s="24">
        <v>0.02</v>
      </c>
      <c r="AE114" s="24">
        <v>0</v>
      </c>
      <c r="AF114" s="24">
        <v>1</v>
      </c>
      <c r="AG114" s="24">
        <v>0</v>
      </c>
      <c r="AH114" s="24">
        <v>0</v>
      </c>
      <c r="AI114" s="24"/>
      <c r="AJ114" s="24">
        <v>0</v>
      </c>
      <c r="AK114" s="65">
        <v>1002</v>
      </c>
      <c r="AL114" s="65">
        <v>10</v>
      </c>
    </row>
    <row r="115" spans="1:38" s="13" customFormat="1">
      <c r="A115" s="59">
        <v>616</v>
      </c>
      <c r="B115" s="59" t="s">
        <v>295</v>
      </c>
      <c r="C115" s="60" t="s">
        <v>553</v>
      </c>
      <c r="D115" s="6"/>
      <c r="E115" s="59"/>
      <c r="F115" s="59" t="s">
        <v>721</v>
      </c>
      <c r="G115" s="24">
        <v>0</v>
      </c>
      <c r="H115" s="23">
        <v>8</v>
      </c>
      <c r="I115" s="23">
        <v>6</v>
      </c>
      <c r="J115" s="24">
        <v>49.054000000000002</v>
      </c>
      <c r="K115" s="24">
        <v>0.26250000000000001</v>
      </c>
      <c r="L115" s="24">
        <v>0.31850000000000001</v>
      </c>
      <c r="M115" s="24">
        <v>0.10700000000000001</v>
      </c>
      <c r="N115" s="24">
        <v>0.3135</v>
      </c>
      <c r="O115" s="24">
        <v>0</v>
      </c>
      <c r="P115" s="24"/>
      <c r="Q115" s="24">
        <v>3.4444999999999975</v>
      </c>
      <c r="R115" s="24">
        <v>16.534999999999997</v>
      </c>
      <c r="S115" s="24"/>
      <c r="T115" s="24">
        <v>5.2750000000000004</v>
      </c>
      <c r="U115" s="24">
        <v>0.13500000000000001</v>
      </c>
      <c r="V115" s="24"/>
      <c r="W115" s="24"/>
      <c r="X115" s="24"/>
      <c r="Y115" s="24"/>
      <c r="Z115" s="24">
        <v>7.3899999999999993E-2</v>
      </c>
      <c r="AA115" s="24">
        <v>5.2</v>
      </c>
      <c r="AB115" s="24">
        <v>9.7170000000000005</v>
      </c>
      <c r="AC115" s="24">
        <v>1.8599999999999998E-2</v>
      </c>
      <c r="AD115" s="24">
        <v>1.6300000000000002E-2</v>
      </c>
      <c r="AE115" s="24">
        <v>0</v>
      </c>
      <c r="AF115" s="24">
        <v>625.34</v>
      </c>
      <c r="AG115" s="24">
        <v>52.111666666666672</v>
      </c>
      <c r="AH115" s="24">
        <v>104.22333333333334</v>
      </c>
      <c r="AI115" s="24"/>
      <c r="AJ115" s="24">
        <v>0</v>
      </c>
      <c r="AK115" s="65">
        <v>1001</v>
      </c>
      <c r="AL115" s="65">
        <v>10</v>
      </c>
    </row>
    <row r="116" spans="1:38" s="13" customFormat="1">
      <c r="A116" s="59">
        <v>617</v>
      </c>
      <c r="B116" s="59" t="s">
        <v>296</v>
      </c>
      <c r="C116" s="60" t="s">
        <v>553</v>
      </c>
      <c r="D116" s="6"/>
      <c r="E116" s="59"/>
      <c r="F116" s="59" t="s">
        <v>93</v>
      </c>
      <c r="G116" s="24">
        <v>26</v>
      </c>
      <c r="H116" s="23">
        <v>6</v>
      </c>
      <c r="I116" s="23">
        <v>7</v>
      </c>
      <c r="J116" s="24">
        <v>52.55</v>
      </c>
      <c r="K116" s="24">
        <v>0.95</v>
      </c>
      <c r="L116" s="24">
        <v>3.2</v>
      </c>
      <c r="M116" s="24">
        <v>24.9</v>
      </c>
      <c r="N116" s="24">
        <v>5.55</v>
      </c>
      <c r="O116" s="24">
        <v>0</v>
      </c>
      <c r="P116" s="24"/>
      <c r="Q116" s="24">
        <v>12.849999999999998</v>
      </c>
      <c r="R116" s="24">
        <v>299.5</v>
      </c>
      <c r="S116" s="24"/>
      <c r="T116" s="24">
        <v>26.35</v>
      </c>
      <c r="U116" s="24">
        <v>1.75</v>
      </c>
      <c r="V116" s="24"/>
      <c r="W116" s="24"/>
      <c r="X116" s="24"/>
      <c r="Y116" s="24"/>
      <c r="Z116" s="24">
        <v>0.57499999999999996</v>
      </c>
      <c r="AA116" s="24">
        <v>17</v>
      </c>
      <c r="AB116" s="24">
        <v>4.2</v>
      </c>
      <c r="AC116" s="24">
        <v>5.5E-2</v>
      </c>
      <c r="AD116" s="24">
        <v>0.33999999999999997</v>
      </c>
      <c r="AE116" s="24">
        <v>0</v>
      </c>
      <c r="AF116" s="24">
        <v>0</v>
      </c>
      <c r="AG116" s="24">
        <v>0</v>
      </c>
      <c r="AH116" s="24">
        <v>0</v>
      </c>
      <c r="AI116" s="24"/>
      <c r="AJ116" s="24">
        <v>0</v>
      </c>
      <c r="AK116" s="65">
        <v>303</v>
      </c>
      <c r="AL116" s="65">
        <v>3</v>
      </c>
    </row>
    <row r="117" spans="1:38" s="13" customFormat="1">
      <c r="A117" s="59">
        <v>618</v>
      </c>
      <c r="B117" s="59" t="s">
        <v>297</v>
      </c>
      <c r="C117" s="60" t="s">
        <v>566</v>
      </c>
      <c r="D117" s="6">
        <v>5011</v>
      </c>
      <c r="E117" s="59" t="s">
        <v>588</v>
      </c>
      <c r="F117" s="59" t="s">
        <v>135</v>
      </c>
      <c r="G117" s="24">
        <v>0</v>
      </c>
      <c r="H117" s="23">
        <v>8</v>
      </c>
      <c r="I117" s="23">
        <v>7</v>
      </c>
      <c r="J117" s="24">
        <v>80.7</v>
      </c>
      <c r="K117" s="24">
        <v>0.8</v>
      </c>
      <c r="L117" s="24">
        <v>1.1000000000000001</v>
      </c>
      <c r="M117" s="24">
        <v>1.1000000000000001</v>
      </c>
      <c r="N117" s="24">
        <v>15.5</v>
      </c>
      <c r="O117" s="24">
        <v>0</v>
      </c>
      <c r="P117" s="24"/>
      <c r="Q117" s="24">
        <v>0.9</v>
      </c>
      <c r="R117" s="24">
        <v>48</v>
      </c>
      <c r="S117" s="24"/>
      <c r="T117" s="24">
        <v>20</v>
      </c>
      <c r="U117" s="24">
        <v>0.4</v>
      </c>
      <c r="V117" s="24"/>
      <c r="W117" s="24"/>
      <c r="X117" s="24"/>
      <c r="Y117" s="24"/>
      <c r="Z117" s="24">
        <v>0.26</v>
      </c>
      <c r="AA117" s="24">
        <v>16</v>
      </c>
      <c r="AB117" s="24">
        <v>222</v>
      </c>
      <c r="AC117" s="24">
        <v>0.06</v>
      </c>
      <c r="AD117" s="24">
        <v>0.05</v>
      </c>
      <c r="AE117" s="24">
        <v>0</v>
      </c>
      <c r="AF117" s="24">
        <v>267</v>
      </c>
      <c r="AG117" s="24">
        <v>22</v>
      </c>
      <c r="AH117" s="24">
        <v>45</v>
      </c>
      <c r="AI117" s="24"/>
      <c r="AJ117" s="24">
        <v>0</v>
      </c>
      <c r="AK117" s="65">
        <v>1002</v>
      </c>
      <c r="AL117" s="65">
        <v>10</v>
      </c>
    </row>
    <row r="118" spans="1:38" s="13" customFormat="1">
      <c r="A118" s="59">
        <v>619</v>
      </c>
      <c r="B118" s="59" t="s">
        <v>298</v>
      </c>
      <c r="C118" s="60" t="s">
        <v>566</v>
      </c>
      <c r="D118" s="6">
        <v>5017</v>
      </c>
      <c r="E118" s="59" t="s">
        <v>507</v>
      </c>
      <c r="F118" s="59" t="s">
        <v>95</v>
      </c>
      <c r="G118" s="24">
        <v>30.000000000000004</v>
      </c>
      <c r="H118" s="23">
        <v>8</v>
      </c>
      <c r="I118" s="23">
        <v>7</v>
      </c>
      <c r="J118" s="24">
        <v>87.1</v>
      </c>
      <c r="K118" s="24">
        <v>0.6</v>
      </c>
      <c r="L118" s="24">
        <v>0.7</v>
      </c>
      <c r="M118" s="24">
        <v>0.2</v>
      </c>
      <c r="N118" s="24">
        <v>4.0999999999999996</v>
      </c>
      <c r="O118" s="24">
        <v>0</v>
      </c>
      <c r="P118" s="24"/>
      <c r="Q118" s="24">
        <v>7.4</v>
      </c>
      <c r="R118" s="24">
        <v>42</v>
      </c>
      <c r="S118" s="24"/>
      <c r="T118" s="24">
        <v>22</v>
      </c>
      <c r="U118" s="24">
        <v>0</v>
      </c>
      <c r="V118" s="24"/>
      <c r="W118" s="24"/>
      <c r="X118" s="24"/>
      <c r="Y118" s="24"/>
      <c r="Z118" s="24">
        <v>0.1</v>
      </c>
      <c r="AA118" s="24">
        <v>8</v>
      </c>
      <c r="AB118" s="24">
        <v>55</v>
      </c>
      <c r="AC118" s="24">
        <v>0.02</v>
      </c>
      <c r="AD118" s="24">
        <v>0.03</v>
      </c>
      <c r="AE118" s="24">
        <v>0</v>
      </c>
      <c r="AF118" s="24">
        <v>31</v>
      </c>
      <c r="AG118" s="24">
        <v>3</v>
      </c>
      <c r="AH118" s="24">
        <v>5</v>
      </c>
      <c r="AI118" s="24"/>
      <c r="AJ118" s="24">
        <v>0</v>
      </c>
      <c r="AK118" s="65">
        <v>1002</v>
      </c>
      <c r="AL118" s="65">
        <v>10</v>
      </c>
    </row>
    <row r="119" spans="1:38" s="13" customFormat="1">
      <c r="A119" s="59">
        <v>620</v>
      </c>
      <c r="B119" s="59" t="s">
        <v>299</v>
      </c>
      <c r="C119" s="60" t="s">
        <v>566</v>
      </c>
      <c r="D119" s="6">
        <v>5018</v>
      </c>
      <c r="E119" s="59" t="s">
        <v>589</v>
      </c>
      <c r="F119" s="59" t="s">
        <v>95</v>
      </c>
      <c r="G119" s="24">
        <v>25</v>
      </c>
      <c r="H119" s="23">
        <v>8</v>
      </c>
      <c r="I119" s="23">
        <v>7</v>
      </c>
      <c r="J119" s="24">
        <v>84.6</v>
      </c>
      <c r="K119" s="24">
        <v>0.7</v>
      </c>
      <c r="L119" s="24">
        <v>0.62</v>
      </c>
      <c r="M119" s="24">
        <v>0.2</v>
      </c>
      <c r="N119" s="24">
        <v>4.51</v>
      </c>
      <c r="O119" s="24">
        <v>0</v>
      </c>
      <c r="P119" s="24"/>
      <c r="Q119" s="24">
        <v>9.5</v>
      </c>
      <c r="R119" s="24">
        <v>51</v>
      </c>
      <c r="S119" s="24"/>
      <c r="T119" s="24">
        <v>13</v>
      </c>
      <c r="U119" s="24">
        <v>0.5</v>
      </c>
      <c r="V119" s="24"/>
      <c r="W119" s="24"/>
      <c r="X119" s="24"/>
      <c r="Y119" s="24"/>
      <c r="Z119" s="24">
        <v>0.22</v>
      </c>
      <c r="AA119" s="24">
        <v>14</v>
      </c>
      <c r="AB119" s="24">
        <v>4.0999999999999996</v>
      </c>
      <c r="AC119" s="24">
        <v>0.02</v>
      </c>
      <c r="AD119" s="24">
        <v>0.04</v>
      </c>
      <c r="AE119" s="24">
        <v>0</v>
      </c>
      <c r="AF119" s="24">
        <v>537</v>
      </c>
      <c r="AG119" s="24">
        <v>45</v>
      </c>
      <c r="AH119" s="24">
        <v>89</v>
      </c>
      <c r="AI119" s="24"/>
      <c r="AJ119" s="24">
        <v>0</v>
      </c>
      <c r="AK119" s="65">
        <v>1002</v>
      </c>
      <c r="AL119" s="65">
        <v>10</v>
      </c>
    </row>
    <row r="120" spans="1:38" s="13" customFormat="1">
      <c r="A120" s="59">
        <v>621</v>
      </c>
      <c r="B120" s="59" t="s">
        <v>300</v>
      </c>
      <c r="C120" s="60" t="s">
        <v>566</v>
      </c>
      <c r="D120" s="6">
        <v>5036</v>
      </c>
      <c r="E120" s="59" t="s">
        <v>509</v>
      </c>
      <c r="F120" s="59" t="s">
        <v>95</v>
      </c>
      <c r="G120" s="24">
        <v>25</v>
      </c>
      <c r="H120" s="23">
        <v>8</v>
      </c>
      <c r="I120" s="23">
        <v>7</v>
      </c>
      <c r="J120" s="24">
        <v>86.2</v>
      </c>
      <c r="K120" s="24">
        <v>0.4</v>
      </c>
      <c r="L120" s="24">
        <v>0.87</v>
      </c>
      <c r="M120" s="24">
        <v>0.2</v>
      </c>
      <c r="N120" s="24">
        <v>1.5</v>
      </c>
      <c r="O120" s="24">
        <v>0</v>
      </c>
      <c r="P120" s="24"/>
      <c r="Q120" s="24">
        <v>10.8</v>
      </c>
      <c r="R120" s="24">
        <v>52</v>
      </c>
      <c r="S120" s="24"/>
      <c r="T120" s="24">
        <v>26</v>
      </c>
      <c r="U120" s="24">
        <v>0</v>
      </c>
      <c r="V120" s="24"/>
      <c r="W120" s="24"/>
      <c r="X120" s="24"/>
      <c r="Y120" s="24"/>
      <c r="Z120" s="24">
        <v>0.1</v>
      </c>
      <c r="AA120" s="24">
        <v>24</v>
      </c>
      <c r="AB120" s="24">
        <v>36</v>
      </c>
      <c r="AC120" s="24">
        <v>0.08</v>
      </c>
      <c r="AD120" s="24">
        <v>0.05</v>
      </c>
      <c r="AE120" s="24">
        <v>0</v>
      </c>
      <c r="AF120" s="24">
        <v>10</v>
      </c>
      <c r="AG120" s="24">
        <v>1</v>
      </c>
      <c r="AH120" s="24">
        <v>2</v>
      </c>
      <c r="AI120" s="24"/>
      <c r="AJ120" s="24">
        <v>0</v>
      </c>
      <c r="AK120" s="65">
        <v>1002</v>
      </c>
      <c r="AL120" s="65">
        <v>10</v>
      </c>
    </row>
    <row r="121" spans="1:38" s="13" customFormat="1">
      <c r="A121" s="59">
        <v>622</v>
      </c>
      <c r="B121" s="59" t="s">
        <v>301</v>
      </c>
      <c r="C121" s="60" t="s">
        <v>566</v>
      </c>
      <c r="D121" s="6">
        <v>5037</v>
      </c>
      <c r="E121" s="59" t="s">
        <v>590</v>
      </c>
      <c r="F121" s="59" t="s">
        <v>95</v>
      </c>
      <c r="G121" s="24">
        <v>60</v>
      </c>
      <c r="H121" s="23">
        <v>8</v>
      </c>
      <c r="I121" s="23">
        <v>7</v>
      </c>
      <c r="J121" s="24">
        <v>85.6</v>
      </c>
      <c r="K121" s="24">
        <v>0.9</v>
      </c>
      <c r="L121" s="24">
        <v>2.1</v>
      </c>
      <c r="M121" s="24">
        <v>0.3</v>
      </c>
      <c r="N121" s="24">
        <v>6.5</v>
      </c>
      <c r="O121" s="24">
        <v>0</v>
      </c>
      <c r="P121" s="24"/>
      <c r="Q121" s="24">
        <v>4.5999999999999996</v>
      </c>
      <c r="R121" s="24">
        <v>43</v>
      </c>
      <c r="S121" s="24"/>
      <c r="T121" s="24">
        <v>56</v>
      </c>
      <c r="U121" s="24">
        <v>1</v>
      </c>
      <c r="V121" s="24"/>
      <c r="W121" s="24"/>
      <c r="X121" s="24"/>
      <c r="Y121" s="24"/>
      <c r="Z121" s="24">
        <v>0.4</v>
      </c>
      <c r="AA121" s="24">
        <v>63</v>
      </c>
      <c r="AB121" s="24">
        <v>12.6</v>
      </c>
      <c r="AC121" s="24">
        <v>0.13</v>
      </c>
      <c r="AD121" s="24">
        <v>0.1</v>
      </c>
      <c r="AE121" s="24">
        <v>0</v>
      </c>
      <c r="AF121" s="24">
        <v>546</v>
      </c>
      <c r="AG121" s="24">
        <v>45</v>
      </c>
      <c r="AH121" s="24">
        <v>91</v>
      </c>
      <c r="AI121" s="24"/>
      <c r="AJ121" s="24">
        <v>0</v>
      </c>
      <c r="AK121" s="65">
        <v>1002</v>
      </c>
      <c r="AL121" s="65">
        <v>10</v>
      </c>
    </row>
    <row r="122" spans="1:38" s="13" customFormat="1">
      <c r="A122" s="59">
        <v>623</v>
      </c>
      <c r="B122" s="59" t="s">
        <v>302</v>
      </c>
      <c r="C122" s="60" t="s">
        <v>553</v>
      </c>
      <c r="D122" s="6"/>
      <c r="E122" s="59"/>
      <c r="F122" s="59" t="s">
        <v>721</v>
      </c>
      <c r="G122" s="24">
        <v>0</v>
      </c>
      <c r="H122" s="23">
        <v>8</v>
      </c>
      <c r="I122" s="23">
        <v>7</v>
      </c>
      <c r="J122" s="24">
        <v>56.488333333333337</v>
      </c>
      <c r="K122" s="24">
        <v>0.6153333333333334</v>
      </c>
      <c r="L122" s="24">
        <v>1.1363333333333332</v>
      </c>
      <c r="M122" s="24">
        <v>0.19133333333333336</v>
      </c>
      <c r="N122" s="24">
        <v>2.8816666666666664</v>
      </c>
      <c r="O122" s="24">
        <v>0</v>
      </c>
      <c r="P122" s="24"/>
      <c r="Q122" s="24">
        <v>11.520333333333326</v>
      </c>
      <c r="R122" s="24">
        <v>58.273333333333333</v>
      </c>
      <c r="S122" s="24"/>
      <c r="T122" s="24">
        <v>24.290000000000003</v>
      </c>
      <c r="U122" s="24">
        <v>0.49833333333333335</v>
      </c>
      <c r="V122" s="24"/>
      <c r="W122" s="24"/>
      <c r="X122" s="24"/>
      <c r="Y122" s="24"/>
      <c r="Z122" s="24">
        <v>0.18213333333333334</v>
      </c>
      <c r="AA122" s="24">
        <v>23.473333333333333</v>
      </c>
      <c r="AB122" s="24">
        <v>14.301666666666668</v>
      </c>
      <c r="AC122" s="24">
        <v>3.6999999999999998E-2</v>
      </c>
      <c r="AD122" s="24">
        <v>5.2866666666666673E-2</v>
      </c>
      <c r="AE122" s="24">
        <v>0</v>
      </c>
      <c r="AF122" s="24">
        <v>18.001666666666665</v>
      </c>
      <c r="AG122" s="24">
        <v>1.5001388888888887</v>
      </c>
      <c r="AH122" s="24">
        <v>3.0002777777777774</v>
      </c>
      <c r="AI122" s="24"/>
      <c r="AJ122" s="24">
        <v>0</v>
      </c>
      <c r="AK122" s="65">
        <v>1002</v>
      </c>
      <c r="AL122" s="65">
        <v>10</v>
      </c>
    </row>
    <row r="123" spans="1:38" s="13" customFormat="1">
      <c r="A123" s="59">
        <v>701</v>
      </c>
      <c r="B123" s="59" t="s">
        <v>303</v>
      </c>
      <c r="C123" s="60" t="s">
        <v>566</v>
      </c>
      <c r="D123" s="6">
        <v>4021</v>
      </c>
      <c r="E123" s="59" t="s">
        <v>516</v>
      </c>
      <c r="F123" s="59" t="s">
        <v>95</v>
      </c>
      <c r="G123" s="24">
        <v>35</v>
      </c>
      <c r="H123" s="23">
        <v>7</v>
      </c>
      <c r="I123" s="23">
        <v>5</v>
      </c>
      <c r="J123" s="24">
        <v>84.5</v>
      </c>
      <c r="K123" s="24">
        <v>0.8</v>
      </c>
      <c r="L123" s="24">
        <v>1.7</v>
      </c>
      <c r="M123" s="24">
        <v>0.4</v>
      </c>
      <c r="N123" s="24">
        <v>3.1</v>
      </c>
      <c r="O123" s="24">
        <v>0</v>
      </c>
      <c r="P123" s="24"/>
      <c r="Q123" s="24">
        <v>9.5</v>
      </c>
      <c r="R123" s="24">
        <v>54</v>
      </c>
      <c r="S123" s="24"/>
      <c r="T123" s="24">
        <v>78</v>
      </c>
      <c r="U123" s="24">
        <v>1.8</v>
      </c>
      <c r="V123" s="24"/>
      <c r="W123" s="24"/>
      <c r="X123" s="24"/>
      <c r="Y123" s="24"/>
      <c r="Z123" s="24">
        <v>0.3</v>
      </c>
      <c r="AA123" s="24">
        <v>64</v>
      </c>
      <c r="AB123" s="24">
        <v>21</v>
      </c>
      <c r="AC123" s="24">
        <v>0.14000000000000001</v>
      </c>
      <c r="AD123" s="24">
        <v>0</v>
      </c>
      <c r="AE123" s="24">
        <v>0</v>
      </c>
      <c r="AF123" s="24">
        <v>242</v>
      </c>
      <c r="AG123" s="24">
        <v>20</v>
      </c>
      <c r="AH123" s="24">
        <v>40</v>
      </c>
      <c r="AI123" s="24"/>
      <c r="AJ123" s="24">
        <v>0</v>
      </c>
      <c r="AK123" s="65">
        <v>903</v>
      </c>
      <c r="AL123" s="65">
        <v>9</v>
      </c>
    </row>
    <row r="124" spans="1:38" s="13" customFormat="1">
      <c r="A124" s="59">
        <v>702</v>
      </c>
      <c r="B124" s="59" t="s">
        <v>304</v>
      </c>
      <c r="C124" s="60" t="s">
        <v>566</v>
      </c>
      <c r="D124" s="6">
        <v>13024</v>
      </c>
      <c r="E124" s="59" t="s">
        <v>517</v>
      </c>
      <c r="F124" s="59" t="s">
        <v>95</v>
      </c>
      <c r="G124" s="24">
        <v>21.999999999999996</v>
      </c>
      <c r="H124" s="23">
        <v>7</v>
      </c>
      <c r="I124" s="23">
        <v>5</v>
      </c>
      <c r="J124" s="24">
        <v>90.8</v>
      </c>
      <c r="K124" s="24">
        <v>0.7</v>
      </c>
      <c r="L124" s="24">
        <v>1.8</v>
      </c>
      <c r="M124" s="24">
        <v>0.3</v>
      </c>
      <c r="N124" s="24">
        <v>2.2999999999999998</v>
      </c>
      <c r="O124" s="24">
        <v>0</v>
      </c>
      <c r="P124" s="24"/>
      <c r="Q124" s="24">
        <v>4.0999999999999996</v>
      </c>
      <c r="R124" s="24">
        <v>31</v>
      </c>
      <c r="S124" s="24"/>
      <c r="T124" s="24">
        <v>44</v>
      </c>
      <c r="U124" s="24">
        <v>1.3</v>
      </c>
      <c r="V124" s="24"/>
      <c r="W124" s="24"/>
      <c r="X124" s="24"/>
      <c r="Y124" s="24"/>
      <c r="Z124" s="24">
        <v>0.3</v>
      </c>
      <c r="AA124" s="24">
        <v>48</v>
      </c>
      <c r="AB124" s="24">
        <v>26</v>
      </c>
      <c r="AC124" s="24">
        <v>0.04</v>
      </c>
      <c r="AD124" s="24">
        <v>0.06</v>
      </c>
      <c r="AE124" s="24">
        <v>0</v>
      </c>
      <c r="AF124" s="24">
        <v>632</v>
      </c>
      <c r="AG124" s="24">
        <v>53</v>
      </c>
      <c r="AH124" s="24">
        <v>105</v>
      </c>
      <c r="AI124" s="24"/>
      <c r="AJ124" s="24">
        <v>0</v>
      </c>
      <c r="AK124" s="65">
        <v>903</v>
      </c>
      <c r="AL124" s="65">
        <v>9</v>
      </c>
    </row>
    <row r="125" spans="1:38" s="13" customFormat="1">
      <c r="A125" s="59">
        <v>703</v>
      </c>
      <c r="B125" s="59" t="s">
        <v>305</v>
      </c>
      <c r="C125" s="60" t="s">
        <v>553</v>
      </c>
      <c r="D125" s="6"/>
      <c r="E125" s="59"/>
      <c r="F125" s="59" t="s">
        <v>721</v>
      </c>
      <c r="G125" s="24">
        <v>15.33</v>
      </c>
      <c r="H125" s="23">
        <v>7</v>
      </c>
      <c r="I125" s="23">
        <v>5</v>
      </c>
      <c r="J125" s="24">
        <v>95.899999999999991</v>
      </c>
      <c r="K125" s="24">
        <v>0.5</v>
      </c>
      <c r="L125" s="24">
        <v>0.96666666666666679</v>
      </c>
      <c r="M125" s="24">
        <v>0.23333333333333331</v>
      </c>
      <c r="N125" s="24">
        <v>1.4666666666666668</v>
      </c>
      <c r="O125" s="24">
        <v>0</v>
      </c>
      <c r="P125" s="24"/>
      <c r="Q125" s="24">
        <v>0.93333333333334156</v>
      </c>
      <c r="R125" s="24">
        <v>12.666666666666666</v>
      </c>
      <c r="S125" s="24"/>
      <c r="T125" s="24">
        <v>39.333333333333336</v>
      </c>
      <c r="U125" s="24">
        <v>1</v>
      </c>
      <c r="V125" s="24"/>
      <c r="W125" s="24"/>
      <c r="X125" s="24"/>
      <c r="Y125" s="24"/>
      <c r="Z125" s="24">
        <v>0.11666666666666665</v>
      </c>
      <c r="AA125" s="24">
        <v>90.666666666666671</v>
      </c>
      <c r="AB125" s="24">
        <v>26</v>
      </c>
      <c r="AC125" s="24">
        <v>0.03</v>
      </c>
      <c r="AD125" s="24">
        <v>3.6666666666666674E-2</v>
      </c>
      <c r="AE125" s="24">
        <v>0</v>
      </c>
      <c r="AF125" s="24">
        <v>121.33333333333333</v>
      </c>
      <c r="AG125" s="24">
        <v>10.111111111111111</v>
      </c>
      <c r="AH125" s="24">
        <v>20.222222222222221</v>
      </c>
      <c r="AI125" s="24"/>
      <c r="AJ125" s="24">
        <v>0</v>
      </c>
      <c r="AK125" s="65">
        <v>903</v>
      </c>
      <c r="AL125" s="65">
        <v>9</v>
      </c>
    </row>
    <row r="126" spans="1:38" s="13" customFormat="1">
      <c r="A126" s="59">
        <v>704</v>
      </c>
      <c r="B126" s="59" t="s">
        <v>306</v>
      </c>
      <c r="C126" s="60" t="s">
        <v>566</v>
      </c>
      <c r="D126" s="6">
        <v>4011</v>
      </c>
      <c r="E126" s="59" t="s">
        <v>521</v>
      </c>
      <c r="F126" s="59" t="s">
        <v>95</v>
      </c>
      <c r="G126" s="24">
        <v>17.000000000000004</v>
      </c>
      <c r="H126" s="23">
        <v>7</v>
      </c>
      <c r="I126" s="23">
        <v>3</v>
      </c>
      <c r="J126" s="24">
        <v>90.6</v>
      </c>
      <c r="K126" s="24">
        <v>0.6</v>
      </c>
      <c r="L126" s="24">
        <v>0.7</v>
      </c>
      <c r="M126" s="24">
        <v>0.2</v>
      </c>
      <c r="N126" s="24">
        <v>3.2</v>
      </c>
      <c r="O126" s="24">
        <v>0</v>
      </c>
      <c r="P126" s="24"/>
      <c r="Q126" s="24">
        <v>4.5</v>
      </c>
      <c r="R126" s="24">
        <v>30</v>
      </c>
      <c r="S126" s="24"/>
      <c r="T126" s="24">
        <v>33</v>
      </c>
      <c r="U126" s="24">
        <v>0.6</v>
      </c>
      <c r="V126" s="24"/>
      <c r="W126" s="24"/>
      <c r="X126" s="24"/>
      <c r="Y126" s="24"/>
      <c r="Z126" s="24">
        <v>0.14000000000000001</v>
      </c>
      <c r="AA126" s="24">
        <v>18</v>
      </c>
      <c r="AB126" s="24">
        <v>5.5</v>
      </c>
      <c r="AC126" s="24">
        <v>0.04</v>
      </c>
      <c r="AD126" s="24">
        <v>0.03</v>
      </c>
      <c r="AE126" s="24">
        <v>0</v>
      </c>
      <c r="AF126" s="24">
        <v>7070</v>
      </c>
      <c r="AG126" s="24">
        <v>589</v>
      </c>
      <c r="AH126" s="24">
        <v>1180</v>
      </c>
      <c r="AI126" s="24"/>
      <c r="AJ126" s="24">
        <v>0</v>
      </c>
      <c r="AK126" s="65">
        <v>902</v>
      </c>
      <c r="AL126" s="65">
        <v>9</v>
      </c>
    </row>
    <row r="127" spans="1:38" s="13" customFormat="1">
      <c r="A127" s="65">
        <v>705</v>
      </c>
      <c r="B127" s="59" t="s">
        <v>307</v>
      </c>
      <c r="C127" s="60" t="s">
        <v>553</v>
      </c>
      <c r="D127" s="6"/>
      <c r="E127" s="59"/>
      <c r="F127" s="59" t="s">
        <v>721</v>
      </c>
      <c r="G127" s="24">
        <v>2.0000000000000018</v>
      </c>
      <c r="H127" s="23">
        <v>7</v>
      </c>
      <c r="I127" s="23">
        <v>5</v>
      </c>
      <c r="J127" s="24">
        <v>93.4</v>
      </c>
      <c r="K127" s="24">
        <v>0.55000000000000004</v>
      </c>
      <c r="L127" s="24">
        <v>1.05</v>
      </c>
      <c r="M127" s="24">
        <v>0.2</v>
      </c>
      <c r="N127" s="24">
        <v>1.5</v>
      </c>
      <c r="O127" s="24">
        <v>0</v>
      </c>
      <c r="P127" s="24"/>
      <c r="Q127" s="24">
        <v>3.2999999999999945</v>
      </c>
      <c r="R127" s="24">
        <v>22.5</v>
      </c>
      <c r="S127" s="24"/>
      <c r="T127" s="24">
        <v>8</v>
      </c>
      <c r="U127" s="24">
        <v>0.65</v>
      </c>
      <c r="V127" s="24"/>
      <c r="W127" s="24"/>
      <c r="X127" s="24"/>
      <c r="Y127" s="24"/>
      <c r="Z127" s="24">
        <v>0.28500000000000003</v>
      </c>
      <c r="AA127" s="24">
        <v>17</v>
      </c>
      <c r="AB127" s="24">
        <v>20.5</v>
      </c>
      <c r="AC127" s="24">
        <v>0.06</v>
      </c>
      <c r="AD127" s="24">
        <v>7.0000000000000007E-2</v>
      </c>
      <c r="AE127" s="24">
        <v>0</v>
      </c>
      <c r="AF127" s="24">
        <v>174</v>
      </c>
      <c r="AG127" s="24">
        <v>14.5</v>
      </c>
      <c r="AH127" s="24">
        <v>29</v>
      </c>
      <c r="AI127" s="24"/>
      <c r="AJ127" s="24">
        <v>0</v>
      </c>
      <c r="AK127" s="65">
        <v>903</v>
      </c>
      <c r="AL127" s="65">
        <v>9</v>
      </c>
    </row>
    <row r="128" spans="1:38" s="13" customFormat="1">
      <c r="A128" s="65">
        <v>706</v>
      </c>
      <c r="B128" s="59" t="s">
        <v>308</v>
      </c>
      <c r="C128" s="60" t="s">
        <v>553</v>
      </c>
      <c r="D128" s="6"/>
      <c r="E128" s="59"/>
      <c r="F128" s="59" t="s">
        <v>721</v>
      </c>
      <c r="G128" s="24">
        <v>38</v>
      </c>
      <c r="H128" s="23">
        <v>7</v>
      </c>
      <c r="I128" s="23">
        <v>4</v>
      </c>
      <c r="J128" s="24">
        <v>90.05</v>
      </c>
      <c r="K128" s="24">
        <v>1.9</v>
      </c>
      <c r="L128" s="24">
        <v>2.95</v>
      </c>
      <c r="M128" s="24">
        <v>0.30000000000000004</v>
      </c>
      <c r="N128" s="24">
        <v>3.8499999999999996</v>
      </c>
      <c r="O128" s="24">
        <v>0</v>
      </c>
      <c r="P128" s="24"/>
      <c r="Q128" s="24">
        <v>0.95000000000000284</v>
      </c>
      <c r="R128" s="24">
        <v>26</v>
      </c>
      <c r="S128" s="24"/>
      <c r="T128" s="24">
        <v>124</v>
      </c>
      <c r="U128" s="24">
        <v>3.0500000000000003</v>
      </c>
      <c r="V128" s="24"/>
      <c r="W128" s="24"/>
      <c r="X128" s="24"/>
      <c r="Y128" s="24"/>
      <c r="Z128" s="24">
        <v>0.86499999999999999</v>
      </c>
      <c r="AA128" s="24">
        <v>115.5</v>
      </c>
      <c r="AB128" s="24">
        <v>30.5</v>
      </c>
      <c r="AC128" s="24">
        <v>0.03</v>
      </c>
      <c r="AD128" s="24">
        <v>0.14000000000000001</v>
      </c>
      <c r="AE128" s="24">
        <v>0</v>
      </c>
      <c r="AF128" s="24">
        <v>2270</v>
      </c>
      <c r="AG128" s="24">
        <v>189.16666666666666</v>
      </c>
      <c r="AH128" s="24">
        <v>378.33333333333331</v>
      </c>
      <c r="AI128" s="24"/>
      <c r="AJ128" s="24">
        <v>0</v>
      </c>
      <c r="AK128" s="65">
        <v>901</v>
      </c>
      <c r="AL128" s="65">
        <v>9</v>
      </c>
    </row>
    <row r="129" spans="1:38" s="13" customFormat="1">
      <c r="A129" s="65">
        <v>707</v>
      </c>
      <c r="B129" s="59" t="s">
        <v>309</v>
      </c>
      <c r="C129" s="60" t="s">
        <v>566</v>
      </c>
      <c r="D129" s="6">
        <v>4020</v>
      </c>
      <c r="E129" s="59" t="s">
        <v>526</v>
      </c>
      <c r="F129" s="59" t="s">
        <v>95</v>
      </c>
      <c r="G129" s="24">
        <v>12</v>
      </c>
      <c r="H129" s="23">
        <v>7</v>
      </c>
      <c r="I129" s="23">
        <v>4</v>
      </c>
      <c r="J129" s="24">
        <v>89.2</v>
      </c>
      <c r="K129" s="24">
        <v>1.6</v>
      </c>
      <c r="L129" s="24">
        <v>3</v>
      </c>
      <c r="M129" s="24">
        <v>0.3</v>
      </c>
      <c r="N129" s="24">
        <v>4.7</v>
      </c>
      <c r="O129" s="24">
        <v>0</v>
      </c>
      <c r="P129" s="24"/>
      <c r="Q129" s="24">
        <v>1.2</v>
      </c>
      <c r="R129" s="24">
        <v>29</v>
      </c>
      <c r="S129" s="24"/>
      <c r="T129" s="24">
        <v>402</v>
      </c>
      <c r="U129" s="24">
        <v>2.8</v>
      </c>
      <c r="V129" s="24"/>
      <c r="W129" s="24"/>
      <c r="X129" s="24"/>
      <c r="Y129" s="24"/>
      <c r="Z129" s="24">
        <v>0.5</v>
      </c>
      <c r="AA129" s="24">
        <v>62</v>
      </c>
      <c r="AB129" s="24">
        <v>134</v>
      </c>
      <c r="AC129" s="24">
        <v>0.11</v>
      </c>
      <c r="AD129" s="24">
        <v>0.13</v>
      </c>
      <c r="AE129" s="24">
        <v>0</v>
      </c>
      <c r="AF129" s="24">
        <v>2127</v>
      </c>
      <c r="AG129" s="24">
        <v>177</v>
      </c>
      <c r="AH129" s="24">
        <v>355</v>
      </c>
      <c r="AI129" s="24"/>
      <c r="AJ129" s="24">
        <v>0</v>
      </c>
      <c r="AK129" s="65">
        <v>901</v>
      </c>
      <c r="AL129" s="65">
        <v>9</v>
      </c>
    </row>
    <row r="130" spans="1:38" s="13" customFormat="1">
      <c r="A130" s="65">
        <v>708</v>
      </c>
      <c r="B130" s="59" t="s">
        <v>310</v>
      </c>
      <c r="C130" s="60" t="s">
        <v>566</v>
      </c>
      <c r="D130" s="6">
        <v>4016</v>
      </c>
      <c r="E130" s="59" t="s">
        <v>591</v>
      </c>
      <c r="F130" s="59" t="s">
        <v>95</v>
      </c>
      <c r="G130" s="24">
        <v>3.0000000000000027</v>
      </c>
      <c r="H130" s="23">
        <v>7</v>
      </c>
      <c r="I130" s="23">
        <v>5</v>
      </c>
      <c r="J130" s="24">
        <v>96.2</v>
      </c>
      <c r="K130" s="24">
        <v>0.5</v>
      </c>
      <c r="L130" s="24">
        <v>0.6</v>
      </c>
      <c r="M130" s="24">
        <v>0.1</v>
      </c>
      <c r="N130" s="24">
        <v>1.4</v>
      </c>
      <c r="O130" s="24">
        <v>0</v>
      </c>
      <c r="P130" s="24"/>
      <c r="Q130" s="24">
        <v>1.3</v>
      </c>
      <c r="R130" s="24">
        <v>11</v>
      </c>
      <c r="S130" s="24"/>
      <c r="T130" s="24">
        <v>20</v>
      </c>
      <c r="U130" s="24">
        <v>0.7</v>
      </c>
      <c r="V130" s="24"/>
      <c r="W130" s="24"/>
      <c r="X130" s="24"/>
      <c r="Y130" s="24"/>
      <c r="Z130" s="24">
        <v>0.18</v>
      </c>
      <c r="AA130" s="24">
        <v>7</v>
      </c>
      <c r="AB130" s="24">
        <v>7</v>
      </c>
      <c r="AC130" s="24">
        <v>0.03</v>
      </c>
      <c r="AD130" s="24">
        <v>0.02</v>
      </c>
      <c r="AE130" s="24">
        <v>0</v>
      </c>
      <c r="AF130" s="24">
        <v>5</v>
      </c>
      <c r="AG130" s="24">
        <v>0</v>
      </c>
      <c r="AH130" s="24">
        <v>1</v>
      </c>
      <c r="AI130" s="24"/>
      <c r="AJ130" s="24">
        <v>0</v>
      </c>
      <c r="AK130" s="65">
        <v>903</v>
      </c>
      <c r="AL130" s="65">
        <v>9</v>
      </c>
    </row>
    <row r="131" spans="1:38" s="13" customFormat="1">
      <c r="A131" s="65">
        <v>709</v>
      </c>
      <c r="B131" s="59" t="s">
        <v>311</v>
      </c>
      <c r="C131" s="60" t="s">
        <v>561</v>
      </c>
      <c r="D131" s="6">
        <v>425</v>
      </c>
      <c r="E131" s="59" t="s">
        <v>620</v>
      </c>
      <c r="F131" s="59" t="s">
        <v>95</v>
      </c>
      <c r="G131" s="24">
        <v>8</v>
      </c>
      <c r="H131" s="23">
        <v>7</v>
      </c>
      <c r="I131" s="23">
        <v>5</v>
      </c>
      <c r="J131" s="24"/>
      <c r="K131" s="24"/>
      <c r="L131" s="24">
        <v>1.9</v>
      </c>
      <c r="M131" s="24">
        <v>0.3</v>
      </c>
      <c r="N131" s="24">
        <v>3.2</v>
      </c>
      <c r="O131" s="24">
        <v>0</v>
      </c>
      <c r="P131" s="24">
        <v>7.9</v>
      </c>
      <c r="Q131" s="24"/>
      <c r="R131" s="24">
        <v>35</v>
      </c>
      <c r="S131" s="24"/>
      <c r="T131" s="24">
        <v>46</v>
      </c>
      <c r="U131" s="24">
        <v>1.3</v>
      </c>
      <c r="V131" s="24"/>
      <c r="W131" s="24"/>
      <c r="X131" s="24"/>
      <c r="Y131" s="24"/>
      <c r="Z131" s="24">
        <v>0.4</v>
      </c>
      <c r="AA131" s="24">
        <v>3.3</v>
      </c>
      <c r="AB131" s="24">
        <v>0</v>
      </c>
      <c r="AC131" s="24">
        <v>0.1</v>
      </c>
      <c r="AD131" s="24">
        <v>0.1</v>
      </c>
      <c r="AE131" s="24">
        <v>0</v>
      </c>
      <c r="AF131" s="24">
        <f>+AG131*12</f>
        <v>804</v>
      </c>
      <c r="AG131" s="24">
        <v>67</v>
      </c>
      <c r="AH131" s="24">
        <f>+AE131+AF131/6</f>
        <v>134</v>
      </c>
      <c r="AI131" s="24"/>
      <c r="AJ131" s="24">
        <v>0</v>
      </c>
      <c r="AK131" s="65">
        <v>903</v>
      </c>
      <c r="AL131" s="65">
        <v>9</v>
      </c>
    </row>
    <row r="132" spans="1:38" s="13" customFormat="1">
      <c r="A132" s="65">
        <v>710</v>
      </c>
      <c r="B132" s="59" t="s">
        <v>312</v>
      </c>
      <c r="C132" s="60" t="s">
        <v>566</v>
      </c>
      <c r="D132" s="6">
        <v>3002</v>
      </c>
      <c r="E132" s="59" t="s">
        <v>423</v>
      </c>
      <c r="F132" s="59" t="s">
        <v>95</v>
      </c>
      <c r="G132" s="24">
        <v>0</v>
      </c>
      <c r="H132" s="23">
        <v>7</v>
      </c>
      <c r="I132" s="23">
        <v>5</v>
      </c>
      <c r="J132" s="24">
        <v>75</v>
      </c>
      <c r="K132" s="24">
        <v>1.3</v>
      </c>
      <c r="L132" s="24">
        <v>7.2</v>
      </c>
      <c r="M132" s="24">
        <v>0.5</v>
      </c>
      <c r="N132" s="24">
        <v>7.1</v>
      </c>
      <c r="O132" s="24">
        <v>0</v>
      </c>
      <c r="P132" s="24"/>
      <c r="Q132" s="24">
        <v>8.6999999999999993</v>
      </c>
      <c r="R132" s="24">
        <v>82</v>
      </c>
      <c r="S132" s="24"/>
      <c r="T132" s="24">
        <v>26</v>
      </c>
      <c r="U132" s="24">
        <v>1.6</v>
      </c>
      <c r="V132" s="24"/>
      <c r="W132" s="24"/>
      <c r="X132" s="24"/>
      <c r="Y132" s="24"/>
      <c r="Z132" s="24">
        <v>1.1000000000000001</v>
      </c>
      <c r="AA132" s="24">
        <v>284</v>
      </c>
      <c r="AB132" s="24">
        <v>41</v>
      </c>
      <c r="AC132" s="24">
        <v>0.12</v>
      </c>
      <c r="AD132" s="24">
        <v>0.14000000000000001</v>
      </c>
      <c r="AE132" s="24">
        <v>0</v>
      </c>
      <c r="AF132" s="24">
        <v>195</v>
      </c>
      <c r="AG132" s="24">
        <v>16</v>
      </c>
      <c r="AH132" s="24">
        <v>32</v>
      </c>
      <c r="AI132" s="24"/>
      <c r="AJ132" s="24">
        <v>0</v>
      </c>
      <c r="AK132" s="65">
        <v>903</v>
      </c>
      <c r="AL132" s="65">
        <v>9</v>
      </c>
    </row>
    <row r="133" spans="1:38" s="13" customFormat="1">
      <c r="A133" s="65">
        <v>711</v>
      </c>
      <c r="B133" s="59" t="s">
        <v>313</v>
      </c>
      <c r="C133" s="60" t="s">
        <v>566</v>
      </c>
      <c r="D133" s="6">
        <v>3015</v>
      </c>
      <c r="E133" s="59" t="s">
        <v>426</v>
      </c>
      <c r="F133" s="59" t="s">
        <v>135</v>
      </c>
      <c r="G133" s="24">
        <v>59.000000000000007</v>
      </c>
      <c r="H133" s="23">
        <v>7</v>
      </c>
      <c r="I133" s="23">
        <v>5</v>
      </c>
      <c r="J133" s="24">
        <v>72.5</v>
      </c>
      <c r="K133" s="24">
        <v>1</v>
      </c>
      <c r="L133" s="24">
        <v>7.9</v>
      </c>
      <c r="M133" s="24">
        <v>0.7</v>
      </c>
      <c r="N133" s="24">
        <v>8</v>
      </c>
      <c r="O133" s="24">
        <v>0</v>
      </c>
      <c r="P133" s="24"/>
      <c r="Q133" s="24">
        <v>9.8000000000000007</v>
      </c>
      <c r="R133" s="24">
        <v>93</v>
      </c>
      <c r="S133" s="24"/>
      <c r="T133" s="24">
        <v>28.2</v>
      </c>
      <c r="U133" s="24">
        <v>2.63</v>
      </c>
      <c r="V133" s="24"/>
      <c r="W133" s="24"/>
      <c r="X133" s="24"/>
      <c r="Y133" s="24"/>
      <c r="Z133" s="24">
        <v>4.6500000000000004</v>
      </c>
      <c r="AA133" s="24">
        <v>216</v>
      </c>
      <c r="AB133" s="24">
        <v>38.4</v>
      </c>
      <c r="AC133" s="24">
        <v>0.28999999999999998</v>
      </c>
      <c r="AD133" s="24">
        <v>0.13</v>
      </c>
      <c r="AE133" s="24">
        <v>0</v>
      </c>
      <c r="AF133" s="24">
        <v>363</v>
      </c>
      <c r="AG133" s="24">
        <v>30</v>
      </c>
      <c r="AH133" s="24">
        <v>60</v>
      </c>
      <c r="AI133" s="24"/>
      <c r="AJ133" s="24">
        <v>0</v>
      </c>
      <c r="AK133" s="65">
        <v>903</v>
      </c>
      <c r="AL133" s="65">
        <v>9</v>
      </c>
    </row>
    <row r="134" spans="1:38" s="13" customFormat="1">
      <c r="A134" s="65">
        <v>712</v>
      </c>
      <c r="B134" s="59" t="s">
        <v>314</v>
      </c>
      <c r="C134" s="60" t="s">
        <v>553</v>
      </c>
      <c r="D134" s="6"/>
      <c r="E134" s="59"/>
      <c r="F134" s="59" t="s">
        <v>721</v>
      </c>
      <c r="G134" s="24">
        <v>35.5</v>
      </c>
      <c r="H134" s="23">
        <v>7</v>
      </c>
      <c r="I134" s="23">
        <v>5</v>
      </c>
      <c r="J134" s="24">
        <v>92.65</v>
      </c>
      <c r="K134" s="24">
        <v>1.25</v>
      </c>
      <c r="L134" s="24">
        <v>0.89999999999999991</v>
      </c>
      <c r="M134" s="24">
        <v>0.15000000000000002</v>
      </c>
      <c r="N134" s="24">
        <v>1.5</v>
      </c>
      <c r="O134" s="24">
        <v>0</v>
      </c>
      <c r="P134" s="24"/>
      <c r="Q134" s="24">
        <v>3.5499999999999936</v>
      </c>
      <c r="R134" s="24">
        <v>22</v>
      </c>
      <c r="S134" s="24"/>
      <c r="T134" s="24">
        <v>58.5</v>
      </c>
      <c r="U134" s="24">
        <v>1.3</v>
      </c>
      <c r="V134" s="24"/>
      <c r="W134" s="24"/>
      <c r="X134" s="24"/>
      <c r="Y134" s="24"/>
      <c r="Z134" s="24">
        <v>0.23499999999999999</v>
      </c>
      <c r="AA134" s="24">
        <v>39.5</v>
      </c>
      <c r="AB134" s="24">
        <v>11</v>
      </c>
      <c r="AC134" s="24">
        <v>5.5E-2</v>
      </c>
      <c r="AD134" s="24">
        <v>0.04</v>
      </c>
      <c r="AE134" s="24">
        <v>0</v>
      </c>
      <c r="AF134" s="24">
        <v>875</v>
      </c>
      <c r="AG134" s="24">
        <v>72.916666666666671</v>
      </c>
      <c r="AH134" s="24">
        <v>145.83333333333334</v>
      </c>
      <c r="AI134" s="24"/>
      <c r="AJ134" s="24">
        <v>0</v>
      </c>
      <c r="AK134" s="65">
        <v>901</v>
      </c>
      <c r="AL134" s="65">
        <v>9</v>
      </c>
    </row>
    <row r="135" spans="1:38" s="72" customFormat="1">
      <c r="A135" s="66">
        <v>713</v>
      </c>
      <c r="B135" s="67" t="s">
        <v>315</v>
      </c>
      <c r="C135" s="68" t="s">
        <v>553</v>
      </c>
      <c r="D135" s="69"/>
      <c r="E135" s="67"/>
      <c r="F135" s="131" t="s">
        <v>721</v>
      </c>
      <c r="G135" s="70">
        <v>31</v>
      </c>
      <c r="H135" s="71">
        <v>7</v>
      </c>
      <c r="I135" s="71">
        <v>5</v>
      </c>
      <c r="J135" s="70">
        <v>89.8</v>
      </c>
      <c r="K135" s="70">
        <v>1.6666666666666667</v>
      </c>
      <c r="L135" s="70">
        <v>3.5</v>
      </c>
      <c r="M135" s="70">
        <v>0.46666666666666662</v>
      </c>
      <c r="N135" s="70">
        <v>4</v>
      </c>
      <c r="O135" s="70">
        <v>0</v>
      </c>
      <c r="P135" s="70"/>
      <c r="Q135" s="70">
        <v>0.56666666666666998</v>
      </c>
      <c r="R135" s="70">
        <v>28.666666666666668</v>
      </c>
      <c r="S135" s="70"/>
      <c r="T135" s="70">
        <v>161.33333333333334</v>
      </c>
      <c r="U135" s="70">
        <v>8.4</v>
      </c>
      <c r="V135" s="70"/>
      <c r="W135" s="70"/>
      <c r="X135" s="70"/>
      <c r="Y135" s="70"/>
      <c r="Z135" s="70">
        <v>0.6166666666666667</v>
      </c>
      <c r="AA135" s="70">
        <v>182.66666666666666</v>
      </c>
      <c r="AB135" s="70">
        <v>83.266666666666666</v>
      </c>
      <c r="AC135" s="70">
        <v>7.3333333333333334E-2</v>
      </c>
      <c r="AD135" s="70">
        <v>0.25</v>
      </c>
      <c r="AE135" s="70">
        <v>0</v>
      </c>
      <c r="AF135" s="70">
        <v>1217.3333333333333</v>
      </c>
      <c r="AG135" s="70">
        <v>101.44444444444444</v>
      </c>
      <c r="AH135" s="70">
        <v>202.88888888888889</v>
      </c>
      <c r="AI135" s="70"/>
      <c r="AJ135" s="70">
        <v>0</v>
      </c>
      <c r="AK135" s="65">
        <v>903</v>
      </c>
      <c r="AL135" s="65">
        <v>9</v>
      </c>
    </row>
    <row r="136" spans="1:38" s="13" customFormat="1">
      <c r="A136" s="65">
        <v>714</v>
      </c>
      <c r="B136" s="59" t="s">
        <v>316</v>
      </c>
      <c r="C136" s="60" t="s">
        <v>566</v>
      </c>
      <c r="D136" s="6">
        <v>2005</v>
      </c>
      <c r="E136" s="59" t="s">
        <v>546</v>
      </c>
      <c r="F136" s="59" t="s">
        <v>95</v>
      </c>
      <c r="G136" s="24">
        <v>15.000000000000002</v>
      </c>
      <c r="H136" s="23">
        <v>7</v>
      </c>
      <c r="I136" s="23">
        <v>5</v>
      </c>
      <c r="J136" s="24">
        <v>86.1</v>
      </c>
      <c r="K136" s="24">
        <v>1.4</v>
      </c>
      <c r="L136" s="24">
        <v>2.17</v>
      </c>
      <c r="M136" s="24">
        <v>0.1</v>
      </c>
      <c r="N136" s="24">
        <v>3.31</v>
      </c>
      <c r="O136" s="24">
        <v>0</v>
      </c>
      <c r="P136" s="24"/>
      <c r="Q136" s="24">
        <v>6.9</v>
      </c>
      <c r="R136" s="24">
        <v>44</v>
      </c>
      <c r="S136" s="24"/>
      <c r="T136" s="24">
        <v>13</v>
      </c>
      <c r="U136" s="24">
        <v>0.8</v>
      </c>
      <c r="V136" s="24"/>
      <c r="W136" s="24"/>
      <c r="X136" s="24"/>
      <c r="Y136" s="24"/>
      <c r="Z136" s="24">
        <v>0.55000000000000004</v>
      </c>
      <c r="AA136" s="24">
        <v>110</v>
      </c>
      <c r="AB136" s="24">
        <v>5.3</v>
      </c>
      <c r="AC136" s="24">
        <v>0.01</v>
      </c>
      <c r="AD136" s="24">
        <v>0.02</v>
      </c>
      <c r="AE136" s="24">
        <v>0</v>
      </c>
      <c r="AF136" s="24">
        <v>10</v>
      </c>
      <c r="AG136" s="24">
        <v>1</v>
      </c>
      <c r="AH136" s="24">
        <v>2</v>
      </c>
      <c r="AI136" s="24"/>
      <c r="AJ136" s="24">
        <v>0</v>
      </c>
      <c r="AK136" s="65">
        <v>903</v>
      </c>
      <c r="AL136" s="65">
        <v>9</v>
      </c>
    </row>
    <row r="137" spans="1:38" s="13" customFormat="1">
      <c r="A137" s="65">
        <v>715</v>
      </c>
      <c r="B137" s="59" t="s">
        <v>317</v>
      </c>
      <c r="C137" s="60" t="s">
        <v>553</v>
      </c>
      <c r="D137" s="6"/>
      <c r="E137" s="59"/>
      <c r="F137" s="59" t="s">
        <v>721</v>
      </c>
      <c r="G137" s="24">
        <v>11</v>
      </c>
      <c r="H137" s="23">
        <v>7</v>
      </c>
      <c r="I137" s="23">
        <v>3</v>
      </c>
      <c r="J137" s="24">
        <v>91.05</v>
      </c>
      <c r="K137" s="24">
        <v>0.60000000000000009</v>
      </c>
      <c r="L137" s="24">
        <v>1.2</v>
      </c>
      <c r="M137" s="24">
        <v>0.2</v>
      </c>
      <c r="N137" s="24">
        <v>1.8</v>
      </c>
      <c r="O137" s="24">
        <v>0</v>
      </c>
      <c r="P137" s="24"/>
      <c r="Q137" s="24">
        <v>5.150000000000003</v>
      </c>
      <c r="R137" s="24">
        <v>31</v>
      </c>
      <c r="S137" s="24"/>
      <c r="T137" s="24">
        <v>18</v>
      </c>
      <c r="U137" s="24">
        <v>0.75</v>
      </c>
      <c r="V137" s="24"/>
      <c r="W137" s="24"/>
      <c r="X137" s="24"/>
      <c r="Y137" s="24"/>
      <c r="Z137" s="24">
        <v>0.26500000000000001</v>
      </c>
      <c r="AA137" s="24">
        <v>24</v>
      </c>
      <c r="AB137" s="24">
        <v>16</v>
      </c>
      <c r="AC137" s="24">
        <v>0.05</v>
      </c>
      <c r="AD137" s="24">
        <v>0.06</v>
      </c>
      <c r="AE137" s="24">
        <v>0</v>
      </c>
      <c r="AF137" s="24">
        <v>1099</v>
      </c>
      <c r="AG137" s="24">
        <v>91.583333333333329</v>
      </c>
      <c r="AH137" s="24">
        <v>183.16666666666666</v>
      </c>
      <c r="AI137" s="24"/>
      <c r="AJ137" s="24">
        <v>0</v>
      </c>
      <c r="AK137" s="65">
        <v>902</v>
      </c>
      <c r="AL137" s="65">
        <v>9</v>
      </c>
    </row>
    <row r="138" spans="1:38" s="13" customFormat="1">
      <c r="A138" s="65">
        <v>716</v>
      </c>
      <c r="B138" s="59" t="s">
        <v>318</v>
      </c>
      <c r="C138" s="60" t="s">
        <v>553</v>
      </c>
      <c r="D138" s="6"/>
      <c r="E138" s="59"/>
      <c r="F138" s="59" t="s">
        <v>93</v>
      </c>
      <c r="G138" s="24">
        <v>58</v>
      </c>
      <c r="H138" s="23">
        <v>7</v>
      </c>
      <c r="I138" s="23">
        <v>5</v>
      </c>
      <c r="J138" s="24">
        <v>93.033333333333346</v>
      </c>
      <c r="K138" s="24">
        <v>0.40000000000000008</v>
      </c>
      <c r="L138" s="24">
        <v>1.5333333333333332</v>
      </c>
      <c r="M138" s="24">
        <v>0.16666666666666666</v>
      </c>
      <c r="N138" s="24">
        <v>2</v>
      </c>
      <c r="O138" s="24">
        <v>0</v>
      </c>
      <c r="P138" s="24"/>
      <c r="Q138" s="24">
        <v>2.8666666666666538</v>
      </c>
      <c r="R138" s="24">
        <v>23.333333333333332</v>
      </c>
      <c r="S138" s="24"/>
      <c r="T138" s="24">
        <v>10.333333333333334</v>
      </c>
      <c r="U138" s="24">
        <v>0.6</v>
      </c>
      <c r="V138" s="24"/>
      <c r="W138" s="24"/>
      <c r="X138" s="24"/>
      <c r="Y138" s="24"/>
      <c r="Z138" s="24">
        <v>0.12666666666666668</v>
      </c>
      <c r="AA138" s="24">
        <v>30</v>
      </c>
      <c r="AB138" s="24">
        <v>132.66666666666666</v>
      </c>
      <c r="AC138" s="24">
        <v>7.0000000000000007E-2</v>
      </c>
      <c r="AD138" s="24">
        <v>3.3333333333333333E-2</v>
      </c>
      <c r="AE138" s="24">
        <v>0</v>
      </c>
      <c r="AF138" s="24">
        <v>246.66666666666666</v>
      </c>
      <c r="AG138" s="24">
        <v>20.555555555555554</v>
      </c>
      <c r="AH138" s="24">
        <v>41.111111111111107</v>
      </c>
      <c r="AI138" s="24"/>
      <c r="AJ138" s="24">
        <v>0</v>
      </c>
      <c r="AK138" s="65">
        <v>903</v>
      </c>
      <c r="AL138" s="65">
        <v>9</v>
      </c>
    </row>
    <row r="139" spans="1:38" s="13" customFormat="1">
      <c r="A139" s="65">
        <v>717</v>
      </c>
      <c r="B139" s="59" t="s">
        <v>319</v>
      </c>
      <c r="C139" s="60" t="s">
        <v>611</v>
      </c>
      <c r="D139" s="6" t="s">
        <v>693</v>
      </c>
      <c r="E139" s="59" t="s">
        <v>692</v>
      </c>
      <c r="F139" s="59" t="s">
        <v>135</v>
      </c>
      <c r="G139" s="24">
        <v>27</v>
      </c>
      <c r="H139" s="23">
        <v>7</v>
      </c>
      <c r="I139" s="23">
        <v>5</v>
      </c>
      <c r="J139" s="24">
        <v>87.3</v>
      </c>
      <c r="K139" s="24">
        <v>0.7</v>
      </c>
      <c r="L139" s="24">
        <v>1.9</v>
      </c>
      <c r="M139" s="24">
        <v>0.3</v>
      </c>
      <c r="N139" s="24">
        <v>2.2000000000000002</v>
      </c>
      <c r="O139" s="24">
        <v>0</v>
      </c>
      <c r="P139" s="24"/>
      <c r="Q139" s="24">
        <v>7.6</v>
      </c>
      <c r="R139" s="24">
        <v>45</v>
      </c>
      <c r="S139" s="24"/>
      <c r="T139" s="24">
        <v>16</v>
      </c>
      <c r="U139" s="24">
        <v>1.1000000000000001</v>
      </c>
      <c r="V139" s="24"/>
      <c r="W139" s="24"/>
      <c r="X139" s="24"/>
      <c r="Y139" s="24"/>
      <c r="Z139" s="24">
        <v>0.28999999999999998</v>
      </c>
      <c r="AA139" s="24">
        <v>23</v>
      </c>
      <c r="AB139" s="24">
        <v>193.1</v>
      </c>
      <c r="AC139" s="24">
        <v>0.08</v>
      </c>
      <c r="AD139" s="24">
        <v>0.09</v>
      </c>
      <c r="AE139" s="24">
        <v>0</v>
      </c>
      <c r="AF139" s="24">
        <v>640</v>
      </c>
      <c r="AG139" s="24">
        <f>+AE139+AF139/12</f>
        <v>53.333333333333336</v>
      </c>
      <c r="AH139" s="24">
        <f>+AE139+AF139/6</f>
        <v>106.66666666666667</v>
      </c>
      <c r="AI139" s="24"/>
      <c r="AJ139" s="24">
        <v>0</v>
      </c>
      <c r="AK139" s="65">
        <v>903</v>
      </c>
      <c r="AL139" s="65">
        <v>9</v>
      </c>
    </row>
    <row r="140" spans="1:38" s="13" customFormat="1">
      <c r="A140" s="65">
        <v>718</v>
      </c>
      <c r="B140" s="59" t="s">
        <v>320</v>
      </c>
      <c r="C140" s="60" t="s">
        <v>566</v>
      </c>
      <c r="D140" s="6">
        <v>4004</v>
      </c>
      <c r="E140" s="59" t="s">
        <v>535</v>
      </c>
      <c r="F140" s="59" t="s">
        <v>135</v>
      </c>
      <c r="G140" s="24">
        <v>40</v>
      </c>
      <c r="H140" s="23">
        <v>7</v>
      </c>
      <c r="I140" s="23">
        <v>5</v>
      </c>
      <c r="J140" s="24">
        <v>89</v>
      </c>
      <c r="K140" s="24">
        <v>1</v>
      </c>
      <c r="L140" s="24">
        <v>3.3</v>
      </c>
      <c r="M140" s="24">
        <v>0.3</v>
      </c>
      <c r="N140" s="24">
        <v>3.7</v>
      </c>
      <c r="O140" s="24">
        <v>0</v>
      </c>
      <c r="P140" s="24"/>
      <c r="Q140" s="24">
        <v>2.7</v>
      </c>
      <c r="R140" s="24">
        <v>34</v>
      </c>
      <c r="S140" s="24"/>
      <c r="T140" s="24">
        <v>66</v>
      </c>
      <c r="U140" s="24">
        <v>0.8</v>
      </c>
      <c r="V140" s="24"/>
      <c r="W140" s="24"/>
      <c r="X140" s="24"/>
      <c r="Y140" s="24"/>
      <c r="Z140" s="24">
        <v>1</v>
      </c>
      <c r="AA140" s="24">
        <v>48</v>
      </c>
      <c r="AB140" s="24">
        <v>103</v>
      </c>
      <c r="AC140" s="24">
        <v>0.1</v>
      </c>
      <c r="AD140" s="24">
        <v>0.22</v>
      </c>
      <c r="AE140" s="24">
        <v>0</v>
      </c>
      <c r="AF140" s="24">
        <v>303</v>
      </c>
      <c r="AG140" s="24">
        <v>25</v>
      </c>
      <c r="AH140" s="24">
        <v>51</v>
      </c>
      <c r="AI140" s="24"/>
      <c r="AJ140" s="24">
        <v>0</v>
      </c>
      <c r="AK140" s="65">
        <v>903</v>
      </c>
      <c r="AL140" s="65">
        <v>9</v>
      </c>
    </row>
    <row r="141" spans="1:38" s="13" customFormat="1">
      <c r="A141" s="65">
        <v>719</v>
      </c>
      <c r="B141" s="59" t="s">
        <v>321</v>
      </c>
      <c r="C141" s="60" t="s">
        <v>553</v>
      </c>
      <c r="D141" s="6"/>
      <c r="E141" s="59"/>
      <c r="F141" s="59" t="s">
        <v>721</v>
      </c>
      <c r="G141" s="24">
        <v>0</v>
      </c>
      <c r="H141" s="23">
        <v>7</v>
      </c>
      <c r="I141" s="23">
        <v>5</v>
      </c>
      <c r="J141" s="24">
        <v>76.004999999999995</v>
      </c>
      <c r="K141" s="24">
        <v>0.62</v>
      </c>
      <c r="L141" s="24">
        <v>3.2450000000000001</v>
      </c>
      <c r="M141" s="24">
        <v>1.2650000000000001</v>
      </c>
      <c r="N141" s="24">
        <v>2.35</v>
      </c>
      <c r="O141" s="24">
        <v>0</v>
      </c>
      <c r="P141" s="24">
        <v>18.86</v>
      </c>
      <c r="Q141" s="24">
        <v>16.515000000000001</v>
      </c>
      <c r="R141" s="24">
        <v>86</v>
      </c>
      <c r="S141" s="24"/>
      <c r="T141" s="24">
        <v>2</v>
      </c>
      <c r="U141" s="24">
        <v>0.52</v>
      </c>
      <c r="V141" s="24"/>
      <c r="W141" s="24"/>
      <c r="X141" s="24"/>
      <c r="Y141" s="24"/>
      <c r="Z141" s="24">
        <v>0.45500000000000002</v>
      </c>
      <c r="AA141" s="24">
        <v>44</v>
      </c>
      <c r="AB141" s="24">
        <v>6.8</v>
      </c>
      <c r="AC141" s="24">
        <v>0.17749999999999999</v>
      </c>
      <c r="AD141" s="24">
        <v>5.7499999999999996E-2</v>
      </c>
      <c r="AE141" s="24">
        <v>0</v>
      </c>
      <c r="AF141" s="24">
        <v>56.75</v>
      </c>
      <c r="AG141" s="24">
        <v>4.729166666666667</v>
      </c>
      <c r="AH141" s="24">
        <v>9.4583333333333339</v>
      </c>
      <c r="AI141" s="24"/>
      <c r="AJ141" s="24">
        <v>0</v>
      </c>
      <c r="AK141" s="65">
        <v>903</v>
      </c>
      <c r="AL141" s="65">
        <v>9</v>
      </c>
    </row>
    <row r="142" spans="1:38" s="13" customFormat="1">
      <c r="A142" s="65">
        <v>720</v>
      </c>
      <c r="B142" s="59" t="s">
        <v>322</v>
      </c>
      <c r="C142" s="60" t="s">
        <v>676</v>
      </c>
      <c r="D142" s="6">
        <v>4023</v>
      </c>
      <c r="E142" s="59" t="s">
        <v>536</v>
      </c>
      <c r="F142" s="59" t="s">
        <v>135</v>
      </c>
      <c r="G142" s="24">
        <v>0</v>
      </c>
      <c r="H142" s="23">
        <v>7</v>
      </c>
      <c r="I142" s="23">
        <v>5</v>
      </c>
      <c r="J142" s="24">
        <v>89.7</v>
      </c>
      <c r="K142" s="24">
        <v>0.9</v>
      </c>
      <c r="L142" s="24">
        <v>2.2999999999999998</v>
      </c>
      <c r="M142" s="24">
        <v>0.4</v>
      </c>
      <c r="N142" s="24">
        <v>2.2999999999999998</v>
      </c>
      <c r="O142" s="24">
        <v>0</v>
      </c>
      <c r="P142" s="24"/>
      <c r="Q142" s="24">
        <v>4.5</v>
      </c>
      <c r="R142" s="24">
        <v>35</v>
      </c>
      <c r="S142" s="24"/>
      <c r="T142" s="24">
        <v>16</v>
      </c>
      <c r="U142" s="24">
        <v>0.3</v>
      </c>
      <c r="V142" s="24"/>
      <c r="W142" s="24"/>
      <c r="X142" s="24"/>
      <c r="Y142" s="24"/>
      <c r="Z142" s="24">
        <v>0.17</v>
      </c>
      <c r="AA142" s="24">
        <v>23</v>
      </c>
      <c r="AB142" s="24">
        <v>0</v>
      </c>
      <c r="AC142" s="24">
        <v>0.1</v>
      </c>
      <c r="AD142" s="24">
        <v>0.4</v>
      </c>
      <c r="AE142" s="24">
        <v>0</v>
      </c>
      <c r="AF142" s="24">
        <v>0</v>
      </c>
      <c r="AG142" s="24">
        <v>0</v>
      </c>
      <c r="AH142" s="24">
        <v>0</v>
      </c>
      <c r="AI142" s="24"/>
      <c r="AJ142" s="24">
        <v>0</v>
      </c>
      <c r="AK142" s="65">
        <v>903</v>
      </c>
      <c r="AL142" s="65">
        <v>9</v>
      </c>
    </row>
    <row r="143" spans="1:38" s="13" customFormat="1">
      <c r="A143" s="65">
        <v>721</v>
      </c>
      <c r="B143" s="59" t="s">
        <v>323</v>
      </c>
      <c r="C143" s="60" t="s">
        <v>566</v>
      </c>
      <c r="D143" s="6">
        <v>4017</v>
      </c>
      <c r="E143" s="59" t="s">
        <v>537</v>
      </c>
      <c r="F143" s="59" t="s">
        <v>95</v>
      </c>
      <c r="G143" s="24">
        <v>8.9999999999999964</v>
      </c>
      <c r="H143" s="23">
        <v>7</v>
      </c>
      <c r="I143" s="23">
        <v>5</v>
      </c>
      <c r="J143" s="24">
        <v>90.8</v>
      </c>
      <c r="K143" s="24">
        <v>0.9</v>
      </c>
      <c r="L143" s="24">
        <v>1.2</v>
      </c>
      <c r="M143" s="24">
        <v>0.3</v>
      </c>
      <c r="N143" s="24">
        <v>4</v>
      </c>
      <c r="O143" s="24">
        <v>0</v>
      </c>
      <c r="P143" s="24"/>
      <c r="Q143" s="24">
        <v>2.8</v>
      </c>
      <c r="R143" s="24">
        <v>27</v>
      </c>
      <c r="S143" s="24"/>
      <c r="T143" s="24">
        <v>18</v>
      </c>
      <c r="U143" s="24">
        <v>0.4</v>
      </c>
      <c r="V143" s="24"/>
      <c r="W143" s="24"/>
      <c r="X143" s="24"/>
      <c r="Y143" s="24"/>
      <c r="Z143" s="24">
        <v>0.21</v>
      </c>
      <c r="AA143" s="24">
        <v>29</v>
      </c>
      <c r="AB143" s="24">
        <v>2</v>
      </c>
      <c r="AC143" s="24">
        <v>0.05</v>
      </c>
      <c r="AD143" s="24">
        <v>0.05</v>
      </c>
      <c r="AE143" s="24">
        <v>0</v>
      </c>
      <c r="AF143" s="24">
        <v>146</v>
      </c>
      <c r="AG143" s="24">
        <v>12</v>
      </c>
      <c r="AH143" s="24">
        <v>24</v>
      </c>
      <c r="AI143" s="24"/>
      <c r="AJ143" s="24">
        <v>0</v>
      </c>
      <c r="AK143" s="65">
        <v>1002</v>
      </c>
      <c r="AL143" s="65">
        <v>10</v>
      </c>
    </row>
    <row r="144" spans="1:38" s="13" customFormat="1">
      <c r="A144" s="65">
        <v>722</v>
      </c>
      <c r="B144" s="59" t="s">
        <v>324</v>
      </c>
      <c r="C144" s="60" t="s">
        <v>566</v>
      </c>
      <c r="D144" s="6">
        <v>4027</v>
      </c>
      <c r="E144" s="59" t="s">
        <v>538</v>
      </c>
      <c r="F144" s="59" t="s">
        <v>135</v>
      </c>
      <c r="G144" s="24">
        <v>19.999999999999996</v>
      </c>
      <c r="H144" s="23">
        <v>7</v>
      </c>
      <c r="I144" s="23">
        <v>3</v>
      </c>
      <c r="J144" s="24">
        <v>90.3</v>
      </c>
      <c r="K144" s="24">
        <v>0.7</v>
      </c>
      <c r="L144" s="24">
        <v>1.2</v>
      </c>
      <c r="M144" s="24">
        <v>0.2</v>
      </c>
      <c r="N144" s="24">
        <v>2.4</v>
      </c>
      <c r="O144" s="24">
        <v>0</v>
      </c>
      <c r="P144" s="24"/>
      <c r="Q144" s="24">
        <v>5.2</v>
      </c>
      <c r="R144" s="24">
        <v>32</v>
      </c>
      <c r="S144" s="24"/>
      <c r="T144" s="24">
        <v>17</v>
      </c>
      <c r="U144" s="24">
        <v>0.2</v>
      </c>
      <c r="V144" s="24"/>
      <c r="W144" s="24"/>
      <c r="X144" s="24"/>
      <c r="Y144" s="24"/>
      <c r="Z144" s="24">
        <v>0.21</v>
      </c>
      <c r="AA144" s="24">
        <v>50</v>
      </c>
      <c r="AB144" s="24">
        <v>8</v>
      </c>
      <c r="AC144" s="24">
        <v>7.0000000000000007E-2</v>
      </c>
      <c r="AD144" s="24">
        <v>0.06</v>
      </c>
      <c r="AE144" s="24">
        <v>0</v>
      </c>
      <c r="AF144" s="24">
        <v>1512</v>
      </c>
      <c r="AG144" s="24">
        <v>126</v>
      </c>
      <c r="AH144" s="24">
        <v>252</v>
      </c>
      <c r="AI144" s="24"/>
      <c r="AJ144" s="24">
        <v>0</v>
      </c>
      <c r="AK144" s="65">
        <v>902</v>
      </c>
      <c r="AL144" s="65">
        <v>9</v>
      </c>
    </row>
    <row r="145" spans="1:38" s="13" customFormat="1">
      <c r="A145" s="65">
        <v>723</v>
      </c>
      <c r="B145" s="59" t="s">
        <v>325</v>
      </c>
      <c r="C145" s="60" t="s">
        <v>566</v>
      </c>
      <c r="D145" s="6">
        <v>13011</v>
      </c>
      <c r="E145" s="59" t="s">
        <v>592</v>
      </c>
      <c r="F145" s="59" t="s">
        <v>95</v>
      </c>
      <c r="G145" s="24">
        <v>17.000000000000004</v>
      </c>
      <c r="H145" s="23">
        <v>7</v>
      </c>
      <c r="I145" s="23">
        <v>4</v>
      </c>
      <c r="J145" s="24">
        <v>81.900000000000006</v>
      </c>
      <c r="K145" s="24">
        <v>2.9</v>
      </c>
      <c r="L145" s="24">
        <v>3.3</v>
      </c>
      <c r="M145" s="24">
        <v>0.7</v>
      </c>
      <c r="N145" s="24">
        <v>3.5</v>
      </c>
      <c r="O145" s="24">
        <v>0</v>
      </c>
      <c r="P145" s="24"/>
      <c r="Q145" s="24">
        <v>7.7</v>
      </c>
      <c r="R145" s="24">
        <v>57</v>
      </c>
      <c r="S145" s="24"/>
      <c r="T145" s="24">
        <v>115</v>
      </c>
      <c r="U145" s="24">
        <v>6.6</v>
      </c>
      <c r="V145" s="24"/>
      <c r="W145" s="24"/>
      <c r="X145" s="24"/>
      <c r="Y145" s="24"/>
      <c r="Z145" s="24">
        <v>0.54</v>
      </c>
      <c r="AA145" s="24">
        <v>62</v>
      </c>
      <c r="AB145" s="24">
        <v>35.9</v>
      </c>
      <c r="AC145" s="24">
        <v>0.3</v>
      </c>
      <c r="AD145" s="24">
        <v>0.1</v>
      </c>
      <c r="AE145" s="24">
        <v>0</v>
      </c>
      <c r="AF145" s="24">
        <v>3810</v>
      </c>
      <c r="AG145" s="24">
        <v>317</v>
      </c>
      <c r="AH145" s="24">
        <v>635</v>
      </c>
      <c r="AI145" s="24"/>
      <c r="AJ145" s="24">
        <v>0</v>
      </c>
      <c r="AK145" s="65">
        <v>901</v>
      </c>
      <c r="AL145" s="65">
        <v>9</v>
      </c>
    </row>
    <row r="146" spans="1:38" s="13" customFormat="1">
      <c r="A146" s="65">
        <v>724</v>
      </c>
      <c r="B146" s="59" t="s">
        <v>326</v>
      </c>
      <c r="C146" s="60" t="s">
        <v>566</v>
      </c>
      <c r="D146" s="6">
        <v>2017</v>
      </c>
      <c r="E146" s="59" t="s">
        <v>547</v>
      </c>
      <c r="F146" s="59" t="s">
        <v>95</v>
      </c>
      <c r="G146" s="24">
        <v>23</v>
      </c>
      <c r="H146" s="23">
        <v>7</v>
      </c>
      <c r="I146" s="23">
        <v>5</v>
      </c>
      <c r="J146" s="24">
        <v>93.1</v>
      </c>
      <c r="K146" s="24">
        <v>0.8</v>
      </c>
      <c r="L146" s="24">
        <v>0.7</v>
      </c>
      <c r="M146" s="24">
        <v>0.2</v>
      </c>
      <c r="N146" s="24">
        <v>1.7</v>
      </c>
      <c r="O146" s="24">
        <v>0</v>
      </c>
      <c r="P146" s="24"/>
      <c r="Q146" s="24">
        <v>3.6</v>
      </c>
      <c r="R146" s="24">
        <v>22</v>
      </c>
      <c r="S146" s="24"/>
      <c r="T146" s="24">
        <v>34</v>
      </c>
      <c r="U146" s="24">
        <v>0.5</v>
      </c>
      <c r="V146" s="24"/>
      <c r="W146" s="24"/>
      <c r="X146" s="24"/>
      <c r="Y146" s="24"/>
      <c r="Z146" s="24">
        <v>0.2</v>
      </c>
      <c r="AA146" s="24">
        <v>15</v>
      </c>
      <c r="AB146" s="24">
        <v>23</v>
      </c>
      <c r="AC146" s="24">
        <v>0.04</v>
      </c>
      <c r="AD146" s="24">
        <v>0.04</v>
      </c>
      <c r="AE146" s="24">
        <v>0</v>
      </c>
      <c r="AF146" s="24">
        <v>0</v>
      </c>
      <c r="AG146" s="24">
        <v>0</v>
      </c>
      <c r="AH146" s="24">
        <v>0</v>
      </c>
      <c r="AI146" s="24"/>
      <c r="AJ146" s="24">
        <v>0</v>
      </c>
      <c r="AK146" s="65">
        <v>903</v>
      </c>
      <c r="AL146" s="65">
        <v>9</v>
      </c>
    </row>
    <row r="147" spans="1:38" s="13" customFormat="1">
      <c r="A147" s="65">
        <v>725</v>
      </c>
      <c r="B147" s="59" t="s">
        <v>327</v>
      </c>
      <c r="C147" s="60" t="s">
        <v>566</v>
      </c>
      <c r="D147" s="6">
        <v>2004</v>
      </c>
      <c r="E147" s="59" t="s">
        <v>593</v>
      </c>
      <c r="F147" s="59" t="s">
        <v>95</v>
      </c>
      <c r="G147" s="24">
        <v>50</v>
      </c>
      <c r="H147" s="23">
        <v>2</v>
      </c>
      <c r="I147" s="23">
        <v>2</v>
      </c>
      <c r="J147" s="24">
        <v>73.599999999999994</v>
      </c>
      <c r="K147" s="24">
        <v>0.9</v>
      </c>
      <c r="L147" s="24">
        <v>1.4</v>
      </c>
      <c r="M147" s="24">
        <v>0.4</v>
      </c>
      <c r="N147" s="24">
        <v>3.6</v>
      </c>
      <c r="O147" s="24">
        <v>0</v>
      </c>
      <c r="P147" s="24"/>
      <c r="Q147" s="24">
        <v>20.100000000000001</v>
      </c>
      <c r="R147" s="24">
        <v>97</v>
      </c>
      <c r="S147" s="24"/>
      <c r="T147" s="24">
        <v>7</v>
      </c>
      <c r="U147" s="24">
        <v>0.8</v>
      </c>
      <c r="V147" s="24"/>
      <c r="W147" s="24"/>
      <c r="X147" s="24"/>
      <c r="Y147" s="24"/>
      <c r="Z147" s="24">
        <v>0.23</v>
      </c>
      <c r="AA147" s="24">
        <v>19</v>
      </c>
      <c r="AB147" s="24">
        <v>23.3</v>
      </c>
      <c r="AC147" s="24">
        <v>0.06</v>
      </c>
      <c r="AD147" s="24">
        <v>0.04</v>
      </c>
      <c r="AE147" s="24">
        <v>0</v>
      </c>
      <c r="AF147" s="24">
        <v>3</v>
      </c>
      <c r="AG147" s="24">
        <v>0</v>
      </c>
      <c r="AH147" s="24">
        <v>1</v>
      </c>
      <c r="AI147" s="24"/>
      <c r="AJ147" s="24">
        <v>0</v>
      </c>
      <c r="AK147" s="65">
        <v>206</v>
      </c>
      <c r="AL147" s="65">
        <v>2</v>
      </c>
    </row>
    <row r="148" spans="1:38" s="13" customFormat="1">
      <c r="A148" s="65">
        <v>726</v>
      </c>
      <c r="B148" s="59" t="s">
        <v>328</v>
      </c>
      <c r="C148" s="60" t="s">
        <v>566</v>
      </c>
      <c r="D148" s="6">
        <v>4037</v>
      </c>
      <c r="E148" s="59" t="s">
        <v>539</v>
      </c>
      <c r="F148" s="59" t="s">
        <v>135</v>
      </c>
      <c r="G148" s="24">
        <v>0</v>
      </c>
      <c r="H148" s="23">
        <v>7</v>
      </c>
      <c r="I148" s="23">
        <v>5</v>
      </c>
      <c r="J148" s="24">
        <v>94</v>
      </c>
      <c r="K148" s="24">
        <v>0.5</v>
      </c>
      <c r="L148" s="24">
        <v>1</v>
      </c>
      <c r="M148" s="24">
        <v>0.1</v>
      </c>
      <c r="N148" s="24">
        <v>1.3</v>
      </c>
      <c r="O148" s="24">
        <v>0</v>
      </c>
      <c r="P148" s="24"/>
      <c r="Q148" s="24">
        <v>3.1</v>
      </c>
      <c r="R148" s="24">
        <v>20</v>
      </c>
      <c r="S148" s="24"/>
      <c r="T148" s="24">
        <v>22</v>
      </c>
      <c r="U148" s="24">
        <v>0.6</v>
      </c>
      <c r="V148" s="24"/>
      <c r="W148" s="24"/>
      <c r="X148" s="24"/>
      <c r="Y148" s="24"/>
      <c r="Z148" s="24">
        <v>0.16</v>
      </c>
      <c r="AA148" s="24">
        <v>26</v>
      </c>
      <c r="AB148" s="24">
        <v>6</v>
      </c>
      <c r="AC148" s="24">
        <v>0</v>
      </c>
      <c r="AD148" s="24">
        <v>0</v>
      </c>
      <c r="AE148" s="24">
        <v>0</v>
      </c>
      <c r="AF148" s="24">
        <v>334</v>
      </c>
      <c r="AG148" s="24">
        <v>28</v>
      </c>
      <c r="AH148" s="24">
        <v>56</v>
      </c>
      <c r="AI148" s="24"/>
      <c r="AJ148" s="24">
        <v>0</v>
      </c>
      <c r="AK148" s="65">
        <v>905</v>
      </c>
      <c r="AL148" s="65">
        <v>9</v>
      </c>
    </row>
    <row r="149" spans="1:38" s="13" customFormat="1">
      <c r="A149" s="65">
        <v>727</v>
      </c>
      <c r="B149" s="59" t="s">
        <v>329</v>
      </c>
      <c r="C149" s="60" t="s">
        <v>607</v>
      </c>
      <c r="D149" s="6">
        <v>11579</v>
      </c>
      <c r="E149" s="59" t="s">
        <v>706</v>
      </c>
      <c r="F149" s="59" t="s">
        <v>135</v>
      </c>
      <c r="G149" s="24">
        <v>0</v>
      </c>
      <c r="H149" s="23">
        <v>7</v>
      </c>
      <c r="I149" s="23">
        <v>5</v>
      </c>
      <c r="J149" s="24">
        <v>90.24</v>
      </c>
      <c r="K149" s="24">
        <v>0.96</v>
      </c>
      <c r="L149" s="24">
        <v>1.42</v>
      </c>
      <c r="M149" s="24">
        <v>0.25</v>
      </c>
      <c r="N149" s="24">
        <v>3.8</v>
      </c>
      <c r="O149" s="24">
        <f>AVERAGE(O123:O148)</f>
        <v>0</v>
      </c>
      <c r="P149" s="24">
        <v>7.13</v>
      </c>
      <c r="Q149" s="24">
        <f>100-J149-K149-L149-M149-N149-O149</f>
        <v>3.3300000000000045</v>
      </c>
      <c r="R149" s="24">
        <v>36</v>
      </c>
      <c r="S149" s="24"/>
      <c r="T149" s="24">
        <v>21</v>
      </c>
      <c r="U149" s="24">
        <v>0.65</v>
      </c>
      <c r="V149" s="24"/>
      <c r="W149" s="24"/>
      <c r="X149" s="24"/>
      <c r="Y149" s="24"/>
      <c r="Z149" s="24">
        <v>0.51</v>
      </c>
      <c r="AA149" s="24">
        <v>18</v>
      </c>
      <c r="AB149" s="24">
        <v>3.8</v>
      </c>
      <c r="AC149" s="24">
        <v>3.4000000000000002E-2</v>
      </c>
      <c r="AD149" s="24">
        <v>0.04</v>
      </c>
      <c r="AE149" s="24">
        <f>AVERAGE(AE123:AE148)</f>
        <v>0</v>
      </c>
      <c r="AF149" s="24">
        <v>0</v>
      </c>
      <c r="AG149" s="24">
        <v>0</v>
      </c>
      <c r="AH149" s="24">
        <v>0</v>
      </c>
      <c r="AI149" s="24"/>
      <c r="AJ149" s="24">
        <f>AVERAGE(AJ123:AJ148)</f>
        <v>0</v>
      </c>
      <c r="AK149" s="65">
        <v>906</v>
      </c>
      <c r="AL149" s="65">
        <v>9</v>
      </c>
    </row>
    <row r="150" spans="1:38" s="13" customFormat="1">
      <c r="A150" s="65">
        <v>801</v>
      </c>
      <c r="B150" s="59" t="s">
        <v>330</v>
      </c>
      <c r="C150" s="60" t="s">
        <v>566</v>
      </c>
      <c r="D150" s="6">
        <v>2009</v>
      </c>
      <c r="E150" s="59" t="s">
        <v>540</v>
      </c>
      <c r="F150" s="59" t="s">
        <v>95</v>
      </c>
      <c r="G150" s="24">
        <v>15.000000000000002</v>
      </c>
      <c r="H150" s="23">
        <v>2</v>
      </c>
      <c r="I150" s="23">
        <v>2</v>
      </c>
      <c r="J150" s="24">
        <v>72.099999999999994</v>
      </c>
      <c r="K150" s="24">
        <v>1</v>
      </c>
      <c r="L150" s="24">
        <v>2.4</v>
      </c>
      <c r="M150" s="24">
        <v>0.1</v>
      </c>
      <c r="N150" s="24">
        <v>1.68</v>
      </c>
      <c r="O150" s="24">
        <v>0</v>
      </c>
      <c r="P150" s="24"/>
      <c r="Q150" s="24">
        <v>22.7</v>
      </c>
      <c r="R150" s="24">
        <v>105</v>
      </c>
      <c r="S150" s="24"/>
      <c r="T150" s="24">
        <v>9</v>
      </c>
      <c r="U150" s="24">
        <v>1.4</v>
      </c>
      <c r="V150" s="24"/>
      <c r="W150" s="24"/>
      <c r="X150" s="24"/>
      <c r="Y150" s="24"/>
      <c r="Z150" s="24">
        <v>0.32</v>
      </c>
      <c r="AA150" s="24">
        <v>53</v>
      </c>
      <c r="AB150" s="24">
        <v>6.6</v>
      </c>
      <c r="AC150" s="24">
        <v>7.0000000000000007E-2</v>
      </c>
      <c r="AD150" s="24">
        <v>0.04</v>
      </c>
      <c r="AE150" s="24">
        <v>0</v>
      </c>
      <c r="AF150" s="24">
        <v>0</v>
      </c>
      <c r="AG150" s="24">
        <v>0</v>
      </c>
      <c r="AH150" s="24">
        <v>0</v>
      </c>
      <c r="AI150" s="24"/>
      <c r="AJ150" s="24">
        <v>0</v>
      </c>
      <c r="AK150" s="65">
        <v>201</v>
      </c>
      <c r="AL150" s="65">
        <v>2</v>
      </c>
    </row>
    <row r="151" spans="1:38" s="13" customFormat="1">
      <c r="A151" s="65">
        <v>802</v>
      </c>
      <c r="B151" s="59" t="s">
        <v>331</v>
      </c>
      <c r="C151" s="60" t="s">
        <v>553</v>
      </c>
      <c r="D151" s="6"/>
      <c r="E151" s="59"/>
      <c r="F151" s="59" t="s">
        <v>721</v>
      </c>
      <c r="G151" s="24">
        <v>13.33</v>
      </c>
      <c r="H151" s="23">
        <v>2</v>
      </c>
      <c r="I151" s="23">
        <v>3</v>
      </c>
      <c r="J151" s="24">
        <v>75.833333333333329</v>
      </c>
      <c r="K151" s="24">
        <v>1.0666666666666667</v>
      </c>
      <c r="L151" s="24">
        <v>1.7999999999999998</v>
      </c>
      <c r="M151" s="24">
        <v>0.3666666666666667</v>
      </c>
      <c r="N151" s="24">
        <v>3.6333333333333333</v>
      </c>
      <c r="O151" s="24">
        <v>0</v>
      </c>
      <c r="P151" s="24"/>
      <c r="Q151" s="24">
        <v>17.300000000000004</v>
      </c>
      <c r="R151" s="24">
        <v>86.966666666666654</v>
      </c>
      <c r="S151" s="24"/>
      <c r="T151" s="24">
        <v>21</v>
      </c>
      <c r="U151" s="24">
        <v>0.6333333333333333</v>
      </c>
      <c r="V151" s="24"/>
      <c r="W151" s="24"/>
      <c r="X151" s="24"/>
      <c r="Y151" s="24"/>
      <c r="Z151" s="24">
        <v>0.3066666666666667</v>
      </c>
      <c r="AA151" s="24">
        <v>13.666666666666666</v>
      </c>
      <c r="AB151" s="24">
        <v>23.666666666666668</v>
      </c>
      <c r="AC151" s="24">
        <v>5.6666666666666671E-2</v>
      </c>
      <c r="AD151" s="24">
        <v>3.6666666666666667E-2</v>
      </c>
      <c r="AE151" s="24">
        <v>0</v>
      </c>
      <c r="AF151" s="24">
        <v>2103.6666666666665</v>
      </c>
      <c r="AG151" s="24">
        <v>175.30555555555554</v>
      </c>
      <c r="AH151" s="24">
        <v>350.61111111111109</v>
      </c>
      <c r="AI151" s="24"/>
      <c r="AJ151" s="24">
        <v>0</v>
      </c>
      <c r="AK151" s="65">
        <v>201</v>
      </c>
      <c r="AL151" s="65">
        <v>2</v>
      </c>
    </row>
    <row r="152" spans="1:38" s="13" customFormat="1">
      <c r="A152" s="65">
        <v>803</v>
      </c>
      <c r="B152" s="59" t="s">
        <v>332</v>
      </c>
      <c r="C152" s="60" t="s">
        <v>566</v>
      </c>
      <c r="D152" s="6">
        <v>2002</v>
      </c>
      <c r="E152" s="59" t="s">
        <v>544</v>
      </c>
      <c r="F152" s="59" t="s">
        <v>95</v>
      </c>
      <c r="G152" s="24">
        <v>24</v>
      </c>
      <c r="H152" s="23">
        <v>2</v>
      </c>
      <c r="I152" s="23">
        <v>2</v>
      </c>
      <c r="J152" s="24">
        <v>70.900000000000006</v>
      </c>
      <c r="K152" s="24">
        <v>1.3</v>
      </c>
      <c r="L152" s="24">
        <v>3.2</v>
      </c>
      <c r="M152" s="24">
        <v>0.3</v>
      </c>
      <c r="N152" s="24">
        <v>1.3</v>
      </c>
      <c r="O152" s="24">
        <v>0</v>
      </c>
      <c r="P152" s="24"/>
      <c r="Q152" s="24">
        <v>22.3</v>
      </c>
      <c r="R152" s="24">
        <v>109</v>
      </c>
      <c r="S152" s="24"/>
      <c r="T152" s="24">
        <v>6</v>
      </c>
      <c r="U152" s="24">
        <v>1.1000000000000001</v>
      </c>
      <c r="V152" s="24"/>
      <c r="W152" s="24"/>
      <c r="X152" s="24"/>
      <c r="Y152" s="24"/>
      <c r="Z152" s="24">
        <v>1</v>
      </c>
      <c r="AA152" s="24">
        <v>0</v>
      </c>
      <c r="AB152" s="24">
        <v>2</v>
      </c>
      <c r="AC152" s="24">
        <v>0.22</v>
      </c>
      <c r="AD152" s="24">
        <v>0.09</v>
      </c>
      <c r="AE152" s="24">
        <v>0</v>
      </c>
      <c r="AF152" s="24">
        <v>17</v>
      </c>
      <c r="AG152" s="24">
        <v>1</v>
      </c>
      <c r="AH152" s="24">
        <v>3</v>
      </c>
      <c r="AI152" s="24"/>
      <c r="AJ152" s="24">
        <v>0</v>
      </c>
      <c r="AK152" s="65">
        <v>205</v>
      </c>
      <c r="AL152" s="65">
        <v>2</v>
      </c>
    </row>
    <row r="153" spans="1:38" s="13" customFormat="1">
      <c r="A153" s="65">
        <v>804</v>
      </c>
      <c r="B153" s="59" t="s">
        <v>333</v>
      </c>
      <c r="C153" s="60" t="s">
        <v>553</v>
      </c>
      <c r="D153" s="6"/>
      <c r="E153" s="59"/>
      <c r="F153" s="59" t="s">
        <v>93</v>
      </c>
      <c r="G153" s="24">
        <v>6</v>
      </c>
      <c r="H153" s="23">
        <v>2</v>
      </c>
      <c r="I153" s="23">
        <v>2</v>
      </c>
      <c r="J153" s="24">
        <v>59.75</v>
      </c>
      <c r="K153" s="24">
        <v>0.9</v>
      </c>
      <c r="L153" s="24">
        <v>1.4500000000000002</v>
      </c>
      <c r="M153" s="24">
        <v>0.25</v>
      </c>
      <c r="N153" s="24">
        <v>4.6500000000000004</v>
      </c>
      <c r="O153" s="24">
        <v>0</v>
      </c>
      <c r="P153" s="24"/>
      <c r="Q153" s="24">
        <v>33</v>
      </c>
      <c r="R153" s="24">
        <v>149.5</v>
      </c>
      <c r="S153" s="24"/>
      <c r="T153" s="24">
        <v>25.5</v>
      </c>
      <c r="U153" s="24">
        <v>0.75</v>
      </c>
      <c r="V153" s="24"/>
      <c r="W153" s="24"/>
      <c r="X153" s="24"/>
      <c r="Y153" s="24"/>
      <c r="Z153" s="24">
        <v>0.34</v>
      </c>
      <c r="AA153" s="24">
        <v>27</v>
      </c>
      <c r="AB153" s="24">
        <v>39.5</v>
      </c>
      <c r="AC153" s="24">
        <v>0.16</v>
      </c>
      <c r="AD153" s="24">
        <v>0.02</v>
      </c>
      <c r="AE153" s="24">
        <v>0</v>
      </c>
      <c r="AF153" s="24">
        <v>369</v>
      </c>
      <c r="AG153" s="24">
        <v>30.75</v>
      </c>
      <c r="AH153" s="24">
        <v>61.5</v>
      </c>
      <c r="AI153" s="24"/>
      <c r="AJ153" s="24">
        <v>0</v>
      </c>
      <c r="AK153" s="65">
        <v>202</v>
      </c>
      <c r="AL153" s="65">
        <v>2</v>
      </c>
    </row>
    <row r="154" spans="1:38" s="13" customFormat="1">
      <c r="A154" s="65">
        <v>805</v>
      </c>
      <c r="B154" s="59" t="s">
        <v>334</v>
      </c>
      <c r="C154" s="60" t="s">
        <v>561</v>
      </c>
      <c r="D154" s="6">
        <v>362</v>
      </c>
      <c r="E154" s="59" t="s">
        <v>621</v>
      </c>
      <c r="F154" s="59" t="s">
        <v>95</v>
      </c>
      <c r="G154" s="24">
        <v>0</v>
      </c>
      <c r="H154" s="23">
        <v>2</v>
      </c>
      <c r="I154" s="23">
        <v>2</v>
      </c>
      <c r="J154" s="24"/>
      <c r="K154" s="24"/>
      <c r="L154" s="24">
        <v>2.6</v>
      </c>
      <c r="M154" s="24">
        <v>0.7</v>
      </c>
      <c r="N154" s="24">
        <v>3.6</v>
      </c>
      <c r="O154" s="24">
        <v>0</v>
      </c>
      <c r="P154" s="24">
        <v>76.599999999999994</v>
      </c>
      <c r="Q154" s="24"/>
      <c r="R154" s="24">
        <v>314</v>
      </c>
      <c r="S154" s="24"/>
      <c r="T154" s="24">
        <v>46</v>
      </c>
      <c r="U154" s="24">
        <v>1.9</v>
      </c>
      <c r="V154" s="24"/>
      <c r="W154" s="24"/>
      <c r="X154" s="24"/>
      <c r="Y154" s="24"/>
      <c r="Z154" s="24">
        <v>0.7</v>
      </c>
      <c r="AA154" s="24">
        <v>36</v>
      </c>
      <c r="AB154" s="24">
        <v>72</v>
      </c>
      <c r="AC154" s="24">
        <v>0.3</v>
      </c>
      <c r="AD154" s="24">
        <v>0.1</v>
      </c>
      <c r="AE154" s="24">
        <v>0</v>
      </c>
      <c r="AF154" s="24">
        <f>+AG154*12</f>
        <v>168</v>
      </c>
      <c r="AG154" s="24">
        <v>14</v>
      </c>
      <c r="AH154" s="24">
        <f>+AF154/6</f>
        <v>28</v>
      </c>
      <c r="AI154" s="24"/>
      <c r="AJ154" s="24">
        <v>0</v>
      </c>
      <c r="AK154" s="65">
        <v>202</v>
      </c>
      <c r="AL154" s="65">
        <v>2</v>
      </c>
    </row>
    <row r="155" spans="1:38" s="13" customFormat="1">
      <c r="A155" s="65">
        <v>806</v>
      </c>
      <c r="B155" s="59" t="s">
        <v>335</v>
      </c>
      <c r="C155" s="60" t="s">
        <v>566</v>
      </c>
      <c r="D155" s="6">
        <v>2019</v>
      </c>
      <c r="E155" s="59" t="s">
        <v>545</v>
      </c>
      <c r="F155" s="59" t="s">
        <v>95</v>
      </c>
      <c r="G155" s="24">
        <v>18.999999999999993</v>
      </c>
      <c r="H155" s="23">
        <v>2</v>
      </c>
      <c r="I155" s="23">
        <v>2</v>
      </c>
      <c r="J155" s="24">
        <v>69</v>
      </c>
      <c r="K155" s="24">
        <v>1.1000000000000001</v>
      </c>
      <c r="L155" s="24">
        <v>1.9</v>
      </c>
      <c r="M155" s="24">
        <v>0.2</v>
      </c>
      <c r="N155" s="24">
        <v>4.0999999999999996</v>
      </c>
      <c r="O155" s="24">
        <v>0</v>
      </c>
      <c r="P155" s="24"/>
      <c r="Q155" s="24">
        <v>23.7</v>
      </c>
      <c r="R155" s="24">
        <v>112</v>
      </c>
      <c r="S155" s="24"/>
      <c r="T155" s="24">
        <v>16</v>
      </c>
      <c r="U155" s="24">
        <v>0.8</v>
      </c>
      <c r="V155" s="24"/>
      <c r="W155" s="24"/>
      <c r="X155" s="24"/>
      <c r="Y155" s="24"/>
      <c r="Z155" s="24">
        <v>0.27</v>
      </c>
      <c r="AA155" s="24">
        <v>16</v>
      </c>
      <c r="AB155" s="24">
        <v>6</v>
      </c>
      <c r="AC155" s="24">
        <v>0.11</v>
      </c>
      <c r="AD155" s="24">
        <v>0.02</v>
      </c>
      <c r="AE155" s="24">
        <v>0</v>
      </c>
      <c r="AF155" s="24">
        <v>0</v>
      </c>
      <c r="AG155" s="24">
        <v>0</v>
      </c>
      <c r="AH155" s="24">
        <v>0</v>
      </c>
      <c r="AI155" s="24"/>
      <c r="AJ155" s="24">
        <v>0</v>
      </c>
      <c r="AK155" s="65">
        <v>204</v>
      </c>
      <c r="AL155" s="65">
        <v>2</v>
      </c>
    </row>
    <row r="156" spans="1:38" s="13" customFormat="1">
      <c r="A156" s="65">
        <v>807</v>
      </c>
      <c r="B156" s="59" t="s">
        <v>336</v>
      </c>
      <c r="C156" s="60" t="s">
        <v>566</v>
      </c>
      <c r="D156" s="6">
        <v>2005</v>
      </c>
      <c r="E156" s="59" t="s">
        <v>546</v>
      </c>
      <c r="F156" s="59" t="s">
        <v>135</v>
      </c>
      <c r="G156" s="24">
        <v>15.000000000000002</v>
      </c>
      <c r="H156" s="23">
        <v>2</v>
      </c>
      <c r="I156" s="23">
        <v>2</v>
      </c>
      <c r="J156" s="24">
        <v>86.1</v>
      </c>
      <c r="K156" s="24">
        <v>1.4</v>
      </c>
      <c r="L156" s="24">
        <v>2.17</v>
      </c>
      <c r="M156" s="24">
        <v>0.1</v>
      </c>
      <c r="N156" s="24">
        <v>3.31</v>
      </c>
      <c r="O156" s="24">
        <v>0</v>
      </c>
      <c r="P156" s="24"/>
      <c r="Q156" s="24">
        <v>6.9</v>
      </c>
      <c r="R156" s="24">
        <v>44</v>
      </c>
      <c r="S156" s="24"/>
      <c r="T156" s="24">
        <v>13</v>
      </c>
      <c r="U156" s="24">
        <v>0.8</v>
      </c>
      <c r="V156" s="24"/>
      <c r="W156" s="24"/>
      <c r="X156" s="24"/>
      <c r="Y156" s="24"/>
      <c r="Z156" s="24">
        <v>0.55000000000000004</v>
      </c>
      <c r="AA156" s="24">
        <v>110</v>
      </c>
      <c r="AB156" s="24">
        <v>5.3</v>
      </c>
      <c r="AC156" s="24">
        <v>0.01</v>
      </c>
      <c r="AD156" s="24">
        <v>0.02</v>
      </c>
      <c r="AE156" s="24">
        <v>0</v>
      </c>
      <c r="AF156" s="24">
        <v>10</v>
      </c>
      <c r="AG156" s="24">
        <v>1</v>
      </c>
      <c r="AH156" s="24">
        <v>2</v>
      </c>
      <c r="AI156" s="24"/>
      <c r="AJ156" s="24">
        <v>0</v>
      </c>
      <c r="AK156" s="65">
        <v>205</v>
      </c>
      <c r="AL156" s="65">
        <v>2</v>
      </c>
    </row>
    <row r="157" spans="1:38" s="13" customFormat="1">
      <c r="A157" s="65">
        <v>901</v>
      </c>
      <c r="B157" s="59" t="s">
        <v>337</v>
      </c>
      <c r="C157" s="60" t="s">
        <v>561</v>
      </c>
      <c r="D157" s="6">
        <v>466</v>
      </c>
      <c r="E157" s="59" t="s">
        <v>622</v>
      </c>
      <c r="F157" s="59" t="s">
        <v>135</v>
      </c>
      <c r="G157" s="24">
        <v>95</v>
      </c>
      <c r="H157" s="23">
        <v>3</v>
      </c>
      <c r="I157" s="23">
        <v>15</v>
      </c>
      <c r="J157" s="24"/>
      <c r="K157" s="24"/>
      <c r="L157" s="24">
        <v>0</v>
      </c>
      <c r="M157" s="24">
        <v>0</v>
      </c>
      <c r="N157" s="24">
        <v>0</v>
      </c>
      <c r="O157" s="24">
        <v>0</v>
      </c>
      <c r="P157" s="24">
        <v>6.8</v>
      </c>
      <c r="Q157" s="24"/>
      <c r="R157" s="24">
        <v>26</v>
      </c>
      <c r="S157" s="24"/>
      <c r="T157" s="24">
        <v>6</v>
      </c>
      <c r="U157" s="24">
        <v>0.1</v>
      </c>
      <c r="V157" s="24"/>
      <c r="W157" s="24"/>
      <c r="X157" s="24"/>
      <c r="Y157" s="24"/>
      <c r="Z157" s="24">
        <v>0</v>
      </c>
      <c r="AA157" s="24">
        <v>0</v>
      </c>
      <c r="AB157" s="24">
        <v>0</v>
      </c>
      <c r="AC157" s="24">
        <v>0</v>
      </c>
      <c r="AD157" s="24">
        <v>0</v>
      </c>
      <c r="AE157" s="24">
        <v>0</v>
      </c>
      <c r="AF157" s="24">
        <v>0</v>
      </c>
      <c r="AG157" s="24">
        <v>0</v>
      </c>
      <c r="AH157" s="24">
        <v>0</v>
      </c>
      <c r="AI157" s="24"/>
      <c r="AJ157" s="24">
        <v>0</v>
      </c>
      <c r="AK157" s="65">
        <v>1205</v>
      </c>
      <c r="AL157" s="65">
        <v>12</v>
      </c>
    </row>
    <row r="158" spans="1:38" s="13" customFormat="1">
      <c r="A158" s="65">
        <v>902</v>
      </c>
      <c r="B158" s="59" t="s">
        <v>338</v>
      </c>
      <c r="C158" s="60" t="s">
        <v>566</v>
      </c>
      <c r="D158" s="6">
        <v>11003</v>
      </c>
      <c r="E158" s="59" t="s">
        <v>548</v>
      </c>
      <c r="F158" s="59" t="s">
        <v>95</v>
      </c>
      <c r="G158" s="24">
        <v>0</v>
      </c>
      <c r="H158" s="23">
        <v>3</v>
      </c>
      <c r="I158" s="23">
        <v>15</v>
      </c>
      <c r="J158" s="24">
        <v>0</v>
      </c>
      <c r="K158" s="24">
        <v>0</v>
      </c>
      <c r="L158" s="24">
        <v>0</v>
      </c>
      <c r="M158" s="24">
        <v>0</v>
      </c>
      <c r="N158" s="24">
        <v>0</v>
      </c>
      <c r="O158" s="24">
        <v>0</v>
      </c>
      <c r="P158" s="24"/>
      <c r="Q158" s="24">
        <v>100</v>
      </c>
      <c r="R158" s="24">
        <v>400</v>
      </c>
      <c r="S158" s="24"/>
      <c r="T158" s="24">
        <v>0</v>
      </c>
      <c r="U158" s="24">
        <v>0</v>
      </c>
      <c r="V158" s="24"/>
      <c r="W158" s="24"/>
      <c r="X158" s="24"/>
      <c r="Y158" s="24"/>
      <c r="Z158" s="24">
        <v>0</v>
      </c>
      <c r="AA158" s="24">
        <v>0</v>
      </c>
      <c r="AB158" s="24">
        <v>0</v>
      </c>
      <c r="AC158" s="24">
        <v>0</v>
      </c>
      <c r="AD158" s="24">
        <v>0</v>
      </c>
      <c r="AE158" s="24">
        <v>0</v>
      </c>
      <c r="AF158" s="24">
        <v>0</v>
      </c>
      <c r="AG158" s="24">
        <v>0</v>
      </c>
      <c r="AH158" s="24">
        <v>0</v>
      </c>
      <c r="AI158" s="24"/>
      <c r="AJ158" s="24">
        <v>0</v>
      </c>
      <c r="AK158" s="65">
        <v>1205</v>
      </c>
      <c r="AL158" s="65">
        <v>12</v>
      </c>
    </row>
    <row r="159" spans="1:38" s="13" customFormat="1">
      <c r="A159" s="65">
        <v>903</v>
      </c>
      <c r="B159" s="59" t="s">
        <v>339</v>
      </c>
      <c r="C159" s="60" t="s">
        <v>566</v>
      </c>
      <c r="D159" s="6">
        <v>11003</v>
      </c>
      <c r="E159" s="59" t="s">
        <v>548</v>
      </c>
      <c r="F159" s="59" t="s">
        <v>135</v>
      </c>
      <c r="G159" s="24">
        <v>0</v>
      </c>
      <c r="H159" s="23">
        <v>3</v>
      </c>
      <c r="I159" s="23">
        <v>15</v>
      </c>
      <c r="J159" s="24">
        <v>0</v>
      </c>
      <c r="K159" s="24">
        <v>0</v>
      </c>
      <c r="L159" s="24">
        <v>0</v>
      </c>
      <c r="M159" s="24">
        <v>0</v>
      </c>
      <c r="N159" s="24">
        <v>0</v>
      </c>
      <c r="O159" s="24">
        <v>0</v>
      </c>
      <c r="P159" s="24"/>
      <c r="Q159" s="24">
        <v>100</v>
      </c>
      <c r="R159" s="24">
        <v>400</v>
      </c>
      <c r="S159" s="24"/>
      <c r="T159" s="24">
        <v>0</v>
      </c>
      <c r="U159" s="24">
        <v>0</v>
      </c>
      <c r="V159" s="24"/>
      <c r="W159" s="24"/>
      <c r="X159" s="24"/>
      <c r="Y159" s="24"/>
      <c r="Z159" s="24">
        <v>0</v>
      </c>
      <c r="AA159" s="24">
        <v>0</v>
      </c>
      <c r="AB159" s="24">
        <v>0</v>
      </c>
      <c r="AC159" s="24">
        <v>0</v>
      </c>
      <c r="AD159" s="24">
        <v>0</v>
      </c>
      <c r="AE159" s="24">
        <v>0</v>
      </c>
      <c r="AF159" s="24">
        <v>0</v>
      </c>
      <c r="AG159" s="24">
        <v>0</v>
      </c>
      <c r="AH159" s="24">
        <v>0</v>
      </c>
      <c r="AI159" s="24"/>
      <c r="AJ159" s="24">
        <v>0</v>
      </c>
      <c r="AK159" s="65">
        <v>1205</v>
      </c>
      <c r="AL159" s="65">
        <v>12</v>
      </c>
    </row>
    <row r="160" spans="1:38" s="13" customFormat="1">
      <c r="A160" s="65">
        <v>904</v>
      </c>
      <c r="B160" s="59" t="s">
        <v>340</v>
      </c>
      <c r="C160" s="60" t="s">
        <v>696</v>
      </c>
      <c r="D160" s="6" t="s">
        <v>695</v>
      </c>
      <c r="E160" s="59" t="s">
        <v>694</v>
      </c>
      <c r="F160" s="59" t="s">
        <v>95</v>
      </c>
      <c r="G160" s="24">
        <v>0</v>
      </c>
      <c r="H160" s="23">
        <v>3</v>
      </c>
      <c r="I160" s="23">
        <v>15</v>
      </c>
      <c r="J160" s="24">
        <v>11.2</v>
      </c>
      <c r="K160" s="24">
        <v>1.92</v>
      </c>
      <c r="L160" s="24">
        <v>1.85</v>
      </c>
      <c r="M160" s="24">
        <v>0.16</v>
      </c>
      <c r="N160" s="24">
        <v>0</v>
      </c>
      <c r="O160" s="24">
        <v>0</v>
      </c>
      <c r="P160" s="24"/>
      <c r="Q160" s="24">
        <v>84.87</v>
      </c>
      <c r="R160" s="24">
        <v>353.7</v>
      </c>
      <c r="S160" s="24"/>
      <c r="T160" s="24">
        <v>107</v>
      </c>
      <c r="U160" s="24">
        <v>4.63</v>
      </c>
      <c r="V160" s="24"/>
      <c r="W160" s="24"/>
      <c r="X160" s="24"/>
      <c r="Y160" s="24"/>
      <c r="Z160" s="24">
        <v>0.45</v>
      </c>
      <c r="AA160" s="24">
        <v>0</v>
      </c>
      <c r="AB160" s="24">
        <v>0</v>
      </c>
      <c r="AC160" s="24">
        <v>0.04</v>
      </c>
      <c r="AD160" s="24">
        <v>0.01</v>
      </c>
      <c r="AE160" s="24">
        <v>0</v>
      </c>
      <c r="AF160" s="24">
        <v>0</v>
      </c>
      <c r="AG160" s="24">
        <v>0</v>
      </c>
      <c r="AH160" s="24">
        <v>0</v>
      </c>
      <c r="AI160" s="24"/>
      <c r="AJ160" s="24">
        <v>0</v>
      </c>
      <c r="AK160" s="65">
        <v>1205</v>
      </c>
      <c r="AL160" s="65">
        <v>12</v>
      </c>
    </row>
    <row r="161" spans="1:38" s="13" customFormat="1">
      <c r="A161" s="65">
        <v>905</v>
      </c>
      <c r="B161" s="59" t="s">
        <v>341</v>
      </c>
      <c r="C161" s="60" t="s">
        <v>561</v>
      </c>
      <c r="D161" s="6">
        <v>610</v>
      </c>
      <c r="E161" s="59" t="s">
        <v>623</v>
      </c>
      <c r="F161" s="59" t="s">
        <v>135</v>
      </c>
      <c r="G161" s="24">
        <v>0</v>
      </c>
      <c r="H161" s="23">
        <v>3</v>
      </c>
      <c r="I161" s="23">
        <v>15</v>
      </c>
      <c r="J161" s="24"/>
      <c r="K161" s="24"/>
      <c r="L161" s="24">
        <v>0.4</v>
      </c>
      <c r="M161" s="24">
        <v>0</v>
      </c>
      <c r="N161" s="24">
        <v>0.8</v>
      </c>
      <c r="O161" s="24">
        <v>0</v>
      </c>
      <c r="P161" s="24">
        <v>69.3</v>
      </c>
      <c r="Q161" s="24"/>
      <c r="R161" s="24">
        <v>261</v>
      </c>
      <c r="S161" s="24"/>
      <c r="T161" s="24">
        <v>24</v>
      </c>
      <c r="U161" s="24">
        <v>1</v>
      </c>
      <c r="V161" s="24"/>
      <c r="W161" s="24"/>
      <c r="X161" s="24"/>
      <c r="Y161" s="24"/>
      <c r="Z161" s="24">
        <v>0.2</v>
      </c>
      <c r="AA161" s="24">
        <v>2</v>
      </c>
      <c r="AB161" s="24">
        <v>7</v>
      </c>
      <c r="AC161" s="24">
        <v>0</v>
      </c>
      <c r="AD161" s="24">
        <v>6.4100000000000004E-2</v>
      </c>
      <c r="AE161" s="24">
        <v>0</v>
      </c>
      <c r="AF161" s="24">
        <f>+AG161*12</f>
        <v>36</v>
      </c>
      <c r="AG161" s="24">
        <v>3</v>
      </c>
      <c r="AH161" s="24">
        <f>+AF161/6</f>
        <v>6</v>
      </c>
      <c r="AI161" s="24"/>
      <c r="AJ161" s="24">
        <v>0</v>
      </c>
      <c r="AK161" s="65">
        <v>1203</v>
      </c>
      <c r="AL161" s="65">
        <v>12</v>
      </c>
    </row>
    <row r="162" spans="1:38" s="13" customFormat="1">
      <c r="A162" s="65">
        <v>906</v>
      </c>
      <c r="B162" s="59" t="s">
        <v>342</v>
      </c>
      <c r="C162" s="60" t="s">
        <v>607</v>
      </c>
      <c r="D162" s="6">
        <v>19297</v>
      </c>
      <c r="E162" s="59" t="s">
        <v>646</v>
      </c>
      <c r="F162" s="59" t="s">
        <v>135</v>
      </c>
      <c r="G162" s="24">
        <v>0</v>
      </c>
      <c r="H162" s="23">
        <v>3</v>
      </c>
      <c r="I162" s="23">
        <v>15</v>
      </c>
      <c r="J162" s="24">
        <v>30.47</v>
      </c>
      <c r="K162" s="24">
        <v>0.23</v>
      </c>
      <c r="L162" s="24">
        <v>0.37</v>
      </c>
      <c r="M162" s="24">
        <v>7.0000000000000007E-2</v>
      </c>
      <c r="N162" s="24">
        <v>1.1000000000000001</v>
      </c>
      <c r="O162" s="24">
        <v>0</v>
      </c>
      <c r="P162" s="24">
        <v>68.86</v>
      </c>
      <c r="Q162" s="24"/>
      <c r="R162" s="24">
        <v>278</v>
      </c>
      <c r="S162" s="24"/>
      <c r="T162" s="24">
        <v>20</v>
      </c>
      <c r="U162" s="24">
        <v>0.49</v>
      </c>
      <c r="V162" s="24"/>
      <c r="W162" s="24"/>
      <c r="X162" s="24"/>
      <c r="Y162" s="24"/>
      <c r="Z162" s="24">
        <v>0.06</v>
      </c>
      <c r="AA162" s="24">
        <v>11</v>
      </c>
      <c r="AB162" s="24">
        <v>8.8000000000000007</v>
      </c>
      <c r="AC162" s="24">
        <v>1.6E-2</v>
      </c>
      <c r="AD162" s="24">
        <v>7.5999999999999998E-2</v>
      </c>
      <c r="AE162" s="24">
        <v>0</v>
      </c>
      <c r="AF162" s="24">
        <v>0</v>
      </c>
      <c r="AG162" s="24">
        <v>0</v>
      </c>
      <c r="AH162" s="24">
        <v>0</v>
      </c>
      <c r="AI162" s="24"/>
      <c r="AJ162" s="24">
        <v>0</v>
      </c>
      <c r="AK162" s="65">
        <v>1203</v>
      </c>
      <c r="AL162" s="65">
        <v>12</v>
      </c>
    </row>
    <row r="163" spans="1:38" s="13" customFormat="1">
      <c r="A163" s="65">
        <v>907</v>
      </c>
      <c r="B163" s="59" t="s">
        <v>343</v>
      </c>
      <c r="C163" s="60" t="s">
        <v>566</v>
      </c>
      <c r="D163" s="6">
        <v>11001</v>
      </c>
      <c r="E163" s="59" t="s">
        <v>594</v>
      </c>
      <c r="F163" s="59" t="s">
        <v>95</v>
      </c>
      <c r="G163" s="24">
        <v>0</v>
      </c>
      <c r="H163" s="23">
        <v>3</v>
      </c>
      <c r="I163" s="23">
        <v>15</v>
      </c>
      <c r="J163" s="24">
        <v>19.2</v>
      </c>
      <c r="K163" s="24">
        <v>0.3</v>
      </c>
      <c r="L163" s="24">
        <v>0.4</v>
      </c>
      <c r="M163" s="24">
        <v>0</v>
      </c>
      <c r="N163" s="24">
        <v>0</v>
      </c>
      <c r="O163" s="24">
        <v>0</v>
      </c>
      <c r="P163" s="24"/>
      <c r="Q163" s="24">
        <v>80.099999999999994</v>
      </c>
      <c r="R163" s="24">
        <v>322</v>
      </c>
      <c r="S163" s="24"/>
      <c r="T163" s="24">
        <v>11</v>
      </c>
      <c r="U163" s="24">
        <v>0.6</v>
      </c>
      <c r="V163" s="24"/>
      <c r="W163" s="24"/>
      <c r="X163" s="24"/>
      <c r="Y163" s="24"/>
      <c r="Z163" s="24">
        <v>3</v>
      </c>
      <c r="AA163" s="24">
        <v>0</v>
      </c>
      <c r="AB163" s="24">
        <v>0</v>
      </c>
      <c r="AC163" s="24">
        <v>0</v>
      </c>
      <c r="AD163" s="24">
        <v>0</v>
      </c>
      <c r="AE163" s="24">
        <v>0</v>
      </c>
      <c r="AF163" s="24">
        <v>0</v>
      </c>
      <c r="AG163" s="24">
        <v>0</v>
      </c>
      <c r="AH163" s="24">
        <v>0</v>
      </c>
      <c r="AI163" s="24"/>
      <c r="AJ163" s="24">
        <v>0</v>
      </c>
      <c r="AK163" s="65">
        <v>1205</v>
      </c>
      <c r="AL163" s="65">
        <v>12</v>
      </c>
    </row>
    <row r="164" spans="1:38" s="13" customFormat="1">
      <c r="A164" s="65">
        <v>908</v>
      </c>
      <c r="B164" s="59" t="s">
        <v>344</v>
      </c>
      <c r="C164" s="60" t="s">
        <v>561</v>
      </c>
      <c r="D164" s="6">
        <v>455</v>
      </c>
      <c r="E164" s="59" t="s">
        <v>625</v>
      </c>
      <c r="F164" s="59" t="s">
        <v>135</v>
      </c>
      <c r="G164" s="24">
        <v>0</v>
      </c>
      <c r="H164" s="23">
        <v>3</v>
      </c>
      <c r="I164" s="23">
        <v>15</v>
      </c>
      <c r="J164" s="24"/>
      <c r="K164" s="24"/>
      <c r="L164" s="24">
        <v>4.2</v>
      </c>
      <c r="M164" s="24">
        <v>30</v>
      </c>
      <c r="N164" s="24">
        <v>5.9</v>
      </c>
      <c r="O164" s="24">
        <v>0</v>
      </c>
      <c r="P164" s="24">
        <v>63.1</v>
      </c>
      <c r="Q164" s="24">
        <f>+P164-N164</f>
        <v>57.2</v>
      </c>
      <c r="R164" s="24">
        <v>479</v>
      </c>
      <c r="S164" s="24"/>
      <c r="T164" s="24">
        <v>32</v>
      </c>
      <c r="U164" s="24">
        <v>3.1</v>
      </c>
      <c r="V164" s="24"/>
      <c r="W164" s="24"/>
      <c r="X164" s="24"/>
      <c r="Y164" s="24"/>
      <c r="Z164" s="24">
        <v>1.6</v>
      </c>
      <c r="AA164" s="24">
        <v>13</v>
      </c>
      <c r="AB164" s="24">
        <v>0</v>
      </c>
      <c r="AC164" s="24">
        <v>0.1</v>
      </c>
      <c r="AD164" s="24">
        <v>0.1</v>
      </c>
      <c r="AE164" s="24">
        <v>0</v>
      </c>
      <c r="AF164" s="24">
        <v>0</v>
      </c>
      <c r="AG164" s="24">
        <v>0</v>
      </c>
      <c r="AH164" s="24">
        <v>0</v>
      </c>
      <c r="AI164" s="24"/>
      <c r="AJ164" s="24">
        <v>0</v>
      </c>
      <c r="AK164" s="65">
        <v>1202</v>
      </c>
      <c r="AL164" s="65">
        <v>12</v>
      </c>
    </row>
    <row r="165" spans="1:38" s="13" customFormat="1">
      <c r="A165" s="65">
        <v>909</v>
      </c>
      <c r="B165" s="59" t="s">
        <v>345</v>
      </c>
      <c r="C165" s="60" t="s">
        <v>607</v>
      </c>
      <c r="D165" s="6">
        <v>19074</v>
      </c>
      <c r="E165" s="59" t="s">
        <v>647</v>
      </c>
      <c r="F165" s="59" t="s">
        <v>135</v>
      </c>
      <c r="G165" s="24">
        <v>0</v>
      </c>
      <c r="H165" s="23">
        <v>3</v>
      </c>
      <c r="I165" s="23">
        <v>15</v>
      </c>
      <c r="J165" s="24">
        <v>8.5</v>
      </c>
      <c r="K165" s="24">
        <v>1.8</v>
      </c>
      <c r="L165" s="24">
        <v>4.5999999999999996</v>
      </c>
      <c r="M165" s="24">
        <v>8.1</v>
      </c>
      <c r="N165" s="24">
        <v>0</v>
      </c>
      <c r="O165" s="24">
        <v>0</v>
      </c>
      <c r="P165" s="24">
        <v>0</v>
      </c>
      <c r="Q165" s="24"/>
      <c r="R165" s="24">
        <v>382</v>
      </c>
      <c r="S165" s="24"/>
      <c r="T165" s="24">
        <v>138</v>
      </c>
      <c r="U165" s="24">
        <v>0.14000000000000001</v>
      </c>
      <c r="V165" s="24"/>
      <c r="W165" s="24"/>
      <c r="X165" s="24"/>
      <c r="Y165" s="24"/>
      <c r="Z165" s="24">
        <v>0.44</v>
      </c>
      <c r="AA165" s="24">
        <v>4</v>
      </c>
      <c r="AB165" s="24">
        <v>0.4</v>
      </c>
      <c r="AC165" s="24">
        <v>0.10299999999999999</v>
      </c>
      <c r="AD165" s="24">
        <v>0.25600000000000001</v>
      </c>
      <c r="AE165" s="24">
        <v>11</v>
      </c>
      <c r="AF165" s="24">
        <v>2</v>
      </c>
      <c r="AG165" s="24">
        <f>+AE165+AF165/12</f>
        <v>11.166666666666666</v>
      </c>
      <c r="AH165" s="24">
        <f>+AE165+AF165/6</f>
        <v>11.333333333333334</v>
      </c>
      <c r="AI165" s="24"/>
      <c r="AJ165" s="24">
        <v>0.3</v>
      </c>
      <c r="AK165" s="65">
        <v>1204</v>
      </c>
      <c r="AL165" s="65">
        <v>12</v>
      </c>
    </row>
    <row r="166" spans="1:38" s="13" customFormat="1">
      <c r="A166" s="65">
        <v>910</v>
      </c>
      <c r="B166" s="59" t="s">
        <v>346</v>
      </c>
      <c r="C166" s="60" t="s">
        <v>607</v>
      </c>
      <c r="D166" s="6">
        <v>19163</v>
      </c>
      <c r="E166" s="59" t="s">
        <v>648</v>
      </c>
      <c r="F166" s="59" t="s">
        <v>95</v>
      </c>
      <c r="G166" s="24">
        <v>0</v>
      </c>
      <c r="H166" s="23">
        <v>3</v>
      </c>
      <c r="I166" s="23">
        <v>15</v>
      </c>
      <c r="J166" s="24">
        <v>2.6</v>
      </c>
      <c r="K166" s="24">
        <v>0.4</v>
      </c>
      <c r="L166" s="24">
        <v>0</v>
      </c>
      <c r="M166" s="24">
        <v>0.3</v>
      </c>
      <c r="N166" s="24">
        <v>2.4</v>
      </c>
      <c r="O166" s="24">
        <v>0</v>
      </c>
      <c r="P166" s="24">
        <v>96.7</v>
      </c>
      <c r="Q166" s="24"/>
      <c r="R166" s="24">
        <v>360</v>
      </c>
      <c r="S166" s="24"/>
      <c r="T166" s="24">
        <v>0</v>
      </c>
      <c r="U166" s="24">
        <v>0</v>
      </c>
      <c r="V166" s="24"/>
      <c r="W166" s="24"/>
      <c r="X166" s="24"/>
      <c r="Y166" s="24"/>
      <c r="Z166" s="24">
        <v>0</v>
      </c>
      <c r="AA166" s="24">
        <v>0</v>
      </c>
      <c r="AB166" s="24">
        <v>0</v>
      </c>
      <c r="AC166" s="24">
        <v>0</v>
      </c>
      <c r="AD166" s="24">
        <v>0</v>
      </c>
      <c r="AE166" s="24">
        <v>0</v>
      </c>
      <c r="AF166" s="24">
        <v>0</v>
      </c>
      <c r="AG166" s="24">
        <v>0</v>
      </c>
      <c r="AH166" s="24">
        <v>0</v>
      </c>
      <c r="AI166" s="24"/>
      <c r="AJ166" s="24">
        <v>0</v>
      </c>
      <c r="AK166" s="65">
        <v>1204</v>
      </c>
      <c r="AL166" s="65">
        <v>12</v>
      </c>
    </row>
    <row r="167" spans="1:38" s="13" customFormat="1">
      <c r="A167" s="65">
        <v>911</v>
      </c>
      <c r="B167" s="59" t="s">
        <v>347</v>
      </c>
      <c r="C167" s="60" t="s">
        <v>680</v>
      </c>
      <c r="D167" s="6"/>
      <c r="E167" s="59"/>
      <c r="F167" s="59" t="s">
        <v>135</v>
      </c>
      <c r="G167" s="24">
        <v>0</v>
      </c>
      <c r="H167" s="23">
        <v>3</v>
      </c>
      <c r="I167" s="23">
        <v>15</v>
      </c>
      <c r="J167" s="24"/>
      <c r="K167" s="24"/>
      <c r="L167" s="24">
        <f>L164</f>
        <v>4.2</v>
      </c>
      <c r="M167" s="24">
        <f>M164</f>
        <v>30</v>
      </c>
      <c r="N167" s="24">
        <f>N164</f>
        <v>5.9</v>
      </c>
      <c r="O167" s="24">
        <f>O164</f>
        <v>0</v>
      </c>
      <c r="P167" s="24">
        <f>P164</f>
        <v>63.1</v>
      </c>
      <c r="Q167" s="24">
        <f>+P167-N167</f>
        <v>57.2</v>
      </c>
      <c r="R167" s="24">
        <f>R164</f>
        <v>479</v>
      </c>
      <c r="S167" s="24"/>
      <c r="T167" s="24">
        <f>T164</f>
        <v>32</v>
      </c>
      <c r="U167" s="24">
        <f>U164</f>
        <v>3.1</v>
      </c>
      <c r="V167" s="24"/>
      <c r="W167" s="24"/>
      <c r="X167" s="24"/>
      <c r="Y167" s="24"/>
      <c r="Z167" s="24">
        <f t="shared" ref="Z167:AF167" si="15">Z164</f>
        <v>1.6</v>
      </c>
      <c r="AA167" s="24">
        <f t="shared" si="15"/>
        <v>13</v>
      </c>
      <c r="AB167" s="24">
        <f t="shared" si="15"/>
        <v>0</v>
      </c>
      <c r="AC167" s="24">
        <f t="shared" si="15"/>
        <v>0.1</v>
      </c>
      <c r="AD167" s="24">
        <f t="shared" si="15"/>
        <v>0.1</v>
      </c>
      <c r="AE167" s="24">
        <f t="shared" si="15"/>
        <v>0</v>
      </c>
      <c r="AF167" s="24">
        <f t="shared" si="15"/>
        <v>0</v>
      </c>
      <c r="AG167" s="24">
        <f>+AE167+AF167/12</f>
        <v>0</v>
      </c>
      <c r="AH167" s="24">
        <f>+AE167+AF167/6</f>
        <v>0</v>
      </c>
      <c r="AI167" s="24"/>
      <c r="AJ167" s="24">
        <f>AJ164</f>
        <v>0</v>
      </c>
      <c r="AK167" s="65">
        <v>1204</v>
      </c>
      <c r="AL167" s="65">
        <v>12</v>
      </c>
    </row>
    <row r="168" spans="1:38" s="13" customFormat="1">
      <c r="A168" s="65">
        <v>1001</v>
      </c>
      <c r="B168" s="59" t="s">
        <v>348</v>
      </c>
      <c r="C168" s="60" t="s">
        <v>566</v>
      </c>
      <c r="D168" s="6">
        <v>13027</v>
      </c>
      <c r="E168" s="59" t="s">
        <v>595</v>
      </c>
      <c r="F168" s="59" t="s">
        <v>95</v>
      </c>
      <c r="G168" s="24">
        <v>0</v>
      </c>
      <c r="H168" s="23">
        <v>10</v>
      </c>
      <c r="I168" s="23">
        <v>16</v>
      </c>
      <c r="J168" s="24">
        <v>0.2</v>
      </c>
      <c r="K168" s="24">
        <v>99.8</v>
      </c>
      <c r="L168" s="24">
        <v>0</v>
      </c>
      <c r="M168" s="24">
        <v>0</v>
      </c>
      <c r="N168" s="24">
        <v>0</v>
      </c>
      <c r="O168" s="24">
        <v>0</v>
      </c>
      <c r="P168" s="24"/>
      <c r="Q168" s="24">
        <v>0</v>
      </c>
      <c r="R168" s="24">
        <v>0</v>
      </c>
      <c r="S168" s="24"/>
      <c r="T168" s="24">
        <v>32</v>
      </c>
      <c r="U168" s="24">
        <v>0.1</v>
      </c>
      <c r="V168" s="24"/>
      <c r="W168" s="24"/>
      <c r="X168" s="24"/>
      <c r="Y168" s="24"/>
      <c r="Z168" s="24">
        <v>0.1</v>
      </c>
      <c r="AA168" s="24">
        <v>0</v>
      </c>
      <c r="AB168" s="24">
        <v>0</v>
      </c>
      <c r="AC168" s="24">
        <v>0</v>
      </c>
      <c r="AD168" s="24">
        <v>0</v>
      </c>
      <c r="AE168" s="24">
        <v>0</v>
      </c>
      <c r="AF168" s="24">
        <v>0</v>
      </c>
      <c r="AG168" s="24">
        <v>0</v>
      </c>
      <c r="AH168" s="24">
        <v>0</v>
      </c>
      <c r="AI168" s="24"/>
      <c r="AJ168" s="24">
        <v>0</v>
      </c>
      <c r="AK168" s="65">
        <v>1302</v>
      </c>
      <c r="AL168" s="65">
        <v>13</v>
      </c>
    </row>
    <row r="169" spans="1:38" s="13" customFormat="1">
      <c r="A169" s="65">
        <v>1002</v>
      </c>
      <c r="B169" s="59" t="s">
        <v>349</v>
      </c>
      <c r="C169" s="60" t="s">
        <v>566</v>
      </c>
      <c r="D169" s="6">
        <v>13003</v>
      </c>
      <c r="E169" s="59" t="s">
        <v>596</v>
      </c>
      <c r="F169" s="59" t="s">
        <v>95</v>
      </c>
      <c r="G169" s="24">
        <v>0</v>
      </c>
      <c r="H169" s="23">
        <v>10</v>
      </c>
      <c r="I169" s="23">
        <v>16</v>
      </c>
      <c r="J169" s="24">
        <v>0.3</v>
      </c>
      <c r="K169" s="24">
        <v>36.9</v>
      </c>
      <c r="L169" s="24">
        <v>0</v>
      </c>
      <c r="M169" s="24">
        <v>0</v>
      </c>
      <c r="N169" s="24">
        <v>0</v>
      </c>
      <c r="O169" s="24">
        <v>0</v>
      </c>
      <c r="P169" s="24"/>
      <c r="Q169" s="24">
        <v>0</v>
      </c>
      <c r="R169" s="24">
        <v>0</v>
      </c>
      <c r="S169" s="24"/>
      <c r="T169" s="24">
        <v>0</v>
      </c>
      <c r="U169" s="24" t="s">
        <v>627</v>
      </c>
      <c r="V169" s="24"/>
      <c r="W169" s="24"/>
      <c r="X169" s="24"/>
      <c r="Y169" s="24"/>
      <c r="Z169" s="24">
        <v>0</v>
      </c>
      <c r="AA169" s="24">
        <v>0</v>
      </c>
      <c r="AB169" s="24">
        <v>0</v>
      </c>
      <c r="AC169" s="24">
        <v>0</v>
      </c>
      <c r="AD169" s="24">
        <v>0</v>
      </c>
      <c r="AE169" s="24">
        <v>0</v>
      </c>
      <c r="AF169" s="24">
        <v>0</v>
      </c>
      <c r="AG169" s="24">
        <v>0</v>
      </c>
      <c r="AH169" s="24">
        <v>0</v>
      </c>
      <c r="AI169" s="24"/>
      <c r="AJ169" s="24">
        <v>0</v>
      </c>
      <c r="AK169" s="65">
        <v>1704</v>
      </c>
      <c r="AL169" s="65">
        <v>17</v>
      </c>
    </row>
    <row r="170" spans="1:38" s="13" customFormat="1">
      <c r="A170" s="65">
        <v>1003</v>
      </c>
      <c r="B170" s="59" t="s">
        <v>350</v>
      </c>
      <c r="C170" s="60" t="s">
        <v>566</v>
      </c>
      <c r="D170" s="6">
        <v>13031</v>
      </c>
      <c r="E170" s="59" t="s">
        <v>549</v>
      </c>
      <c r="F170" s="59" t="s">
        <v>135</v>
      </c>
      <c r="G170" s="24">
        <v>0</v>
      </c>
      <c r="H170" s="23">
        <v>7</v>
      </c>
      <c r="I170" s="23">
        <v>5</v>
      </c>
      <c r="J170" s="24">
        <v>67.5</v>
      </c>
      <c r="K170" s="24">
        <v>3.4</v>
      </c>
      <c r="L170" s="24">
        <v>1.6</v>
      </c>
      <c r="M170" s="24">
        <v>0.2</v>
      </c>
      <c r="N170" s="24">
        <v>1.5</v>
      </c>
      <c r="O170" s="24">
        <v>0</v>
      </c>
      <c r="P170" s="24"/>
      <c r="Q170" s="24">
        <v>26.1</v>
      </c>
      <c r="R170" s="24">
        <v>115</v>
      </c>
      <c r="S170" s="24"/>
      <c r="T170" s="24">
        <v>13</v>
      </c>
      <c r="U170" s="24">
        <v>0.7</v>
      </c>
      <c r="V170" s="24"/>
      <c r="W170" s="24"/>
      <c r="X170" s="24"/>
      <c r="Y170" s="24"/>
      <c r="Z170" s="24">
        <v>0.18</v>
      </c>
      <c r="AA170" s="24">
        <v>16</v>
      </c>
      <c r="AB170" s="24">
        <v>0</v>
      </c>
      <c r="AC170" s="24">
        <v>0</v>
      </c>
      <c r="AD170" s="24">
        <v>0.1</v>
      </c>
      <c r="AE170" s="24">
        <v>0</v>
      </c>
      <c r="AF170" s="24">
        <v>260</v>
      </c>
      <c r="AG170" s="24">
        <v>22</v>
      </c>
      <c r="AH170" s="24">
        <v>43</v>
      </c>
      <c r="AI170" s="24"/>
      <c r="AJ170" s="24">
        <v>0</v>
      </c>
      <c r="AK170" s="65">
        <v>1302</v>
      </c>
      <c r="AL170" s="65">
        <v>13</v>
      </c>
    </row>
    <row r="171" spans="1:38" s="13" customFormat="1">
      <c r="A171" s="65">
        <v>1004</v>
      </c>
      <c r="B171" s="59" t="s">
        <v>351</v>
      </c>
      <c r="C171" s="60" t="s">
        <v>561</v>
      </c>
      <c r="D171" s="6">
        <v>481</v>
      </c>
      <c r="E171" s="59" t="s">
        <v>626</v>
      </c>
      <c r="F171" s="59" t="s">
        <v>95</v>
      </c>
      <c r="G171" s="24">
        <v>0</v>
      </c>
      <c r="H171" s="23">
        <v>10</v>
      </c>
      <c r="I171" s="23">
        <v>16</v>
      </c>
      <c r="J171" s="24"/>
      <c r="K171" s="24"/>
      <c r="L171" s="24">
        <v>0.5</v>
      </c>
      <c r="M171" s="24">
        <v>0.1</v>
      </c>
      <c r="N171" s="24">
        <v>0.6</v>
      </c>
      <c r="O171" s="24">
        <v>0</v>
      </c>
      <c r="P171" s="24">
        <v>38.299999999999997</v>
      </c>
      <c r="Q171" s="24"/>
      <c r="R171" s="24">
        <v>169.9</v>
      </c>
      <c r="S171" s="24"/>
      <c r="T171" s="24">
        <v>6.9</v>
      </c>
      <c r="U171" s="24">
        <v>0.4</v>
      </c>
      <c r="V171" s="24"/>
      <c r="W171" s="24"/>
      <c r="X171" s="24"/>
      <c r="Y171" s="24"/>
      <c r="Z171" s="24">
        <v>0.1</v>
      </c>
      <c r="AA171" s="24">
        <v>18</v>
      </c>
      <c r="AB171" s="24">
        <v>0</v>
      </c>
      <c r="AC171" s="24">
        <v>0.1</v>
      </c>
      <c r="AD171" s="24">
        <v>0.2</v>
      </c>
      <c r="AE171" s="24">
        <v>0</v>
      </c>
      <c r="AF171" s="24">
        <v>0</v>
      </c>
      <c r="AG171" s="24">
        <v>0</v>
      </c>
      <c r="AH171" s="24">
        <v>0</v>
      </c>
      <c r="AI171" s="24"/>
      <c r="AJ171" s="24">
        <v>0</v>
      </c>
      <c r="AK171" s="65">
        <v>1302</v>
      </c>
      <c r="AL171" s="65">
        <v>13</v>
      </c>
    </row>
    <row r="172" spans="1:38" s="13" customFormat="1">
      <c r="A172" s="65">
        <v>1005</v>
      </c>
      <c r="B172" s="59" t="s">
        <v>352</v>
      </c>
      <c r="C172" s="60" t="s">
        <v>607</v>
      </c>
      <c r="D172" s="6">
        <v>2034</v>
      </c>
      <c r="E172" s="59" t="s">
        <v>649</v>
      </c>
      <c r="F172" s="59" t="s">
        <v>135</v>
      </c>
      <c r="G172" s="24">
        <v>0</v>
      </c>
      <c r="H172" s="23">
        <v>10</v>
      </c>
      <c r="I172" s="23">
        <v>16</v>
      </c>
      <c r="J172" s="24">
        <v>9.31</v>
      </c>
      <c r="K172" s="24">
        <v>5.92</v>
      </c>
      <c r="L172" s="24">
        <v>9.59</v>
      </c>
      <c r="M172" s="24">
        <v>7.53</v>
      </c>
      <c r="N172" s="24">
        <v>11.3</v>
      </c>
      <c r="O172" s="24">
        <v>0</v>
      </c>
      <c r="P172" s="24">
        <v>65.59</v>
      </c>
      <c r="Q172" s="24"/>
      <c r="R172" s="24">
        <v>307</v>
      </c>
      <c r="S172" s="24"/>
      <c r="T172" s="24">
        <v>996</v>
      </c>
      <c r="U172" s="24">
        <v>35.299999999999997</v>
      </c>
      <c r="V172" s="24"/>
      <c r="W172" s="24"/>
      <c r="X172" s="24"/>
      <c r="Y172" s="24"/>
      <c r="Z172" s="24">
        <v>3.14</v>
      </c>
      <c r="AA172" s="24">
        <v>138</v>
      </c>
      <c r="AB172" s="24">
        <v>12</v>
      </c>
      <c r="AC172" s="24">
        <v>0.26400000000000001</v>
      </c>
      <c r="AD172" s="24">
        <v>0.191</v>
      </c>
      <c r="AE172" s="24">
        <v>0</v>
      </c>
      <c r="AF172" s="24">
        <v>1568</v>
      </c>
      <c r="AG172" s="24">
        <f>+AE172+AF172/12</f>
        <v>130.66666666666666</v>
      </c>
      <c r="AH172" s="24">
        <f>+AE172+AF172/6</f>
        <v>261.33333333333331</v>
      </c>
      <c r="AI172" s="24"/>
      <c r="AJ172" s="24">
        <v>0</v>
      </c>
      <c r="AK172" s="65">
        <v>1302</v>
      </c>
      <c r="AL172" s="65">
        <v>13</v>
      </c>
    </row>
    <row r="173" spans="1:38" s="13" customFormat="1">
      <c r="A173" s="65">
        <v>1006</v>
      </c>
      <c r="B173" s="59" t="s">
        <v>353</v>
      </c>
      <c r="C173" s="60" t="s">
        <v>566</v>
      </c>
      <c r="D173" s="6">
        <v>13018</v>
      </c>
      <c r="E173" s="59" t="s">
        <v>597</v>
      </c>
      <c r="F173" s="59" t="s">
        <v>135</v>
      </c>
      <c r="G173" s="24">
        <v>0</v>
      </c>
      <c r="H173" s="23">
        <v>10</v>
      </c>
      <c r="I173" s="23">
        <v>16</v>
      </c>
      <c r="J173" s="24">
        <v>10.1</v>
      </c>
      <c r="K173" s="24">
        <v>5.6</v>
      </c>
      <c r="L173" s="24">
        <v>15.6</v>
      </c>
      <c r="M173" s="24">
        <v>15.1</v>
      </c>
      <c r="N173" s="24">
        <v>22.6</v>
      </c>
      <c r="O173" s="24">
        <v>0</v>
      </c>
      <c r="P173" s="24"/>
      <c r="Q173" s="24">
        <v>31</v>
      </c>
      <c r="R173" s="24">
        <v>368</v>
      </c>
      <c r="S173" s="24"/>
      <c r="T173" s="24">
        <v>760</v>
      </c>
      <c r="U173" s="24">
        <v>32.6</v>
      </c>
      <c r="V173" s="24"/>
      <c r="W173" s="24"/>
      <c r="X173" s="24"/>
      <c r="Y173" s="24"/>
      <c r="Z173" s="24">
        <v>3.8</v>
      </c>
      <c r="AA173" s="24">
        <v>0</v>
      </c>
      <c r="AB173" s="24">
        <v>0</v>
      </c>
      <c r="AC173" s="24">
        <v>0.35</v>
      </c>
      <c r="AD173" s="24">
        <v>0.33</v>
      </c>
      <c r="AE173" s="24">
        <v>0</v>
      </c>
      <c r="AF173" s="24">
        <v>340</v>
      </c>
      <c r="AG173" s="24">
        <v>28</v>
      </c>
      <c r="AH173" s="24">
        <v>57</v>
      </c>
      <c r="AI173" s="24"/>
      <c r="AJ173" s="24">
        <v>0</v>
      </c>
      <c r="AK173" s="65">
        <v>1302</v>
      </c>
      <c r="AL173" s="65">
        <v>13</v>
      </c>
    </row>
    <row r="174" spans="1:38" s="13" customFormat="1">
      <c r="A174" s="65">
        <v>1007</v>
      </c>
      <c r="B174" s="59" t="s">
        <v>354</v>
      </c>
      <c r="C174" s="60" t="s">
        <v>566</v>
      </c>
      <c r="D174" s="6">
        <v>13021</v>
      </c>
      <c r="E174" s="59" t="s">
        <v>550</v>
      </c>
      <c r="F174" s="59" t="s">
        <v>95</v>
      </c>
      <c r="G174" s="24">
        <v>6.0000000000000053</v>
      </c>
      <c r="H174" s="23">
        <v>10</v>
      </c>
      <c r="I174" s="23">
        <v>16</v>
      </c>
      <c r="J174" s="24">
        <v>73.599999999999994</v>
      </c>
      <c r="K174" s="24">
        <v>1.7</v>
      </c>
      <c r="L174" s="24">
        <v>2.6</v>
      </c>
      <c r="M174" s="24">
        <v>1.1000000000000001</v>
      </c>
      <c r="N174" s="24">
        <v>7.7</v>
      </c>
      <c r="O174" s="24">
        <v>0</v>
      </c>
      <c r="P174" s="24"/>
      <c r="Q174" s="24">
        <v>13.4</v>
      </c>
      <c r="R174" s="24">
        <v>89</v>
      </c>
      <c r="S174" s="24"/>
      <c r="T174" s="24">
        <v>46.8</v>
      </c>
      <c r="U174" s="24">
        <v>1.9</v>
      </c>
      <c r="V174" s="24"/>
      <c r="W174" s="24"/>
      <c r="X174" s="24"/>
      <c r="Y174" s="24"/>
      <c r="Z174" s="24">
        <v>1</v>
      </c>
      <c r="AA174" s="24">
        <v>30</v>
      </c>
      <c r="AB174" s="24">
        <v>8</v>
      </c>
      <c r="AC174" s="24">
        <v>0.03</v>
      </c>
      <c r="AD174" s="24">
        <v>0.06</v>
      </c>
      <c r="AE174" s="24">
        <v>0</v>
      </c>
      <c r="AF174" s="24">
        <v>35</v>
      </c>
      <c r="AG174" s="24">
        <v>3</v>
      </c>
      <c r="AH174" s="24">
        <v>6</v>
      </c>
      <c r="AI174" s="24"/>
      <c r="AJ174" s="24">
        <v>0</v>
      </c>
      <c r="AK174" s="65">
        <v>1301</v>
      </c>
      <c r="AL174" s="65">
        <v>13</v>
      </c>
    </row>
    <row r="175" spans="1:38" s="13" customFormat="1">
      <c r="A175" s="65">
        <v>1008</v>
      </c>
      <c r="B175" s="59" t="s">
        <v>355</v>
      </c>
      <c r="C175" s="60" t="s">
        <v>611</v>
      </c>
      <c r="D175" s="6" t="s">
        <v>650</v>
      </c>
      <c r="E175" s="59" t="s">
        <v>651</v>
      </c>
      <c r="F175" s="59" t="s">
        <v>135</v>
      </c>
      <c r="G175" s="24">
        <v>0</v>
      </c>
      <c r="H175" s="23">
        <v>19</v>
      </c>
      <c r="I175" s="23">
        <v>16</v>
      </c>
      <c r="J175" s="24">
        <v>82.7</v>
      </c>
      <c r="K175" s="24">
        <v>3.6</v>
      </c>
      <c r="L175" s="24">
        <v>4.4000000000000004</v>
      </c>
      <c r="M175" s="24">
        <v>4</v>
      </c>
      <c r="N175" s="24">
        <v>3.3</v>
      </c>
      <c r="O175" s="24">
        <v>0</v>
      </c>
      <c r="P175" s="24"/>
      <c r="Q175" s="24">
        <v>2</v>
      </c>
      <c r="R175" s="24">
        <v>86</v>
      </c>
      <c r="S175" s="24"/>
      <c r="T175" s="24">
        <v>58</v>
      </c>
      <c r="U175" s="24">
        <v>1.5</v>
      </c>
      <c r="V175" s="24"/>
      <c r="W175" s="24"/>
      <c r="X175" s="24"/>
      <c r="Y175" s="24"/>
      <c r="Z175" s="24">
        <v>0.64</v>
      </c>
      <c r="AA175" s="24">
        <v>7</v>
      </c>
      <c r="AB175" s="24">
        <v>1.5</v>
      </c>
      <c r="AC175" s="24">
        <v>0.34</v>
      </c>
      <c r="AD175" s="24">
        <v>0.03</v>
      </c>
      <c r="AE175" s="24">
        <v>0</v>
      </c>
      <c r="AF175" s="24">
        <v>65</v>
      </c>
      <c r="AG175" s="24">
        <f>+AE175+AF175/12</f>
        <v>5.416666666666667</v>
      </c>
      <c r="AH175" s="24">
        <f>+AE175+AF175/6</f>
        <v>10.833333333333334</v>
      </c>
      <c r="AI175" s="24"/>
      <c r="AJ175" s="24">
        <v>0</v>
      </c>
      <c r="AK175" s="65">
        <v>1302</v>
      </c>
      <c r="AL175" s="65">
        <v>13</v>
      </c>
    </row>
    <row r="176" spans="1:38" s="13" customFormat="1">
      <c r="A176" s="65">
        <v>1009</v>
      </c>
      <c r="B176" s="59" t="s">
        <v>356</v>
      </c>
      <c r="C176" s="60" t="s">
        <v>553</v>
      </c>
      <c r="D176" s="6"/>
      <c r="E176" s="59"/>
      <c r="F176" s="59" t="s">
        <v>721</v>
      </c>
      <c r="G176" s="24">
        <v>0</v>
      </c>
      <c r="H176" s="23">
        <v>19</v>
      </c>
      <c r="I176" s="23">
        <v>16</v>
      </c>
      <c r="J176" s="24">
        <v>90.490000000000009</v>
      </c>
      <c r="K176" s="24">
        <v>2.4299999999999997</v>
      </c>
      <c r="L176" s="24">
        <v>0.61499999999999999</v>
      </c>
      <c r="M176" s="24">
        <v>0.44999999999999996</v>
      </c>
      <c r="N176" s="24">
        <v>1.85</v>
      </c>
      <c r="O176" s="24">
        <v>0</v>
      </c>
      <c r="P176" s="24">
        <v>6.0149999999999997</v>
      </c>
      <c r="Q176" s="24">
        <v>4.1649999999999903</v>
      </c>
      <c r="R176" s="24">
        <v>30</v>
      </c>
      <c r="S176" s="24"/>
      <c r="T176" s="24">
        <v>12.5</v>
      </c>
      <c r="U176" s="24">
        <v>0.58499999999999996</v>
      </c>
      <c r="V176" s="24"/>
      <c r="W176" s="24"/>
      <c r="X176" s="24"/>
      <c r="Y176" s="24"/>
      <c r="Z176" s="24">
        <v>0.125</v>
      </c>
      <c r="AA176" s="24">
        <v>10.5</v>
      </c>
      <c r="AB176" s="24">
        <v>0.5</v>
      </c>
      <c r="AC176" s="24">
        <v>2.5000000000000001E-2</v>
      </c>
      <c r="AD176" s="24">
        <v>0.04</v>
      </c>
      <c r="AE176" s="24">
        <v>0</v>
      </c>
      <c r="AF176" s="24">
        <v>72.25</v>
      </c>
      <c r="AG176" s="24">
        <v>6.020833333333333</v>
      </c>
      <c r="AH176" s="24">
        <v>12.041666666666666</v>
      </c>
      <c r="AI176" s="24"/>
      <c r="AJ176" s="24">
        <v>0</v>
      </c>
      <c r="AK176" s="65">
        <v>905</v>
      </c>
      <c r="AL176" s="65">
        <v>9</v>
      </c>
    </row>
    <row r="177" spans="1:38" s="13" customFormat="1">
      <c r="A177" s="65">
        <v>1010</v>
      </c>
      <c r="B177" s="59" t="s">
        <v>357</v>
      </c>
      <c r="C177" s="60" t="s">
        <v>561</v>
      </c>
      <c r="D177" s="6">
        <v>480</v>
      </c>
      <c r="E177" s="59" t="s">
        <v>624</v>
      </c>
      <c r="F177" s="59" t="s">
        <v>135</v>
      </c>
      <c r="G177" s="24">
        <v>0</v>
      </c>
      <c r="H177" s="23">
        <v>10</v>
      </c>
      <c r="I177" s="23">
        <v>16</v>
      </c>
      <c r="J177" s="24"/>
      <c r="K177" s="24"/>
      <c r="L177" s="24">
        <v>0</v>
      </c>
      <c r="M177" s="24">
        <v>0</v>
      </c>
      <c r="N177" s="24">
        <v>0</v>
      </c>
      <c r="O177" s="24">
        <f>+(19-P177*4)/7</f>
        <v>2.5428571428571431</v>
      </c>
      <c r="P177" s="24">
        <v>0.3</v>
      </c>
      <c r="Q177" s="24"/>
      <c r="R177" s="24">
        <v>19</v>
      </c>
      <c r="S177" s="24"/>
      <c r="T177" s="24">
        <v>8</v>
      </c>
      <c r="U177" s="24">
        <v>0.4</v>
      </c>
      <c r="V177" s="24"/>
      <c r="W177" s="24"/>
      <c r="X177" s="24"/>
      <c r="Y177" s="24"/>
      <c r="Z177" s="24">
        <v>0.1</v>
      </c>
      <c r="AA177" s="24">
        <v>1</v>
      </c>
      <c r="AB177" s="24">
        <v>0.5</v>
      </c>
      <c r="AC177" s="24">
        <v>0</v>
      </c>
      <c r="AD177" s="24">
        <v>0</v>
      </c>
      <c r="AE177" s="24">
        <v>0</v>
      </c>
      <c r="AF177" s="24">
        <v>0</v>
      </c>
      <c r="AG177" s="24">
        <v>0</v>
      </c>
      <c r="AH177" s="24">
        <v>0</v>
      </c>
      <c r="AI177" s="24"/>
      <c r="AJ177" s="24">
        <v>0</v>
      </c>
      <c r="AK177" s="65">
        <v>1302</v>
      </c>
      <c r="AL177" s="65">
        <v>13</v>
      </c>
    </row>
    <row r="178" spans="1:38" s="13" customFormat="1">
      <c r="A178" s="65">
        <v>1011</v>
      </c>
      <c r="B178" s="59" t="s">
        <v>358</v>
      </c>
      <c r="C178" s="60" t="s">
        <v>654</v>
      </c>
      <c r="D178" s="6">
        <v>354</v>
      </c>
      <c r="E178" s="59" t="s">
        <v>655</v>
      </c>
      <c r="F178" s="59" t="s">
        <v>135</v>
      </c>
      <c r="G178" s="24">
        <v>0</v>
      </c>
      <c r="H178" s="23">
        <v>19</v>
      </c>
      <c r="I178" s="23">
        <v>14</v>
      </c>
      <c r="J178" s="24"/>
      <c r="K178" s="24"/>
      <c r="L178" s="24">
        <v>6.6</v>
      </c>
      <c r="M178" s="24">
        <v>37.5</v>
      </c>
      <c r="N178" s="24">
        <v>4.4000000000000004</v>
      </c>
      <c r="O178" s="24">
        <v>0</v>
      </c>
      <c r="P178" s="24">
        <v>49.7</v>
      </c>
      <c r="Q178" s="24"/>
      <c r="R178" s="24">
        <v>547</v>
      </c>
      <c r="S178" s="24"/>
      <c r="T178" s="24">
        <v>19</v>
      </c>
      <c r="U178" s="24">
        <v>0.8</v>
      </c>
      <c r="V178" s="24"/>
      <c r="W178" s="24"/>
      <c r="X178" s="24"/>
      <c r="Y178" s="24"/>
      <c r="Z178" s="24">
        <v>0.4</v>
      </c>
      <c r="AA178" s="24">
        <v>9</v>
      </c>
      <c r="AB178" s="24">
        <v>13</v>
      </c>
      <c r="AC178" s="24">
        <v>0.1</v>
      </c>
      <c r="AD178" s="24">
        <v>0</v>
      </c>
      <c r="AE178" s="24">
        <v>0</v>
      </c>
      <c r="AF178" s="24">
        <v>0</v>
      </c>
      <c r="AG178" s="24">
        <v>0</v>
      </c>
      <c r="AH178" s="24">
        <v>0</v>
      </c>
      <c r="AI178" s="24"/>
      <c r="AJ178" s="24">
        <v>0</v>
      </c>
      <c r="AK178" s="65">
        <v>1901</v>
      </c>
      <c r="AL178" s="65">
        <v>19</v>
      </c>
    </row>
    <row r="179" spans="1:38" s="13" customFormat="1">
      <c r="A179" s="65">
        <v>1012</v>
      </c>
      <c r="B179" s="59" t="s">
        <v>359</v>
      </c>
      <c r="C179" s="60" t="s">
        <v>607</v>
      </c>
      <c r="D179" s="6">
        <v>18371</v>
      </c>
      <c r="E179" s="59" t="s">
        <v>697</v>
      </c>
      <c r="F179" s="59" t="s">
        <v>95</v>
      </c>
      <c r="G179" s="24">
        <v>0</v>
      </c>
      <c r="H179" s="23">
        <v>19</v>
      </c>
      <c r="I179" s="23">
        <v>16</v>
      </c>
      <c r="J179" s="24">
        <v>6.2</v>
      </c>
      <c r="K179" s="24">
        <v>46.4</v>
      </c>
      <c r="L179" s="24">
        <v>0.1</v>
      </c>
      <c r="M179" s="24">
        <v>0.4</v>
      </c>
      <c r="N179" s="24">
        <v>2.2000000000000002</v>
      </c>
      <c r="O179" s="24">
        <v>0</v>
      </c>
      <c r="P179" s="24">
        <v>46.9</v>
      </c>
      <c r="Q179" s="24"/>
      <c r="R179" s="24">
        <v>97</v>
      </c>
      <c r="S179" s="24"/>
      <c r="T179" s="24">
        <v>4332</v>
      </c>
      <c r="U179" s="24">
        <v>8.17</v>
      </c>
      <c r="V179" s="24"/>
      <c r="W179" s="24"/>
      <c r="X179" s="24"/>
      <c r="Y179" s="24"/>
      <c r="Z179" s="24">
        <v>0.72</v>
      </c>
      <c r="AA179" s="24">
        <v>0</v>
      </c>
      <c r="AB179" s="24">
        <v>0</v>
      </c>
      <c r="AC179" s="24">
        <v>0</v>
      </c>
      <c r="AD179" s="24">
        <v>0</v>
      </c>
      <c r="AE179" s="24">
        <v>0</v>
      </c>
      <c r="AF179" s="24">
        <v>0</v>
      </c>
      <c r="AG179" s="24">
        <v>0</v>
      </c>
      <c r="AH179" s="24">
        <v>0</v>
      </c>
      <c r="AI179" s="24"/>
      <c r="AJ179" s="24">
        <v>0</v>
      </c>
      <c r="AK179" s="65">
        <v>1704</v>
      </c>
      <c r="AL179" s="65">
        <v>17</v>
      </c>
    </row>
    <row r="180" spans="1:38" s="13" customFormat="1">
      <c r="A180" s="65">
        <v>1013</v>
      </c>
      <c r="B180" s="59" t="s">
        <v>360</v>
      </c>
      <c r="C180" s="60" t="s">
        <v>566</v>
      </c>
      <c r="D180" s="6">
        <v>13035</v>
      </c>
      <c r="E180" s="59" t="s">
        <v>598</v>
      </c>
      <c r="F180" s="59" t="s">
        <v>95</v>
      </c>
      <c r="G180" s="24">
        <v>0</v>
      </c>
      <c r="H180" s="23">
        <v>19</v>
      </c>
      <c r="I180" s="23">
        <v>16</v>
      </c>
      <c r="J180" s="24">
        <v>7.9</v>
      </c>
      <c r="K180" s="24">
        <v>6.6</v>
      </c>
      <c r="L180" s="24">
        <v>35.700000000000003</v>
      </c>
      <c r="M180" s="24">
        <v>4.9000000000000004</v>
      </c>
      <c r="N180" s="24">
        <v>19.3</v>
      </c>
      <c r="O180" s="24">
        <v>0</v>
      </c>
      <c r="P180" s="24"/>
      <c r="Q180" s="24">
        <v>30.5</v>
      </c>
      <c r="R180" s="24">
        <v>347</v>
      </c>
      <c r="S180" s="24"/>
      <c r="T180" s="24">
        <v>120</v>
      </c>
      <c r="U180" s="24">
        <v>3.4</v>
      </c>
      <c r="V180" s="24"/>
      <c r="W180" s="24"/>
      <c r="X180" s="24"/>
      <c r="Y180" s="24"/>
      <c r="Z180" s="24">
        <v>8</v>
      </c>
      <c r="AA180" s="24">
        <v>4000</v>
      </c>
      <c r="AB180" s="24">
        <v>0</v>
      </c>
      <c r="AC180" s="24">
        <v>2.8</v>
      </c>
      <c r="AD180" s="24">
        <v>4</v>
      </c>
      <c r="AE180" s="24">
        <v>0</v>
      </c>
      <c r="AF180" s="24">
        <v>0</v>
      </c>
      <c r="AG180" s="24">
        <v>0</v>
      </c>
      <c r="AH180" s="24">
        <v>0</v>
      </c>
      <c r="AI180" s="24"/>
      <c r="AJ180" s="24">
        <v>0</v>
      </c>
      <c r="AK180" s="65">
        <v>1704</v>
      </c>
      <c r="AL180" s="65">
        <v>17</v>
      </c>
    </row>
    <row r="181" spans="1:38" s="13" customFormat="1">
      <c r="A181" s="65">
        <v>1014</v>
      </c>
      <c r="B181" s="59" t="s">
        <v>361</v>
      </c>
      <c r="C181" s="60" t="s">
        <v>566</v>
      </c>
      <c r="D181" s="6">
        <v>13028</v>
      </c>
      <c r="E181" s="59" t="s">
        <v>551</v>
      </c>
      <c r="F181" s="59" t="s">
        <v>135</v>
      </c>
      <c r="G181" s="24">
        <v>0</v>
      </c>
      <c r="H181" s="23">
        <v>10</v>
      </c>
      <c r="I181" s="23">
        <v>16</v>
      </c>
      <c r="J181" s="24">
        <v>8.5</v>
      </c>
      <c r="K181" s="24">
        <v>3.8</v>
      </c>
      <c r="L181" s="24">
        <v>9.4</v>
      </c>
      <c r="M181" s="24">
        <v>16.3</v>
      </c>
      <c r="N181" s="24">
        <v>35.799999999999997</v>
      </c>
      <c r="O181" s="24">
        <v>0</v>
      </c>
      <c r="P181" s="24"/>
      <c r="Q181" s="24">
        <v>26.3</v>
      </c>
      <c r="R181" s="24">
        <v>360</v>
      </c>
      <c r="S181" s="24"/>
      <c r="T181" s="24">
        <v>727</v>
      </c>
      <c r="U181" s="24">
        <v>35.5</v>
      </c>
      <c r="V181" s="24"/>
      <c r="W181" s="24"/>
      <c r="X181" s="24"/>
      <c r="Y181" s="24"/>
      <c r="Z181" s="24">
        <v>3.65</v>
      </c>
      <c r="AA181" s="24">
        <v>52</v>
      </c>
      <c r="AB181" s="24">
        <v>30</v>
      </c>
      <c r="AC181" s="24">
        <v>0.25</v>
      </c>
      <c r="AD181" s="24">
        <v>0.45</v>
      </c>
      <c r="AE181" s="24">
        <v>0</v>
      </c>
      <c r="AF181" s="24">
        <v>656</v>
      </c>
      <c r="AG181" s="24">
        <v>55</v>
      </c>
      <c r="AH181" s="24">
        <v>109</v>
      </c>
      <c r="AI181" s="24"/>
      <c r="AJ181" s="24">
        <v>0</v>
      </c>
      <c r="AK181" s="65">
        <v>1302</v>
      </c>
      <c r="AL181" s="65">
        <v>13</v>
      </c>
    </row>
    <row r="182" spans="1:38" s="13" customFormat="1">
      <c r="A182" s="65">
        <v>1101</v>
      </c>
      <c r="B182" s="59" t="s">
        <v>362</v>
      </c>
      <c r="C182" s="60" t="s">
        <v>611</v>
      </c>
      <c r="D182" s="6" t="s">
        <v>725</v>
      </c>
      <c r="E182" s="59" t="s">
        <v>722</v>
      </c>
      <c r="F182" s="59" t="s">
        <v>135</v>
      </c>
      <c r="G182" s="24">
        <v>90</v>
      </c>
      <c r="H182" s="23">
        <v>9</v>
      </c>
      <c r="I182" s="23">
        <v>16</v>
      </c>
      <c r="J182" s="24">
        <v>99.2</v>
      </c>
      <c r="K182" s="24">
        <v>0.2</v>
      </c>
      <c r="L182" s="24">
        <v>0.1</v>
      </c>
      <c r="M182" s="24">
        <v>0</v>
      </c>
      <c r="N182" s="24">
        <v>0</v>
      </c>
      <c r="O182" s="24">
        <v>0</v>
      </c>
      <c r="P182" s="24"/>
      <c r="Q182" s="24">
        <v>0.5</v>
      </c>
      <c r="R182" s="24">
        <v>2</v>
      </c>
      <c r="S182" s="24"/>
      <c r="T182" s="24">
        <v>4</v>
      </c>
      <c r="U182" s="24">
        <v>0</v>
      </c>
      <c r="V182" s="24"/>
      <c r="W182" s="24"/>
      <c r="X182" s="24"/>
      <c r="Y182" s="24"/>
      <c r="Z182" s="24">
        <v>0.01</v>
      </c>
      <c r="AA182" s="24">
        <v>0</v>
      </c>
      <c r="AB182" s="24">
        <v>0</v>
      </c>
      <c r="AC182" s="24">
        <v>0</v>
      </c>
      <c r="AD182" s="24">
        <v>0</v>
      </c>
      <c r="AE182" s="24">
        <v>0</v>
      </c>
      <c r="AF182" s="24">
        <v>0</v>
      </c>
      <c r="AG182" s="24">
        <v>0</v>
      </c>
      <c r="AH182" s="24">
        <v>0</v>
      </c>
      <c r="AI182" s="24"/>
      <c r="AJ182" s="24">
        <v>0</v>
      </c>
      <c r="AK182" s="65">
        <v>1403</v>
      </c>
      <c r="AL182" s="65">
        <v>14</v>
      </c>
    </row>
    <row r="183" spans="1:38" s="13" customFormat="1">
      <c r="A183" s="65">
        <v>1102</v>
      </c>
      <c r="B183" s="59" t="s">
        <v>363</v>
      </c>
      <c r="C183" s="60" t="s">
        <v>611</v>
      </c>
      <c r="D183" s="6" t="s">
        <v>724</v>
      </c>
      <c r="E183" s="59" t="s">
        <v>723</v>
      </c>
      <c r="F183" s="59" t="s">
        <v>135</v>
      </c>
      <c r="G183" s="24">
        <v>57</v>
      </c>
      <c r="H183" s="23">
        <v>9</v>
      </c>
      <c r="I183" s="23">
        <v>16</v>
      </c>
      <c r="J183" s="24">
        <v>99.8</v>
      </c>
      <c r="K183" s="24">
        <v>0</v>
      </c>
      <c r="L183" s="24">
        <v>0.1</v>
      </c>
      <c r="M183" s="24">
        <v>0</v>
      </c>
      <c r="N183" s="24">
        <v>0</v>
      </c>
      <c r="O183" s="24">
        <v>0</v>
      </c>
      <c r="P183" s="24"/>
      <c r="Q183" s="24">
        <v>0</v>
      </c>
      <c r="R183" s="24">
        <v>0</v>
      </c>
      <c r="S183" s="24"/>
      <c r="T183" s="24">
        <v>2</v>
      </c>
      <c r="U183" s="24">
        <v>0.1</v>
      </c>
      <c r="V183" s="24"/>
      <c r="W183" s="24"/>
      <c r="X183" s="24"/>
      <c r="Y183" s="24"/>
      <c r="Z183" s="24">
        <v>0.03</v>
      </c>
      <c r="AA183" s="24">
        <v>5</v>
      </c>
      <c r="AB183" s="24">
        <v>0</v>
      </c>
      <c r="AC183" s="24">
        <v>0</v>
      </c>
      <c r="AD183" s="24">
        <v>0.02</v>
      </c>
      <c r="AE183" s="24">
        <v>0</v>
      </c>
      <c r="AF183" s="24">
        <v>0</v>
      </c>
      <c r="AG183" s="24">
        <v>0</v>
      </c>
      <c r="AH183" s="24">
        <v>0</v>
      </c>
      <c r="AI183" s="24"/>
      <c r="AJ183" s="24">
        <v>0</v>
      </c>
      <c r="AK183" s="65">
        <v>1403</v>
      </c>
      <c r="AL183" s="65">
        <v>14</v>
      </c>
    </row>
    <row r="184" spans="1:38" s="13" customFormat="1">
      <c r="A184" s="65">
        <v>1103</v>
      </c>
      <c r="B184" s="59" t="s">
        <v>364</v>
      </c>
      <c r="C184" s="60" t="s">
        <v>566</v>
      </c>
      <c r="D184" s="6">
        <v>12004</v>
      </c>
      <c r="E184" s="59" t="s">
        <v>552</v>
      </c>
      <c r="F184" s="59" t="s">
        <v>135</v>
      </c>
      <c r="G184" s="24">
        <v>0</v>
      </c>
      <c r="H184" s="23">
        <v>9</v>
      </c>
      <c r="I184" s="23">
        <v>16</v>
      </c>
      <c r="J184" s="24">
        <v>1</v>
      </c>
      <c r="K184" s="24">
        <v>1.4</v>
      </c>
      <c r="L184" s="24">
        <v>4.4000000000000004</v>
      </c>
      <c r="M184" s="24">
        <v>30.9</v>
      </c>
      <c r="N184" s="24">
        <v>2</v>
      </c>
      <c r="O184" s="24">
        <v>0</v>
      </c>
      <c r="P184" s="24"/>
      <c r="Q184" s="24">
        <v>60.4</v>
      </c>
      <c r="R184" s="24">
        <v>541</v>
      </c>
      <c r="S184" s="24"/>
      <c r="T184" s="24">
        <v>60</v>
      </c>
      <c r="U184" s="24">
        <v>2</v>
      </c>
      <c r="V184" s="24"/>
      <c r="W184" s="24"/>
      <c r="X184" s="24"/>
      <c r="Y184" s="24"/>
      <c r="Z184" s="24">
        <v>1.55</v>
      </c>
      <c r="AA184" s="24">
        <v>6</v>
      </c>
      <c r="AB184" s="24">
        <v>1</v>
      </c>
      <c r="AC184" s="24">
        <v>0.03</v>
      </c>
      <c r="AD184" s="24">
        <v>0.15</v>
      </c>
      <c r="AE184" s="24">
        <v>60</v>
      </c>
      <c r="AF184" s="24">
        <v>9</v>
      </c>
      <c r="AG184" s="24">
        <v>61</v>
      </c>
      <c r="AH184" s="24">
        <v>62</v>
      </c>
      <c r="AI184" s="24"/>
      <c r="AJ184" s="24">
        <v>0</v>
      </c>
      <c r="AK184" s="65">
        <v>1403</v>
      </c>
      <c r="AL184" s="65">
        <v>14</v>
      </c>
    </row>
    <row r="185" spans="1:38" s="13" customFormat="1" ht="48">
      <c r="A185" s="65">
        <v>1104</v>
      </c>
      <c r="B185" s="59" t="s">
        <v>365</v>
      </c>
      <c r="C185" s="73" t="s">
        <v>699</v>
      </c>
      <c r="D185" s="6">
        <v>1178</v>
      </c>
      <c r="E185" s="59" t="s">
        <v>698</v>
      </c>
      <c r="F185" s="59" t="s">
        <v>135</v>
      </c>
      <c r="G185" s="24">
        <v>0</v>
      </c>
      <c r="H185" s="23">
        <v>18</v>
      </c>
      <c r="I185" s="23">
        <v>16</v>
      </c>
      <c r="J185" s="24">
        <v>88.6</v>
      </c>
      <c r="K185" s="24">
        <v>0.4</v>
      </c>
      <c r="L185" s="24">
        <v>3.4</v>
      </c>
      <c r="M185" s="24">
        <v>2.2999999999999998</v>
      </c>
      <c r="N185" s="24">
        <v>0.3</v>
      </c>
      <c r="O185" s="24">
        <v>0</v>
      </c>
      <c r="P185" s="24"/>
      <c r="Q185" s="24">
        <v>5</v>
      </c>
      <c r="R185" s="24">
        <v>55</v>
      </c>
      <c r="S185" s="24"/>
      <c r="T185" s="24">
        <v>9.86</v>
      </c>
      <c r="U185" s="24">
        <v>0.45</v>
      </c>
      <c r="V185" s="24"/>
      <c r="W185" s="24"/>
      <c r="X185" s="24"/>
      <c r="Y185" s="24"/>
      <c r="Z185" s="24">
        <v>0.252</v>
      </c>
      <c r="AA185" s="24">
        <v>9</v>
      </c>
      <c r="AB185" s="24">
        <v>1</v>
      </c>
      <c r="AC185" s="24">
        <v>3.4200000000000001E-2</v>
      </c>
      <c r="AD185" s="24">
        <v>1.3299999999999999E-2</v>
      </c>
      <c r="AE185" s="24">
        <v>0</v>
      </c>
      <c r="AF185" s="24">
        <v>0</v>
      </c>
      <c r="AG185" s="24">
        <v>0</v>
      </c>
      <c r="AH185" s="24">
        <v>0</v>
      </c>
      <c r="AI185" s="24"/>
      <c r="AJ185" s="24">
        <v>0</v>
      </c>
      <c r="AK185" s="65">
        <v>302</v>
      </c>
      <c r="AL185" s="65">
        <v>3</v>
      </c>
    </row>
    <row r="186" spans="1:38" s="13" customFormat="1">
      <c r="A186" s="65">
        <v>1105</v>
      </c>
      <c r="B186" s="59" t="s">
        <v>366</v>
      </c>
      <c r="C186" s="60"/>
      <c r="D186" s="6"/>
      <c r="E186" s="59"/>
      <c r="F186" s="59" t="s">
        <v>93</v>
      </c>
      <c r="G186" s="24">
        <v>0</v>
      </c>
      <c r="H186" s="23">
        <v>9</v>
      </c>
      <c r="I186" s="23">
        <v>16</v>
      </c>
      <c r="J186" s="24">
        <v>93.923333333333332</v>
      </c>
      <c r="K186" s="24">
        <v>0.33333333333333331</v>
      </c>
      <c r="L186" s="24">
        <v>1.2866666666666666</v>
      </c>
      <c r="M186" s="24">
        <v>0.78666666666666663</v>
      </c>
      <c r="N186" s="24">
        <v>0.33333333333333331</v>
      </c>
      <c r="O186" s="24">
        <v>0</v>
      </c>
      <c r="P186" s="24">
        <v>3.58</v>
      </c>
      <c r="Q186" s="24"/>
      <c r="R186" s="24">
        <v>26.333333333333332</v>
      </c>
      <c r="S186" s="24"/>
      <c r="T186" s="24">
        <v>38.666666666666664</v>
      </c>
      <c r="U186" s="24">
        <v>0.15</v>
      </c>
      <c r="V186" s="24"/>
      <c r="W186" s="24"/>
      <c r="X186" s="24"/>
      <c r="Y186" s="24"/>
      <c r="Z186" s="24">
        <v>0.22</v>
      </c>
      <c r="AA186" s="24">
        <v>2.3333333333333335</v>
      </c>
      <c r="AB186" s="24">
        <v>6.6666666666666666E-2</v>
      </c>
      <c r="AC186" s="24">
        <v>0.02</v>
      </c>
      <c r="AD186" s="24">
        <v>0.10533333333333333</v>
      </c>
      <c r="AE186" s="24">
        <v>17</v>
      </c>
      <c r="AF186" s="24">
        <v>1.3333333333333333</v>
      </c>
      <c r="AG186" s="24">
        <v>17</v>
      </c>
      <c r="AH186" s="24">
        <v>17</v>
      </c>
      <c r="AI186" s="24"/>
      <c r="AJ186" s="24">
        <v>0.16333333333333333</v>
      </c>
      <c r="AK186" s="65">
        <v>1403</v>
      </c>
      <c r="AL186" s="65">
        <v>14</v>
      </c>
    </row>
    <row r="187" spans="1:38" s="13" customFormat="1">
      <c r="A187" s="65">
        <v>1201</v>
      </c>
      <c r="B187" s="59" t="s">
        <v>367</v>
      </c>
      <c r="C187" s="60" t="s">
        <v>607</v>
      </c>
      <c r="D187" s="6">
        <v>14555</v>
      </c>
      <c r="E187" s="59" t="s">
        <v>656</v>
      </c>
      <c r="F187" s="59" t="s">
        <v>95</v>
      </c>
      <c r="G187" s="24">
        <v>0</v>
      </c>
      <c r="H187" s="23">
        <v>18</v>
      </c>
      <c r="I187" s="23">
        <v>16</v>
      </c>
      <c r="J187" s="24">
        <v>99.98</v>
      </c>
      <c r="K187" s="24">
        <v>7.0000000000000007E-2</v>
      </c>
      <c r="L187" s="24">
        <v>0</v>
      </c>
      <c r="M187" s="24">
        <v>0</v>
      </c>
      <c r="N187" s="24">
        <v>0</v>
      </c>
      <c r="O187" s="24">
        <v>0</v>
      </c>
      <c r="P187" s="24">
        <v>0</v>
      </c>
      <c r="Q187" s="24"/>
      <c r="R187" s="24">
        <v>0</v>
      </c>
      <c r="S187" s="24"/>
      <c r="T187" s="24">
        <v>10</v>
      </c>
      <c r="U187" s="24">
        <v>0</v>
      </c>
      <c r="V187" s="24"/>
      <c r="W187" s="24"/>
      <c r="X187" s="24"/>
      <c r="Y187" s="24"/>
      <c r="Z187" s="24">
        <v>0</v>
      </c>
      <c r="AA187" s="24">
        <v>0</v>
      </c>
      <c r="AB187" s="24">
        <v>0</v>
      </c>
      <c r="AC187" s="24">
        <v>0</v>
      </c>
      <c r="AD187" s="24">
        <v>0</v>
      </c>
      <c r="AE187" s="24">
        <v>0</v>
      </c>
      <c r="AF187" s="24">
        <v>0</v>
      </c>
      <c r="AG187" s="24">
        <v>0</v>
      </c>
      <c r="AH187" s="24">
        <v>0</v>
      </c>
      <c r="AI187" s="24"/>
      <c r="AJ187" s="24">
        <v>0</v>
      </c>
      <c r="AK187" s="65">
        <v>1402</v>
      </c>
      <c r="AL187" s="65">
        <v>14</v>
      </c>
    </row>
    <row r="188" spans="1:38" s="13" customFormat="1">
      <c r="A188" s="65">
        <v>1202</v>
      </c>
      <c r="B188" s="59" t="s">
        <v>368</v>
      </c>
      <c r="C188" s="60" t="s">
        <v>607</v>
      </c>
      <c r="D188" s="6">
        <v>344355</v>
      </c>
      <c r="E188" s="59" t="s">
        <v>704</v>
      </c>
      <c r="F188" s="59" t="s">
        <v>135</v>
      </c>
      <c r="G188" s="24">
        <v>0</v>
      </c>
      <c r="H188" s="23">
        <v>18</v>
      </c>
      <c r="I188" s="23">
        <v>16</v>
      </c>
      <c r="J188" s="24">
        <v>89.78</v>
      </c>
      <c r="K188" s="24"/>
      <c r="L188" s="24">
        <v>0.05</v>
      </c>
      <c r="M188" s="24">
        <v>0</v>
      </c>
      <c r="N188" s="24">
        <v>0</v>
      </c>
      <c r="O188" s="24">
        <v>0</v>
      </c>
      <c r="P188" s="24">
        <v>10.14</v>
      </c>
      <c r="Q188" s="24">
        <f>P188-N188</f>
        <v>10.14</v>
      </c>
      <c r="R188" s="24">
        <v>40</v>
      </c>
      <c r="S188" s="24"/>
      <c r="T188" s="24">
        <v>2</v>
      </c>
      <c r="U188" s="24">
        <v>0.11</v>
      </c>
      <c r="V188" s="24"/>
      <c r="W188" s="24"/>
      <c r="X188" s="24"/>
      <c r="Y188" s="24"/>
      <c r="Z188" s="24">
        <v>0.04</v>
      </c>
      <c r="AA188" s="24">
        <v>0</v>
      </c>
      <c r="AB188" s="24">
        <v>0</v>
      </c>
      <c r="AC188" s="24">
        <v>0</v>
      </c>
      <c r="AD188" s="24">
        <v>0</v>
      </c>
      <c r="AE188" s="24">
        <v>0</v>
      </c>
      <c r="AF188" s="24">
        <v>0</v>
      </c>
      <c r="AG188" s="24">
        <f>+AE188+AF188/12</f>
        <v>0</v>
      </c>
      <c r="AH188" s="24">
        <f>+AE188+AF188/6</f>
        <v>0</v>
      </c>
      <c r="AI188" s="24"/>
      <c r="AJ188" s="24">
        <v>0</v>
      </c>
      <c r="AK188" s="65">
        <v>1405</v>
      </c>
      <c r="AL188" s="65">
        <v>14</v>
      </c>
    </row>
    <row r="189" spans="1:38" s="13" customFormat="1">
      <c r="A189" s="65">
        <v>1203</v>
      </c>
      <c r="B189" s="59" t="s">
        <v>369</v>
      </c>
      <c r="C189" s="60" t="s">
        <v>657</v>
      </c>
      <c r="D189" s="6">
        <v>14148</v>
      </c>
      <c r="E189" s="59" t="s">
        <v>658</v>
      </c>
      <c r="F189" s="59" t="s">
        <v>135</v>
      </c>
      <c r="G189" s="24">
        <v>0</v>
      </c>
      <c r="H189" s="23">
        <v>18</v>
      </c>
      <c r="I189" s="23">
        <v>16</v>
      </c>
      <c r="J189" s="24">
        <v>89.36</v>
      </c>
      <c r="K189" s="24">
        <v>0.04</v>
      </c>
      <c r="L189" s="24">
        <v>0</v>
      </c>
      <c r="M189" s="24">
        <v>0.25</v>
      </c>
      <c r="N189" s="24">
        <v>0</v>
      </c>
      <c r="O189" s="24">
        <v>0</v>
      </c>
      <c r="P189" s="24">
        <v>10.36</v>
      </c>
      <c r="Q189" s="24"/>
      <c r="R189" s="24">
        <v>42</v>
      </c>
      <c r="S189" s="24"/>
      <c r="T189" s="24">
        <v>1</v>
      </c>
      <c r="U189" s="24">
        <v>0.02</v>
      </c>
      <c r="V189" s="24"/>
      <c r="W189" s="24"/>
      <c r="X189" s="24"/>
      <c r="Y189" s="24"/>
      <c r="Z189" s="24">
        <v>0.09</v>
      </c>
      <c r="AA189" s="24">
        <v>0</v>
      </c>
      <c r="AB189" s="24">
        <v>0</v>
      </c>
      <c r="AC189" s="24">
        <v>0</v>
      </c>
      <c r="AD189" s="24">
        <v>0</v>
      </c>
      <c r="AE189" s="24">
        <v>0</v>
      </c>
      <c r="AF189" s="24">
        <v>0</v>
      </c>
      <c r="AG189" s="24">
        <v>0</v>
      </c>
      <c r="AH189" s="24">
        <v>0</v>
      </c>
      <c r="AI189" s="24"/>
      <c r="AJ189" s="24">
        <v>0</v>
      </c>
      <c r="AK189" s="65">
        <v>1405</v>
      </c>
      <c r="AL189" s="65">
        <v>14</v>
      </c>
    </row>
    <row r="190" spans="1:38" s="13" customFormat="1">
      <c r="A190" s="65">
        <v>1204</v>
      </c>
      <c r="B190" s="59" t="s">
        <v>370</v>
      </c>
      <c r="C190" s="60" t="s">
        <v>657</v>
      </c>
      <c r="D190" s="6">
        <v>14154</v>
      </c>
      <c r="E190" s="59" t="s">
        <v>659</v>
      </c>
      <c r="F190" s="59" t="s">
        <v>135</v>
      </c>
      <c r="G190" s="24">
        <v>0</v>
      </c>
      <c r="H190" s="23">
        <v>18</v>
      </c>
      <c r="I190" s="23">
        <v>16</v>
      </c>
      <c r="J190" s="24">
        <v>89.22</v>
      </c>
      <c r="K190" s="24">
        <v>0.1</v>
      </c>
      <c r="L190" s="24">
        <v>0.46</v>
      </c>
      <c r="M190" s="24">
        <v>0</v>
      </c>
      <c r="N190" s="24">
        <v>0</v>
      </c>
      <c r="O190" s="24">
        <v>0</v>
      </c>
      <c r="P190" s="24">
        <v>10.23</v>
      </c>
      <c r="Q190" s="24"/>
      <c r="R190" s="24">
        <v>43</v>
      </c>
      <c r="S190" s="24"/>
      <c r="T190" s="24">
        <v>6</v>
      </c>
      <c r="U190" s="24">
        <v>0.06</v>
      </c>
      <c r="V190" s="24"/>
      <c r="W190" s="24"/>
      <c r="X190" s="24"/>
      <c r="Y190" s="24"/>
      <c r="Z190" s="24">
        <v>0.01</v>
      </c>
      <c r="AA190" s="24">
        <v>0</v>
      </c>
      <c r="AB190" s="24">
        <v>0</v>
      </c>
      <c r="AC190" s="24">
        <v>0.04</v>
      </c>
      <c r="AD190" s="24">
        <v>0.10299999999999999</v>
      </c>
      <c r="AE190" s="24">
        <v>0</v>
      </c>
      <c r="AF190" s="24">
        <v>0</v>
      </c>
      <c r="AG190" s="24">
        <v>0</v>
      </c>
      <c r="AH190" s="24">
        <v>0</v>
      </c>
      <c r="AI190" s="24"/>
      <c r="AJ190" s="24">
        <v>1.97</v>
      </c>
      <c r="AK190" s="65">
        <v>1503</v>
      </c>
      <c r="AL190" s="65">
        <v>15</v>
      </c>
    </row>
    <row r="191" spans="1:38" s="13" customFormat="1">
      <c r="A191" s="65">
        <v>1205</v>
      </c>
      <c r="B191" s="59" t="s">
        <v>371</v>
      </c>
      <c r="C191" s="60" t="s">
        <v>553</v>
      </c>
      <c r="D191" s="6"/>
      <c r="E191" s="59"/>
      <c r="F191" s="59" t="s">
        <v>721</v>
      </c>
      <c r="G191" s="24">
        <v>0</v>
      </c>
      <c r="H191" s="23">
        <v>8</v>
      </c>
      <c r="I191" s="23">
        <v>7</v>
      </c>
      <c r="J191" s="24">
        <v>87.14</v>
      </c>
      <c r="K191" s="24">
        <v>0.39</v>
      </c>
      <c r="L191" s="24">
        <v>0.62</v>
      </c>
      <c r="M191" s="24">
        <v>0.16</v>
      </c>
      <c r="N191" s="24">
        <v>1.6199999999999999</v>
      </c>
      <c r="O191" s="24">
        <v>0</v>
      </c>
      <c r="P191" s="24"/>
      <c r="Q191" s="24">
        <v>10.07</v>
      </c>
      <c r="R191" s="24">
        <v>47.4</v>
      </c>
      <c r="S191" s="24"/>
      <c r="T191" s="24">
        <v>18.399999999999999</v>
      </c>
      <c r="U191" s="24">
        <v>0.37999999999999995</v>
      </c>
      <c r="V191" s="24"/>
      <c r="W191" s="24"/>
      <c r="X191" s="24"/>
      <c r="Y191" s="24"/>
      <c r="Z191" s="24">
        <v>8.2000000000000003E-2</v>
      </c>
      <c r="AA191" s="24">
        <v>18</v>
      </c>
      <c r="AB191" s="24">
        <v>41.8</v>
      </c>
      <c r="AC191" s="24">
        <v>4.3999999999999997E-2</v>
      </c>
      <c r="AD191" s="24">
        <v>1.7999999999999999E-2</v>
      </c>
      <c r="AE191" s="24">
        <v>0</v>
      </c>
      <c r="AF191" s="24">
        <v>154</v>
      </c>
      <c r="AG191" s="24">
        <v>12.833333333333334</v>
      </c>
      <c r="AH191" s="24">
        <v>25.666666666666668</v>
      </c>
      <c r="AI191" s="24"/>
      <c r="AJ191" s="24">
        <v>0</v>
      </c>
      <c r="AK191" s="65">
        <v>1406</v>
      </c>
      <c r="AL191" s="65">
        <v>14</v>
      </c>
    </row>
    <row r="192" spans="1:38" s="13" customFormat="1">
      <c r="A192" s="65">
        <v>1206</v>
      </c>
      <c r="B192" s="59" t="s">
        <v>372</v>
      </c>
      <c r="C192" s="60" t="s">
        <v>607</v>
      </c>
      <c r="D192" s="6">
        <v>11578</v>
      </c>
      <c r="E192" s="59" t="s">
        <v>700</v>
      </c>
      <c r="F192" s="59" t="s">
        <v>135</v>
      </c>
      <c r="G192" s="24">
        <v>0</v>
      </c>
      <c r="H192" s="23">
        <v>7</v>
      </c>
      <c r="I192" s="23">
        <v>5</v>
      </c>
      <c r="J192" s="24">
        <v>94.09</v>
      </c>
      <c r="K192" s="24">
        <v>0.8</v>
      </c>
      <c r="L192" s="24">
        <v>0.93</v>
      </c>
      <c r="M192" s="24">
        <v>0.31</v>
      </c>
      <c r="N192" s="24">
        <v>0.5</v>
      </c>
      <c r="O192" s="24">
        <v>0</v>
      </c>
      <c r="P192" s="24">
        <v>3.87</v>
      </c>
      <c r="Q192" s="24"/>
      <c r="R192" s="24">
        <v>22</v>
      </c>
      <c r="S192" s="24"/>
      <c r="T192" s="24">
        <v>14</v>
      </c>
      <c r="U192" s="24">
        <v>0.28000000000000003</v>
      </c>
      <c r="V192" s="24"/>
      <c r="W192" s="24"/>
      <c r="X192" s="24"/>
      <c r="Y192" s="24"/>
      <c r="Z192" s="24">
        <v>0.12</v>
      </c>
      <c r="AA192" s="24">
        <v>21</v>
      </c>
      <c r="AB192" s="24">
        <v>54.3</v>
      </c>
      <c r="AC192" s="24">
        <v>0.05</v>
      </c>
      <c r="AD192" s="24">
        <v>3.3000000000000002E-2</v>
      </c>
      <c r="AE192" s="24">
        <v>0</v>
      </c>
      <c r="AF192" s="24">
        <v>423.5</v>
      </c>
      <c r="AG192" s="24">
        <f>+AE192+AF192/12</f>
        <v>35.291666666666664</v>
      </c>
      <c r="AH192" s="24">
        <f>+AE192+AF192/6</f>
        <v>70.583333333333329</v>
      </c>
      <c r="AI192" s="24"/>
      <c r="AJ192" s="24">
        <v>0</v>
      </c>
      <c r="AK192" s="65">
        <v>1406</v>
      </c>
      <c r="AL192" s="65">
        <v>14</v>
      </c>
    </row>
    <row r="193" spans="1:38" s="13" customFormat="1">
      <c r="A193" s="65">
        <v>1207</v>
      </c>
      <c r="B193" s="59" t="s">
        <v>373</v>
      </c>
      <c r="C193" s="60" t="s">
        <v>682</v>
      </c>
      <c r="D193" s="6"/>
      <c r="E193" s="59"/>
      <c r="F193" s="59" t="s">
        <v>721</v>
      </c>
      <c r="G193" s="24">
        <v>0</v>
      </c>
      <c r="H193" s="23">
        <v>18</v>
      </c>
      <c r="I193" s="23">
        <v>16</v>
      </c>
      <c r="J193" s="24">
        <f t="shared" ref="J193:O193" si="16">AVERAGE(J192,J191,J190,J189,J188,J185)</f>
        <v>89.698333333333338</v>
      </c>
      <c r="K193" s="24">
        <f t="shared" si="16"/>
        <v>0.34599999999999997</v>
      </c>
      <c r="L193" s="24">
        <f t="shared" si="16"/>
        <v>0.91</v>
      </c>
      <c r="M193" s="24">
        <f t="shared" si="16"/>
        <v>0.5033333333333333</v>
      </c>
      <c r="N193" s="24">
        <f t="shared" si="16"/>
        <v>0.40333333333333332</v>
      </c>
      <c r="O193" s="24">
        <f t="shared" si="16"/>
        <v>0</v>
      </c>
      <c r="P193" s="24"/>
      <c r="Q193" s="24"/>
      <c r="R193" s="24">
        <f>AVERAGE(R192,R191,R190,R189,R188,R185)</f>
        <v>41.56666666666667</v>
      </c>
      <c r="S193" s="24"/>
      <c r="T193" s="24">
        <f>AVERAGE(T192,T191,T190,T189,T188,T185)</f>
        <v>8.543333333333333</v>
      </c>
      <c r="U193" s="24">
        <f>AVERAGE(U192,U191,U190,U189,U188,U185)</f>
        <v>0.21666666666666667</v>
      </c>
      <c r="V193" s="24"/>
      <c r="W193" s="24"/>
      <c r="X193" s="24"/>
      <c r="Y193" s="24"/>
      <c r="Z193" s="24">
        <f t="shared" ref="Z193:AH193" si="17">AVERAGE(Z192,Z191,Z190,Z189,Z188,Z185)</f>
        <v>9.9000000000000019E-2</v>
      </c>
      <c r="AA193" s="24">
        <f t="shared" si="17"/>
        <v>8</v>
      </c>
      <c r="AB193" s="24">
        <f t="shared" si="17"/>
        <v>16.183333333333334</v>
      </c>
      <c r="AC193" s="24">
        <f t="shared" si="17"/>
        <v>2.8033333333333337E-2</v>
      </c>
      <c r="AD193" s="24">
        <f t="shared" si="17"/>
        <v>2.7883333333333333E-2</v>
      </c>
      <c r="AE193" s="24">
        <f t="shared" si="17"/>
        <v>0</v>
      </c>
      <c r="AF193" s="24">
        <f t="shared" si="17"/>
        <v>96.25</v>
      </c>
      <c r="AG193" s="24">
        <f t="shared" si="17"/>
        <v>8.0208333333333339</v>
      </c>
      <c r="AH193" s="24">
        <f t="shared" si="17"/>
        <v>16.041666666666668</v>
      </c>
      <c r="AI193" s="24"/>
      <c r="AJ193" s="24">
        <f>AVERAGE(AJ192,AJ191,AJ190,AJ189,AJ188,AJ185)</f>
        <v>0.32833333333333331</v>
      </c>
      <c r="AK193" s="65">
        <v>1405</v>
      </c>
      <c r="AL193" s="65">
        <v>14</v>
      </c>
    </row>
    <row r="194" spans="1:38" s="13" customFormat="1">
      <c r="A194" s="65">
        <v>1301</v>
      </c>
      <c r="B194" s="59" t="s">
        <v>374</v>
      </c>
      <c r="C194" s="60"/>
      <c r="D194" s="6"/>
      <c r="E194" s="59"/>
      <c r="F194" s="59"/>
      <c r="G194" s="24">
        <v>0</v>
      </c>
      <c r="H194" s="23">
        <v>19</v>
      </c>
      <c r="I194" s="23">
        <v>17</v>
      </c>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65"/>
      <c r="AL194" s="65"/>
    </row>
    <row r="195" spans="1:38" s="13" customFormat="1">
      <c r="A195" s="65">
        <v>1302</v>
      </c>
      <c r="B195" s="59" t="s">
        <v>375</v>
      </c>
      <c r="C195" s="60"/>
      <c r="D195" s="6"/>
      <c r="E195" s="59"/>
      <c r="F195" s="59"/>
      <c r="G195" s="24">
        <v>0</v>
      </c>
      <c r="H195" s="23">
        <v>19</v>
      </c>
      <c r="I195" s="23">
        <v>17</v>
      </c>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65"/>
      <c r="AL195" s="65"/>
    </row>
    <row r="196" spans="1:38" s="13" customFormat="1">
      <c r="A196" s="65">
        <v>1303</v>
      </c>
      <c r="B196" s="59" t="s">
        <v>376</v>
      </c>
      <c r="C196" s="60"/>
      <c r="D196" s="6"/>
      <c r="E196" s="59"/>
      <c r="F196" s="59"/>
      <c r="G196" s="24">
        <v>0</v>
      </c>
      <c r="H196" s="23">
        <v>19</v>
      </c>
      <c r="I196" s="23">
        <v>17</v>
      </c>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65"/>
      <c r="AL196" s="65"/>
    </row>
    <row r="197" spans="1:38" s="13" customFormat="1">
      <c r="A197" s="65">
        <v>1304</v>
      </c>
      <c r="B197" s="59" t="s">
        <v>377</v>
      </c>
      <c r="C197" s="60"/>
      <c r="D197" s="6"/>
      <c r="E197" s="59"/>
      <c r="F197" s="59"/>
      <c r="G197" s="24">
        <v>0</v>
      </c>
      <c r="H197" s="23">
        <v>19</v>
      </c>
      <c r="I197" s="23">
        <v>17</v>
      </c>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65"/>
      <c r="AL197" s="65"/>
    </row>
    <row r="198" spans="1:38" s="13" customFormat="1">
      <c r="A198" s="65">
        <v>1305</v>
      </c>
      <c r="B198" s="59" t="s">
        <v>378</v>
      </c>
      <c r="C198" s="60"/>
      <c r="D198" s="6"/>
      <c r="E198" s="59"/>
      <c r="F198" s="59"/>
      <c r="G198" s="24">
        <v>0</v>
      </c>
      <c r="H198" s="23">
        <v>19</v>
      </c>
      <c r="I198" s="23">
        <v>17</v>
      </c>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65"/>
      <c r="AL198" s="65"/>
    </row>
    <row r="199" spans="1:38" s="13" customFormat="1">
      <c r="A199" s="65">
        <v>1401</v>
      </c>
      <c r="B199" s="59" t="s">
        <v>379</v>
      </c>
      <c r="C199" s="60"/>
      <c r="D199" s="6"/>
      <c r="E199" s="59"/>
      <c r="F199" s="59"/>
      <c r="G199" s="24">
        <v>0</v>
      </c>
      <c r="H199" s="23">
        <v>19</v>
      </c>
      <c r="I199" s="23">
        <v>17</v>
      </c>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65"/>
      <c r="AL199" s="65"/>
    </row>
    <row r="200" spans="1:38" s="13" customFormat="1">
      <c r="A200" s="65">
        <v>1402</v>
      </c>
      <c r="B200" s="59" t="s">
        <v>380</v>
      </c>
      <c r="C200" s="60"/>
      <c r="D200" s="6"/>
      <c r="E200" s="59"/>
      <c r="F200" s="59"/>
      <c r="G200" s="24">
        <v>0</v>
      </c>
      <c r="H200" s="23">
        <v>19</v>
      </c>
      <c r="I200" s="23">
        <v>17</v>
      </c>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65"/>
      <c r="AL200" s="65"/>
    </row>
    <row r="201" spans="1:38" s="13" customFormat="1">
      <c r="A201" s="65">
        <v>1403</v>
      </c>
      <c r="B201" s="59" t="s">
        <v>381</v>
      </c>
      <c r="C201" s="60"/>
      <c r="D201" s="6"/>
      <c r="E201" s="59"/>
      <c r="F201" s="59"/>
      <c r="G201" s="24">
        <v>0</v>
      </c>
      <c r="H201" s="23">
        <v>19</v>
      </c>
      <c r="I201" s="23">
        <v>17</v>
      </c>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65"/>
      <c r="AL201" s="65"/>
    </row>
    <row r="202" spans="1:38" s="13" customFormat="1">
      <c r="A202" s="65">
        <v>1501</v>
      </c>
      <c r="B202" s="59" t="s">
        <v>382</v>
      </c>
      <c r="C202" s="60" t="s">
        <v>660</v>
      </c>
      <c r="D202" s="6">
        <v>14051</v>
      </c>
      <c r="E202" s="59" t="s">
        <v>661</v>
      </c>
      <c r="F202" s="59" t="s">
        <v>95</v>
      </c>
      <c r="G202" s="24">
        <v>0</v>
      </c>
      <c r="H202" s="23">
        <v>11</v>
      </c>
      <c r="I202" s="23">
        <v>16</v>
      </c>
      <c r="J202" s="24">
        <v>66.599999999999994</v>
      </c>
      <c r="K202" s="24">
        <v>0.01</v>
      </c>
      <c r="L202" s="24">
        <v>0</v>
      </c>
      <c r="M202" s="24">
        <v>0</v>
      </c>
      <c r="N202" s="24">
        <v>0</v>
      </c>
      <c r="O202" s="24">
        <v>33.4</v>
      </c>
      <c r="P202" s="24">
        <v>0</v>
      </c>
      <c r="Q202" s="24"/>
      <c r="R202" s="24">
        <v>231</v>
      </c>
      <c r="S202" s="24"/>
      <c r="T202" s="24">
        <v>0</v>
      </c>
      <c r="U202" s="24">
        <v>0.01</v>
      </c>
      <c r="V202" s="24"/>
      <c r="W202" s="24"/>
      <c r="X202" s="24"/>
      <c r="Y202" s="24"/>
      <c r="Z202" s="24">
        <v>0</v>
      </c>
      <c r="AA202" s="24">
        <v>0</v>
      </c>
      <c r="AB202" s="24">
        <v>0</v>
      </c>
      <c r="AC202" s="24">
        <v>5.0000000000000001E-3</v>
      </c>
      <c r="AD202" s="24">
        <v>7.0000000000000001E-3</v>
      </c>
      <c r="AE202" s="24">
        <v>0</v>
      </c>
      <c r="AF202" s="24">
        <v>0</v>
      </c>
      <c r="AG202" s="24">
        <v>0</v>
      </c>
      <c r="AH202" s="24">
        <v>0</v>
      </c>
      <c r="AI202" s="24"/>
      <c r="AJ202" s="24">
        <v>0</v>
      </c>
      <c r="AK202" s="65">
        <v>1401</v>
      </c>
      <c r="AL202" s="65">
        <v>14</v>
      </c>
    </row>
    <row r="203" spans="1:38" s="13" customFormat="1">
      <c r="A203" s="65">
        <v>1502</v>
      </c>
      <c r="B203" s="59" t="s">
        <v>383</v>
      </c>
      <c r="C203" s="60" t="s">
        <v>657</v>
      </c>
      <c r="D203" s="6">
        <v>14052</v>
      </c>
      <c r="E203" s="59" t="s">
        <v>662</v>
      </c>
      <c r="F203" s="59" t="s">
        <v>95</v>
      </c>
      <c r="G203" s="24">
        <v>0</v>
      </c>
      <c r="H203" s="23">
        <v>11</v>
      </c>
      <c r="I203" s="23">
        <v>16</v>
      </c>
      <c r="J203" s="24">
        <v>63.9</v>
      </c>
      <c r="K203" s="24">
        <v>0</v>
      </c>
      <c r="L203" s="24">
        <v>0</v>
      </c>
      <c r="M203" s="24">
        <v>0</v>
      </c>
      <c r="N203" s="24">
        <v>0</v>
      </c>
      <c r="O203" s="24">
        <v>36</v>
      </c>
      <c r="P203" s="24">
        <v>0.1</v>
      </c>
      <c r="Q203" s="24"/>
      <c r="R203" s="24">
        <v>250</v>
      </c>
      <c r="S203" s="24"/>
      <c r="T203" s="24">
        <v>0</v>
      </c>
      <c r="U203" s="24">
        <v>0.02</v>
      </c>
      <c r="V203" s="24"/>
      <c r="W203" s="24"/>
      <c r="X203" s="24"/>
      <c r="Y203" s="24"/>
      <c r="Z203" s="24">
        <v>0.02</v>
      </c>
      <c r="AA203" s="24">
        <v>0</v>
      </c>
      <c r="AB203" s="24">
        <v>0</v>
      </c>
      <c r="AC203" s="24">
        <v>8.0000000000000002E-3</v>
      </c>
      <c r="AD203" s="24">
        <v>1E-3</v>
      </c>
      <c r="AE203" s="24">
        <v>0</v>
      </c>
      <c r="AF203" s="24">
        <v>0</v>
      </c>
      <c r="AG203" s="24">
        <v>0</v>
      </c>
      <c r="AH203" s="24">
        <v>0</v>
      </c>
      <c r="AI203" s="24"/>
      <c r="AJ203" s="24">
        <v>0</v>
      </c>
      <c r="AK203" s="65">
        <v>1401</v>
      </c>
      <c r="AL203" s="65">
        <v>14</v>
      </c>
    </row>
    <row r="204" spans="1:38" s="13" customFormat="1">
      <c r="A204" s="65">
        <v>1503</v>
      </c>
      <c r="B204" s="59" t="s">
        <v>384</v>
      </c>
      <c r="C204" s="60" t="s">
        <v>657</v>
      </c>
      <c r="D204" s="6">
        <v>14037</v>
      </c>
      <c r="E204" s="59" t="s">
        <v>663</v>
      </c>
      <c r="F204" s="59" t="s">
        <v>95</v>
      </c>
      <c r="G204" s="24">
        <v>0</v>
      </c>
      <c r="H204" s="23">
        <v>11</v>
      </c>
      <c r="I204" s="23">
        <v>16</v>
      </c>
      <c r="J204" s="24">
        <v>66.599999999999994</v>
      </c>
      <c r="K204" s="24">
        <v>0.01</v>
      </c>
      <c r="L204" s="24">
        <v>0</v>
      </c>
      <c r="M204" s="24">
        <v>0</v>
      </c>
      <c r="N204" s="24">
        <v>0</v>
      </c>
      <c r="O204" s="24">
        <v>33.4</v>
      </c>
      <c r="P204" s="24">
        <v>0</v>
      </c>
      <c r="Q204" s="24"/>
      <c r="R204" s="24">
        <v>231</v>
      </c>
      <c r="S204" s="24"/>
      <c r="T204" s="24">
        <v>0</v>
      </c>
      <c r="U204" s="24">
        <v>0.04</v>
      </c>
      <c r="V204" s="24"/>
      <c r="W204" s="24"/>
      <c r="X204" s="24"/>
      <c r="Y204" s="24"/>
      <c r="Z204" s="24">
        <v>0.04</v>
      </c>
      <c r="AA204" s="24">
        <v>0</v>
      </c>
      <c r="AB204" s="24">
        <v>0</v>
      </c>
      <c r="AC204" s="24">
        <v>6.0000000000000001E-3</v>
      </c>
      <c r="AD204" s="24">
        <v>4.0000000000000001E-3</v>
      </c>
      <c r="AE204" s="24">
        <v>0</v>
      </c>
      <c r="AF204" s="24">
        <v>0</v>
      </c>
      <c r="AG204" s="24">
        <v>0</v>
      </c>
      <c r="AH204" s="24">
        <v>0</v>
      </c>
      <c r="AI204" s="24"/>
      <c r="AJ204" s="24">
        <v>0</v>
      </c>
      <c r="AK204" s="65">
        <v>1401</v>
      </c>
      <c r="AL204" s="65">
        <v>14</v>
      </c>
    </row>
    <row r="205" spans="1:38" s="13" customFormat="1">
      <c r="A205" s="65">
        <v>1504</v>
      </c>
      <c r="B205" s="59" t="s">
        <v>385</v>
      </c>
      <c r="C205" s="60" t="s">
        <v>607</v>
      </c>
      <c r="D205" s="6">
        <v>14037</v>
      </c>
      <c r="E205" s="59" t="s">
        <v>663</v>
      </c>
      <c r="F205" s="59" t="s">
        <v>95</v>
      </c>
      <c r="G205" s="24">
        <v>0</v>
      </c>
      <c r="H205" s="23">
        <v>11</v>
      </c>
      <c r="I205" s="23">
        <v>16</v>
      </c>
      <c r="J205" s="24">
        <v>66.599999999999994</v>
      </c>
      <c r="K205" s="24">
        <v>0.01</v>
      </c>
      <c r="L205" s="24">
        <v>0</v>
      </c>
      <c r="M205" s="24">
        <v>0</v>
      </c>
      <c r="N205" s="24">
        <v>0</v>
      </c>
      <c r="O205" s="24">
        <v>33.4</v>
      </c>
      <c r="P205" s="24">
        <v>0</v>
      </c>
      <c r="Q205" s="24"/>
      <c r="R205" s="24">
        <v>231</v>
      </c>
      <c r="S205" s="24"/>
      <c r="T205" s="24">
        <v>0</v>
      </c>
      <c r="U205" s="24">
        <v>0.04</v>
      </c>
      <c r="V205" s="24"/>
      <c r="W205" s="24"/>
      <c r="X205" s="24"/>
      <c r="Y205" s="24"/>
      <c r="Z205" s="24">
        <v>0</v>
      </c>
      <c r="AA205" s="24">
        <v>6.0000000000000001E-3</v>
      </c>
      <c r="AB205" s="24">
        <v>4.0000000000000001E-3</v>
      </c>
      <c r="AC205" s="24">
        <v>0</v>
      </c>
      <c r="AD205" s="24">
        <v>0</v>
      </c>
      <c r="AE205" s="24">
        <v>0</v>
      </c>
      <c r="AF205" s="24">
        <v>0</v>
      </c>
      <c r="AG205" s="24">
        <v>0</v>
      </c>
      <c r="AH205" s="24">
        <v>0</v>
      </c>
      <c r="AI205" s="24"/>
      <c r="AJ205" s="24">
        <v>0</v>
      </c>
      <c r="AK205" s="65">
        <v>1401</v>
      </c>
      <c r="AL205" s="65">
        <v>14</v>
      </c>
    </row>
    <row r="206" spans="1:38" s="13" customFormat="1">
      <c r="A206" s="65">
        <v>1505</v>
      </c>
      <c r="B206" s="59" t="s">
        <v>386</v>
      </c>
      <c r="C206" s="60" t="s">
        <v>553</v>
      </c>
      <c r="D206" s="6"/>
      <c r="E206" s="59"/>
      <c r="F206" s="59" t="s">
        <v>721</v>
      </c>
      <c r="G206" s="24">
        <v>0</v>
      </c>
      <c r="H206" s="23">
        <v>11</v>
      </c>
      <c r="I206" s="23">
        <v>16</v>
      </c>
      <c r="J206" s="24">
        <v>92.5</v>
      </c>
      <c r="K206" s="24">
        <v>0.25</v>
      </c>
      <c r="L206" s="24">
        <v>0.6</v>
      </c>
      <c r="M206" s="24">
        <v>0</v>
      </c>
      <c r="N206" s="24">
        <v>0.1</v>
      </c>
      <c r="O206" s="24">
        <v>0</v>
      </c>
      <c r="P206" s="24"/>
      <c r="Q206" s="24">
        <v>6.5500000000000007</v>
      </c>
      <c r="R206" s="24">
        <v>37</v>
      </c>
      <c r="S206" s="24"/>
      <c r="T206" s="24">
        <v>8</v>
      </c>
      <c r="U206" s="24">
        <v>0.2</v>
      </c>
      <c r="V206" s="24"/>
      <c r="W206" s="24"/>
      <c r="X206" s="24"/>
      <c r="Y206" s="24"/>
      <c r="Z206" s="24">
        <v>0.14000000000000001</v>
      </c>
      <c r="AA206" s="24">
        <v>0</v>
      </c>
      <c r="AB206" s="24">
        <v>0</v>
      </c>
      <c r="AC206" s="24">
        <v>0.02</v>
      </c>
      <c r="AD206" s="24">
        <v>0.04</v>
      </c>
      <c r="AE206" s="24">
        <v>0</v>
      </c>
      <c r="AF206" s="24">
        <v>0</v>
      </c>
      <c r="AG206" s="24">
        <v>0</v>
      </c>
      <c r="AH206" s="24">
        <v>0</v>
      </c>
      <c r="AI206" s="24"/>
      <c r="AJ206" s="24">
        <v>0</v>
      </c>
      <c r="AK206" s="65">
        <v>1401</v>
      </c>
      <c r="AL206" s="65">
        <v>14</v>
      </c>
    </row>
    <row r="207" spans="1:38" s="13" customFormat="1">
      <c r="A207" s="65">
        <v>1506</v>
      </c>
      <c r="B207" s="59" t="s">
        <v>387</v>
      </c>
      <c r="C207" s="60" t="s">
        <v>669</v>
      </c>
      <c r="D207" s="6"/>
      <c r="E207" s="59"/>
      <c r="F207" s="59" t="s">
        <v>721</v>
      </c>
      <c r="G207" s="24">
        <v>0</v>
      </c>
      <c r="H207" s="23">
        <v>11</v>
      </c>
      <c r="I207" s="23">
        <v>16</v>
      </c>
      <c r="J207" s="24">
        <f t="shared" ref="J207:O207" si="18">AVERAGE(J202:J206)</f>
        <v>71.239999999999995</v>
      </c>
      <c r="K207" s="24">
        <f t="shared" si="18"/>
        <v>5.6000000000000008E-2</v>
      </c>
      <c r="L207" s="24">
        <f t="shared" si="18"/>
        <v>0.12</v>
      </c>
      <c r="M207" s="24">
        <f t="shared" si="18"/>
        <v>0</v>
      </c>
      <c r="N207" s="24">
        <f t="shared" si="18"/>
        <v>0.02</v>
      </c>
      <c r="O207" s="24">
        <f t="shared" si="18"/>
        <v>27.240000000000002</v>
      </c>
      <c r="P207" s="24"/>
      <c r="Q207" s="24">
        <f>AVERAGE(Q202:Q206)</f>
        <v>6.5500000000000007</v>
      </c>
      <c r="R207" s="24">
        <f>AVERAGE(R202:R206)</f>
        <v>196</v>
      </c>
      <c r="S207" s="24"/>
      <c r="T207" s="24">
        <f>AVERAGE(T202:T206)</f>
        <v>1.6</v>
      </c>
      <c r="U207" s="24">
        <f>AVERAGE(U202:U206)</f>
        <v>6.2000000000000013E-2</v>
      </c>
      <c r="V207" s="24"/>
      <c r="W207" s="24"/>
      <c r="X207" s="24"/>
      <c r="Y207" s="24"/>
      <c r="Z207" s="24">
        <f t="shared" ref="Z207:AH207" si="19">AVERAGE(Z202:Z206)</f>
        <v>0.04</v>
      </c>
      <c r="AA207" s="24">
        <f t="shared" si="19"/>
        <v>1.2000000000000001E-3</v>
      </c>
      <c r="AB207" s="24">
        <f t="shared" si="19"/>
        <v>8.0000000000000004E-4</v>
      </c>
      <c r="AC207" s="24">
        <f t="shared" si="19"/>
        <v>7.8000000000000014E-3</v>
      </c>
      <c r="AD207" s="24">
        <f t="shared" si="19"/>
        <v>1.0400000000000001E-2</v>
      </c>
      <c r="AE207" s="24">
        <f t="shared" si="19"/>
        <v>0</v>
      </c>
      <c r="AF207" s="24">
        <f t="shared" si="19"/>
        <v>0</v>
      </c>
      <c r="AG207" s="24">
        <f t="shared" si="19"/>
        <v>0</v>
      </c>
      <c r="AH207" s="24">
        <f t="shared" si="19"/>
        <v>0</v>
      </c>
      <c r="AI207" s="24"/>
      <c r="AJ207" s="24">
        <f>AVERAGE(AJ202:AJ206)</f>
        <v>0</v>
      </c>
      <c r="AK207" s="65">
        <v>1401</v>
      </c>
      <c r="AL207" s="65">
        <v>14</v>
      </c>
    </row>
    <row r="208" spans="1:38" s="13" customFormat="1">
      <c r="A208" s="65">
        <v>1601</v>
      </c>
      <c r="B208" s="59" t="s">
        <v>388</v>
      </c>
      <c r="C208" s="60" t="s">
        <v>657</v>
      </c>
      <c r="D208" s="6">
        <v>14084</v>
      </c>
      <c r="E208" s="59" t="s">
        <v>672</v>
      </c>
      <c r="F208" s="59" t="s">
        <v>135</v>
      </c>
      <c r="G208" s="24">
        <v>0</v>
      </c>
      <c r="H208" s="23">
        <v>11</v>
      </c>
      <c r="I208" s="23">
        <v>16</v>
      </c>
      <c r="J208" s="24">
        <v>86.58</v>
      </c>
      <c r="K208" s="24">
        <v>0.24</v>
      </c>
      <c r="L208" s="24">
        <v>7.0000000000000007E-2</v>
      </c>
      <c r="M208" s="24">
        <v>0</v>
      </c>
      <c r="N208" s="24">
        <v>0</v>
      </c>
      <c r="O208" s="24">
        <v>10.4</v>
      </c>
      <c r="P208" s="24">
        <v>2.72</v>
      </c>
      <c r="Q208" s="24"/>
      <c r="R208" s="24">
        <v>83</v>
      </c>
      <c r="S208" s="24"/>
      <c r="T208" s="24">
        <v>8</v>
      </c>
      <c r="U208" s="24">
        <v>0.37</v>
      </c>
      <c r="V208" s="24"/>
      <c r="W208" s="24"/>
      <c r="X208" s="24"/>
      <c r="Y208" s="24"/>
      <c r="Z208" s="24">
        <v>0.13</v>
      </c>
      <c r="AA208" s="24">
        <v>1</v>
      </c>
      <c r="AB208" s="24">
        <v>0</v>
      </c>
      <c r="AC208" s="24">
        <v>5.0000000000000001E-3</v>
      </c>
      <c r="AD208" s="24">
        <v>2.3E-2</v>
      </c>
      <c r="AE208" s="24">
        <v>0</v>
      </c>
      <c r="AF208" s="24">
        <v>0</v>
      </c>
      <c r="AG208" s="24">
        <v>0</v>
      </c>
      <c r="AH208" s="24">
        <v>0</v>
      </c>
      <c r="AI208" s="24"/>
      <c r="AJ208" s="24">
        <v>0</v>
      </c>
      <c r="AK208" s="65">
        <v>1401</v>
      </c>
      <c r="AL208" s="65">
        <v>14</v>
      </c>
    </row>
    <row r="209" spans="1:38" s="13" customFormat="1">
      <c r="A209" s="65">
        <v>1602</v>
      </c>
      <c r="B209" s="59" t="s">
        <v>389</v>
      </c>
      <c r="C209" s="60" t="s">
        <v>657</v>
      </c>
      <c r="D209" s="6">
        <v>14536</v>
      </c>
      <c r="E209" s="59" t="s">
        <v>671</v>
      </c>
      <c r="F209" s="59" t="s">
        <v>135</v>
      </c>
      <c r="G209" s="24">
        <v>0</v>
      </c>
      <c r="H209" s="23">
        <v>11</v>
      </c>
      <c r="I209" s="23">
        <v>16</v>
      </c>
      <c r="J209" s="24">
        <v>72.53</v>
      </c>
      <c r="K209" s="24">
        <v>0.3</v>
      </c>
      <c r="L209" s="24">
        <v>0.2</v>
      </c>
      <c r="M209" s="24">
        <v>0</v>
      </c>
      <c r="N209" s="24">
        <v>0</v>
      </c>
      <c r="O209" s="24">
        <v>15.3</v>
      </c>
      <c r="P209" s="24">
        <v>11.67</v>
      </c>
      <c r="Q209" s="24"/>
      <c r="R209" s="24">
        <v>152</v>
      </c>
      <c r="S209" s="24"/>
      <c r="T209" s="24">
        <v>8</v>
      </c>
      <c r="U209" s="24">
        <v>0.24</v>
      </c>
      <c r="V209" s="24"/>
      <c r="W209" s="24"/>
      <c r="X209" s="24"/>
      <c r="Y209" s="24"/>
      <c r="Z209" s="24">
        <v>7.0000000000000007E-2</v>
      </c>
      <c r="AA209" s="24">
        <v>0</v>
      </c>
      <c r="AB209" s="24">
        <v>0</v>
      </c>
      <c r="AC209" s="24">
        <v>1.7999999999999999E-2</v>
      </c>
      <c r="AD209" s="24">
        <v>1.7999999999999999E-2</v>
      </c>
      <c r="AE209" s="24">
        <v>0</v>
      </c>
      <c r="AF209" s="24">
        <v>0</v>
      </c>
      <c r="AG209" s="24">
        <v>0</v>
      </c>
      <c r="AH209" s="24">
        <v>0</v>
      </c>
      <c r="AI209" s="24"/>
      <c r="AJ209" s="24">
        <v>0</v>
      </c>
      <c r="AK209" s="65">
        <v>1401</v>
      </c>
      <c r="AL209" s="65">
        <v>14</v>
      </c>
    </row>
    <row r="210" spans="1:38" s="13" customFormat="1">
      <c r="A210" s="65">
        <v>1603</v>
      </c>
      <c r="B210" s="59" t="s">
        <v>390</v>
      </c>
      <c r="C210" s="60" t="s">
        <v>657</v>
      </c>
      <c r="D210" s="6">
        <v>14084</v>
      </c>
      <c r="E210" s="59" t="s">
        <v>672</v>
      </c>
      <c r="F210" s="59" t="s">
        <v>135</v>
      </c>
      <c r="G210" s="24">
        <v>0</v>
      </c>
      <c r="H210" s="23">
        <v>11</v>
      </c>
      <c r="I210" s="23">
        <v>16</v>
      </c>
      <c r="J210" s="24">
        <v>86.58</v>
      </c>
      <c r="K210" s="24">
        <v>0.24</v>
      </c>
      <c r="L210" s="24">
        <v>7.0000000000000007E-2</v>
      </c>
      <c r="M210" s="24">
        <v>0</v>
      </c>
      <c r="N210" s="24">
        <v>0</v>
      </c>
      <c r="O210" s="24">
        <v>10.4</v>
      </c>
      <c r="P210" s="24">
        <v>2.72</v>
      </c>
      <c r="Q210" s="24"/>
      <c r="R210" s="24">
        <v>83</v>
      </c>
      <c r="S210" s="24"/>
      <c r="T210" s="24">
        <v>8</v>
      </c>
      <c r="U210" s="24">
        <v>0.37</v>
      </c>
      <c r="V210" s="24"/>
      <c r="W210" s="24"/>
      <c r="X210" s="24"/>
      <c r="Y210" s="24"/>
      <c r="Z210" s="24">
        <v>0</v>
      </c>
      <c r="AA210" s="24">
        <v>5.0000000000000001E-3</v>
      </c>
      <c r="AB210" s="24">
        <v>2.3E-2</v>
      </c>
      <c r="AC210" s="24">
        <v>0</v>
      </c>
      <c r="AD210" s="24">
        <v>0</v>
      </c>
      <c r="AE210" s="24">
        <v>0</v>
      </c>
      <c r="AF210" s="24">
        <v>0</v>
      </c>
      <c r="AG210" s="24">
        <v>0</v>
      </c>
      <c r="AH210" s="24">
        <v>0</v>
      </c>
      <c r="AI210" s="24"/>
      <c r="AJ210" s="24">
        <v>0</v>
      </c>
      <c r="AK210" s="65">
        <v>1401</v>
      </c>
      <c r="AL210" s="65">
        <v>14</v>
      </c>
    </row>
    <row r="211" spans="1:38" s="13" customFormat="1">
      <c r="A211" s="65">
        <v>1701</v>
      </c>
      <c r="B211" s="59" t="s">
        <v>391</v>
      </c>
      <c r="C211" s="60" t="s">
        <v>657</v>
      </c>
      <c r="D211" s="6">
        <v>14003</v>
      </c>
      <c r="E211" s="59" t="s">
        <v>673</v>
      </c>
      <c r="F211" s="59" t="s">
        <v>135</v>
      </c>
      <c r="G211" s="24">
        <v>0</v>
      </c>
      <c r="H211" s="23">
        <v>11</v>
      </c>
      <c r="I211" s="23">
        <v>16</v>
      </c>
      <c r="J211" s="24">
        <v>91.96</v>
      </c>
      <c r="K211" s="24">
        <v>0.16</v>
      </c>
      <c r="L211" s="24">
        <v>0.46</v>
      </c>
      <c r="M211" s="24">
        <v>0</v>
      </c>
      <c r="N211" s="24">
        <v>0</v>
      </c>
      <c r="O211" s="24">
        <v>3.9</v>
      </c>
      <c r="P211" s="24">
        <v>3.55</v>
      </c>
      <c r="Q211" s="24"/>
      <c r="R211" s="24">
        <v>43</v>
      </c>
      <c r="S211" s="24"/>
      <c r="T211" s="24">
        <v>4</v>
      </c>
      <c r="U211" s="24">
        <v>0.02</v>
      </c>
      <c r="V211" s="24"/>
      <c r="W211" s="24"/>
      <c r="X211" s="24"/>
      <c r="Y211" s="24"/>
      <c r="Z211" s="24">
        <v>0.01</v>
      </c>
      <c r="AA211" s="24">
        <v>6</v>
      </c>
      <c r="AB211" s="24">
        <v>0</v>
      </c>
      <c r="AC211" s="24">
        <v>5.0000000000000001E-3</v>
      </c>
      <c r="AD211" s="24">
        <v>2.5000000000000001E-2</v>
      </c>
      <c r="AE211" s="24">
        <v>0</v>
      </c>
      <c r="AF211" s="24">
        <v>0</v>
      </c>
      <c r="AG211" s="24">
        <v>0</v>
      </c>
      <c r="AH211" s="24">
        <v>0</v>
      </c>
      <c r="AI211" s="24"/>
      <c r="AJ211" s="24">
        <v>0.02</v>
      </c>
      <c r="AK211" s="65">
        <v>1401</v>
      </c>
      <c r="AL211" s="65">
        <v>14</v>
      </c>
    </row>
    <row r="212" spans="1:38" s="13" customFormat="1">
      <c r="A212" s="65">
        <v>1702</v>
      </c>
      <c r="B212" s="59" t="s">
        <v>392</v>
      </c>
      <c r="C212" s="60" t="s">
        <v>561</v>
      </c>
      <c r="D212" s="6">
        <v>452</v>
      </c>
      <c r="E212" s="59" t="s">
        <v>674</v>
      </c>
      <c r="F212" s="59" t="s">
        <v>135</v>
      </c>
      <c r="G212" s="24">
        <v>0</v>
      </c>
      <c r="H212" s="23">
        <v>11</v>
      </c>
      <c r="I212" s="23">
        <v>16</v>
      </c>
      <c r="J212" s="24"/>
      <c r="K212" s="24"/>
      <c r="L212" s="24">
        <v>0.3</v>
      </c>
      <c r="M212" s="24">
        <v>0</v>
      </c>
      <c r="N212" s="24">
        <v>0.2</v>
      </c>
      <c r="O212" s="24">
        <v>0</v>
      </c>
      <c r="P212" s="24">
        <v>3.7</v>
      </c>
      <c r="Q212" s="24"/>
      <c r="R212" s="24">
        <v>41</v>
      </c>
      <c r="S212" s="24"/>
      <c r="T212" s="24">
        <v>5</v>
      </c>
      <c r="U212" s="24">
        <v>0</v>
      </c>
      <c r="V212" s="24"/>
      <c r="W212" s="24"/>
      <c r="X212" s="24"/>
      <c r="Y212" s="24"/>
      <c r="Z212" s="24">
        <v>0</v>
      </c>
      <c r="AA212" s="24">
        <v>6</v>
      </c>
      <c r="AB212" s="24">
        <v>0</v>
      </c>
      <c r="AC212" s="24">
        <v>0</v>
      </c>
      <c r="AD212" s="24">
        <v>0</v>
      </c>
      <c r="AE212" s="24">
        <v>0</v>
      </c>
      <c r="AF212" s="24">
        <v>0</v>
      </c>
      <c r="AG212" s="24">
        <v>0</v>
      </c>
      <c r="AH212" s="24">
        <v>0</v>
      </c>
      <c r="AI212" s="24"/>
      <c r="AJ212" s="24">
        <v>0</v>
      </c>
      <c r="AK212" s="65">
        <v>1401</v>
      </c>
      <c r="AL212" s="65">
        <v>14</v>
      </c>
    </row>
    <row r="213" spans="1:38" s="13" customFormat="1">
      <c r="A213" s="65">
        <v>1703</v>
      </c>
      <c r="B213" s="59" t="s">
        <v>393</v>
      </c>
      <c r="C213" s="60" t="s">
        <v>670</v>
      </c>
      <c r="D213" s="6"/>
      <c r="E213" s="59"/>
      <c r="F213" s="59" t="s">
        <v>721</v>
      </c>
      <c r="G213" s="24">
        <v>0</v>
      </c>
      <c r="H213" s="23">
        <v>11</v>
      </c>
      <c r="I213" s="23">
        <v>16</v>
      </c>
      <c r="J213" s="24">
        <f t="shared" ref="J213:O213" si="20">AVERAGE(J211:J212)</f>
        <v>91.96</v>
      </c>
      <c r="K213" s="24">
        <f t="shared" si="20"/>
        <v>0.16</v>
      </c>
      <c r="L213" s="24">
        <f t="shared" si="20"/>
        <v>0.38</v>
      </c>
      <c r="M213" s="24">
        <f t="shared" si="20"/>
        <v>0</v>
      </c>
      <c r="N213" s="24">
        <f t="shared" si="20"/>
        <v>0.1</v>
      </c>
      <c r="O213" s="24">
        <f t="shared" si="20"/>
        <v>1.95</v>
      </c>
      <c r="P213" s="24"/>
      <c r="Q213" s="24"/>
      <c r="R213" s="24">
        <f>AVERAGE(R211:R212)</f>
        <v>42</v>
      </c>
      <c r="S213" s="24"/>
      <c r="T213" s="24">
        <f>AVERAGE(T211:T212)</f>
        <v>4.5</v>
      </c>
      <c r="U213" s="24">
        <f>AVERAGE(U211:U212)</f>
        <v>0.01</v>
      </c>
      <c r="V213" s="24"/>
      <c r="W213" s="24"/>
      <c r="X213" s="24"/>
      <c r="Y213" s="24"/>
      <c r="Z213" s="24">
        <f t="shared" ref="Z213:AH213" si="21">AVERAGE(Z211:Z212)</f>
        <v>5.0000000000000001E-3</v>
      </c>
      <c r="AA213" s="24">
        <f t="shared" si="21"/>
        <v>6</v>
      </c>
      <c r="AB213" s="24">
        <f t="shared" si="21"/>
        <v>0</v>
      </c>
      <c r="AC213" s="24">
        <f t="shared" si="21"/>
        <v>2.5000000000000001E-3</v>
      </c>
      <c r="AD213" s="24">
        <f t="shared" si="21"/>
        <v>1.2500000000000001E-2</v>
      </c>
      <c r="AE213" s="24">
        <f t="shared" si="21"/>
        <v>0</v>
      </c>
      <c r="AF213" s="24">
        <f t="shared" si="21"/>
        <v>0</v>
      </c>
      <c r="AG213" s="24">
        <f t="shared" si="21"/>
        <v>0</v>
      </c>
      <c r="AH213" s="24">
        <f t="shared" si="21"/>
        <v>0</v>
      </c>
      <c r="AI213" s="24"/>
      <c r="AJ213" s="24">
        <f>AVERAGE(AJ211:AJ212)</f>
        <v>0.01</v>
      </c>
      <c r="AK213" s="65">
        <v>1401</v>
      </c>
      <c r="AL213" s="65">
        <v>14</v>
      </c>
    </row>
    <row r="214" spans="1:38" s="13" customFormat="1">
      <c r="C214" s="74"/>
      <c r="D214" s="75"/>
    </row>
    <row r="215" spans="1:38" s="13" customFormat="1">
      <c r="C215" s="74"/>
      <c r="D215" s="75"/>
    </row>
    <row r="216" spans="1:38" s="13" customFormat="1">
      <c r="C216" s="74"/>
      <c r="D216" s="75"/>
    </row>
    <row r="217" spans="1:38" s="13" customFormat="1">
      <c r="C217" s="74"/>
      <c r="D217" s="75"/>
    </row>
    <row r="218" spans="1:38" s="13" customFormat="1">
      <c r="C218" s="74"/>
      <c r="D218" s="75"/>
    </row>
    <row r="219" spans="1:38" s="13" customFormat="1">
      <c r="C219" s="74"/>
      <c r="D219" s="75"/>
    </row>
    <row r="220" spans="1:38" s="13" customFormat="1">
      <c r="C220" s="74"/>
      <c r="D220" s="75"/>
    </row>
    <row r="221" spans="1:38" s="13" customFormat="1">
      <c r="C221" s="74"/>
      <c r="D221" s="75"/>
    </row>
    <row r="222" spans="1:38" s="13" customFormat="1">
      <c r="C222" s="74"/>
      <c r="D222" s="75"/>
    </row>
    <row r="223" spans="1:38" s="13" customFormat="1">
      <c r="C223" s="74"/>
      <c r="D223" s="75"/>
    </row>
    <row r="224" spans="1:38" s="13" customFormat="1">
      <c r="C224" s="74"/>
      <c r="D224" s="75"/>
    </row>
    <row r="225" spans="3:4" s="13" customFormat="1">
      <c r="C225" s="74"/>
      <c r="D225" s="75"/>
    </row>
    <row r="226" spans="3:4" s="13" customFormat="1">
      <c r="C226" s="74"/>
      <c r="D226" s="75"/>
    </row>
  </sheetData>
  <sortState xmlns:xlrd2="http://schemas.microsoft.com/office/spreadsheetml/2017/richdata2" ref="A4:AL213">
    <sortCondition ref="A4:A213"/>
  </sortState>
  <phoneticPr fontId="3" type="noConversion"/>
  <pageMargins left="0.75" right="0.75" top="1" bottom="1" header="0.5" footer="0.5"/>
  <pageSetup paperSize="9" orientation="portrait"/>
  <headerFooter alignWithMargins="0"/>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13"/>
  <sheetViews>
    <sheetView workbookViewId="0">
      <pane xSplit="2" ySplit="3" topLeftCell="AC4" activePane="bottomRight" state="frozen"/>
      <selection pane="topRight" activeCell="C1" sqref="C1"/>
      <selection pane="bottomLeft" activeCell="A4" sqref="A4"/>
      <selection pane="bottomRight" activeCell="AK3" sqref="AK3:AL213"/>
    </sheetView>
  </sheetViews>
  <sheetFormatPr baseColWidth="10" defaultColWidth="11.5" defaultRowHeight="15"/>
  <cols>
    <col min="1" max="1" width="11.5" style="1" customWidth="1"/>
    <col min="2" max="2" width="26.6640625" style="1" customWidth="1"/>
    <col min="3" max="3" width="20.83203125" style="1" customWidth="1"/>
    <col min="4" max="4" width="11.5" style="1" customWidth="1"/>
    <col min="5" max="5" width="28.33203125" style="1" customWidth="1"/>
    <col min="6" max="8" width="11.5" style="1" customWidth="1"/>
    <col min="9" max="9" width="12.6640625" style="1" customWidth="1"/>
    <col min="10" max="30" width="11.5" style="1" customWidth="1"/>
    <col min="31" max="31" width="13.1640625" style="1" customWidth="1"/>
    <col min="32" max="33" width="12.5" style="1" customWidth="1"/>
    <col min="34" max="35" width="11.5" style="1" customWidth="1"/>
    <col min="36" max="36" width="12.5" style="1" customWidth="1"/>
    <col min="37" max="16384" width="11.5" style="1"/>
  </cols>
  <sheetData>
    <row r="1" spans="1:38">
      <c r="A1" s="18" t="s">
        <v>78</v>
      </c>
    </row>
    <row r="3" spans="1:38" ht="116.25" customHeight="1">
      <c r="A3" s="2" t="s">
        <v>103</v>
      </c>
      <c r="B3" s="2" t="s">
        <v>104</v>
      </c>
      <c r="C3" s="2" t="s">
        <v>1</v>
      </c>
      <c r="D3" s="2" t="s">
        <v>2</v>
      </c>
      <c r="E3" s="2" t="s">
        <v>3</v>
      </c>
      <c r="F3" s="21" t="s">
        <v>79</v>
      </c>
      <c r="G3" s="2" t="s">
        <v>105</v>
      </c>
      <c r="H3" s="2" t="s">
        <v>106</v>
      </c>
      <c r="I3" s="2" t="s">
        <v>715</v>
      </c>
      <c r="J3" s="2" t="s">
        <v>5</v>
      </c>
      <c r="K3" s="2" t="s">
        <v>6</v>
      </c>
      <c r="L3" s="2" t="s">
        <v>107</v>
      </c>
      <c r="M3" s="2" t="s">
        <v>716</v>
      </c>
      <c r="N3" s="2" t="s">
        <v>717</v>
      </c>
      <c r="O3" s="2" t="s">
        <v>110</v>
      </c>
      <c r="P3" s="2" t="s">
        <v>4</v>
      </c>
      <c r="Q3" s="19" t="s">
        <v>718</v>
      </c>
      <c r="R3" s="2" t="s">
        <v>0</v>
      </c>
      <c r="S3" s="19" t="s">
        <v>112</v>
      </c>
      <c r="T3" s="2" t="s">
        <v>170</v>
      </c>
      <c r="U3" s="2" t="s">
        <v>171</v>
      </c>
      <c r="V3" s="19" t="s">
        <v>183</v>
      </c>
      <c r="W3" s="19" t="s">
        <v>184</v>
      </c>
      <c r="X3" s="2" t="s">
        <v>172</v>
      </c>
      <c r="Y3" s="2" t="s">
        <v>173</v>
      </c>
      <c r="Z3" s="2" t="s">
        <v>174</v>
      </c>
      <c r="AA3" s="2" t="s">
        <v>175</v>
      </c>
      <c r="AB3" s="2" t="s">
        <v>176</v>
      </c>
      <c r="AC3" s="2" t="s">
        <v>177</v>
      </c>
      <c r="AD3" s="2" t="s">
        <v>178</v>
      </c>
      <c r="AE3" s="2" t="s">
        <v>179</v>
      </c>
      <c r="AF3" s="2" t="s">
        <v>180</v>
      </c>
      <c r="AG3" s="2" t="s">
        <v>563</v>
      </c>
      <c r="AH3" s="2" t="s">
        <v>562</v>
      </c>
      <c r="AI3" s="2" t="s">
        <v>181</v>
      </c>
      <c r="AJ3" s="2" t="s">
        <v>182</v>
      </c>
      <c r="AK3" s="2" t="s">
        <v>973</v>
      </c>
      <c r="AL3" s="2" t="s">
        <v>726</v>
      </c>
    </row>
    <row r="4" spans="1:38">
      <c r="A4" s="38">
        <v>101</v>
      </c>
      <c r="B4" s="16" t="s">
        <v>185</v>
      </c>
      <c r="C4" s="16" t="s">
        <v>553</v>
      </c>
      <c r="D4" s="38"/>
      <c r="E4" s="16"/>
      <c r="F4" s="16"/>
      <c r="G4" s="23">
        <v>0</v>
      </c>
      <c r="H4" s="23">
        <v>1</v>
      </c>
      <c r="I4" s="23">
        <v>1</v>
      </c>
      <c r="J4" s="23">
        <v>12.1</v>
      </c>
      <c r="K4" s="23">
        <v>0.5</v>
      </c>
      <c r="L4" s="23">
        <v>7.3</v>
      </c>
      <c r="M4" s="23">
        <v>0.75</v>
      </c>
      <c r="N4" s="23">
        <v>2.2000000000000002</v>
      </c>
      <c r="O4" s="23">
        <v>0</v>
      </c>
      <c r="P4" s="23"/>
      <c r="Q4" s="23">
        <v>77.150000000000006</v>
      </c>
      <c r="R4" s="23">
        <v>349</v>
      </c>
      <c r="S4" s="23">
        <f>+L4*4+M4*9+N4*2+O4*7+Q4*4</f>
        <v>348.95000000000005</v>
      </c>
      <c r="T4" s="23">
        <v>15</v>
      </c>
      <c r="U4" s="23">
        <v>1.3</v>
      </c>
      <c r="V4" s="23">
        <v>0</v>
      </c>
      <c r="W4" s="23">
        <v>1.3</v>
      </c>
      <c r="X4" s="23"/>
      <c r="Y4" s="23"/>
      <c r="Z4" s="23">
        <v>1.19</v>
      </c>
      <c r="AA4" s="23">
        <v>9.5</v>
      </c>
      <c r="AB4" s="23">
        <v>0</v>
      </c>
      <c r="AC4" s="23">
        <v>0.16</v>
      </c>
      <c r="AD4" s="23">
        <v>6.5000000000000002E-2</v>
      </c>
      <c r="AE4" s="23">
        <v>0</v>
      </c>
      <c r="AF4" s="23">
        <v>0</v>
      </c>
      <c r="AG4" s="23">
        <v>0</v>
      </c>
      <c r="AH4" s="23">
        <v>0</v>
      </c>
      <c r="AI4" s="23"/>
      <c r="AJ4" s="23">
        <v>0</v>
      </c>
      <c r="AK4" s="38">
        <v>101</v>
      </c>
      <c r="AL4" s="38">
        <v>1</v>
      </c>
    </row>
    <row r="5" spans="1:38">
      <c r="A5" s="38">
        <v>102</v>
      </c>
      <c r="B5" s="16" t="s">
        <v>186</v>
      </c>
      <c r="C5" s="16" t="s">
        <v>554</v>
      </c>
      <c r="D5" s="38"/>
      <c r="E5" s="16"/>
      <c r="F5" s="16"/>
      <c r="G5" s="23">
        <v>0</v>
      </c>
      <c r="H5" s="23">
        <v>1</v>
      </c>
      <c r="I5" s="23">
        <v>1</v>
      </c>
      <c r="J5" s="23">
        <v>12.1</v>
      </c>
      <c r="K5" s="23">
        <v>0.5</v>
      </c>
      <c r="L5" s="23">
        <v>7.3</v>
      </c>
      <c r="M5" s="23">
        <v>0.75</v>
      </c>
      <c r="N5" s="23">
        <v>2.2000000000000002</v>
      </c>
      <c r="O5" s="23">
        <v>0</v>
      </c>
      <c r="P5" s="23"/>
      <c r="Q5" s="23">
        <v>77.150000000000006</v>
      </c>
      <c r="R5" s="23">
        <v>349</v>
      </c>
      <c r="S5" s="23">
        <f t="shared" ref="S5:S70" si="0">+L5*4+M5*9+N5*2+O5*7+Q5*4</f>
        <v>348.95000000000005</v>
      </c>
      <c r="T5" s="23">
        <v>15</v>
      </c>
      <c r="U5" s="23">
        <v>1.3</v>
      </c>
      <c r="V5" s="23">
        <v>0</v>
      </c>
      <c r="W5" s="23">
        <v>1.3</v>
      </c>
      <c r="X5" s="23"/>
      <c r="Y5" s="23"/>
      <c r="Z5" s="23">
        <v>1.19</v>
      </c>
      <c r="AA5" s="23">
        <v>9.5</v>
      </c>
      <c r="AB5" s="23">
        <v>0</v>
      </c>
      <c r="AC5" s="23">
        <v>0.16</v>
      </c>
      <c r="AD5" s="23">
        <v>6.5000000000000002E-2</v>
      </c>
      <c r="AE5" s="23">
        <v>0</v>
      </c>
      <c r="AF5" s="23">
        <v>0</v>
      </c>
      <c r="AG5" s="23">
        <v>0</v>
      </c>
      <c r="AH5" s="23">
        <v>0</v>
      </c>
      <c r="AI5" s="23"/>
      <c r="AJ5" s="23">
        <v>0</v>
      </c>
      <c r="AK5" s="38">
        <v>101</v>
      </c>
      <c r="AL5" s="38">
        <v>1</v>
      </c>
    </row>
    <row r="6" spans="1:38">
      <c r="A6" s="38">
        <v>103</v>
      </c>
      <c r="B6" s="16" t="s">
        <v>187</v>
      </c>
      <c r="C6" s="16" t="s">
        <v>554</v>
      </c>
      <c r="D6" s="38"/>
      <c r="E6" s="16"/>
      <c r="F6" s="16"/>
      <c r="G6" s="23">
        <v>0</v>
      </c>
      <c r="H6" s="23">
        <v>1</v>
      </c>
      <c r="I6" s="23">
        <v>1</v>
      </c>
      <c r="J6" s="23">
        <v>12.1</v>
      </c>
      <c r="K6" s="23">
        <v>0.5</v>
      </c>
      <c r="L6" s="23">
        <v>7.3</v>
      </c>
      <c r="M6" s="23">
        <v>0.75</v>
      </c>
      <c r="N6" s="23">
        <v>2.2000000000000002</v>
      </c>
      <c r="O6" s="23">
        <v>0</v>
      </c>
      <c r="P6" s="23"/>
      <c r="Q6" s="23">
        <v>77.150000000000006</v>
      </c>
      <c r="R6" s="23">
        <v>349</v>
      </c>
      <c r="S6" s="23">
        <f t="shared" si="0"/>
        <v>348.95000000000005</v>
      </c>
      <c r="T6" s="23">
        <v>15</v>
      </c>
      <c r="U6" s="23">
        <v>1.3</v>
      </c>
      <c r="V6" s="23">
        <v>0</v>
      </c>
      <c r="W6" s="23">
        <v>1.3</v>
      </c>
      <c r="X6" s="23"/>
      <c r="Y6" s="23"/>
      <c r="Z6" s="23">
        <v>1.19</v>
      </c>
      <c r="AA6" s="23">
        <v>9.5</v>
      </c>
      <c r="AB6" s="23">
        <v>0</v>
      </c>
      <c r="AC6" s="23">
        <v>0.16</v>
      </c>
      <c r="AD6" s="23">
        <v>6.5000000000000002E-2</v>
      </c>
      <c r="AE6" s="23">
        <v>0</v>
      </c>
      <c r="AF6" s="23">
        <v>0</v>
      </c>
      <c r="AG6" s="23">
        <v>0</v>
      </c>
      <c r="AH6" s="23">
        <v>0</v>
      </c>
      <c r="AI6" s="23"/>
      <c r="AJ6" s="23">
        <v>0</v>
      </c>
      <c r="AK6" s="38">
        <v>101</v>
      </c>
      <c r="AL6" s="38">
        <v>1</v>
      </c>
    </row>
    <row r="7" spans="1:38">
      <c r="A7" s="38">
        <v>104</v>
      </c>
      <c r="B7" s="16" t="s">
        <v>188</v>
      </c>
      <c r="C7" s="16" t="s">
        <v>611</v>
      </c>
      <c r="D7" s="38" t="s">
        <v>613</v>
      </c>
      <c r="E7" s="16" t="s">
        <v>612</v>
      </c>
      <c r="F7" s="16"/>
      <c r="G7" s="23">
        <v>0</v>
      </c>
      <c r="H7" s="23">
        <v>1</v>
      </c>
      <c r="I7" s="23">
        <v>1</v>
      </c>
      <c r="J7" s="23">
        <v>11.9</v>
      </c>
      <c r="K7" s="23">
        <v>1.3</v>
      </c>
      <c r="L7" s="23">
        <v>7.8</v>
      </c>
      <c r="M7" s="23">
        <v>2.2000000000000002</v>
      </c>
      <c r="N7" s="23">
        <v>3</v>
      </c>
      <c r="O7" s="23">
        <v>0</v>
      </c>
      <c r="P7" s="23"/>
      <c r="Q7" s="23">
        <v>73.8</v>
      </c>
      <c r="R7" s="23">
        <v>352</v>
      </c>
      <c r="S7" s="23">
        <f t="shared" si="0"/>
        <v>352.2</v>
      </c>
      <c r="T7" s="23">
        <v>22</v>
      </c>
      <c r="U7" s="23">
        <v>1.9</v>
      </c>
      <c r="V7" s="23">
        <v>0</v>
      </c>
      <c r="W7" s="23">
        <v>1.9</v>
      </c>
      <c r="X7" s="23"/>
      <c r="Y7" s="23"/>
      <c r="Z7" s="23">
        <v>2.02</v>
      </c>
      <c r="AA7" s="23">
        <v>40</v>
      </c>
      <c r="AB7" s="23">
        <v>0</v>
      </c>
      <c r="AC7" s="23">
        <v>0.38</v>
      </c>
      <c r="AD7" s="23">
        <v>7.0000000000000007E-2</v>
      </c>
      <c r="AE7" s="23">
        <v>0</v>
      </c>
      <c r="AF7" s="23">
        <v>0</v>
      </c>
      <c r="AG7" s="23">
        <v>0</v>
      </c>
      <c r="AH7" s="23">
        <v>0</v>
      </c>
      <c r="AI7" s="23"/>
      <c r="AJ7" s="23">
        <v>0</v>
      </c>
      <c r="AK7" s="38">
        <v>101</v>
      </c>
      <c r="AL7" s="38">
        <v>1</v>
      </c>
    </row>
    <row r="8" spans="1:38">
      <c r="A8" s="38">
        <v>105</v>
      </c>
      <c r="B8" s="16" t="s">
        <v>189</v>
      </c>
      <c r="C8" s="16" t="s">
        <v>553</v>
      </c>
      <c r="D8" s="38"/>
      <c r="E8" s="16"/>
      <c r="F8" s="16"/>
      <c r="G8" s="23">
        <v>0</v>
      </c>
      <c r="H8" s="23">
        <v>1</v>
      </c>
      <c r="I8" s="23">
        <v>1</v>
      </c>
      <c r="J8" s="23">
        <v>13.149999999999999</v>
      </c>
      <c r="K8" s="23">
        <v>1.1000000000000001</v>
      </c>
      <c r="L8" s="23">
        <v>8.120000000000001</v>
      </c>
      <c r="M8" s="23">
        <v>4.0999999999999996</v>
      </c>
      <c r="N8" s="23">
        <v>10.65</v>
      </c>
      <c r="O8" s="23">
        <v>0</v>
      </c>
      <c r="P8" s="23"/>
      <c r="Q8" s="23">
        <v>62.88</v>
      </c>
      <c r="R8" s="23">
        <v>342.5</v>
      </c>
      <c r="S8" s="23">
        <f t="shared" si="0"/>
        <v>342.2</v>
      </c>
      <c r="T8" s="23">
        <v>15.5</v>
      </c>
      <c r="U8" s="23">
        <v>3.25</v>
      </c>
      <c r="V8" s="23">
        <v>0</v>
      </c>
      <c r="W8" s="23">
        <v>3.25</v>
      </c>
      <c r="X8" s="23"/>
      <c r="Y8" s="23"/>
      <c r="Z8" s="23">
        <v>2.09</v>
      </c>
      <c r="AA8" s="23">
        <v>52</v>
      </c>
      <c r="AB8" s="23">
        <v>0</v>
      </c>
      <c r="AC8" s="23">
        <v>0.375</v>
      </c>
      <c r="AD8" s="23">
        <v>0.11</v>
      </c>
      <c r="AE8" s="23">
        <v>0</v>
      </c>
      <c r="AF8" s="23">
        <v>120.5</v>
      </c>
      <c r="AG8" s="23">
        <v>10.041666666666666</v>
      </c>
      <c r="AH8" s="23">
        <v>20.083333333333332</v>
      </c>
      <c r="AI8" s="23"/>
      <c r="AJ8" s="23">
        <v>0</v>
      </c>
      <c r="AK8" s="65">
        <v>102</v>
      </c>
      <c r="AL8" s="38">
        <v>1</v>
      </c>
    </row>
    <row r="9" spans="1:38">
      <c r="A9" s="38">
        <v>106</v>
      </c>
      <c r="B9" s="16" t="s">
        <v>190</v>
      </c>
      <c r="C9" s="16" t="s">
        <v>555</v>
      </c>
      <c r="D9" s="38">
        <v>1023</v>
      </c>
      <c r="E9" s="16" t="s">
        <v>398</v>
      </c>
      <c r="F9" s="16"/>
      <c r="G9" s="23">
        <v>31.999999999999996</v>
      </c>
      <c r="H9" s="23">
        <v>1</v>
      </c>
      <c r="I9" s="23">
        <v>1</v>
      </c>
      <c r="J9" s="23">
        <v>55.1</v>
      </c>
      <c r="K9" s="23">
        <v>0.8</v>
      </c>
      <c r="L9" s="23">
        <v>4.0999999999999996</v>
      </c>
      <c r="M9" s="23">
        <v>2.5</v>
      </c>
      <c r="N9" s="23">
        <v>16.100000000000001</v>
      </c>
      <c r="O9" s="23">
        <v>0</v>
      </c>
      <c r="P9" s="23"/>
      <c r="Q9" s="23">
        <v>21.4</v>
      </c>
      <c r="R9" s="23">
        <v>157</v>
      </c>
      <c r="S9" s="23">
        <f t="shared" si="0"/>
        <v>156.69999999999999</v>
      </c>
      <c r="T9" s="23">
        <v>18</v>
      </c>
      <c r="U9" s="23">
        <v>1.2</v>
      </c>
      <c r="V9" s="23">
        <v>0</v>
      </c>
      <c r="W9" s="23">
        <v>1.2</v>
      </c>
      <c r="X9" s="23"/>
      <c r="Y9" s="23"/>
      <c r="Z9" s="23">
        <v>1.95</v>
      </c>
      <c r="AA9" s="23">
        <v>78</v>
      </c>
      <c r="AB9" s="23">
        <v>0.9</v>
      </c>
      <c r="AC9" s="23">
        <v>0.18</v>
      </c>
      <c r="AD9" s="23">
        <v>0.1</v>
      </c>
      <c r="AE9" s="23">
        <v>0</v>
      </c>
      <c r="AF9" s="23">
        <v>98</v>
      </c>
      <c r="AG9" s="23">
        <v>8</v>
      </c>
      <c r="AH9" s="23">
        <v>16</v>
      </c>
      <c r="AI9" s="23"/>
      <c r="AJ9" s="23">
        <v>0</v>
      </c>
      <c r="AK9" s="65">
        <v>102</v>
      </c>
      <c r="AL9" s="38">
        <v>1</v>
      </c>
    </row>
    <row r="10" spans="1:38">
      <c r="A10" s="38">
        <v>107</v>
      </c>
      <c r="B10" s="16" t="s">
        <v>191</v>
      </c>
      <c r="C10" s="16" t="s">
        <v>556</v>
      </c>
      <c r="D10" s="38"/>
      <c r="E10" s="16"/>
      <c r="F10" s="16"/>
      <c r="G10" s="23">
        <v>0</v>
      </c>
      <c r="H10" s="23">
        <v>1</v>
      </c>
      <c r="I10" s="23">
        <v>1</v>
      </c>
      <c r="J10" s="23">
        <v>55.1</v>
      </c>
      <c r="K10" s="23">
        <v>0.8</v>
      </c>
      <c r="L10" s="23">
        <v>4.0999999999999996</v>
      </c>
      <c r="M10" s="23">
        <v>2.5</v>
      </c>
      <c r="N10" s="23">
        <v>16.100000000000001</v>
      </c>
      <c r="O10" s="23">
        <v>0</v>
      </c>
      <c r="P10" s="23">
        <v>0</v>
      </c>
      <c r="Q10" s="23">
        <v>21.4</v>
      </c>
      <c r="R10" s="23">
        <v>157</v>
      </c>
      <c r="S10" s="23">
        <f t="shared" si="0"/>
        <v>156.69999999999999</v>
      </c>
      <c r="T10" s="23">
        <v>18</v>
      </c>
      <c r="U10" s="23">
        <v>1.2</v>
      </c>
      <c r="V10" s="23">
        <v>0</v>
      </c>
      <c r="W10" s="23">
        <v>1.2</v>
      </c>
      <c r="X10" s="23"/>
      <c r="Y10" s="23"/>
      <c r="Z10" s="23">
        <v>1.95</v>
      </c>
      <c r="AA10" s="23">
        <v>78</v>
      </c>
      <c r="AB10" s="23">
        <v>0.9</v>
      </c>
      <c r="AC10" s="23">
        <v>0.18</v>
      </c>
      <c r="AD10" s="23">
        <v>0.1</v>
      </c>
      <c r="AE10" s="23">
        <v>0</v>
      </c>
      <c r="AF10" s="23">
        <v>98</v>
      </c>
      <c r="AG10" s="23">
        <v>8</v>
      </c>
      <c r="AH10" s="23">
        <v>16</v>
      </c>
      <c r="AI10" s="23"/>
      <c r="AJ10" s="23">
        <v>0</v>
      </c>
      <c r="AK10" s="65">
        <v>102</v>
      </c>
      <c r="AL10" s="38">
        <v>1</v>
      </c>
    </row>
    <row r="11" spans="1:38">
      <c r="A11" s="38">
        <v>108</v>
      </c>
      <c r="B11" s="16" t="s">
        <v>192</v>
      </c>
      <c r="C11" s="16" t="s">
        <v>555</v>
      </c>
      <c r="D11" s="38">
        <v>1022</v>
      </c>
      <c r="E11" s="16" t="s">
        <v>559</v>
      </c>
      <c r="F11" s="16"/>
      <c r="G11" s="23">
        <v>0</v>
      </c>
      <c r="H11" s="23">
        <v>1</v>
      </c>
      <c r="I11" s="23">
        <v>1</v>
      </c>
      <c r="J11" s="23">
        <v>13.6</v>
      </c>
      <c r="K11" s="23">
        <v>1.2</v>
      </c>
      <c r="L11" s="23">
        <v>7.9</v>
      </c>
      <c r="M11" s="23">
        <v>4.5</v>
      </c>
      <c r="N11" s="23">
        <v>9.4</v>
      </c>
      <c r="O11" s="23">
        <v>0</v>
      </c>
      <c r="P11" s="23"/>
      <c r="Q11" s="23">
        <v>63.4</v>
      </c>
      <c r="R11" s="23">
        <v>345</v>
      </c>
      <c r="S11" s="23">
        <f t="shared" si="0"/>
        <v>344.5</v>
      </c>
      <c r="T11" s="23">
        <v>9</v>
      </c>
      <c r="U11" s="23">
        <v>2.6</v>
      </c>
      <c r="V11" s="23">
        <v>0</v>
      </c>
      <c r="W11" s="23">
        <v>2.6</v>
      </c>
      <c r="X11" s="23"/>
      <c r="Y11" s="23"/>
      <c r="Z11" s="23">
        <v>1.88</v>
      </c>
      <c r="AA11" s="23">
        <v>71</v>
      </c>
      <c r="AB11" s="23">
        <v>0</v>
      </c>
      <c r="AC11" s="23">
        <v>0.25</v>
      </c>
      <c r="AD11" s="23">
        <v>0.1</v>
      </c>
      <c r="AE11" s="23">
        <v>0</v>
      </c>
      <c r="AF11" s="23">
        <v>0</v>
      </c>
      <c r="AG11" s="23">
        <v>0</v>
      </c>
      <c r="AH11" s="23">
        <v>0</v>
      </c>
      <c r="AI11" s="23"/>
      <c r="AJ11" s="23">
        <v>0</v>
      </c>
      <c r="AK11" s="65">
        <v>102</v>
      </c>
      <c r="AL11" s="38">
        <v>1</v>
      </c>
    </row>
    <row r="12" spans="1:38">
      <c r="A12" s="38">
        <v>109</v>
      </c>
      <c r="B12" s="16" t="s">
        <v>193</v>
      </c>
      <c r="C12" s="16" t="s">
        <v>558</v>
      </c>
      <c r="D12" s="38">
        <v>19034</v>
      </c>
      <c r="E12" s="16" t="s">
        <v>557</v>
      </c>
      <c r="F12" s="16"/>
      <c r="G12" s="23">
        <v>0</v>
      </c>
      <c r="H12" s="23">
        <v>1</v>
      </c>
      <c r="I12" s="23">
        <v>1</v>
      </c>
      <c r="J12" s="23">
        <v>3.32</v>
      </c>
      <c r="K12" s="23">
        <v>1.42</v>
      </c>
      <c r="L12" s="23">
        <v>12.94</v>
      </c>
      <c r="M12" s="23">
        <v>4.54</v>
      </c>
      <c r="N12" s="23">
        <v>14.5</v>
      </c>
      <c r="O12" s="23">
        <v>0</v>
      </c>
      <c r="P12" s="23">
        <v>77.78</v>
      </c>
      <c r="Q12" s="23">
        <f>100-J12-K12-L12-M12-N12-O12</f>
        <v>63.28</v>
      </c>
      <c r="R12" s="23">
        <v>387</v>
      </c>
      <c r="S12" s="23">
        <f t="shared" si="0"/>
        <v>374.74</v>
      </c>
      <c r="T12" s="23">
        <v>7</v>
      </c>
      <c r="U12" s="23">
        <v>3.19</v>
      </c>
      <c r="V12" s="23">
        <v>0</v>
      </c>
      <c r="W12" s="23">
        <v>3.19</v>
      </c>
      <c r="X12" s="23"/>
      <c r="Y12" s="23"/>
      <c r="Z12" s="23">
        <v>3.08</v>
      </c>
      <c r="AA12" s="23">
        <v>31</v>
      </c>
      <c r="AB12" s="23">
        <v>0</v>
      </c>
      <c r="AC12" s="23">
        <v>0.104</v>
      </c>
      <c r="AD12" s="23">
        <v>8.3000000000000004E-2</v>
      </c>
      <c r="AE12" s="23">
        <v>0</v>
      </c>
      <c r="AF12" s="23">
        <v>118</v>
      </c>
      <c r="AG12" s="23">
        <v>9.8333333333333339</v>
      </c>
      <c r="AH12" s="23">
        <v>19.666666666666668</v>
      </c>
      <c r="AI12" s="23"/>
      <c r="AJ12" s="23">
        <v>0</v>
      </c>
      <c r="AK12" s="65">
        <v>102</v>
      </c>
      <c r="AL12" s="38">
        <v>1</v>
      </c>
    </row>
    <row r="13" spans="1:38">
      <c r="A13" s="38">
        <v>110</v>
      </c>
      <c r="B13" s="16" t="s">
        <v>194</v>
      </c>
      <c r="C13" s="16" t="s">
        <v>555</v>
      </c>
      <c r="D13" s="38">
        <v>1020</v>
      </c>
      <c r="E13" s="16" t="s">
        <v>414</v>
      </c>
      <c r="F13" s="16"/>
      <c r="G13" s="23">
        <v>0</v>
      </c>
      <c r="H13" s="23">
        <v>1</v>
      </c>
      <c r="I13" s="23">
        <v>1</v>
      </c>
      <c r="J13" s="23">
        <v>12.7</v>
      </c>
      <c r="K13" s="23">
        <v>0.7</v>
      </c>
      <c r="L13" s="23">
        <v>6.8</v>
      </c>
      <c r="M13" s="23">
        <v>3</v>
      </c>
      <c r="N13" s="23">
        <v>4.5</v>
      </c>
      <c r="O13" s="23">
        <v>0</v>
      </c>
      <c r="P13" s="23"/>
      <c r="Q13" s="23">
        <v>72.3</v>
      </c>
      <c r="R13" s="23">
        <v>352</v>
      </c>
      <c r="S13" s="23">
        <f t="shared" ref="S13" si="1">+L13*4+M13*9+N13*2+O13*7+Q13*4</f>
        <v>352.4</v>
      </c>
      <c r="T13" s="23">
        <v>20</v>
      </c>
      <c r="U13" s="23">
        <v>3.6</v>
      </c>
      <c r="V13" s="23">
        <v>0</v>
      </c>
      <c r="W13" s="23">
        <v>3.6</v>
      </c>
      <c r="X13" s="23"/>
      <c r="Y13" s="23"/>
      <c r="Z13" s="23">
        <v>4.3600000000000003</v>
      </c>
      <c r="AA13" s="23">
        <v>523</v>
      </c>
      <c r="AB13" s="23">
        <v>0</v>
      </c>
      <c r="AC13" s="23">
        <v>0.5</v>
      </c>
      <c r="AD13" s="23">
        <v>0.31</v>
      </c>
      <c r="AE13" s="23">
        <v>71.400000000000006</v>
      </c>
      <c r="AF13" s="23">
        <v>0</v>
      </c>
      <c r="AG13" s="23">
        <v>71</v>
      </c>
      <c r="AH13" s="23">
        <v>71</v>
      </c>
      <c r="AI13" s="23"/>
      <c r="AJ13" s="23">
        <v>0</v>
      </c>
      <c r="AK13" s="65">
        <v>102</v>
      </c>
      <c r="AL13" s="38">
        <v>1</v>
      </c>
    </row>
    <row r="14" spans="1:38">
      <c r="A14" s="38">
        <v>111</v>
      </c>
      <c r="B14" s="16" t="s">
        <v>195</v>
      </c>
      <c r="C14" s="16" t="s">
        <v>555</v>
      </c>
      <c r="D14" s="38">
        <v>1020</v>
      </c>
      <c r="E14" s="16" t="s">
        <v>414</v>
      </c>
      <c r="F14" s="16"/>
      <c r="G14" s="23">
        <v>0</v>
      </c>
      <c r="H14" s="23">
        <v>1</v>
      </c>
      <c r="I14" s="23">
        <v>1</v>
      </c>
      <c r="J14" s="23">
        <v>12.7</v>
      </c>
      <c r="K14" s="23">
        <v>0.7</v>
      </c>
      <c r="L14" s="23">
        <v>6.8</v>
      </c>
      <c r="M14" s="23">
        <v>3</v>
      </c>
      <c r="N14" s="23">
        <v>4.5</v>
      </c>
      <c r="O14" s="23">
        <v>0</v>
      </c>
      <c r="P14" s="23"/>
      <c r="Q14" s="23">
        <v>72.3</v>
      </c>
      <c r="R14" s="23">
        <v>352</v>
      </c>
      <c r="S14" s="23">
        <f t="shared" si="0"/>
        <v>352.4</v>
      </c>
      <c r="T14" s="23">
        <v>20</v>
      </c>
      <c r="U14" s="23">
        <v>3.6</v>
      </c>
      <c r="V14" s="23">
        <v>0</v>
      </c>
      <c r="W14" s="23">
        <v>3.6</v>
      </c>
      <c r="X14" s="23"/>
      <c r="Y14" s="23"/>
      <c r="Z14" s="23">
        <v>4.3600000000000003</v>
      </c>
      <c r="AA14" s="23">
        <v>523</v>
      </c>
      <c r="AB14" s="23">
        <v>0</v>
      </c>
      <c r="AC14" s="23">
        <v>0.5</v>
      </c>
      <c r="AD14" s="23">
        <v>0.31</v>
      </c>
      <c r="AE14" s="23">
        <v>71.400000000000006</v>
      </c>
      <c r="AF14" s="23">
        <v>0</v>
      </c>
      <c r="AG14" s="23">
        <v>71</v>
      </c>
      <c r="AH14" s="23">
        <v>71</v>
      </c>
      <c r="AI14" s="23"/>
      <c r="AJ14" s="23">
        <v>0</v>
      </c>
      <c r="AK14" s="65">
        <v>102</v>
      </c>
      <c r="AL14" s="38">
        <v>1</v>
      </c>
    </row>
    <row r="15" spans="1:38">
      <c r="A15" s="38">
        <v>113</v>
      </c>
      <c r="B15" s="16" t="s">
        <v>196</v>
      </c>
      <c r="C15" s="16" t="s">
        <v>555</v>
      </c>
      <c r="D15" s="38">
        <v>1045</v>
      </c>
      <c r="E15" s="16" t="s">
        <v>399</v>
      </c>
      <c r="F15" s="16"/>
      <c r="G15" s="23">
        <v>0</v>
      </c>
      <c r="H15" s="23">
        <v>1</v>
      </c>
      <c r="I15" s="23">
        <v>1</v>
      </c>
      <c r="J15" s="23">
        <v>12.5</v>
      </c>
      <c r="K15" s="23">
        <v>1.7</v>
      </c>
      <c r="L15" s="23">
        <v>11.6</v>
      </c>
      <c r="M15" s="23">
        <v>2.5</v>
      </c>
      <c r="N15" s="23">
        <v>14</v>
      </c>
      <c r="O15" s="23">
        <v>0</v>
      </c>
      <c r="P15" s="23"/>
      <c r="Q15" s="23">
        <v>57.8</v>
      </c>
      <c r="R15" s="23">
        <v>328</v>
      </c>
      <c r="S15" s="23">
        <f t="shared" si="0"/>
        <v>328.1</v>
      </c>
      <c r="T15" s="23">
        <v>39</v>
      </c>
      <c r="U15" s="23">
        <v>4.9000000000000004</v>
      </c>
      <c r="V15" s="23">
        <v>0</v>
      </c>
      <c r="W15" s="23">
        <v>4.9000000000000004</v>
      </c>
      <c r="X15" s="23"/>
      <c r="Y15" s="23"/>
      <c r="Z15" s="23">
        <v>3</v>
      </c>
      <c r="AA15" s="23">
        <v>57</v>
      </c>
      <c r="AB15" s="23">
        <v>0</v>
      </c>
      <c r="AC15" s="23">
        <v>0.39</v>
      </c>
      <c r="AD15" s="23">
        <v>0.13</v>
      </c>
      <c r="AE15" s="23">
        <v>0</v>
      </c>
      <c r="AF15" s="23">
        <v>5</v>
      </c>
      <c r="AG15" s="23">
        <v>0</v>
      </c>
      <c r="AH15" s="23">
        <v>1</v>
      </c>
      <c r="AI15" s="23"/>
      <c r="AJ15" s="23">
        <v>0</v>
      </c>
      <c r="AK15" s="65">
        <v>103</v>
      </c>
      <c r="AL15" s="38">
        <v>1</v>
      </c>
    </row>
    <row r="16" spans="1:38">
      <c r="A16" s="38">
        <v>114</v>
      </c>
      <c r="B16" s="16" t="s">
        <v>197</v>
      </c>
      <c r="C16" s="16" t="s">
        <v>555</v>
      </c>
      <c r="D16" s="38">
        <v>1042</v>
      </c>
      <c r="E16" s="16" t="s">
        <v>400</v>
      </c>
      <c r="F16" s="16"/>
      <c r="G16" s="23">
        <v>0</v>
      </c>
      <c r="H16" s="23">
        <v>1</v>
      </c>
      <c r="I16" s="23">
        <v>1</v>
      </c>
      <c r="J16" s="23">
        <v>11.7</v>
      </c>
      <c r="K16" s="23">
        <v>1.4</v>
      </c>
      <c r="L16" s="23">
        <v>11.4</v>
      </c>
      <c r="M16" s="23">
        <v>1.8</v>
      </c>
      <c r="N16" s="23">
        <v>11.3</v>
      </c>
      <c r="O16" s="23">
        <v>0</v>
      </c>
      <c r="P16" s="23"/>
      <c r="Q16" s="23">
        <v>62.4</v>
      </c>
      <c r="R16" s="23">
        <v>334</v>
      </c>
      <c r="S16" s="23">
        <f t="shared" si="0"/>
        <v>334</v>
      </c>
      <c r="T16" s="23">
        <v>34</v>
      </c>
      <c r="U16" s="23">
        <v>3.8</v>
      </c>
      <c r="V16" s="23">
        <v>0</v>
      </c>
      <c r="W16" s="23">
        <v>3.8</v>
      </c>
      <c r="X16" s="23"/>
      <c r="Y16" s="23"/>
      <c r="Z16" s="23">
        <v>2.33</v>
      </c>
      <c r="AA16" s="23">
        <v>80</v>
      </c>
      <c r="AB16" s="23">
        <v>0</v>
      </c>
      <c r="AC16" s="23">
        <v>0.5</v>
      </c>
      <c r="AD16" s="23">
        <v>0.14000000000000001</v>
      </c>
      <c r="AE16" s="23">
        <v>0</v>
      </c>
      <c r="AF16" s="23">
        <v>2</v>
      </c>
      <c r="AG16" s="23">
        <v>0</v>
      </c>
      <c r="AH16" s="23">
        <v>0</v>
      </c>
      <c r="AI16" s="23"/>
      <c r="AJ16" s="23">
        <v>0</v>
      </c>
      <c r="AK16" s="65">
        <v>103</v>
      </c>
      <c r="AL16" s="38">
        <v>1</v>
      </c>
    </row>
    <row r="17" spans="1:38">
      <c r="A17" s="38">
        <v>115</v>
      </c>
      <c r="B17" s="16" t="s">
        <v>198</v>
      </c>
      <c r="C17" s="16" t="s">
        <v>555</v>
      </c>
      <c r="D17" s="38">
        <v>1044</v>
      </c>
      <c r="E17" s="16" t="s">
        <v>401</v>
      </c>
      <c r="F17" s="16"/>
      <c r="G17" s="23">
        <v>0</v>
      </c>
      <c r="H17" s="23">
        <v>1</v>
      </c>
      <c r="I17" s="23">
        <v>1</v>
      </c>
      <c r="J17" s="23">
        <v>12.5</v>
      </c>
      <c r="K17" s="23">
        <v>1.7</v>
      </c>
      <c r="L17" s="23">
        <v>11.3</v>
      </c>
      <c r="M17" s="23">
        <v>2.5</v>
      </c>
      <c r="N17" s="23">
        <v>14</v>
      </c>
      <c r="O17" s="23">
        <v>0</v>
      </c>
      <c r="P17" s="23"/>
      <c r="Q17" s="23">
        <v>58</v>
      </c>
      <c r="R17" s="23">
        <v>328</v>
      </c>
      <c r="S17" s="23">
        <f t="shared" si="0"/>
        <v>327.7</v>
      </c>
      <c r="T17" s="23">
        <v>39</v>
      </c>
      <c r="U17" s="23">
        <v>4</v>
      </c>
      <c r="V17" s="23">
        <v>0</v>
      </c>
      <c r="W17" s="23">
        <v>4</v>
      </c>
      <c r="X17" s="23"/>
      <c r="Y17" s="23"/>
      <c r="Z17" s="23">
        <v>3</v>
      </c>
      <c r="AA17" s="23">
        <v>0</v>
      </c>
      <c r="AB17" s="23">
        <v>0</v>
      </c>
      <c r="AC17" s="23">
        <v>0.43</v>
      </c>
      <c r="AD17" s="23">
        <v>0.14000000000000001</v>
      </c>
      <c r="AE17" s="23">
        <v>0</v>
      </c>
      <c r="AF17" s="23">
        <v>3</v>
      </c>
      <c r="AG17" s="23">
        <v>0</v>
      </c>
      <c r="AH17" s="23">
        <v>1</v>
      </c>
      <c r="AI17" s="23"/>
      <c r="AJ17" s="23">
        <v>0</v>
      </c>
      <c r="AK17" s="65">
        <v>103</v>
      </c>
      <c r="AL17" s="38">
        <v>1</v>
      </c>
    </row>
    <row r="18" spans="1:38">
      <c r="A18" s="38">
        <v>116</v>
      </c>
      <c r="B18" s="16" t="s">
        <v>199</v>
      </c>
      <c r="C18" s="16" t="s">
        <v>555</v>
      </c>
      <c r="D18" s="38">
        <v>1043</v>
      </c>
      <c r="E18" s="16" t="s">
        <v>413</v>
      </c>
      <c r="F18" s="16"/>
      <c r="G18" s="23">
        <v>0</v>
      </c>
      <c r="H18" s="23">
        <v>1</v>
      </c>
      <c r="I18" s="23">
        <v>1</v>
      </c>
      <c r="J18" s="23">
        <v>12.2</v>
      </c>
      <c r="K18" s="23">
        <v>0.7</v>
      </c>
      <c r="L18" s="23">
        <v>11.2</v>
      </c>
      <c r="M18" s="23">
        <v>1.6</v>
      </c>
      <c r="N18" s="23">
        <v>3.6</v>
      </c>
      <c r="O18" s="23">
        <v>0</v>
      </c>
      <c r="P18" s="23"/>
      <c r="Q18" s="23">
        <v>70.7</v>
      </c>
      <c r="R18" s="23">
        <v>349</v>
      </c>
      <c r="S18" s="23">
        <f t="shared" si="0"/>
        <v>349.2</v>
      </c>
      <c r="T18" s="23">
        <v>35</v>
      </c>
      <c r="U18" s="23">
        <v>5.6</v>
      </c>
      <c r="V18" s="23">
        <v>0</v>
      </c>
      <c r="W18" s="23">
        <v>5.6</v>
      </c>
      <c r="X18" s="23"/>
      <c r="Y18" s="23"/>
      <c r="Z18" s="23">
        <v>0.87</v>
      </c>
      <c r="AA18" s="23">
        <v>577</v>
      </c>
      <c r="AB18" s="23">
        <v>0</v>
      </c>
      <c r="AC18" s="23">
        <v>0.91</v>
      </c>
      <c r="AD18" s="23">
        <v>0.56999999999999995</v>
      </c>
      <c r="AE18" s="23">
        <v>93</v>
      </c>
      <c r="AF18" s="23">
        <v>2</v>
      </c>
      <c r="AG18" s="23">
        <v>93</v>
      </c>
      <c r="AH18" s="23">
        <v>93</v>
      </c>
      <c r="AI18" s="23"/>
      <c r="AJ18" s="23">
        <v>0.7</v>
      </c>
      <c r="AK18" s="65">
        <v>103</v>
      </c>
      <c r="AL18" s="38">
        <v>1</v>
      </c>
    </row>
    <row r="19" spans="1:38">
      <c r="A19" s="38">
        <v>117</v>
      </c>
      <c r="B19" s="16" t="s">
        <v>200</v>
      </c>
      <c r="C19" s="16" t="s">
        <v>705</v>
      </c>
      <c r="D19" s="38">
        <v>1025</v>
      </c>
      <c r="E19" s="16" t="s">
        <v>402</v>
      </c>
      <c r="F19" s="16"/>
      <c r="G19" s="23">
        <v>0</v>
      </c>
      <c r="H19" s="23">
        <v>1</v>
      </c>
      <c r="I19" s="23">
        <v>1</v>
      </c>
      <c r="J19" s="23">
        <v>11</v>
      </c>
      <c r="K19" s="23">
        <v>2.7</v>
      </c>
      <c r="L19" s="23">
        <v>9.8000000000000007</v>
      </c>
      <c r="M19" s="23">
        <v>5.3</v>
      </c>
      <c r="N19" s="23">
        <v>8.8000000000000007</v>
      </c>
      <c r="O19" s="23">
        <v>0</v>
      </c>
      <c r="P19" s="23"/>
      <c r="Q19" s="23">
        <v>62.5</v>
      </c>
      <c r="R19" s="23">
        <v>354</v>
      </c>
      <c r="S19" s="23">
        <f t="shared" si="0"/>
        <v>354.5</v>
      </c>
      <c r="T19" s="23">
        <v>32</v>
      </c>
      <c r="U19" s="23">
        <v>6.3</v>
      </c>
      <c r="V19" s="23">
        <v>0</v>
      </c>
      <c r="W19" s="23">
        <v>6.3</v>
      </c>
      <c r="X19" s="23"/>
      <c r="Y19" s="23"/>
      <c r="Z19" s="23">
        <v>4.1399999999999997</v>
      </c>
      <c r="AA19" s="23">
        <v>162</v>
      </c>
      <c r="AB19" s="23">
        <v>3</v>
      </c>
      <c r="AC19" s="23">
        <v>0.27</v>
      </c>
      <c r="AD19" s="23">
        <v>0.17</v>
      </c>
      <c r="AE19" s="23">
        <v>0</v>
      </c>
      <c r="AF19" s="23">
        <v>28</v>
      </c>
      <c r="AG19" s="23">
        <v>2</v>
      </c>
      <c r="AH19" s="23">
        <v>5</v>
      </c>
      <c r="AI19" s="23"/>
      <c r="AJ19" s="23">
        <v>0</v>
      </c>
      <c r="AK19" s="65">
        <v>105</v>
      </c>
      <c r="AL19" s="38">
        <v>1</v>
      </c>
    </row>
    <row r="20" spans="1:38">
      <c r="A20" s="38">
        <v>118</v>
      </c>
      <c r="B20" s="16" t="s">
        <v>201</v>
      </c>
      <c r="C20" s="16" t="s">
        <v>553</v>
      </c>
      <c r="D20" s="38"/>
      <c r="E20" s="16"/>
      <c r="F20" s="16"/>
      <c r="G20" s="23">
        <v>0</v>
      </c>
      <c r="H20" s="23">
        <v>1</v>
      </c>
      <c r="I20" s="23">
        <v>1</v>
      </c>
      <c r="J20" s="23">
        <v>11.15</v>
      </c>
      <c r="K20" s="23">
        <v>3.1</v>
      </c>
      <c r="L20" s="23">
        <v>8.9499999999999993</v>
      </c>
      <c r="M20" s="23">
        <v>3.65</v>
      </c>
      <c r="N20" s="23">
        <v>15.700000000000001</v>
      </c>
      <c r="O20" s="23">
        <v>0</v>
      </c>
      <c r="P20" s="23"/>
      <c r="Q20" s="23">
        <v>57.449999999999989</v>
      </c>
      <c r="R20" s="23">
        <v>330</v>
      </c>
      <c r="S20" s="23">
        <f t="shared" si="0"/>
        <v>329.84999999999997</v>
      </c>
      <c r="T20" s="23">
        <v>188</v>
      </c>
      <c r="U20" s="23">
        <v>25.45</v>
      </c>
      <c r="V20" s="23">
        <v>0</v>
      </c>
      <c r="W20" s="23">
        <v>25.45</v>
      </c>
      <c r="X20" s="23"/>
      <c r="Y20" s="23"/>
      <c r="Z20" s="23">
        <v>2.92</v>
      </c>
      <c r="AA20" s="23">
        <v>127.5</v>
      </c>
      <c r="AB20" s="23">
        <v>1.5</v>
      </c>
      <c r="AC20" s="23">
        <v>0.23</v>
      </c>
      <c r="AD20" s="23">
        <v>0.10500000000000001</v>
      </c>
      <c r="AE20" s="23">
        <v>0</v>
      </c>
      <c r="AF20" s="23">
        <v>1</v>
      </c>
      <c r="AG20" s="23">
        <v>8.3333333333333329E-2</v>
      </c>
      <c r="AH20" s="23">
        <v>0.16666666666666666</v>
      </c>
      <c r="AI20" s="23"/>
      <c r="AJ20" s="23">
        <v>0</v>
      </c>
      <c r="AK20" s="65">
        <v>105</v>
      </c>
      <c r="AL20" s="38">
        <v>1</v>
      </c>
    </row>
    <row r="21" spans="1:38">
      <c r="A21" s="38">
        <v>119</v>
      </c>
      <c r="B21" s="16" t="s">
        <v>202</v>
      </c>
      <c r="C21" s="16" t="s">
        <v>561</v>
      </c>
      <c r="D21" s="38">
        <v>359</v>
      </c>
      <c r="E21" s="16" t="s">
        <v>560</v>
      </c>
      <c r="F21" s="16"/>
      <c r="G21" s="23">
        <v>0</v>
      </c>
      <c r="H21" s="23">
        <v>2</v>
      </c>
      <c r="I21" s="23">
        <v>2</v>
      </c>
      <c r="J21" s="23"/>
      <c r="K21" s="23"/>
      <c r="L21" s="23">
        <v>2.6</v>
      </c>
      <c r="M21" s="23">
        <v>0.7</v>
      </c>
      <c r="N21" s="23">
        <v>3.6</v>
      </c>
      <c r="O21" s="23">
        <v>0</v>
      </c>
      <c r="P21" s="23">
        <v>76.599999999999994</v>
      </c>
      <c r="Q21" s="23">
        <v>73</v>
      </c>
      <c r="R21" s="23">
        <v>314</v>
      </c>
      <c r="S21" s="23">
        <f t="shared" si="0"/>
        <v>315.89999999999998</v>
      </c>
      <c r="T21" s="23">
        <v>46</v>
      </c>
      <c r="U21" s="23">
        <v>1.9</v>
      </c>
      <c r="V21" s="23">
        <v>0</v>
      </c>
      <c r="W21" s="23">
        <v>1.9</v>
      </c>
      <c r="X21" s="23"/>
      <c r="Y21" s="23"/>
      <c r="Z21" s="23">
        <v>0.7</v>
      </c>
      <c r="AA21" s="23">
        <v>0</v>
      </c>
      <c r="AB21" s="23">
        <v>72</v>
      </c>
      <c r="AC21" s="23">
        <v>0.3</v>
      </c>
      <c r="AD21" s="23">
        <v>0.1</v>
      </c>
      <c r="AE21" s="23">
        <v>0</v>
      </c>
      <c r="AF21" s="23">
        <v>168</v>
      </c>
      <c r="AG21" s="23">
        <v>14</v>
      </c>
      <c r="AH21" s="23">
        <v>28</v>
      </c>
      <c r="AI21" s="23"/>
      <c r="AJ21" s="23">
        <v>0</v>
      </c>
      <c r="AK21" s="65">
        <v>202</v>
      </c>
      <c r="AL21" s="65">
        <v>2</v>
      </c>
    </row>
    <row r="22" spans="1:38">
      <c r="A22" s="38">
        <v>120</v>
      </c>
      <c r="B22" s="16" t="s">
        <v>203</v>
      </c>
      <c r="C22" s="16" t="s">
        <v>553</v>
      </c>
      <c r="D22" s="38"/>
      <c r="E22" s="16"/>
      <c r="F22" s="16"/>
      <c r="G22" s="23">
        <v>0</v>
      </c>
      <c r="H22" s="23">
        <v>1</v>
      </c>
      <c r="I22" s="23">
        <v>1</v>
      </c>
      <c r="J22" s="23">
        <v>11.7</v>
      </c>
      <c r="K22" s="23">
        <v>1.65</v>
      </c>
      <c r="L22" s="23">
        <v>10.050000000000001</v>
      </c>
      <c r="M22" s="23">
        <v>3.5</v>
      </c>
      <c r="N22" s="23">
        <v>12.95</v>
      </c>
      <c r="O22" s="23">
        <v>0</v>
      </c>
      <c r="P22" s="23"/>
      <c r="Q22" s="23">
        <v>60.149999999999991</v>
      </c>
      <c r="R22" s="23">
        <v>338.5</v>
      </c>
      <c r="S22" s="23">
        <f t="shared" si="0"/>
        <v>338.19999999999993</v>
      </c>
      <c r="T22" s="23">
        <v>14</v>
      </c>
      <c r="U22" s="23">
        <v>4.7</v>
      </c>
      <c r="V22" s="23">
        <v>0</v>
      </c>
      <c r="W22" s="23">
        <v>4.7</v>
      </c>
      <c r="X22" s="23"/>
      <c r="Y22" s="23"/>
      <c r="Z22" s="23">
        <v>1.83</v>
      </c>
      <c r="AA22" s="23">
        <v>64</v>
      </c>
      <c r="AB22" s="23">
        <v>0</v>
      </c>
      <c r="AC22" s="23">
        <v>0.24</v>
      </c>
      <c r="AD22" s="23">
        <v>0.11</v>
      </c>
      <c r="AE22" s="23">
        <v>0</v>
      </c>
      <c r="AF22" s="23">
        <v>10.5</v>
      </c>
      <c r="AG22" s="23">
        <v>0.875</v>
      </c>
      <c r="AH22" s="23">
        <v>1.75</v>
      </c>
      <c r="AI22" s="23"/>
      <c r="AJ22" s="23">
        <v>0</v>
      </c>
      <c r="AK22" s="65">
        <v>104</v>
      </c>
      <c r="AL22" s="38">
        <v>1</v>
      </c>
    </row>
    <row r="23" spans="1:38">
      <c r="A23" s="38">
        <v>121</v>
      </c>
      <c r="B23" s="16" t="s">
        <v>204</v>
      </c>
      <c r="C23" s="16" t="s">
        <v>553</v>
      </c>
      <c r="D23" s="38"/>
      <c r="E23" s="16"/>
      <c r="F23" s="16"/>
      <c r="G23" s="23">
        <v>0</v>
      </c>
      <c r="H23" s="23">
        <v>1</v>
      </c>
      <c r="I23" s="23">
        <v>1</v>
      </c>
      <c r="J23" s="23">
        <v>11.7</v>
      </c>
      <c r="K23" s="23">
        <v>1.65</v>
      </c>
      <c r="L23" s="23">
        <v>10.050000000000001</v>
      </c>
      <c r="M23" s="23">
        <v>3.5</v>
      </c>
      <c r="N23" s="23">
        <v>12.95</v>
      </c>
      <c r="O23" s="23">
        <v>0</v>
      </c>
      <c r="P23" s="23"/>
      <c r="Q23" s="23">
        <v>60.149999999999991</v>
      </c>
      <c r="R23" s="23">
        <v>338.5</v>
      </c>
      <c r="S23" s="23">
        <f t="shared" si="0"/>
        <v>338.19999999999993</v>
      </c>
      <c r="T23" s="23">
        <v>14</v>
      </c>
      <c r="U23" s="23">
        <v>4.7</v>
      </c>
      <c r="V23" s="23">
        <v>0</v>
      </c>
      <c r="W23" s="23">
        <v>4.7</v>
      </c>
      <c r="X23" s="23"/>
      <c r="Y23" s="23"/>
      <c r="Z23" s="23">
        <v>1.83</v>
      </c>
      <c r="AA23" s="23">
        <v>25</v>
      </c>
      <c r="AB23" s="23">
        <v>0</v>
      </c>
      <c r="AC23" s="23">
        <v>0.24</v>
      </c>
      <c r="AD23" s="23">
        <v>0.11</v>
      </c>
      <c r="AE23" s="23">
        <v>0</v>
      </c>
      <c r="AF23" s="23">
        <v>4.1449999999999996</v>
      </c>
      <c r="AG23" s="23">
        <v>0.34541666666666665</v>
      </c>
      <c r="AH23" s="23">
        <v>0.6908333333333333</v>
      </c>
      <c r="AI23" s="23"/>
      <c r="AJ23" s="23">
        <v>0</v>
      </c>
      <c r="AK23" s="65">
        <v>104</v>
      </c>
      <c r="AL23" s="38">
        <v>1</v>
      </c>
    </row>
    <row r="24" spans="1:38">
      <c r="A24" s="38">
        <v>122</v>
      </c>
      <c r="B24" s="16" t="s">
        <v>205</v>
      </c>
      <c r="C24" s="16" t="s">
        <v>566</v>
      </c>
      <c r="D24" s="38">
        <v>10014</v>
      </c>
      <c r="E24" s="16" t="s">
        <v>567</v>
      </c>
      <c r="F24" s="16"/>
      <c r="G24" s="23">
        <v>0</v>
      </c>
      <c r="H24" s="23">
        <v>6</v>
      </c>
      <c r="I24" s="23">
        <v>12</v>
      </c>
      <c r="J24" s="23">
        <v>4.9000000000000004</v>
      </c>
      <c r="K24" s="23">
        <v>5</v>
      </c>
      <c r="L24" s="23">
        <v>15.3</v>
      </c>
      <c r="M24" s="23">
        <v>54.1</v>
      </c>
      <c r="N24" s="23">
        <v>14.3</v>
      </c>
      <c r="O24" s="23">
        <v>0</v>
      </c>
      <c r="P24" s="23"/>
      <c r="Q24" s="23">
        <v>6.4</v>
      </c>
      <c r="R24" s="23">
        <v>602</v>
      </c>
      <c r="S24" s="23">
        <f t="shared" si="0"/>
        <v>602.30000000000007</v>
      </c>
      <c r="T24" s="23">
        <v>1430</v>
      </c>
      <c r="U24" s="23">
        <v>9.6999999999999993</v>
      </c>
      <c r="V24" s="23">
        <v>0</v>
      </c>
      <c r="W24" s="23">
        <v>9.6999999999999993</v>
      </c>
      <c r="X24" s="23"/>
      <c r="Y24" s="23"/>
      <c r="Z24" s="23">
        <v>1.72</v>
      </c>
      <c r="AA24" s="23">
        <v>103</v>
      </c>
      <c r="AB24" s="23">
        <v>0</v>
      </c>
      <c r="AC24" s="23">
        <v>1.01</v>
      </c>
      <c r="AD24" s="23">
        <v>0.34</v>
      </c>
      <c r="AE24" s="23">
        <v>0</v>
      </c>
      <c r="AF24" s="23">
        <v>5</v>
      </c>
      <c r="AG24" s="23">
        <v>0</v>
      </c>
      <c r="AH24" s="23">
        <v>1</v>
      </c>
      <c r="AI24" s="23"/>
      <c r="AJ24" s="23">
        <v>0</v>
      </c>
      <c r="AK24" s="65">
        <v>303</v>
      </c>
      <c r="AL24" s="65">
        <v>3</v>
      </c>
    </row>
    <row r="25" spans="1:38">
      <c r="A25" s="38">
        <v>123</v>
      </c>
      <c r="B25" s="16" t="s">
        <v>206</v>
      </c>
      <c r="C25" s="16" t="s">
        <v>553</v>
      </c>
      <c r="D25" s="38"/>
      <c r="E25" s="16"/>
      <c r="F25" s="16"/>
      <c r="G25" s="23">
        <v>0</v>
      </c>
      <c r="H25" s="23">
        <v>1</v>
      </c>
      <c r="I25" s="23">
        <v>1</v>
      </c>
      <c r="J25" s="23">
        <v>88.85</v>
      </c>
      <c r="K25" s="23">
        <v>0.35</v>
      </c>
      <c r="L25" s="23">
        <v>0.9</v>
      </c>
      <c r="M25" s="23">
        <v>0.5</v>
      </c>
      <c r="N25" s="23">
        <v>1.1499999999999999</v>
      </c>
      <c r="O25" s="23">
        <v>0</v>
      </c>
      <c r="P25" s="23"/>
      <c r="Q25" s="23">
        <v>8.2500000000000053</v>
      </c>
      <c r="R25" s="23">
        <v>43.5</v>
      </c>
      <c r="S25" s="23">
        <f t="shared" si="0"/>
        <v>43.40000000000002</v>
      </c>
      <c r="T25" s="23">
        <v>25.5</v>
      </c>
      <c r="U25" s="23">
        <v>0.45</v>
      </c>
      <c r="V25" s="23">
        <v>0</v>
      </c>
      <c r="W25" s="23">
        <v>0.45</v>
      </c>
      <c r="X25" s="23"/>
      <c r="Y25" s="23"/>
      <c r="Z25" s="23">
        <v>0.19500000000000001</v>
      </c>
      <c r="AA25" s="23">
        <v>4.5</v>
      </c>
      <c r="AB25" s="23">
        <v>0.05</v>
      </c>
      <c r="AC25" s="23">
        <v>1.4999999999999999E-2</v>
      </c>
      <c r="AD25" s="23">
        <v>3.0000000000000002E-2</v>
      </c>
      <c r="AE25" s="23">
        <v>3.5</v>
      </c>
      <c r="AF25" s="23">
        <v>2</v>
      </c>
      <c r="AG25" s="23">
        <v>3.6666666666666665</v>
      </c>
      <c r="AH25" s="23">
        <v>3.8333333333333335</v>
      </c>
      <c r="AI25" s="23"/>
      <c r="AJ25" s="23">
        <v>4.4999999999999998E-2</v>
      </c>
      <c r="AK25" s="65">
        <v>106</v>
      </c>
      <c r="AL25" s="38">
        <v>1</v>
      </c>
    </row>
    <row r="26" spans="1:38">
      <c r="A26" s="38">
        <v>124</v>
      </c>
      <c r="B26" s="16" t="s">
        <v>207</v>
      </c>
      <c r="C26" s="16" t="s">
        <v>553</v>
      </c>
      <c r="D26" s="38"/>
      <c r="E26" s="16"/>
      <c r="F26" s="16"/>
      <c r="G26" s="23">
        <v>0</v>
      </c>
      <c r="H26" s="23">
        <v>1</v>
      </c>
      <c r="I26" s="23">
        <v>1</v>
      </c>
      <c r="J26" s="23">
        <v>12.45</v>
      </c>
      <c r="K26" s="23">
        <v>0.7</v>
      </c>
      <c r="L26" s="23">
        <v>9</v>
      </c>
      <c r="M26" s="23">
        <v>2.2999999999999998</v>
      </c>
      <c r="N26" s="23">
        <v>4.05</v>
      </c>
      <c r="O26" s="23">
        <v>0</v>
      </c>
      <c r="P26" s="23"/>
      <c r="Q26" s="23">
        <v>71.5</v>
      </c>
      <c r="R26" s="23">
        <v>350.5</v>
      </c>
      <c r="S26" s="23">
        <f t="shared" si="0"/>
        <v>350.8</v>
      </c>
      <c r="T26" s="23">
        <v>27.5</v>
      </c>
      <c r="U26" s="23">
        <v>4.5999999999999996</v>
      </c>
      <c r="V26" s="23">
        <v>0</v>
      </c>
      <c r="W26" s="23">
        <v>4.5999999999999996</v>
      </c>
      <c r="X26" s="23"/>
      <c r="Y26" s="23"/>
      <c r="Z26" s="23">
        <v>2.6150000000000002</v>
      </c>
      <c r="AA26" s="23">
        <v>550</v>
      </c>
      <c r="AB26" s="23">
        <v>0</v>
      </c>
      <c r="AC26" s="23">
        <v>0.70500000000000007</v>
      </c>
      <c r="AD26" s="23">
        <v>0.43999999999999995</v>
      </c>
      <c r="AE26" s="23">
        <v>82.2</v>
      </c>
      <c r="AF26" s="23">
        <v>1</v>
      </c>
      <c r="AG26" s="23">
        <v>82.283333333333331</v>
      </c>
      <c r="AH26" s="23">
        <v>82.366666666666674</v>
      </c>
      <c r="AI26" s="23"/>
      <c r="AJ26" s="23">
        <v>0.35</v>
      </c>
      <c r="AK26" s="65">
        <v>106</v>
      </c>
      <c r="AL26" s="38">
        <v>1</v>
      </c>
    </row>
    <row r="27" spans="1:38">
      <c r="A27" s="38">
        <v>125</v>
      </c>
      <c r="B27" s="16" t="s">
        <v>208</v>
      </c>
      <c r="C27" s="16" t="s">
        <v>553</v>
      </c>
      <c r="D27" s="38"/>
      <c r="E27" s="16"/>
      <c r="F27" s="16"/>
      <c r="G27" s="23">
        <v>0</v>
      </c>
      <c r="H27" s="23">
        <v>6</v>
      </c>
      <c r="I27" s="23">
        <v>12</v>
      </c>
      <c r="J27" s="23">
        <v>7</v>
      </c>
      <c r="K27" s="23">
        <v>5.1349999999999998</v>
      </c>
      <c r="L27" s="23">
        <v>41</v>
      </c>
      <c r="M27" s="23">
        <v>14.44</v>
      </c>
      <c r="N27" s="23">
        <v>12.504999999999999</v>
      </c>
      <c r="O27" s="23">
        <v>0</v>
      </c>
      <c r="P27" s="23"/>
      <c r="Q27" s="23">
        <v>19.919999999999998</v>
      </c>
      <c r="R27" s="23">
        <v>399</v>
      </c>
      <c r="S27" s="23">
        <f t="shared" si="0"/>
        <v>398.65000000000003</v>
      </c>
      <c r="T27" s="23">
        <v>220</v>
      </c>
      <c r="U27" s="23">
        <v>7.6749999999999998</v>
      </c>
      <c r="V27" s="23">
        <v>0</v>
      </c>
      <c r="W27" s="23">
        <v>7.6749999999999998</v>
      </c>
      <c r="X27" s="23"/>
      <c r="Y27" s="23"/>
      <c r="Z27" s="23">
        <v>3.92</v>
      </c>
      <c r="AA27" s="23">
        <v>310</v>
      </c>
      <c r="AB27" s="23">
        <v>0</v>
      </c>
      <c r="AC27" s="23">
        <v>0.8</v>
      </c>
      <c r="AD27" s="23">
        <v>0.35</v>
      </c>
      <c r="AE27" s="23">
        <v>0</v>
      </c>
      <c r="AF27" s="23">
        <v>47</v>
      </c>
      <c r="AG27" s="23">
        <v>3.9166666666666665</v>
      </c>
      <c r="AH27" s="23">
        <v>7.833333333333333</v>
      </c>
      <c r="AI27" s="23"/>
      <c r="AJ27" s="23">
        <v>0</v>
      </c>
      <c r="AK27" s="65">
        <v>302</v>
      </c>
      <c r="AL27" s="65">
        <v>3</v>
      </c>
    </row>
    <row r="28" spans="1:38">
      <c r="A28" s="38">
        <v>126</v>
      </c>
      <c r="B28" s="16" t="s">
        <v>209</v>
      </c>
      <c r="C28" s="16" t="s">
        <v>566</v>
      </c>
      <c r="D28" s="38">
        <v>1</v>
      </c>
      <c r="E28" s="16" t="s">
        <v>719</v>
      </c>
      <c r="F28" s="16"/>
      <c r="G28" s="23">
        <v>0</v>
      </c>
      <c r="H28" s="23">
        <v>1</v>
      </c>
      <c r="I28" s="23">
        <v>1</v>
      </c>
      <c r="J28" s="23">
        <v>10</v>
      </c>
      <c r="K28" s="23">
        <v>3.1</v>
      </c>
      <c r="L28" s="23">
        <v>14.7</v>
      </c>
      <c r="M28" s="23">
        <v>5.6</v>
      </c>
      <c r="N28" s="23">
        <v>7.5</v>
      </c>
      <c r="O28" s="23">
        <v>0</v>
      </c>
      <c r="P28" s="23"/>
      <c r="Q28" s="23">
        <v>59.2</v>
      </c>
      <c r="R28" s="23">
        <v>360</v>
      </c>
      <c r="S28" s="23">
        <f t="shared" si="0"/>
        <v>361</v>
      </c>
      <c r="T28" s="23">
        <v>162</v>
      </c>
      <c r="U28" s="23">
        <v>9.5</v>
      </c>
      <c r="V28" s="23">
        <v>0</v>
      </c>
      <c r="W28" s="23">
        <v>9.5</v>
      </c>
      <c r="X28" s="23"/>
      <c r="Y28" s="23"/>
      <c r="Z28" s="23">
        <v>2.5</v>
      </c>
      <c r="AA28" s="23">
        <v>82</v>
      </c>
      <c r="AB28" s="23">
        <v>1</v>
      </c>
      <c r="AC28" s="23">
        <v>7.0000000000000007E-2</v>
      </c>
      <c r="AD28" s="23">
        <v>0.21</v>
      </c>
      <c r="AE28" s="23">
        <v>0</v>
      </c>
      <c r="AF28" s="23">
        <v>0</v>
      </c>
      <c r="AG28" s="23">
        <v>0</v>
      </c>
      <c r="AH28" s="23">
        <v>0</v>
      </c>
      <c r="AI28" s="23"/>
      <c r="AJ28" s="23">
        <v>0</v>
      </c>
      <c r="AK28" s="65">
        <v>106</v>
      </c>
      <c r="AL28" s="38">
        <v>1</v>
      </c>
    </row>
    <row r="29" spans="1:38">
      <c r="A29" s="38">
        <v>127</v>
      </c>
      <c r="B29" s="16" t="s">
        <v>210</v>
      </c>
      <c r="C29" s="16" t="s">
        <v>607</v>
      </c>
      <c r="D29" s="38">
        <v>20005</v>
      </c>
      <c r="E29" s="16" t="s">
        <v>610</v>
      </c>
      <c r="F29" s="16"/>
      <c r="G29" s="23">
        <v>0</v>
      </c>
      <c r="H29" s="23">
        <v>1</v>
      </c>
      <c r="I29" s="23">
        <v>1</v>
      </c>
      <c r="J29" s="23">
        <v>10.09</v>
      </c>
      <c r="K29" s="23">
        <v>1.1100000000000001</v>
      </c>
      <c r="L29" s="23">
        <v>9.91</v>
      </c>
      <c r="M29" s="23">
        <v>1.1599999999999999</v>
      </c>
      <c r="N29" s="23">
        <v>15.6</v>
      </c>
      <c r="O29" s="23">
        <v>0</v>
      </c>
      <c r="P29" s="23">
        <v>77.72</v>
      </c>
      <c r="Q29" s="23">
        <f>100-J29-K29-L29-M29-N29-O29</f>
        <v>62.13</v>
      </c>
      <c r="R29" s="23">
        <v>352</v>
      </c>
      <c r="S29" s="23">
        <f t="shared" si="0"/>
        <v>329.8</v>
      </c>
      <c r="T29" s="23">
        <v>29</v>
      </c>
      <c r="U29" s="23">
        <v>2.5</v>
      </c>
      <c r="V29" s="23">
        <v>0</v>
      </c>
      <c r="W29" s="23">
        <v>2.5</v>
      </c>
      <c r="X29" s="23"/>
      <c r="Y29" s="23"/>
      <c r="Z29" s="23">
        <v>2.13</v>
      </c>
      <c r="AA29" s="23">
        <v>23</v>
      </c>
      <c r="AB29" s="23">
        <v>0</v>
      </c>
      <c r="AC29" s="23">
        <v>0.191</v>
      </c>
      <c r="AD29" s="23">
        <v>0.114</v>
      </c>
      <c r="AE29" s="23">
        <v>0</v>
      </c>
      <c r="AF29" s="23">
        <v>13</v>
      </c>
      <c r="AG29" s="23">
        <v>1.0833333333333333</v>
      </c>
      <c r="AH29" s="23">
        <v>2.1666666666666665</v>
      </c>
      <c r="AI29" s="23"/>
      <c r="AJ29" s="23">
        <v>0</v>
      </c>
      <c r="AK29" s="65">
        <v>106</v>
      </c>
      <c r="AL29" s="38">
        <v>1</v>
      </c>
    </row>
    <row r="30" spans="1:38">
      <c r="A30" s="38">
        <v>128</v>
      </c>
      <c r="B30" s="16" t="s">
        <v>211</v>
      </c>
      <c r="C30" s="16" t="s">
        <v>553</v>
      </c>
      <c r="D30" s="38"/>
      <c r="E30" s="16"/>
      <c r="F30" s="16"/>
      <c r="G30" s="23">
        <v>0</v>
      </c>
      <c r="H30" s="23">
        <v>1</v>
      </c>
      <c r="I30" s="23">
        <v>1</v>
      </c>
      <c r="J30" s="23">
        <v>3.6</v>
      </c>
      <c r="K30" s="23">
        <v>2.5666666666666664</v>
      </c>
      <c r="L30" s="23">
        <v>8.8333333333333339</v>
      </c>
      <c r="M30" s="23">
        <v>1.0999999999999999</v>
      </c>
      <c r="N30" s="23">
        <v>5.15</v>
      </c>
      <c r="O30" s="23">
        <v>0</v>
      </c>
      <c r="P30" s="23"/>
      <c r="Q30" s="23">
        <v>78.750000000000014</v>
      </c>
      <c r="R30" s="23">
        <v>370.33333333333331</v>
      </c>
      <c r="S30" s="23">
        <f t="shared" si="0"/>
        <v>370.53333333333342</v>
      </c>
      <c r="T30" s="23">
        <v>12.066666666666668</v>
      </c>
      <c r="U30" s="23">
        <v>6.0666666666666664</v>
      </c>
      <c r="V30" s="23">
        <v>0</v>
      </c>
      <c r="W30" s="23">
        <v>6.0666666666666664</v>
      </c>
      <c r="X30" s="23"/>
      <c r="Y30" s="23"/>
      <c r="Z30" s="23">
        <v>0.79999999999999993</v>
      </c>
      <c r="AA30" s="23">
        <v>159.66666666666666</v>
      </c>
      <c r="AB30" s="23">
        <v>0</v>
      </c>
      <c r="AC30" s="23">
        <v>0.66666666666666663</v>
      </c>
      <c r="AD30" s="23">
        <v>0.94000000000000006</v>
      </c>
      <c r="AE30" s="23">
        <v>0</v>
      </c>
      <c r="AF30" s="23">
        <v>84.333333333333329</v>
      </c>
      <c r="AG30" s="23">
        <v>7.0277777777777777</v>
      </c>
      <c r="AH30" s="23">
        <v>14.055555555555555</v>
      </c>
      <c r="AI30" s="23"/>
      <c r="AJ30" s="23">
        <v>0</v>
      </c>
      <c r="AK30" s="65">
        <v>106</v>
      </c>
      <c r="AL30" s="38">
        <v>1</v>
      </c>
    </row>
    <row r="31" spans="1:38">
      <c r="A31" s="38">
        <v>129</v>
      </c>
      <c r="B31" s="16" t="s">
        <v>212</v>
      </c>
      <c r="C31" s="16" t="s">
        <v>553</v>
      </c>
      <c r="D31" s="38"/>
      <c r="E31" s="16"/>
      <c r="F31" s="16"/>
      <c r="G31" s="23">
        <v>0</v>
      </c>
      <c r="H31" s="23">
        <v>4</v>
      </c>
      <c r="I31" s="23">
        <v>12</v>
      </c>
      <c r="J31" s="23">
        <v>12.200000000000001</v>
      </c>
      <c r="K31" s="23">
        <v>3.7966666666666669</v>
      </c>
      <c r="L31" s="23">
        <v>22.866666666666664</v>
      </c>
      <c r="M31" s="23">
        <v>1.72</v>
      </c>
      <c r="N31" s="23">
        <v>20.766666666666666</v>
      </c>
      <c r="O31" s="23">
        <v>0</v>
      </c>
      <c r="P31" s="23"/>
      <c r="Q31" s="23">
        <v>38.650000000000006</v>
      </c>
      <c r="R31" s="23">
        <v>303</v>
      </c>
      <c r="S31" s="23">
        <f t="shared" si="0"/>
        <v>303.08000000000004</v>
      </c>
      <c r="T31" s="23">
        <v>88.666666666666671</v>
      </c>
      <c r="U31" s="23">
        <v>7.163333333333334</v>
      </c>
      <c r="V31" s="23">
        <v>0</v>
      </c>
      <c r="W31" s="23">
        <v>7.163333333333334</v>
      </c>
      <c r="X31" s="23"/>
      <c r="Y31" s="23"/>
      <c r="Z31" s="23">
        <v>2.9766666666666666</v>
      </c>
      <c r="AA31" s="23">
        <v>301</v>
      </c>
      <c r="AB31" s="23">
        <v>0.9</v>
      </c>
      <c r="AC31" s="23">
        <v>0.48</v>
      </c>
      <c r="AD31" s="23">
        <v>0.22333333333333336</v>
      </c>
      <c r="AE31" s="23">
        <v>0</v>
      </c>
      <c r="AF31" s="23">
        <v>11.666666666666666</v>
      </c>
      <c r="AG31" s="23">
        <v>0.97222222222222221</v>
      </c>
      <c r="AH31" s="23">
        <v>1.9444444444444444</v>
      </c>
      <c r="AI31" s="23"/>
      <c r="AJ31" s="23">
        <v>0</v>
      </c>
      <c r="AK31" s="65">
        <v>301</v>
      </c>
      <c r="AL31" s="65">
        <v>3</v>
      </c>
    </row>
    <row r="32" spans="1:38">
      <c r="A32" s="38">
        <v>130</v>
      </c>
      <c r="B32" s="16" t="s">
        <v>213</v>
      </c>
      <c r="C32" s="16" t="s">
        <v>566</v>
      </c>
      <c r="D32" s="38">
        <v>3019</v>
      </c>
      <c r="E32" s="16" t="s">
        <v>424</v>
      </c>
      <c r="F32" s="16"/>
      <c r="G32" s="23">
        <v>0</v>
      </c>
      <c r="H32" s="23">
        <v>4</v>
      </c>
      <c r="I32" s="23">
        <v>12</v>
      </c>
      <c r="J32" s="23">
        <v>11.6</v>
      </c>
      <c r="K32" s="23">
        <v>4.4000000000000004</v>
      </c>
      <c r="L32" s="23">
        <v>27.2</v>
      </c>
      <c r="M32" s="23">
        <v>1.7</v>
      </c>
      <c r="N32" s="23">
        <v>16.7</v>
      </c>
      <c r="O32" s="23">
        <v>0</v>
      </c>
      <c r="P32" s="23"/>
      <c r="Q32" s="23">
        <v>38.4</v>
      </c>
      <c r="R32" s="23">
        <v>311</v>
      </c>
      <c r="S32" s="23">
        <f t="shared" si="0"/>
        <v>311.10000000000002</v>
      </c>
      <c r="T32" s="23">
        <v>151</v>
      </c>
      <c r="U32" s="23">
        <v>7.6</v>
      </c>
      <c r="V32" s="23">
        <v>0</v>
      </c>
      <c r="W32" s="23">
        <v>7.6</v>
      </c>
      <c r="X32" s="23"/>
      <c r="Y32" s="23"/>
      <c r="Z32" s="23">
        <v>2.62</v>
      </c>
      <c r="AA32" s="23">
        <v>607</v>
      </c>
      <c r="AB32" s="23">
        <v>3</v>
      </c>
      <c r="AC32" s="23">
        <v>0.52</v>
      </c>
      <c r="AD32" s="23">
        <v>0.2</v>
      </c>
      <c r="AE32" s="23">
        <v>0</v>
      </c>
      <c r="AF32" s="23">
        <v>111</v>
      </c>
      <c r="AG32" s="23">
        <v>9</v>
      </c>
      <c r="AH32" s="23">
        <v>18</v>
      </c>
      <c r="AI32" s="23"/>
      <c r="AJ32" s="23">
        <v>0</v>
      </c>
      <c r="AK32" s="65">
        <v>301</v>
      </c>
      <c r="AL32" s="65">
        <v>3</v>
      </c>
    </row>
    <row r="33" spans="1:38">
      <c r="A33" s="38">
        <v>131</v>
      </c>
      <c r="B33" s="16" t="s">
        <v>214</v>
      </c>
      <c r="C33" s="16" t="s">
        <v>566</v>
      </c>
      <c r="D33" s="38">
        <v>3017</v>
      </c>
      <c r="E33" s="16" t="s">
        <v>425</v>
      </c>
      <c r="F33" s="16"/>
      <c r="G33" s="23">
        <v>0</v>
      </c>
      <c r="H33" s="23">
        <v>4</v>
      </c>
      <c r="I33" s="23">
        <v>12</v>
      </c>
      <c r="J33" s="23">
        <v>11.4</v>
      </c>
      <c r="K33" s="23">
        <v>3.51</v>
      </c>
      <c r="L33" s="23">
        <v>24.6</v>
      </c>
      <c r="M33" s="23">
        <v>1.7</v>
      </c>
      <c r="N33" s="23">
        <v>16.3</v>
      </c>
      <c r="O33" s="23">
        <v>0</v>
      </c>
      <c r="P33" s="23"/>
      <c r="Q33" s="23">
        <v>42.5</v>
      </c>
      <c r="R33" s="23">
        <v>316</v>
      </c>
      <c r="S33" s="23">
        <f t="shared" si="0"/>
        <v>316.3</v>
      </c>
      <c r="T33" s="23">
        <v>84</v>
      </c>
      <c r="U33" s="23">
        <v>6</v>
      </c>
      <c r="V33" s="23">
        <v>0</v>
      </c>
      <c r="W33" s="23">
        <v>6</v>
      </c>
      <c r="X33" s="23"/>
      <c r="Y33" s="23"/>
      <c r="Z33" s="23">
        <v>2.33</v>
      </c>
      <c r="AA33" s="23">
        <v>346</v>
      </c>
      <c r="AB33" s="23">
        <v>3</v>
      </c>
      <c r="AC33" s="23">
        <v>0.31</v>
      </c>
      <c r="AD33" s="23">
        <v>0.11</v>
      </c>
      <c r="AE33" s="23">
        <v>0</v>
      </c>
      <c r="AF33" s="23">
        <v>140</v>
      </c>
      <c r="AG33" s="23">
        <v>12</v>
      </c>
      <c r="AH33" s="23">
        <v>23</v>
      </c>
      <c r="AI33" s="23"/>
      <c r="AJ33" s="23">
        <v>0</v>
      </c>
      <c r="AK33" s="65">
        <v>301</v>
      </c>
      <c r="AL33" s="65">
        <v>3</v>
      </c>
    </row>
    <row r="34" spans="1:38">
      <c r="A34" s="38">
        <v>132</v>
      </c>
      <c r="B34" s="16" t="s">
        <v>215</v>
      </c>
      <c r="C34" s="16" t="s">
        <v>601</v>
      </c>
      <c r="D34" s="38"/>
      <c r="E34" s="16"/>
      <c r="F34" s="16"/>
      <c r="G34" s="23">
        <v>0</v>
      </c>
      <c r="H34" s="23">
        <v>4</v>
      </c>
      <c r="I34" s="23">
        <v>12</v>
      </c>
      <c r="J34" s="23">
        <v>11.5</v>
      </c>
      <c r="K34" s="23">
        <v>3.9550000000000001</v>
      </c>
      <c r="L34" s="23">
        <v>25.9</v>
      </c>
      <c r="M34" s="23">
        <v>1.7</v>
      </c>
      <c r="N34" s="23">
        <v>16.5</v>
      </c>
      <c r="O34" s="23">
        <v>0</v>
      </c>
      <c r="P34" s="23"/>
      <c r="Q34" s="23">
        <v>40.450000000000003</v>
      </c>
      <c r="R34" s="23">
        <v>313.5</v>
      </c>
      <c r="S34" s="23">
        <f t="shared" si="0"/>
        <v>313.7</v>
      </c>
      <c r="T34" s="23">
        <v>117.5</v>
      </c>
      <c r="U34" s="23">
        <v>6.8</v>
      </c>
      <c r="V34" s="23">
        <v>0</v>
      </c>
      <c r="W34" s="23">
        <v>6.8</v>
      </c>
      <c r="X34" s="23"/>
      <c r="Y34" s="23"/>
      <c r="Z34" s="23">
        <v>2.4750000000000001</v>
      </c>
      <c r="AA34" s="23">
        <v>476.5</v>
      </c>
      <c r="AB34" s="23">
        <v>3</v>
      </c>
      <c r="AC34" s="23">
        <v>0.41500000000000004</v>
      </c>
      <c r="AD34" s="23">
        <v>0.155</v>
      </c>
      <c r="AE34" s="23">
        <v>0</v>
      </c>
      <c r="AF34" s="23">
        <v>125.5</v>
      </c>
      <c r="AG34" s="23">
        <v>10.5</v>
      </c>
      <c r="AH34" s="23">
        <v>20.5</v>
      </c>
      <c r="AI34" s="23"/>
      <c r="AJ34" s="23">
        <v>0</v>
      </c>
      <c r="AK34" s="65">
        <v>301</v>
      </c>
      <c r="AL34" s="65">
        <v>3</v>
      </c>
    </row>
    <row r="35" spans="1:38">
      <c r="A35" s="38">
        <v>133</v>
      </c>
      <c r="B35" s="16" t="s">
        <v>216</v>
      </c>
      <c r="C35" s="16" t="s">
        <v>566</v>
      </c>
      <c r="D35" s="38">
        <v>3021</v>
      </c>
      <c r="E35" s="16" t="s">
        <v>427</v>
      </c>
      <c r="F35" s="16"/>
      <c r="G35" s="23">
        <v>0</v>
      </c>
      <c r="H35" s="23">
        <v>4</v>
      </c>
      <c r="I35" s="23">
        <v>12</v>
      </c>
      <c r="J35" s="23">
        <v>12.1</v>
      </c>
      <c r="K35" s="23">
        <v>3.8</v>
      </c>
      <c r="L35" s="23">
        <v>20.9</v>
      </c>
      <c r="M35" s="23">
        <v>2.1</v>
      </c>
      <c r="N35" s="23">
        <v>22.1</v>
      </c>
      <c r="O35" s="23">
        <v>0</v>
      </c>
      <c r="P35" s="23"/>
      <c r="Q35" s="23">
        <v>38.9</v>
      </c>
      <c r="R35" s="23">
        <v>303</v>
      </c>
      <c r="S35" s="23">
        <f t="shared" si="0"/>
        <v>302.29999999999995</v>
      </c>
      <c r="T35" s="23">
        <v>172</v>
      </c>
      <c r="U35" s="23">
        <v>5.4</v>
      </c>
      <c r="V35" s="23">
        <v>0</v>
      </c>
      <c r="W35" s="23">
        <v>5.4</v>
      </c>
      <c r="X35" s="23"/>
      <c r="Y35" s="23"/>
      <c r="Z35" s="23">
        <v>2.9</v>
      </c>
      <c r="AA35" s="23">
        <v>340</v>
      </c>
      <c r="AB35" s="23">
        <v>1.5</v>
      </c>
      <c r="AC35" s="23">
        <v>0.72</v>
      </c>
      <c r="AD35" s="23">
        <v>0.14000000000000001</v>
      </c>
      <c r="AE35" s="23">
        <v>0</v>
      </c>
      <c r="AF35" s="23">
        <v>230</v>
      </c>
      <c r="AG35" s="23">
        <v>19</v>
      </c>
      <c r="AH35" s="23">
        <v>38</v>
      </c>
      <c r="AI35" s="23"/>
      <c r="AJ35" s="23">
        <v>0</v>
      </c>
      <c r="AK35" s="65">
        <v>301</v>
      </c>
      <c r="AL35" s="65">
        <v>3</v>
      </c>
    </row>
    <row r="36" spans="1:38">
      <c r="A36" s="38">
        <v>134</v>
      </c>
      <c r="B36" s="16" t="s">
        <v>217</v>
      </c>
      <c r="C36" s="16" t="s">
        <v>566</v>
      </c>
      <c r="D36" s="38">
        <v>10009</v>
      </c>
      <c r="E36" s="16" t="s">
        <v>568</v>
      </c>
      <c r="F36" s="16"/>
      <c r="G36" s="23">
        <v>0</v>
      </c>
      <c r="H36" s="23">
        <v>5</v>
      </c>
      <c r="I36" s="23">
        <v>12</v>
      </c>
      <c r="J36" s="23">
        <v>5.9</v>
      </c>
      <c r="K36" s="23">
        <v>2.2999999999999998</v>
      </c>
      <c r="L36" s="23">
        <v>20.100000000000001</v>
      </c>
      <c r="M36" s="23">
        <v>48.4</v>
      </c>
      <c r="N36" s="23">
        <v>8.3000000000000007</v>
      </c>
      <c r="O36" s="23">
        <v>0</v>
      </c>
      <c r="P36" s="23"/>
      <c r="Q36" s="23">
        <v>15</v>
      </c>
      <c r="R36" s="23">
        <v>593</v>
      </c>
      <c r="S36" s="23">
        <f t="shared" si="0"/>
        <v>592.6</v>
      </c>
      <c r="T36" s="23">
        <v>117</v>
      </c>
      <c r="U36" s="23">
        <v>5.5</v>
      </c>
      <c r="V36" s="23">
        <v>0</v>
      </c>
      <c r="W36" s="23">
        <v>5.5</v>
      </c>
      <c r="X36" s="23"/>
      <c r="Y36" s="23"/>
      <c r="Z36" s="23">
        <v>2.2400000000000002</v>
      </c>
      <c r="AA36" s="23">
        <v>110</v>
      </c>
      <c r="AB36" s="23">
        <v>0</v>
      </c>
      <c r="AC36" s="23">
        <v>0.85</v>
      </c>
      <c r="AD36" s="23">
        <v>0.14000000000000001</v>
      </c>
      <c r="AE36" s="23">
        <v>0</v>
      </c>
      <c r="AF36" s="23">
        <v>4</v>
      </c>
      <c r="AG36" s="23">
        <v>0</v>
      </c>
      <c r="AH36" s="23">
        <v>1</v>
      </c>
      <c r="AI36" s="23"/>
      <c r="AJ36" s="23">
        <v>0</v>
      </c>
      <c r="AK36" s="65">
        <v>303</v>
      </c>
      <c r="AL36" s="65">
        <v>3</v>
      </c>
    </row>
    <row r="37" spans="1:38">
      <c r="A37" s="38">
        <v>135</v>
      </c>
      <c r="B37" s="16" t="s">
        <v>218</v>
      </c>
      <c r="C37" s="16" t="s">
        <v>566</v>
      </c>
      <c r="D37" s="38">
        <v>10010</v>
      </c>
      <c r="E37" s="16" t="s">
        <v>569</v>
      </c>
      <c r="F37" s="16"/>
      <c r="G37" s="23">
        <v>73</v>
      </c>
      <c r="H37" s="23">
        <v>5</v>
      </c>
      <c r="I37" s="23">
        <v>12</v>
      </c>
      <c r="J37" s="23">
        <v>7.7</v>
      </c>
      <c r="K37" s="23">
        <v>1.4</v>
      </c>
      <c r="L37" s="23">
        <v>6.8</v>
      </c>
      <c r="M37" s="23">
        <v>70.900000000000006</v>
      </c>
      <c r="N37" s="23">
        <v>11.2</v>
      </c>
      <c r="O37" s="23">
        <v>0</v>
      </c>
      <c r="P37" s="23"/>
      <c r="Q37" s="23">
        <v>2</v>
      </c>
      <c r="R37" s="23">
        <v>696</v>
      </c>
      <c r="S37" s="23">
        <f t="shared" si="0"/>
        <v>695.7</v>
      </c>
      <c r="T37" s="23">
        <v>44</v>
      </c>
      <c r="U37" s="23">
        <v>2.2000000000000002</v>
      </c>
      <c r="V37" s="23">
        <v>0</v>
      </c>
      <c r="W37" s="23">
        <v>2.2000000000000002</v>
      </c>
      <c r="X37" s="23"/>
      <c r="Y37" s="23"/>
      <c r="Z37" s="23">
        <v>1.3</v>
      </c>
      <c r="AA37" s="23">
        <v>114</v>
      </c>
      <c r="AB37" s="23">
        <v>4.5999999999999996</v>
      </c>
      <c r="AC37" s="23">
        <v>0.27</v>
      </c>
      <c r="AD37" s="23">
        <v>0.1</v>
      </c>
      <c r="AE37" s="23">
        <v>0</v>
      </c>
      <c r="AF37" s="23">
        <v>0</v>
      </c>
      <c r="AG37" s="23">
        <v>0</v>
      </c>
      <c r="AH37" s="23">
        <v>0</v>
      </c>
      <c r="AI37" s="23"/>
      <c r="AJ37" s="23">
        <v>0</v>
      </c>
      <c r="AK37" s="65">
        <v>303</v>
      </c>
      <c r="AL37" s="65">
        <v>3</v>
      </c>
    </row>
    <row r="38" spans="1:38">
      <c r="A38" s="38">
        <v>136</v>
      </c>
      <c r="B38" s="16" t="s">
        <v>219</v>
      </c>
      <c r="C38" s="16" t="s">
        <v>566</v>
      </c>
      <c r="D38" s="38">
        <v>10008</v>
      </c>
      <c r="E38" s="16" t="s">
        <v>570</v>
      </c>
      <c r="F38" s="16"/>
      <c r="G38" s="23">
        <v>0</v>
      </c>
      <c r="H38" s="23">
        <v>5</v>
      </c>
      <c r="I38" s="23">
        <v>12</v>
      </c>
      <c r="J38" s="23">
        <v>5.9</v>
      </c>
      <c r="K38" s="23">
        <v>2.2999999999999998</v>
      </c>
      <c r="L38" s="23">
        <v>16.5</v>
      </c>
      <c r="M38" s="23">
        <v>48</v>
      </c>
      <c r="N38" s="23">
        <v>5.8</v>
      </c>
      <c r="O38" s="23">
        <v>0</v>
      </c>
      <c r="P38" s="23"/>
      <c r="Q38" s="23">
        <v>21.5</v>
      </c>
      <c r="R38" s="23">
        <v>595</v>
      </c>
      <c r="S38" s="23">
        <f t="shared" si="0"/>
        <v>595.6</v>
      </c>
      <c r="T38" s="23">
        <v>33</v>
      </c>
      <c r="U38" s="23">
        <v>4.9000000000000004</v>
      </c>
      <c r="V38" s="23">
        <v>0</v>
      </c>
      <c r="W38" s="23">
        <v>4.9000000000000004</v>
      </c>
      <c r="X38" s="23"/>
      <c r="Y38" s="23"/>
      <c r="Z38" s="23">
        <v>5.36</v>
      </c>
      <c r="AA38" s="23">
        <v>24</v>
      </c>
      <c r="AB38" s="23">
        <v>0</v>
      </c>
      <c r="AC38" s="23">
        <v>0.65</v>
      </c>
      <c r="AD38" s="23">
        <v>0.25</v>
      </c>
      <c r="AE38" s="23">
        <v>0</v>
      </c>
      <c r="AF38" s="23">
        <v>6</v>
      </c>
      <c r="AG38" s="23">
        <v>0.5</v>
      </c>
      <c r="AH38" s="23">
        <v>1</v>
      </c>
      <c r="AI38" s="23"/>
      <c r="AJ38" s="23">
        <v>0</v>
      </c>
      <c r="AK38" s="65">
        <v>303</v>
      </c>
      <c r="AL38" s="65">
        <v>3</v>
      </c>
    </row>
    <row r="39" spans="1:38">
      <c r="A39" s="38">
        <v>137</v>
      </c>
      <c r="B39" s="16" t="s">
        <v>220</v>
      </c>
      <c r="C39" s="16" t="s">
        <v>566</v>
      </c>
      <c r="D39" s="38">
        <v>3011</v>
      </c>
      <c r="E39" s="16" t="s">
        <v>428</v>
      </c>
      <c r="F39" s="16"/>
      <c r="G39" s="23">
        <v>0</v>
      </c>
      <c r="H39" s="23">
        <v>4</v>
      </c>
      <c r="I39" s="23">
        <v>12</v>
      </c>
      <c r="J39" s="23">
        <v>12.4</v>
      </c>
      <c r="K39" s="23">
        <v>3.6</v>
      </c>
      <c r="L39" s="23">
        <v>25.3</v>
      </c>
      <c r="M39" s="23">
        <v>1.1000000000000001</v>
      </c>
      <c r="N39" s="23">
        <v>14.3</v>
      </c>
      <c r="O39" s="23">
        <v>0</v>
      </c>
      <c r="P39" s="23"/>
      <c r="Q39" s="23">
        <v>43.3</v>
      </c>
      <c r="R39" s="23">
        <v>313</v>
      </c>
      <c r="S39" s="23">
        <f t="shared" si="0"/>
        <v>312.89999999999998</v>
      </c>
      <c r="T39" s="23">
        <v>112</v>
      </c>
      <c r="U39" s="23">
        <v>5.97</v>
      </c>
      <c r="V39" s="23">
        <v>0</v>
      </c>
      <c r="W39" s="23">
        <v>5.97</v>
      </c>
      <c r="X39" s="23"/>
      <c r="Y39" s="23"/>
      <c r="Z39" s="23">
        <v>3.37</v>
      </c>
      <c r="AA39" s="23">
        <v>439</v>
      </c>
      <c r="AB39" s="23">
        <v>1.5</v>
      </c>
      <c r="AC39" s="23">
        <v>0.9</v>
      </c>
      <c r="AD39" s="23">
        <v>0.15</v>
      </c>
      <c r="AE39" s="23">
        <v>0</v>
      </c>
      <c r="AF39" s="23">
        <v>19</v>
      </c>
      <c r="AG39" s="23">
        <v>2</v>
      </c>
      <c r="AH39" s="23">
        <v>3</v>
      </c>
      <c r="AI39" s="23"/>
      <c r="AJ39" s="23">
        <v>0</v>
      </c>
      <c r="AK39" s="65">
        <v>301</v>
      </c>
      <c r="AL39" s="65">
        <v>3</v>
      </c>
    </row>
    <row r="40" spans="1:38">
      <c r="A40" s="38">
        <v>138</v>
      </c>
      <c r="B40" s="16" t="s">
        <v>221</v>
      </c>
      <c r="C40" s="16" t="s">
        <v>566</v>
      </c>
      <c r="D40" s="38">
        <v>3010</v>
      </c>
      <c r="E40" s="16" t="s">
        <v>429</v>
      </c>
      <c r="F40" s="16"/>
      <c r="G40" s="23">
        <v>0</v>
      </c>
      <c r="H40" s="23">
        <v>4</v>
      </c>
      <c r="I40" s="23">
        <v>12</v>
      </c>
      <c r="J40" s="23">
        <v>9.9</v>
      </c>
      <c r="K40" s="23">
        <v>3.1</v>
      </c>
      <c r="L40" s="23">
        <v>22.3</v>
      </c>
      <c r="M40" s="23">
        <v>5.0999999999999996</v>
      </c>
      <c r="N40" s="23">
        <v>25.2</v>
      </c>
      <c r="O40" s="23">
        <v>0</v>
      </c>
      <c r="P40" s="23"/>
      <c r="Q40" s="23">
        <v>34.299999999999997</v>
      </c>
      <c r="R40" s="23">
        <v>323</v>
      </c>
      <c r="S40" s="23">
        <f t="shared" si="0"/>
        <v>322.7</v>
      </c>
      <c r="T40" s="23">
        <v>235</v>
      </c>
      <c r="U40" s="23">
        <v>6.8</v>
      </c>
      <c r="V40" s="23">
        <v>0</v>
      </c>
      <c r="W40" s="23">
        <v>6.8</v>
      </c>
      <c r="X40" s="23"/>
      <c r="Y40" s="23"/>
      <c r="Z40" s="23">
        <v>3.37</v>
      </c>
      <c r="AA40" s="23">
        <v>400</v>
      </c>
      <c r="AB40" s="23">
        <v>8</v>
      </c>
      <c r="AC40" s="23">
        <v>0.48</v>
      </c>
      <c r="AD40" s="23">
        <v>0.16</v>
      </c>
      <c r="AE40" s="23">
        <v>0</v>
      </c>
      <c r="AF40" s="23">
        <v>175</v>
      </c>
      <c r="AG40" s="23">
        <v>15</v>
      </c>
      <c r="AH40" s="23">
        <v>29</v>
      </c>
      <c r="AI40" s="23"/>
      <c r="AJ40" s="23">
        <v>0</v>
      </c>
      <c r="AK40" s="65">
        <v>301</v>
      </c>
      <c r="AL40" s="65">
        <v>3</v>
      </c>
    </row>
    <row r="41" spans="1:38">
      <c r="A41" s="38">
        <v>139</v>
      </c>
      <c r="B41" s="16" t="s">
        <v>222</v>
      </c>
      <c r="C41" s="16" t="s">
        <v>566</v>
      </c>
      <c r="D41" s="38">
        <v>3007</v>
      </c>
      <c r="E41" s="16" t="s">
        <v>430</v>
      </c>
      <c r="F41" s="16"/>
      <c r="G41" s="23">
        <v>0</v>
      </c>
      <c r="H41" s="23">
        <v>4</v>
      </c>
      <c r="I41" s="23">
        <v>12</v>
      </c>
      <c r="J41" s="23">
        <v>90.7</v>
      </c>
      <c r="K41" s="23">
        <v>1.2</v>
      </c>
      <c r="L41" s="23">
        <v>1.8</v>
      </c>
      <c r="M41" s="23">
        <v>0.2</v>
      </c>
      <c r="N41" s="23">
        <v>3.4</v>
      </c>
      <c r="O41" s="23">
        <v>0</v>
      </c>
      <c r="P41" s="23"/>
      <c r="Q41" s="23">
        <v>2.8</v>
      </c>
      <c r="R41" s="23">
        <v>27</v>
      </c>
      <c r="S41" s="23">
        <f t="shared" si="0"/>
        <v>27</v>
      </c>
      <c r="T41" s="23">
        <v>29</v>
      </c>
      <c r="U41" s="23">
        <v>1</v>
      </c>
      <c r="V41" s="23">
        <v>0</v>
      </c>
      <c r="W41" s="23">
        <v>1</v>
      </c>
      <c r="X41" s="23"/>
      <c r="Y41" s="23"/>
      <c r="Z41" s="23">
        <v>0.27</v>
      </c>
      <c r="AA41" s="23">
        <v>18</v>
      </c>
      <c r="AB41" s="23">
        <v>3.1</v>
      </c>
      <c r="AC41" s="23">
        <v>0.03</v>
      </c>
      <c r="AD41" s="23">
        <v>0.05</v>
      </c>
      <c r="AE41" s="23">
        <v>0</v>
      </c>
      <c r="AF41" s="23">
        <v>137</v>
      </c>
      <c r="AG41" s="23">
        <v>11</v>
      </c>
      <c r="AH41" s="23">
        <v>23</v>
      </c>
      <c r="AI41" s="23"/>
      <c r="AJ41" s="23">
        <v>0</v>
      </c>
      <c r="AK41" s="65">
        <v>301</v>
      </c>
      <c r="AL41" s="65">
        <v>3</v>
      </c>
    </row>
    <row r="42" spans="1:38">
      <c r="A42" s="38">
        <v>140</v>
      </c>
      <c r="B42" s="16" t="s">
        <v>223</v>
      </c>
      <c r="C42" s="16" t="s">
        <v>553</v>
      </c>
      <c r="D42" s="38"/>
      <c r="E42" s="16"/>
      <c r="F42" s="16"/>
      <c r="G42" s="23">
        <v>0</v>
      </c>
      <c r="H42" s="23">
        <v>1</v>
      </c>
      <c r="I42" s="23">
        <v>12</v>
      </c>
      <c r="J42" s="23">
        <v>4.794999999999999</v>
      </c>
      <c r="K42" s="23">
        <v>2.7683333333333331</v>
      </c>
      <c r="L42" s="23">
        <v>8.8116666666666674</v>
      </c>
      <c r="M42" s="23">
        <v>5.246666666666667</v>
      </c>
      <c r="N42" s="23">
        <v>5.8500000000000005</v>
      </c>
      <c r="O42" s="23">
        <v>0</v>
      </c>
      <c r="P42" s="23"/>
      <c r="Q42" s="23">
        <v>72.528333333333336</v>
      </c>
      <c r="R42" s="23">
        <v>395.33333333333331</v>
      </c>
      <c r="S42" s="23">
        <f t="shared" si="0"/>
        <v>384.28000000000003</v>
      </c>
      <c r="T42" s="23">
        <v>719.66666666666663</v>
      </c>
      <c r="U42" s="23">
        <v>45.486666666666672</v>
      </c>
      <c r="V42" s="23">
        <v>0</v>
      </c>
      <c r="W42" s="23">
        <v>45.486666666666672</v>
      </c>
      <c r="X42" s="23"/>
      <c r="Y42" s="23"/>
      <c r="Z42" s="23">
        <v>8.01</v>
      </c>
      <c r="AA42" s="23">
        <v>241.83333333333334</v>
      </c>
      <c r="AB42" s="23">
        <v>19.833333333333332</v>
      </c>
      <c r="AC42" s="23">
        <v>1.1299999999999999</v>
      </c>
      <c r="AD42" s="23">
        <v>1.1580000000000001</v>
      </c>
      <c r="AE42" s="23">
        <v>0</v>
      </c>
      <c r="AF42" s="23">
        <v>0</v>
      </c>
      <c r="AG42" s="23">
        <v>0</v>
      </c>
      <c r="AH42" s="23">
        <v>0</v>
      </c>
      <c r="AI42" s="23"/>
      <c r="AJ42" s="23">
        <v>3.7433333333333336</v>
      </c>
      <c r="AK42" s="65">
        <v>1501</v>
      </c>
      <c r="AL42" s="65">
        <v>15</v>
      </c>
    </row>
    <row r="43" spans="1:38">
      <c r="A43" s="38">
        <v>141</v>
      </c>
      <c r="B43" s="16" t="s">
        <v>224</v>
      </c>
      <c r="C43" s="16" t="s">
        <v>566</v>
      </c>
      <c r="D43" s="38">
        <v>3007</v>
      </c>
      <c r="E43" s="16" t="s">
        <v>430</v>
      </c>
      <c r="F43" s="16"/>
      <c r="G43" s="23">
        <v>0</v>
      </c>
      <c r="H43" s="23">
        <v>4</v>
      </c>
      <c r="I43" s="23">
        <v>12</v>
      </c>
      <c r="J43" s="23">
        <v>90.7</v>
      </c>
      <c r="K43" s="23">
        <v>1.2</v>
      </c>
      <c r="L43" s="23">
        <v>1.8</v>
      </c>
      <c r="M43" s="23">
        <v>0.2</v>
      </c>
      <c r="N43" s="23">
        <v>3.4</v>
      </c>
      <c r="O43" s="23">
        <v>0</v>
      </c>
      <c r="P43" s="23"/>
      <c r="Q43" s="23">
        <v>2.8</v>
      </c>
      <c r="R43" s="23">
        <v>27</v>
      </c>
      <c r="S43" s="23">
        <f t="shared" si="0"/>
        <v>27</v>
      </c>
      <c r="T43" s="23">
        <v>29</v>
      </c>
      <c r="U43" s="23">
        <v>1</v>
      </c>
      <c r="V43" s="23">
        <v>0</v>
      </c>
      <c r="W43" s="23">
        <v>1</v>
      </c>
      <c r="X43" s="23"/>
      <c r="Y43" s="23"/>
      <c r="Z43" s="23">
        <v>0.27</v>
      </c>
      <c r="AA43" s="23">
        <v>18</v>
      </c>
      <c r="AB43" s="23">
        <v>3.1</v>
      </c>
      <c r="AC43" s="23">
        <v>0.03</v>
      </c>
      <c r="AD43" s="23">
        <v>0.05</v>
      </c>
      <c r="AE43" s="23">
        <v>0</v>
      </c>
      <c r="AF43" s="23">
        <v>137</v>
      </c>
      <c r="AG43" s="23">
        <v>11</v>
      </c>
      <c r="AH43" s="23">
        <v>23</v>
      </c>
      <c r="AI43" s="23"/>
      <c r="AJ43" s="23">
        <v>0</v>
      </c>
      <c r="AK43" s="65">
        <v>301</v>
      </c>
      <c r="AL43" s="65">
        <v>3</v>
      </c>
    </row>
    <row r="44" spans="1:38">
      <c r="A44" s="38">
        <v>142</v>
      </c>
      <c r="B44" s="16" t="s">
        <v>225</v>
      </c>
      <c r="C44" s="16" t="s">
        <v>553</v>
      </c>
      <c r="D44" s="38"/>
      <c r="E44" s="16"/>
      <c r="F44" s="16"/>
      <c r="G44" s="23">
        <v>0</v>
      </c>
      <c r="H44" s="23">
        <v>4</v>
      </c>
      <c r="I44" s="23">
        <v>12</v>
      </c>
      <c r="J44" s="23">
        <v>10.125</v>
      </c>
      <c r="K44" s="23">
        <v>3.2</v>
      </c>
      <c r="L44" s="23">
        <v>25.75</v>
      </c>
      <c r="M44" s="23">
        <v>1</v>
      </c>
      <c r="N44" s="23">
        <v>16.600000000000001</v>
      </c>
      <c r="O44" s="23">
        <v>0</v>
      </c>
      <c r="P44" s="23"/>
      <c r="Q44" s="23">
        <v>43.324999999999996</v>
      </c>
      <c r="R44" s="23">
        <v>318.5</v>
      </c>
      <c r="S44" s="23">
        <f t="shared" si="0"/>
        <v>318.5</v>
      </c>
      <c r="T44" s="23">
        <v>71</v>
      </c>
      <c r="U44" s="23">
        <v>7.2650000000000006</v>
      </c>
      <c r="V44" s="23">
        <v>0</v>
      </c>
      <c r="W44" s="23">
        <v>7.2650000000000006</v>
      </c>
      <c r="X44" s="23"/>
      <c r="Y44" s="23"/>
      <c r="Z44" s="23">
        <v>3.2450000000000001</v>
      </c>
      <c r="AA44" s="23">
        <v>77.5</v>
      </c>
      <c r="AB44" s="23">
        <v>3.4</v>
      </c>
      <c r="AC44" s="23">
        <v>0.495</v>
      </c>
      <c r="AD44" s="23">
        <v>0.18</v>
      </c>
      <c r="AE44" s="23">
        <v>0</v>
      </c>
      <c r="AF44" s="23">
        <v>7.5</v>
      </c>
      <c r="AG44" s="23">
        <v>0.625</v>
      </c>
      <c r="AH44" s="23">
        <v>1.25</v>
      </c>
      <c r="AI44" s="23"/>
      <c r="AJ44" s="23">
        <v>0</v>
      </c>
      <c r="AK44" s="65">
        <v>301</v>
      </c>
      <c r="AL44" s="65">
        <v>3</v>
      </c>
    </row>
    <row r="45" spans="1:38">
      <c r="A45" s="38">
        <v>143</v>
      </c>
      <c r="B45" s="16" t="s">
        <v>226</v>
      </c>
      <c r="C45" s="16" t="s">
        <v>553</v>
      </c>
      <c r="D45" s="38"/>
      <c r="E45" s="16"/>
      <c r="F45" s="16"/>
      <c r="G45" s="23">
        <v>0</v>
      </c>
      <c r="H45" s="23">
        <v>19</v>
      </c>
      <c r="I45" s="23">
        <v>15</v>
      </c>
      <c r="J45" s="23">
        <v>21.32</v>
      </c>
      <c r="K45" s="23">
        <v>1.7</v>
      </c>
      <c r="L45" s="23">
        <v>8.120000000000001</v>
      </c>
      <c r="M45" s="23">
        <v>15.479999999999999</v>
      </c>
      <c r="N45" s="23">
        <v>1.5200000000000002</v>
      </c>
      <c r="O45" s="23">
        <v>0</v>
      </c>
      <c r="P45" s="23"/>
      <c r="Q45" s="23">
        <v>51.86</v>
      </c>
      <c r="R45" s="23">
        <v>382.4</v>
      </c>
      <c r="S45" s="23">
        <f t="shared" si="0"/>
        <v>382.28</v>
      </c>
      <c r="T45" s="23">
        <v>78.599999999999994</v>
      </c>
      <c r="U45" s="23">
        <v>1.58</v>
      </c>
      <c r="V45" s="23">
        <v>0</v>
      </c>
      <c r="W45" s="23">
        <v>1.58</v>
      </c>
      <c r="X45" s="23"/>
      <c r="Y45" s="23"/>
      <c r="Z45" s="23">
        <v>0.55999999999999994</v>
      </c>
      <c r="AA45" s="23">
        <v>8.1999999999999993</v>
      </c>
      <c r="AB45" s="23">
        <v>0</v>
      </c>
      <c r="AC45" s="23">
        <v>6.6000000000000017E-2</v>
      </c>
      <c r="AD45" s="23">
        <v>0.22400000000000003</v>
      </c>
      <c r="AE45" s="23">
        <v>86.6</v>
      </c>
      <c r="AF45" s="23">
        <v>51.3</v>
      </c>
      <c r="AG45" s="23">
        <v>90.875</v>
      </c>
      <c r="AH45" s="23">
        <v>95.149999999999991</v>
      </c>
      <c r="AI45" s="23"/>
      <c r="AJ45" s="23">
        <v>0.6100000000000001</v>
      </c>
      <c r="AK45" s="65">
        <v>1201</v>
      </c>
      <c r="AL45" s="65">
        <v>12</v>
      </c>
    </row>
    <row r="46" spans="1:38">
      <c r="A46" s="38">
        <v>144</v>
      </c>
      <c r="B46" s="16" t="s">
        <v>227</v>
      </c>
      <c r="C46" s="16" t="s">
        <v>553</v>
      </c>
      <c r="D46" s="38"/>
      <c r="E46" s="16"/>
      <c r="F46" s="16"/>
      <c r="G46" s="23">
        <v>0</v>
      </c>
      <c r="H46" s="23">
        <v>19</v>
      </c>
      <c r="I46" s="23">
        <v>15</v>
      </c>
      <c r="J46" s="23">
        <v>4.4000000000000004</v>
      </c>
      <c r="K46" s="23">
        <v>1.5</v>
      </c>
      <c r="L46" s="23">
        <v>6.35</v>
      </c>
      <c r="M46" s="23">
        <v>21.049999999999997</v>
      </c>
      <c r="N46" s="23">
        <v>2.7</v>
      </c>
      <c r="O46" s="23">
        <v>0</v>
      </c>
      <c r="P46" s="23"/>
      <c r="Q46" s="23">
        <v>64</v>
      </c>
      <c r="R46" s="23">
        <v>476</v>
      </c>
      <c r="S46" s="23">
        <f t="shared" si="0"/>
        <v>476.25</v>
      </c>
      <c r="T46" s="23">
        <v>41.5</v>
      </c>
      <c r="U46" s="23">
        <v>1.4</v>
      </c>
      <c r="V46" s="23">
        <v>0</v>
      </c>
      <c r="W46" s="23">
        <v>1.4</v>
      </c>
      <c r="X46" s="23"/>
      <c r="Y46" s="23"/>
      <c r="Z46" s="23">
        <v>0.71499999999999997</v>
      </c>
      <c r="AA46" s="23">
        <v>22</v>
      </c>
      <c r="AB46" s="23">
        <v>5</v>
      </c>
      <c r="AC46" s="23">
        <v>0.125</v>
      </c>
      <c r="AD46" s="23">
        <v>4.4999999999999998E-2</v>
      </c>
      <c r="AE46" s="23">
        <v>22.75</v>
      </c>
      <c r="AF46" s="23">
        <v>17.5</v>
      </c>
      <c r="AG46" s="23">
        <v>24.208333333333332</v>
      </c>
      <c r="AH46" s="23">
        <v>25.666666666666668</v>
      </c>
      <c r="AI46" s="23"/>
      <c r="AJ46" s="23">
        <v>0.05</v>
      </c>
      <c r="AK46" s="65">
        <v>1201</v>
      </c>
      <c r="AL46" s="65">
        <v>12</v>
      </c>
    </row>
    <row r="47" spans="1:38">
      <c r="A47" s="38">
        <v>145</v>
      </c>
      <c r="B47" s="16" t="s">
        <v>228</v>
      </c>
      <c r="C47" s="16" t="s">
        <v>566</v>
      </c>
      <c r="D47" s="38">
        <v>1007</v>
      </c>
      <c r="E47" s="16" t="s">
        <v>571</v>
      </c>
      <c r="F47" s="16"/>
      <c r="G47" s="23">
        <v>0</v>
      </c>
      <c r="H47" s="23">
        <v>1</v>
      </c>
      <c r="I47" s="23">
        <v>1</v>
      </c>
      <c r="J47" s="23">
        <v>36.9</v>
      </c>
      <c r="K47" s="23">
        <v>1.7</v>
      </c>
      <c r="L47" s="23">
        <v>7.7</v>
      </c>
      <c r="M47" s="23">
        <v>1.9</v>
      </c>
      <c r="N47" s="23">
        <v>3.1</v>
      </c>
      <c r="O47" s="23">
        <v>0</v>
      </c>
      <c r="P47" s="23"/>
      <c r="Q47" s="23">
        <v>48.8</v>
      </c>
      <c r="R47" s="23">
        <v>249</v>
      </c>
      <c r="S47" s="23">
        <f t="shared" si="0"/>
        <v>249.29999999999998</v>
      </c>
      <c r="T47" s="23">
        <v>37</v>
      </c>
      <c r="U47" s="23">
        <v>1.7</v>
      </c>
      <c r="V47" s="23">
        <v>0</v>
      </c>
      <c r="W47" s="23">
        <v>1.7</v>
      </c>
      <c r="X47" s="23"/>
      <c r="Y47" s="23"/>
      <c r="Z47" s="23">
        <v>0.8</v>
      </c>
      <c r="AA47" s="23">
        <v>28</v>
      </c>
      <c r="AB47" s="23">
        <v>0</v>
      </c>
      <c r="AC47" s="23">
        <v>0.16</v>
      </c>
      <c r="AD47" s="23">
        <v>0.06</v>
      </c>
      <c r="AE47" s="23">
        <v>0</v>
      </c>
      <c r="AF47" s="23">
        <v>0</v>
      </c>
      <c r="AG47" s="23">
        <v>0</v>
      </c>
      <c r="AH47" s="23">
        <v>0</v>
      </c>
      <c r="AI47" s="23"/>
      <c r="AJ47" s="23">
        <v>7.0000000000000007E-2</v>
      </c>
      <c r="AK47" s="65">
        <v>103</v>
      </c>
      <c r="AL47" s="38">
        <v>1</v>
      </c>
    </row>
    <row r="48" spans="1:38">
      <c r="A48" s="38">
        <v>146</v>
      </c>
      <c r="B48" s="16" t="s">
        <v>229</v>
      </c>
      <c r="C48" s="16" t="s">
        <v>566</v>
      </c>
      <c r="D48" s="38">
        <v>1005</v>
      </c>
      <c r="E48" s="16" t="s">
        <v>572</v>
      </c>
      <c r="F48" s="16"/>
      <c r="G48" s="23">
        <v>0</v>
      </c>
      <c r="H48" s="23">
        <v>1</v>
      </c>
      <c r="I48" s="23">
        <v>1</v>
      </c>
      <c r="J48" s="23">
        <v>36</v>
      </c>
      <c r="K48" s="23">
        <v>1.7</v>
      </c>
      <c r="L48" s="23">
        <v>8</v>
      </c>
      <c r="M48" s="23">
        <v>1.5</v>
      </c>
      <c r="N48" s="23">
        <v>5.9</v>
      </c>
      <c r="O48" s="23">
        <v>0</v>
      </c>
      <c r="P48" s="23"/>
      <c r="Q48" s="23">
        <v>46.9</v>
      </c>
      <c r="R48" s="23">
        <v>245</v>
      </c>
      <c r="S48" s="23">
        <f t="shared" si="0"/>
        <v>244.89999999999998</v>
      </c>
      <c r="T48" s="23">
        <v>56</v>
      </c>
      <c r="U48" s="23">
        <v>2.6</v>
      </c>
      <c r="V48" s="23">
        <v>0</v>
      </c>
      <c r="W48" s="23">
        <v>2.6</v>
      </c>
      <c r="X48" s="23"/>
      <c r="Y48" s="23"/>
      <c r="Z48" s="23">
        <v>1.3</v>
      </c>
      <c r="AA48" s="23">
        <v>37</v>
      </c>
      <c r="AB48" s="23">
        <v>0</v>
      </c>
      <c r="AC48" s="23">
        <v>0.22</v>
      </c>
      <c r="AD48" s="23">
        <v>0.01</v>
      </c>
      <c r="AE48" s="23">
        <v>0</v>
      </c>
      <c r="AF48" s="23">
        <v>0</v>
      </c>
      <c r="AG48" s="23">
        <v>0</v>
      </c>
      <c r="AH48" s="23">
        <v>0</v>
      </c>
      <c r="AI48" s="23"/>
      <c r="AJ48" s="23">
        <v>0.05</v>
      </c>
      <c r="AK48" s="65">
        <v>103</v>
      </c>
      <c r="AL48" s="38">
        <v>1</v>
      </c>
    </row>
    <row r="49" spans="1:38">
      <c r="A49" s="38">
        <v>147</v>
      </c>
      <c r="B49" s="16" t="s">
        <v>230</v>
      </c>
      <c r="C49" s="16" t="s">
        <v>566</v>
      </c>
      <c r="D49" s="38">
        <v>1006</v>
      </c>
      <c r="E49" s="16" t="s">
        <v>439</v>
      </c>
      <c r="F49" s="16"/>
      <c r="G49" s="23">
        <v>0</v>
      </c>
      <c r="H49" s="23">
        <v>19</v>
      </c>
      <c r="I49" s="23">
        <v>1</v>
      </c>
      <c r="J49" s="23">
        <v>23.5</v>
      </c>
      <c r="K49" s="23">
        <v>1.8</v>
      </c>
      <c r="L49" s="23">
        <v>8.3000000000000007</v>
      </c>
      <c r="M49" s="23">
        <v>14.4</v>
      </c>
      <c r="N49" s="23">
        <v>1.5</v>
      </c>
      <c r="O49" s="23">
        <v>0</v>
      </c>
      <c r="P49" s="23"/>
      <c r="Q49" s="23">
        <v>50.6</v>
      </c>
      <c r="R49" s="23">
        <v>368</v>
      </c>
      <c r="S49" s="23">
        <f t="shared" si="0"/>
        <v>368.20000000000005</v>
      </c>
      <c r="T49" s="23">
        <v>80</v>
      </c>
      <c r="U49" s="23">
        <v>1.9</v>
      </c>
      <c r="V49" s="23">
        <v>0</v>
      </c>
      <c r="W49" s="23">
        <v>1.9</v>
      </c>
      <c r="X49" s="23"/>
      <c r="Y49" s="23"/>
      <c r="Z49" s="23">
        <v>0.8</v>
      </c>
      <c r="AA49" s="23">
        <v>33</v>
      </c>
      <c r="AB49" s="23">
        <v>0.6</v>
      </c>
      <c r="AC49" s="23">
        <v>0.2</v>
      </c>
      <c r="AD49" s="23">
        <v>0.16</v>
      </c>
      <c r="AE49" s="23">
        <v>70</v>
      </c>
      <c r="AF49" s="23">
        <v>43</v>
      </c>
      <c r="AG49" s="23">
        <v>74</v>
      </c>
      <c r="AH49" s="23">
        <v>77</v>
      </c>
      <c r="AI49" s="23"/>
      <c r="AJ49" s="23">
        <v>0.23</v>
      </c>
      <c r="AK49" s="65">
        <v>103</v>
      </c>
      <c r="AL49" s="38">
        <v>1</v>
      </c>
    </row>
    <row r="50" spans="1:38">
      <c r="A50" s="38">
        <v>148</v>
      </c>
      <c r="B50" s="16" t="s">
        <v>231</v>
      </c>
      <c r="C50" s="16" t="s">
        <v>553</v>
      </c>
      <c r="D50" s="38"/>
      <c r="E50" s="16"/>
      <c r="F50" s="16"/>
      <c r="G50" s="23">
        <v>0</v>
      </c>
      <c r="H50" s="23">
        <v>1</v>
      </c>
      <c r="I50" s="23">
        <v>1</v>
      </c>
      <c r="J50" s="23">
        <v>25</v>
      </c>
      <c r="K50" s="23">
        <v>2.25</v>
      </c>
      <c r="L50" s="23">
        <v>7.25</v>
      </c>
      <c r="M50" s="23">
        <v>10.9</v>
      </c>
      <c r="N50" s="23">
        <v>2.5</v>
      </c>
      <c r="O50" s="23">
        <v>0</v>
      </c>
      <c r="P50" s="23"/>
      <c r="Q50" s="23">
        <v>52.1</v>
      </c>
      <c r="R50" s="23">
        <v>340.5</v>
      </c>
      <c r="S50" s="23">
        <f t="shared" si="0"/>
        <v>340.5</v>
      </c>
      <c r="T50" s="23">
        <v>73</v>
      </c>
      <c r="U50" s="23">
        <v>2</v>
      </c>
      <c r="V50" s="23">
        <v>0</v>
      </c>
      <c r="W50" s="23">
        <v>2</v>
      </c>
      <c r="X50" s="23"/>
      <c r="Y50" s="23"/>
      <c r="Z50" s="23">
        <v>0.64999999999999991</v>
      </c>
      <c r="AA50" s="23">
        <v>15.5</v>
      </c>
      <c r="AB50" s="23">
        <v>0</v>
      </c>
      <c r="AC50" s="23">
        <v>0.14500000000000002</v>
      </c>
      <c r="AD50" s="23">
        <v>6.5000000000000002E-2</v>
      </c>
      <c r="AE50" s="23">
        <v>43.5</v>
      </c>
      <c r="AF50" s="23">
        <v>45.5</v>
      </c>
      <c r="AG50" s="23">
        <v>47.291666666666664</v>
      </c>
      <c r="AH50" s="23">
        <v>51.083333333333336</v>
      </c>
      <c r="AI50" s="23"/>
      <c r="AJ50" s="23">
        <v>0.2</v>
      </c>
      <c r="AK50" s="65">
        <v>103</v>
      </c>
      <c r="AL50" s="38">
        <v>1</v>
      </c>
    </row>
    <row r="51" spans="1:38">
      <c r="A51" s="38">
        <v>149</v>
      </c>
      <c r="B51" s="16" t="s">
        <v>232</v>
      </c>
      <c r="C51" s="16" t="s">
        <v>553</v>
      </c>
      <c r="D51" s="38"/>
      <c r="E51" s="16"/>
      <c r="F51" s="16"/>
      <c r="G51" s="23">
        <v>0</v>
      </c>
      <c r="H51" s="23">
        <v>1</v>
      </c>
      <c r="I51" s="23">
        <v>1</v>
      </c>
      <c r="J51" s="23">
        <v>8.85</v>
      </c>
      <c r="K51" s="23">
        <v>0.9</v>
      </c>
      <c r="L51" s="23">
        <v>13.2</v>
      </c>
      <c r="M51" s="23">
        <v>1.45</v>
      </c>
      <c r="N51" s="23">
        <v>3.25</v>
      </c>
      <c r="O51" s="23">
        <v>0</v>
      </c>
      <c r="P51" s="23"/>
      <c r="Q51" s="23">
        <v>72.349999999999994</v>
      </c>
      <c r="R51" s="23">
        <v>362</v>
      </c>
      <c r="S51" s="23">
        <f t="shared" si="0"/>
        <v>361.75</v>
      </c>
      <c r="T51" s="23">
        <v>19.5</v>
      </c>
      <c r="U51" s="23">
        <v>1.45</v>
      </c>
      <c r="V51" s="23">
        <v>0</v>
      </c>
      <c r="W51" s="23">
        <v>1.45</v>
      </c>
      <c r="X51" s="23"/>
      <c r="Y51" s="23"/>
      <c r="Z51" s="23">
        <v>0.6</v>
      </c>
      <c r="AA51" s="23">
        <v>16.5</v>
      </c>
      <c r="AB51" s="23">
        <v>0</v>
      </c>
      <c r="AC51" s="23">
        <v>7.0000000000000007E-2</v>
      </c>
      <c r="AD51" s="23">
        <v>4.4999999999999998E-2</v>
      </c>
      <c r="AE51" s="23">
        <v>0</v>
      </c>
      <c r="AF51" s="23">
        <v>0</v>
      </c>
      <c r="AG51" s="23">
        <v>0</v>
      </c>
      <c r="AH51" s="23">
        <v>0</v>
      </c>
      <c r="AI51" s="23"/>
      <c r="AJ51" s="23">
        <v>0</v>
      </c>
      <c r="AK51" s="65">
        <v>103</v>
      </c>
      <c r="AL51" s="38">
        <v>1</v>
      </c>
    </row>
    <row r="52" spans="1:38">
      <c r="A52" s="38">
        <v>201</v>
      </c>
      <c r="B52" s="16" t="s">
        <v>233</v>
      </c>
      <c r="C52" s="16" t="s">
        <v>553</v>
      </c>
      <c r="D52" s="38"/>
      <c r="E52" s="16"/>
      <c r="F52" s="16"/>
      <c r="G52" s="24">
        <v>31.666666666666664</v>
      </c>
      <c r="H52" s="23">
        <v>12</v>
      </c>
      <c r="I52" s="23">
        <v>9</v>
      </c>
      <c r="J52" s="23">
        <v>68.033333333333346</v>
      </c>
      <c r="K52" s="23">
        <v>1.0333333333333334</v>
      </c>
      <c r="L52" s="23">
        <v>19.633333333333336</v>
      </c>
      <c r="M52" s="23">
        <v>11.200000000000001</v>
      </c>
      <c r="N52" s="23">
        <v>0</v>
      </c>
      <c r="O52" s="23">
        <v>0</v>
      </c>
      <c r="P52" s="23"/>
      <c r="Q52" s="23">
        <v>9.9999999999981881E-2</v>
      </c>
      <c r="R52" s="23">
        <v>179.66666666666666</v>
      </c>
      <c r="S52" s="23">
        <f t="shared" si="0"/>
        <v>179.73333333333329</v>
      </c>
      <c r="T52" s="23">
        <v>8.3333333333333339</v>
      </c>
      <c r="U52" s="23">
        <v>5.6333333333333329</v>
      </c>
      <c r="V52" s="23">
        <v>5.6333333333333329</v>
      </c>
      <c r="W52" s="23">
        <v>0</v>
      </c>
      <c r="X52" s="23"/>
      <c r="Y52" s="23"/>
      <c r="Z52" s="23">
        <v>3.69</v>
      </c>
      <c r="AA52" s="23">
        <v>1.3333333333333333</v>
      </c>
      <c r="AB52" s="23">
        <v>0.53333333333333333</v>
      </c>
      <c r="AC52" s="23">
        <v>0</v>
      </c>
      <c r="AD52" s="23">
        <v>0.20666666666666667</v>
      </c>
      <c r="AE52" s="23">
        <v>14.666666666666666</v>
      </c>
      <c r="AF52" s="23">
        <v>9.3333333333333339</v>
      </c>
      <c r="AG52" s="23">
        <v>15.444444444444445</v>
      </c>
      <c r="AH52" s="23">
        <v>16.222222222222221</v>
      </c>
      <c r="AI52" s="23"/>
      <c r="AJ52" s="23">
        <v>1.9833333333333332</v>
      </c>
      <c r="AK52" s="65">
        <v>702</v>
      </c>
      <c r="AL52" s="65">
        <v>7</v>
      </c>
    </row>
    <row r="53" spans="1:38">
      <c r="A53" s="38">
        <v>202</v>
      </c>
      <c r="B53" s="16" t="s">
        <v>234</v>
      </c>
      <c r="C53" s="16" t="s">
        <v>603</v>
      </c>
      <c r="D53" s="38"/>
      <c r="E53" s="16"/>
      <c r="F53" s="16"/>
      <c r="G53" s="23">
        <v>11.666666666666666</v>
      </c>
      <c r="H53" s="23">
        <v>12</v>
      </c>
      <c r="I53" s="23">
        <v>9</v>
      </c>
      <c r="J53" s="23">
        <v>68.033333333333346</v>
      </c>
      <c r="K53" s="23">
        <v>1.0333333333333334</v>
      </c>
      <c r="L53" s="23">
        <v>19.633333333333336</v>
      </c>
      <c r="M53" s="23">
        <v>11.200000000000001</v>
      </c>
      <c r="N53" s="23">
        <v>0</v>
      </c>
      <c r="O53" s="23">
        <v>0</v>
      </c>
      <c r="P53" s="23">
        <v>0</v>
      </c>
      <c r="Q53" s="23">
        <v>9.9999999999981881E-2</v>
      </c>
      <c r="R53" s="23">
        <v>179.66666666666666</v>
      </c>
      <c r="S53" s="23">
        <f t="shared" si="0"/>
        <v>179.73333333333329</v>
      </c>
      <c r="T53" s="23">
        <v>8.3333333333333339</v>
      </c>
      <c r="U53" s="23">
        <v>5.6333333333333329</v>
      </c>
      <c r="V53" s="23">
        <v>5.6333333333333329</v>
      </c>
      <c r="W53" s="23">
        <v>0</v>
      </c>
      <c r="X53" s="23"/>
      <c r="Y53" s="23"/>
      <c r="Z53" s="23">
        <v>3.69</v>
      </c>
      <c r="AA53" s="23">
        <v>1.3333333333333333</v>
      </c>
      <c r="AB53" s="23">
        <v>0.53333333333333333</v>
      </c>
      <c r="AC53" s="23">
        <v>0</v>
      </c>
      <c r="AD53" s="23">
        <v>0.20666666666666667</v>
      </c>
      <c r="AE53" s="23">
        <v>14.666666666666666</v>
      </c>
      <c r="AF53" s="23">
        <v>9.3333333333333339</v>
      </c>
      <c r="AG53" s="23">
        <v>15.444444444444445</v>
      </c>
      <c r="AH53" s="23">
        <v>16.222222222222221</v>
      </c>
      <c r="AI53" s="23"/>
      <c r="AJ53" s="23">
        <v>1.9833333333333332</v>
      </c>
      <c r="AK53" s="65">
        <v>702</v>
      </c>
      <c r="AL53" s="65">
        <v>7</v>
      </c>
    </row>
    <row r="54" spans="1:38">
      <c r="A54" s="38">
        <v>203</v>
      </c>
      <c r="B54" s="16" t="s">
        <v>235</v>
      </c>
      <c r="C54" s="16" t="s">
        <v>604</v>
      </c>
      <c r="D54" s="38"/>
      <c r="E54" s="16"/>
      <c r="F54" s="16"/>
      <c r="G54" s="23">
        <v>0</v>
      </c>
      <c r="H54" s="23">
        <v>12</v>
      </c>
      <c r="I54" s="23">
        <v>9</v>
      </c>
      <c r="J54" s="23">
        <v>68.033333333333346</v>
      </c>
      <c r="K54" s="23">
        <v>1.0333333333333334</v>
      </c>
      <c r="L54" s="23">
        <v>19.633333333333336</v>
      </c>
      <c r="M54" s="23">
        <v>11.200000000000001</v>
      </c>
      <c r="N54" s="23">
        <v>0</v>
      </c>
      <c r="O54" s="23">
        <v>0</v>
      </c>
      <c r="P54" s="23">
        <v>0</v>
      </c>
      <c r="Q54" s="23">
        <v>9.9999999999981881E-2</v>
      </c>
      <c r="R54" s="23">
        <v>179.66666666666666</v>
      </c>
      <c r="S54" s="23">
        <f t="shared" si="0"/>
        <v>179.73333333333329</v>
      </c>
      <c r="T54" s="23">
        <v>8.3333333333333339</v>
      </c>
      <c r="U54" s="23">
        <v>5.6333333333333329</v>
      </c>
      <c r="V54" s="23">
        <v>5.6333333333333329</v>
      </c>
      <c r="W54" s="23">
        <v>0</v>
      </c>
      <c r="X54" s="23"/>
      <c r="Y54" s="23"/>
      <c r="Z54" s="23">
        <v>3.69</v>
      </c>
      <c r="AA54" s="23">
        <v>1.3333333333333333</v>
      </c>
      <c r="AB54" s="23">
        <v>0.53333333333333333</v>
      </c>
      <c r="AC54" s="23">
        <v>0</v>
      </c>
      <c r="AD54" s="23">
        <v>0.20666666666666667</v>
      </c>
      <c r="AE54" s="23">
        <v>14.666666666666666</v>
      </c>
      <c r="AF54" s="23">
        <v>9.3333333333333339</v>
      </c>
      <c r="AG54" s="23">
        <v>15.444444444444445</v>
      </c>
      <c r="AH54" s="23">
        <v>16.222222222222221</v>
      </c>
      <c r="AI54" s="23"/>
      <c r="AJ54" s="23">
        <v>1.9833333333333332</v>
      </c>
      <c r="AK54" s="65">
        <v>702</v>
      </c>
      <c r="AL54" s="65">
        <v>7</v>
      </c>
    </row>
    <row r="55" spans="1:38">
      <c r="A55" s="38">
        <v>204</v>
      </c>
      <c r="B55" s="16" t="s">
        <v>236</v>
      </c>
      <c r="C55" s="16" t="s">
        <v>566</v>
      </c>
      <c r="D55" s="38">
        <v>7020</v>
      </c>
      <c r="E55" s="16" t="s">
        <v>449</v>
      </c>
      <c r="F55" s="16"/>
      <c r="G55" s="23">
        <v>0</v>
      </c>
      <c r="H55" s="23">
        <v>12</v>
      </c>
      <c r="I55" s="23">
        <v>9</v>
      </c>
      <c r="J55" s="23">
        <v>57.2</v>
      </c>
      <c r="K55" s="23">
        <v>0.7</v>
      </c>
      <c r="L55" s="23">
        <v>18.899999999999999</v>
      </c>
      <c r="M55" s="23">
        <v>23.5</v>
      </c>
      <c r="N55" s="23">
        <v>0</v>
      </c>
      <c r="O55" s="23">
        <v>0</v>
      </c>
      <c r="P55" s="23"/>
      <c r="Q55" s="23">
        <v>0</v>
      </c>
      <c r="R55" s="23">
        <v>286</v>
      </c>
      <c r="S55" s="23">
        <f t="shared" si="0"/>
        <v>287.10000000000002</v>
      </c>
      <c r="T55" s="23">
        <v>25</v>
      </c>
      <c r="U55" s="23">
        <v>1.1000000000000001</v>
      </c>
      <c r="V55" s="23">
        <v>1.1000000000000001</v>
      </c>
      <c r="W55" s="23">
        <v>0</v>
      </c>
      <c r="X55" s="23"/>
      <c r="Y55" s="23"/>
      <c r="Z55" s="23">
        <v>1.59</v>
      </c>
      <c r="AA55" s="23">
        <v>4</v>
      </c>
      <c r="AB55" s="23">
        <v>0</v>
      </c>
      <c r="AC55" s="23">
        <v>0.63</v>
      </c>
      <c r="AD55" s="23">
        <v>0.17</v>
      </c>
      <c r="AE55" s="23">
        <v>0</v>
      </c>
      <c r="AF55" s="23">
        <v>0</v>
      </c>
      <c r="AG55" s="23">
        <v>0</v>
      </c>
      <c r="AH55" s="23">
        <v>0</v>
      </c>
      <c r="AI55" s="23"/>
      <c r="AJ55" s="23">
        <v>0.6</v>
      </c>
      <c r="AK55" s="65">
        <v>702</v>
      </c>
      <c r="AL55" s="65">
        <v>7</v>
      </c>
    </row>
    <row r="56" spans="1:38">
      <c r="A56" s="38">
        <v>205</v>
      </c>
      <c r="B56" s="16" t="s">
        <v>237</v>
      </c>
      <c r="C56" s="16" t="s">
        <v>553</v>
      </c>
      <c r="D56" s="38"/>
      <c r="E56" s="16"/>
      <c r="F56" s="16"/>
      <c r="G56" s="23">
        <v>18.333333333333332</v>
      </c>
      <c r="H56" s="23">
        <v>12</v>
      </c>
      <c r="I56" s="23">
        <v>9</v>
      </c>
      <c r="J56" s="23">
        <v>67.600000000000009</v>
      </c>
      <c r="K56" s="23">
        <v>1</v>
      </c>
      <c r="L56" s="23">
        <v>18.366666666666667</v>
      </c>
      <c r="M56" s="23">
        <v>11.866666666666665</v>
      </c>
      <c r="N56" s="23">
        <v>0</v>
      </c>
      <c r="O56" s="23">
        <v>0</v>
      </c>
      <c r="P56" s="23"/>
      <c r="Q56" s="23">
        <v>1.166666666666659</v>
      </c>
      <c r="R56" s="23">
        <v>184.66666666666666</v>
      </c>
      <c r="S56" s="23">
        <f t="shared" si="0"/>
        <v>184.93333333333328</v>
      </c>
      <c r="T56" s="23">
        <v>10.666666666666666</v>
      </c>
      <c r="U56" s="23">
        <v>3.5999999999999996</v>
      </c>
      <c r="V56" s="23">
        <v>3.5999999999999996</v>
      </c>
      <c r="W56" s="23">
        <v>0</v>
      </c>
      <c r="X56" s="23"/>
      <c r="Y56" s="23"/>
      <c r="Z56" s="23">
        <v>3.4166666666666665</v>
      </c>
      <c r="AA56" s="23">
        <v>7</v>
      </c>
      <c r="AB56" s="23">
        <v>0.40000000000000008</v>
      </c>
      <c r="AC56" s="23">
        <v>0.15</v>
      </c>
      <c r="AD56" s="23">
        <v>0.21333333333333335</v>
      </c>
      <c r="AE56" s="23">
        <v>8.3333333333333339</v>
      </c>
      <c r="AF56" s="23">
        <v>0</v>
      </c>
      <c r="AG56" s="23">
        <v>8.3333333333333339</v>
      </c>
      <c r="AH56" s="23">
        <v>8.3333333333333339</v>
      </c>
      <c r="AI56" s="23"/>
      <c r="AJ56" s="23">
        <v>2.6066666666666669</v>
      </c>
      <c r="AK56" s="65">
        <v>702</v>
      </c>
      <c r="AL56" s="65">
        <v>7</v>
      </c>
    </row>
    <row r="57" spans="1:38">
      <c r="A57" s="38">
        <v>206</v>
      </c>
      <c r="B57" s="16" t="s">
        <v>238</v>
      </c>
      <c r="C57" s="16" t="s">
        <v>566</v>
      </c>
      <c r="D57" s="38">
        <v>7006</v>
      </c>
      <c r="E57" s="16" t="s">
        <v>573</v>
      </c>
      <c r="F57" s="16"/>
      <c r="G57" s="23">
        <v>0</v>
      </c>
      <c r="H57" s="23">
        <v>12</v>
      </c>
      <c r="I57" s="23">
        <v>9</v>
      </c>
      <c r="J57" s="23">
        <v>60.5</v>
      </c>
      <c r="K57" s="23">
        <v>1.4</v>
      </c>
      <c r="L57" s="23">
        <v>18.600000000000001</v>
      </c>
      <c r="M57" s="23">
        <v>8.9</v>
      </c>
      <c r="N57" s="23">
        <v>0</v>
      </c>
      <c r="O57" s="23">
        <v>0</v>
      </c>
      <c r="P57" s="23"/>
      <c r="Q57" s="23">
        <v>10.8</v>
      </c>
      <c r="R57" s="23">
        <v>197</v>
      </c>
      <c r="S57" s="23">
        <f t="shared" si="0"/>
        <v>197.7</v>
      </c>
      <c r="T57" s="23">
        <v>4</v>
      </c>
      <c r="U57" s="23">
        <v>3.8</v>
      </c>
      <c r="V57" s="23">
        <v>3.8</v>
      </c>
      <c r="W57" s="23">
        <v>0</v>
      </c>
      <c r="X57" s="23"/>
      <c r="Y57" s="23"/>
      <c r="Z57" s="23">
        <v>1.93</v>
      </c>
      <c r="AA57" s="23">
        <v>8</v>
      </c>
      <c r="AB57" s="23">
        <v>0</v>
      </c>
      <c r="AC57" s="23">
        <v>0.04</v>
      </c>
      <c r="AD57" s="23">
        <v>0.2</v>
      </c>
      <c r="AE57" s="23">
        <v>0</v>
      </c>
      <c r="AF57" s="23">
        <v>10</v>
      </c>
      <c r="AG57" s="23">
        <v>1</v>
      </c>
      <c r="AH57" s="23">
        <v>2</v>
      </c>
      <c r="AI57" s="23"/>
      <c r="AJ57" s="23">
        <v>1.7</v>
      </c>
      <c r="AK57" s="65">
        <v>702</v>
      </c>
      <c r="AL57" s="65">
        <v>7</v>
      </c>
    </row>
    <row r="58" spans="1:38">
      <c r="A58" s="38">
        <v>207</v>
      </c>
      <c r="B58" s="16" t="s">
        <v>239</v>
      </c>
      <c r="C58" s="16" t="s">
        <v>566</v>
      </c>
      <c r="D58" s="38">
        <v>7009</v>
      </c>
      <c r="E58" s="16" t="s">
        <v>454</v>
      </c>
      <c r="F58" s="16"/>
      <c r="G58" s="23">
        <v>35</v>
      </c>
      <c r="H58" s="23">
        <v>12</v>
      </c>
      <c r="I58" s="23">
        <v>9</v>
      </c>
      <c r="J58" s="23">
        <v>63.6</v>
      </c>
      <c r="K58" s="23">
        <v>0.9</v>
      </c>
      <c r="L58" s="23">
        <v>18.7</v>
      </c>
      <c r="M58" s="23">
        <v>13</v>
      </c>
      <c r="N58" s="23">
        <v>0</v>
      </c>
      <c r="O58" s="23">
        <v>0</v>
      </c>
      <c r="P58" s="23"/>
      <c r="Q58" s="23">
        <v>3.8</v>
      </c>
      <c r="R58" s="23">
        <v>207</v>
      </c>
      <c r="S58" s="23">
        <f t="shared" si="0"/>
        <v>207</v>
      </c>
      <c r="T58" s="23">
        <v>13</v>
      </c>
      <c r="U58" s="23">
        <v>2.5</v>
      </c>
      <c r="V58" s="23">
        <v>2.5</v>
      </c>
      <c r="W58" s="23">
        <v>0</v>
      </c>
      <c r="X58" s="23"/>
      <c r="Y58" s="23"/>
      <c r="Z58" s="23">
        <v>0.89</v>
      </c>
      <c r="AA58" s="23">
        <v>11</v>
      </c>
      <c r="AB58" s="23">
        <v>1.2</v>
      </c>
      <c r="AC58" s="23">
        <v>0.14000000000000001</v>
      </c>
      <c r="AD58" s="23">
        <v>0.12</v>
      </c>
      <c r="AE58" s="23">
        <v>75</v>
      </c>
      <c r="AF58" s="23">
        <v>0</v>
      </c>
      <c r="AG58" s="23">
        <v>75</v>
      </c>
      <c r="AH58" s="23">
        <v>75</v>
      </c>
      <c r="AI58" s="23"/>
      <c r="AJ58" s="23">
        <v>0.63</v>
      </c>
      <c r="AK58" s="65">
        <v>703</v>
      </c>
      <c r="AL58" s="65">
        <v>7</v>
      </c>
    </row>
    <row r="59" spans="1:38">
      <c r="A59" s="38">
        <v>208</v>
      </c>
      <c r="B59" s="16" t="s">
        <v>240</v>
      </c>
      <c r="C59" s="16" t="s">
        <v>566</v>
      </c>
      <c r="D59" s="38">
        <v>7021</v>
      </c>
      <c r="E59" s="16" t="s">
        <v>455</v>
      </c>
      <c r="F59" s="16"/>
      <c r="G59" s="23">
        <v>0</v>
      </c>
      <c r="H59" s="23">
        <v>12</v>
      </c>
      <c r="I59" s="23">
        <v>9</v>
      </c>
      <c r="J59" s="23">
        <v>67</v>
      </c>
      <c r="K59" s="23">
        <v>1.3</v>
      </c>
      <c r="L59" s="23">
        <v>24.4</v>
      </c>
      <c r="M59" s="23">
        <v>4.8</v>
      </c>
      <c r="N59" s="23">
        <v>0</v>
      </c>
      <c r="O59" s="23">
        <v>0</v>
      </c>
      <c r="P59" s="23"/>
      <c r="Q59" s="23">
        <v>2.5</v>
      </c>
      <c r="R59" s="23">
        <v>151</v>
      </c>
      <c r="S59" s="23">
        <f t="shared" si="0"/>
        <v>150.79999999999998</v>
      </c>
      <c r="T59" s="23">
        <v>12</v>
      </c>
      <c r="U59" s="23">
        <v>1</v>
      </c>
      <c r="V59" s="23">
        <v>1</v>
      </c>
      <c r="W59" s="23">
        <v>0</v>
      </c>
      <c r="X59" s="23"/>
      <c r="Y59" s="23"/>
      <c r="Z59" s="23">
        <v>1.6</v>
      </c>
      <c r="AA59" s="23">
        <v>11</v>
      </c>
      <c r="AB59" s="23">
        <v>0</v>
      </c>
      <c r="AC59" s="23">
        <v>0.46</v>
      </c>
      <c r="AD59" s="23">
        <v>0.06</v>
      </c>
      <c r="AE59" s="23">
        <v>10</v>
      </c>
      <c r="AF59" s="23">
        <v>0</v>
      </c>
      <c r="AG59" s="23">
        <v>10</v>
      </c>
      <c r="AH59" s="23">
        <v>10</v>
      </c>
      <c r="AI59" s="23"/>
      <c r="AJ59" s="23">
        <v>5.3</v>
      </c>
      <c r="AK59" s="65">
        <v>702</v>
      </c>
      <c r="AL59" s="65">
        <v>7</v>
      </c>
    </row>
    <row r="60" spans="1:38">
      <c r="A60" s="38">
        <v>209</v>
      </c>
      <c r="B60" s="16" t="s">
        <v>241</v>
      </c>
      <c r="C60" s="16" t="s">
        <v>553</v>
      </c>
      <c r="D60" s="38"/>
      <c r="E60" s="16"/>
      <c r="F60" s="16"/>
      <c r="G60" s="23">
        <v>0</v>
      </c>
      <c r="H60" s="23">
        <v>19</v>
      </c>
      <c r="I60" s="23">
        <v>9</v>
      </c>
      <c r="J60" s="23">
        <v>85.504999999999995</v>
      </c>
      <c r="K60" s="23">
        <v>1.7550000000000001</v>
      </c>
      <c r="L60" s="23">
        <v>2.9</v>
      </c>
      <c r="M60" s="23">
        <v>1.7849999999999999</v>
      </c>
      <c r="N60" s="23">
        <v>1.9500000000000002</v>
      </c>
      <c r="O60" s="23">
        <v>0</v>
      </c>
      <c r="P60" s="23">
        <v>8.06</v>
      </c>
      <c r="Q60" s="23">
        <v>6.1050000000000031</v>
      </c>
      <c r="R60" s="23">
        <v>83.55</v>
      </c>
      <c r="S60" s="23">
        <f t="shared" si="0"/>
        <v>55.985000000000014</v>
      </c>
      <c r="T60" s="23">
        <v>26.5</v>
      </c>
      <c r="U60" s="23">
        <v>0.69500000000000006</v>
      </c>
      <c r="V60" s="23">
        <v>0.69500000000000006</v>
      </c>
      <c r="W60" s="23">
        <v>0</v>
      </c>
      <c r="X60" s="23"/>
      <c r="Y60" s="23"/>
      <c r="Z60" s="23">
        <v>0.39250000000000002</v>
      </c>
      <c r="AA60" s="23">
        <v>18</v>
      </c>
      <c r="AB60" s="23">
        <v>0.625</v>
      </c>
      <c r="AC60" s="23">
        <v>4.1500000000000002E-2</v>
      </c>
      <c r="AD60" s="23">
        <v>3.2000000000000001E-2</v>
      </c>
      <c r="AE60" s="23">
        <v>0.25</v>
      </c>
      <c r="AF60" s="23">
        <v>483.875</v>
      </c>
      <c r="AG60" s="23">
        <v>40.572916666666664</v>
      </c>
      <c r="AH60" s="23">
        <v>80.895833333333329</v>
      </c>
      <c r="AI60" s="23"/>
      <c r="AJ60" s="23">
        <v>2.5000000000000001E-2</v>
      </c>
      <c r="AK60" s="65">
        <v>1811</v>
      </c>
      <c r="AL60" s="65">
        <v>18</v>
      </c>
    </row>
    <row r="61" spans="1:38">
      <c r="A61" s="38">
        <v>210</v>
      </c>
      <c r="B61" s="16" t="s">
        <v>242</v>
      </c>
      <c r="C61" s="16" t="s">
        <v>553</v>
      </c>
      <c r="D61" s="38"/>
      <c r="E61" s="16"/>
      <c r="F61" s="16"/>
      <c r="G61" s="23">
        <v>4.5</v>
      </c>
      <c r="H61" s="23">
        <v>12</v>
      </c>
      <c r="I61" s="23">
        <v>8</v>
      </c>
      <c r="J61" s="23">
        <v>74.995000000000005</v>
      </c>
      <c r="K61" s="23">
        <v>1.3483333333333334</v>
      </c>
      <c r="L61" s="23">
        <v>18.799999999999997</v>
      </c>
      <c r="M61" s="23">
        <v>4.1449999999999996</v>
      </c>
      <c r="N61" s="23">
        <v>0</v>
      </c>
      <c r="O61" s="23">
        <v>0</v>
      </c>
      <c r="P61" s="23"/>
      <c r="Q61" s="23">
        <f>100-J61-K61-L61-M61-N61-O61</f>
        <v>0.711666666666666</v>
      </c>
      <c r="R61" s="23">
        <v>115.5</v>
      </c>
      <c r="S61" s="23">
        <f t="shared" si="0"/>
        <v>115.35166666666665</v>
      </c>
      <c r="T61" s="23">
        <v>11.166666666666666</v>
      </c>
      <c r="U61" s="23">
        <v>6.4666666666666659</v>
      </c>
      <c r="V61" s="23">
        <v>6.4666666666666659</v>
      </c>
      <c r="W61" s="23">
        <v>0</v>
      </c>
      <c r="X61" s="23"/>
      <c r="Y61" s="23"/>
      <c r="Z61" s="23">
        <v>2.9299999999999997</v>
      </c>
      <c r="AA61" s="23">
        <v>249.83333333333331</v>
      </c>
      <c r="AB61" s="23">
        <v>12.7</v>
      </c>
      <c r="AC61" s="23">
        <v>0.30016666666666664</v>
      </c>
      <c r="AD61" s="23">
        <v>2.2949999999999999</v>
      </c>
      <c r="AE61" s="23">
        <v>11303.833333333332</v>
      </c>
      <c r="AF61" s="23">
        <v>142.83333333333331</v>
      </c>
      <c r="AG61" s="23">
        <v>11315.736111111109</v>
      </c>
      <c r="AH61" s="23">
        <v>11327.638888888887</v>
      </c>
      <c r="AI61" s="23"/>
      <c r="AJ61" s="23">
        <v>58.223333333333329</v>
      </c>
      <c r="AK61" s="65">
        <v>701</v>
      </c>
      <c r="AL61" s="65">
        <v>7</v>
      </c>
    </row>
    <row r="62" spans="1:38">
      <c r="A62" s="38">
        <v>211</v>
      </c>
      <c r="B62" s="16" t="s">
        <v>605</v>
      </c>
      <c r="C62" s="16" t="s">
        <v>607</v>
      </c>
      <c r="D62" s="38">
        <v>13341</v>
      </c>
      <c r="E62" s="16" t="s">
        <v>679</v>
      </c>
      <c r="F62" s="16"/>
      <c r="G62" s="23">
        <v>0</v>
      </c>
      <c r="H62" s="23">
        <v>12</v>
      </c>
      <c r="I62" s="23">
        <v>8</v>
      </c>
      <c r="J62" s="23">
        <v>84.16</v>
      </c>
      <c r="K62" s="23">
        <v>0.55000000000000004</v>
      </c>
      <c r="L62" s="23">
        <v>12.07</v>
      </c>
      <c r="M62" s="23">
        <v>3.69</v>
      </c>
      <c r="N62" s="23">
        <v>0</v>
      </c>
      <c r="O62" s="23">
        <v>0</v>
      </c>
      <c r="P62" s="23">
        <v>0</v>
      </c>
      <c r="Q62" s="23">
        <v>0</v>
      </c>
      <c r="R62" s="23">
        <v>85</v>
      </c>
      <c r="S62" s="23">
        <f t="shared" si="0"/>
        <v>81.490000000000009</v>
      </c>
      <c r="T62" s="23">
        <v>69</v>
      </c>
      <c r="U62" s="23">
        <v>0.59</v>
      </c>
      <c r="V62" s="23">
        <v>0.59</v>
      </c>
      <c r="W62" s="23">
        <v>0</v>
      </c>
      <c r="X62" s="23"/>
      <c r="Y62" s="23"/>
      <c r="Z62" s="23">
        <v>1.42</v>
      </c>
      <c r="AA62" s="23">
        <v>5</v>
      </c>
      <c r="AB62" s="23">
        <v>0</v>
      </c>
      <c r="AC62" s="23">
        <v>0</v>
      </c>
      <c r="AD62" s="23">
        <v>6.4000000000000001E-2</v>
      </c>
      <c r="AE62" s="23">
        <v>0</v>
      </c>
      <c r="AF62" s="23">
        <v>0</v>
      </c>
      <c r="AG62" s="23">
        <v>0</v>
      </c>
      <c r="AH62" s="23">
        <v>0</v>
      </c>
      <c r="AI62" s="23"/>
      <c r="AJ62" s="23">
        <v>1.39</v>
      </c>
      <c r="AK62" s="65">
        <v>701</v>
      </c>
      <c r="AL62" s="65">
        <v>7</v>
      </c>
    </row>
    <row r="63" spans="1:38">
      <c r="A63" s="38">
        <v>212</v>
      </c>
      <c r="B63" s="16" t="s">
        <v>243</v>
      </c>
      <c r="C63" s="16" t="s">
        <v>553</v>
      </c>
      <c r="D63" s="38"/>
      <c r="E63" s="16"/>
      <c r="F63" s="16"/>
      <c r="G63" s="23">
        <v>0</v>
      </c>
      <c r="H63" s="23">
        <v>12</v>
      </c>
      <c r="I63" s="23">
        <v>9</v>
      </c>
      <c r="J63" s="23">
        <v>56.166666666666664</v>
      </c>
      <c r="K63" s="23">
        <v>2.2333333333333329</v>
      </c>
      <c r="L63" s="23">
        <v>11.166666666666666</v>
      </c>
      <c r="M63" s="23">
        <v>24.433333333333334</v>
      </c>
      <c r="N63" s="23">
        <v>1.6666666666666667</v>
      </c>
      <c r="O63" s="23">
        <v>0</v>
      </c>
      <c r="P63" s="23"/>
      <c r="Q63" s="23">
        <v>4.3333333333333366</v>
      </c>
      <c r="R63" s="23">
        <v>285</v>
      </c>
      <c r="S63" s="23">
        <f t="shared" si="0"/>
        <v>285.23333333333335</v>
      </c>
      <c r="T63" s="23">
        <v>48.333333333333336</v>
      </c>
      <c r="U63" s="23">
        <v>1.2</v>
      </c>
      <c r="V63" s="23">
        <v>1.2</v>
      </c>
      <c r="W63" s="23">
        <v>0</v>
      </c>
      <c r="X63" s="23"/>
      <c r="Y63" s="23"/>
      <c r="Z63" s="23">
        <v>2.4733333333333332</v>
      </c>
      <c r="AA63" s="23">
        <v>11</v>
      </c>
      <c r="AB63" s="23">
        <v>0</v>
      </c>
      <c r="AC63" s="23">
        <v>3.6666666666666674E-2</v>
      </c>
      <c r="AD63" s="23">
        <v>9.9999999999999992E-2</v>
      </c>
      <c r="AE63" s="23">
        <v>52.333333333333336</v>
      </c>
      <c r="AF63" s="23">
        <v>30.333333333333332</v>
      </c>
      <c r="AG63" s="23">
        <v>54.861111111111114</v>
      </c>
      <c r="AH63" s="23">
        <v>57.388888888888893</v>
      </c>
      <c r="AI63" s="23"/>
      <c r="AJ63" s="23">
        <v>1.04</v>
      </c>
      <c r="AK63" s="65">
        <v>702</v>
      </c>
      <c r="AL63" s="65">
        <v>7</v>
      </c>
    </row>
    <row r="64" spans="1:38">
      <c r="A64" s="38">
        <v>213</v>
      </c>
      <c r="B64" s="16" t="s">
        <v>244</v>
      </c>
      <c r="C64" s="16" t="s">
        <v>632</v>
      </c>
      <c r="D64" s="38" t="s">
        <v>633</v>
      </c>
      <c r="E64" s="16" t="s">
        <v>634</v>
      </c>
      <c r="F64" s="16"/>
      <c r="G64" s="23">
        <v>0</v>
      </c>
      <c r="H64" s="23">
        <v>12</v>
      </c>
      <c r="I64" s="23">
        <v>9</v>
      </c>
      <c r="J64" s="23">
        <v>57.7</v>
      </c>
      <c r="K64" s="23">
        <v>2.9</v>
      </c>
      <c r="L64" s="23">
        <v>27.1</v>
      </c>
      <c r="M64" s="23">
        <v>14.9</v>
      </c>
      <c r="N64" s="23">
        <v>0</v>
      </c>
      <c r="O64" s="23">
        <v>0</v>
      </c>
      <c r="P64" s="23"/>
      <c r="Q64" s="23">
        <v>0</v>
      </c>
      <c r="R64" s="23">
        <v>243</v>
      </c>
      <c r="S64" s="23">
        <f t="shared" si="0"/>
        <v>242.5</v>
      </c>
      <c r="T64" s="23">
        <v>12</v>
      </c>
      <c r="U64" s="23">
        <v>2.1</v>
      </c>
      <c r="V64" s="23">
        <v>2.1</v>
      </c>
      <c r="W64" s="23">
        <v>0</v>
      </c>
      <c r="X64" s="23"/>
      <c r="Y64" s="23"/>
      <c r="Z64" s="23">
        <v>3.57</v>
      </c>
      <c r="AA64" s="23">
        <v>9</v>
      </c>
      <c r="AB64" s="23">
        <v>0</v>
      </c>
      <c r="AC64" s="23">
        <v>0.02</v>
      </c>
      <c r="AD64" s="23">
        <v>0.15</v>
      </c>
      <c r="AE64" s="23">
        <v>0</v>
      </c>
      <c r="AF64" s="23">
        <v>0</v>
      </c>
      <c r="AG64" s="23">
        <v>0</v>
      </c>
      <c r="AH64" s="23">
        <v>0</v>
      </c>
      <c r="AI64" s="23"/>
      <c r="AJ64" s="23">
        <v>1.6</v>
      </c>
      <c r="AK64" s="65">
        <v>702</v>
      </c>
      <c r="AL64" s="65">
        <v>7</v>
      </c>
    </row>
    <row r="65" spans="1:38">
      <c r="A65" s="38">
        <v>214</v>
      </c>
      <c r="B65" s="16" t="s">
        <v>245</v>
      </c>
      <c r="C65" s="16" t="s">
        <v>607</v>
      </c>
      <c r="D65" s="38">
        <v>10123</v>
      </c>
      <c r="E65" s="16" t="s">
        <v>720</v>
      </c>
      <c r="F65" s="16"/>
      <c r="G65" s="23">
        <v>0</v>
      </c>
      <c r="H65" s="23">
        <v>12</v>
      </c>
      <c r="I65" s="23">
        <v>9</v>
      </c>
      <c r="J65" s="23">
        <v>46.74</v>
      </c>
      <c r="K65" s="23">
        <v>2.59</v>
      </c>
      <c r="L65" s="23">
        <v>13.66</v>
      </c>
      <c r="M65" s="23">
        <v>37.130000000000003</v>
      </c>
      <c r="N65" s="23">
        <v>0</v>
      </c>
      <c r="O65" s="23">
        <v>0</v>
      </c>
      <c r="P65" s="23">
        <v>0</v>
      </c>
      <c r="Q65" s="23">
        <v>0</v>
      </c>
      <c r="R65" s="23">
        <v>393</v>
      </c>
      <c r="S65" s="23">
        <f t="shared" si="0"/>
        <v>388.81</v>
      </c>
      <c r="T65" s="23">
        <v>6</v>
      </c>
      <c r="U65" s="23">
        <v>0.38</v>
      </c>
      <c r="V65" s="23">
        <v>0.38</v>
      </c>
      <c r="W65" s="23">
        <v>0</v>
      </c>
      <c r="X65" s="23"/>
      <c r="Y65" s="23"/>
      <c r="Z65" s="23">
        <v>1.1399999999999999</v>
      </c>
      <c r="AA65" s="23">
        <v>0</v>
      </c>
      <c r="AB65" s="23">
        <v>0</v>
      </c>
      <c r="AC65" s="23">
        <v>0.27600000000000002</v>
      </c>
      <c r="AD65" s="23">
        <v>8.1000000000000003E-2</v>
      </c>
      <c r="AE65" s="23">
        <v>11</v>
      </c>
      <c r="AF65" s="23">
        <v>0</v>
      </c>
      <c r="AG65" s="23">
        <v>11</v>
      </c>
      <c r="AH65" s="23">
        <v>11</v>
      </c>
      <c r="AI65" s="23"/>
      <c r="AJ65" s="23">
        <v>0.5</v>
      </c>
      <c r="AK65" s="65">
        <v>702</v>
      </c>
      <c r="AL65" s="65">
        <v>7</v>
      </c>
    </row>
    <row r="66" spans="1:38">
      <c r="A66" s="38">
        <v>215</v>
      </c>
      <c r="B66" s="16" t="s">
        <v>246</v>
      </c>
      <c r="C66" s="16"/>
      <c r="D66" s="38"/>
      <c r="E66" s="16"/>
      <c r="F66" s="16"/>
      <c r="G66" s="23">
        <v>0</v>
      </c>
      <c r="H66" s="23">
        <v>12</v>
      </c>
      <c r="I66" s="23">
        <v>9</v>
      </c>
      <c r="J66" s="23">
        <v>40.33</v>
      </c>
      <c r="K66" s="23">
        <v>3.4249999999999998</v>
      </c>
      <c r="L66" s="23">
        <v>15.31</v>
      </c>
      <c r="M66" s="23">
        <v>38.734999999999999</v>
      </c>
      <c r="N66" s="23">
        <v>0</v>
      </c>
      <c r="O66" s="23">
        <v>0</v>
      </c>
      <c r="P66" s="23"/>
      <c r="Q66" s="23">
        <v>2.2000000000000028</v>
      </c>
      <c r="R66" s="23">
        <v>421.5</v>
      </c>
      <c r="S66" s="23">
        <f t="shared" si="0"/>
        <v>418.65500000000003</v>
      </c>
      <c r="T66" s="23">
        <v>10.5</v>
      </c>
      <c r="U66" s="23">
        <v>1.0449999999999999</v>
      </c>
      <c r="V66" s="23">
        <v>1.0449999999999999</v>
      </c>
      <c r="W66" s="23">
        <v>0</v>
      </c>
      <c r="X66" s="23"/>
      <c r="Y66" s="23"/>
      <c r="Z66" s="23">
        <v>2.0350000000000001</v>
      </c>
      <c r="AA66" s="23">
        <v>2</v>
      </c>
      <c r="AB66" s="23">
        <v>0</v>
      </c>
      <c r="AC66" s="23">
        <v>0.32250000000000001</v>
      </c>
      <c r="AD66" s="23">
        <v>0.22649999999999998</v>
      </c>
      <c r="AE66" s="23">
        <v>6</v>
      </c>
      <c r="AF66" s="23">
        <v>0</v>
      </c>
      <c r="AG66" s="23">
        <v>6</v>
      </c>
      <c r="AH66" s="23">
        <v>6</v>
      </c>
      <c r="AI66" s="23"/>
      <c r="AJ66" s="23">
        <v>0.91500000000000004</v>
      </c>
      <c r="AK66" s="65">
        <v>702</v>
      </c>
      <c r="AL66" s="65">
        <v>7</v>
      </c>
    </row>
    <row r="67" spans="1:38">
      <c r="A67" s="38">
        <v>216</v>
      </c>
      <c r="B67" s="16" t="s">
        <v>247</v>
      </c>
      <c r="C67" s="16" t="s">
        <v>607</v>
      </c>
      <c r="D67" s="38">
        <v>23572</v>
      </c>
      <c r="E67" s="16" t="s">
        <v>681</v>
      </c>
      <c r="F67" s="16"/>
      <c r="G67" s="23">
        <v>0</v>
      </c>
      <c r="H67" s="23">
        <v>12</v>
      </c>
      <c r="I67" s="23">
        <v>9</v>
      </c>
      <c r="J67" s="23">
        <v>61.87</v>
      </c>
      <c r="K67" s="23">
        <v>0.84</v>
      </c>
      <c r="L67" s="23">
        <v>17.170000000000002</v>
      </c>
      <c r="M67" s="23">
        <v>20</v>
      </c>
      <c r="N67" s="23">
        <v>0</v>
      </c>
      <c r="O67" s="23">
        <v>0</v>
      </c>
      <c r="P67" s="23">
        <v>0</v>
      </c>
      <c r="Q67" s="23">
        <f>100-J67-K67-L67-M67-N67-O67</f>
        <v>0.11999999999999744</v>
      </c>
      <c r="R67" s="23">
        <v>254</v>
      </c>
      <c r="S67" s="23">
        <f t="shared" si="0"/>
        <v>249.16</v>
      </c>
      <c r="T67" s="23">
        <v>18</v>
      </c>
      <c r="U67" s="23">
        <v>1.94</v>
      </c>
      <c r="V67" s="23">
        <v>1.94</v>
      </c>
      <c r="W67" s="23">
        <v>0</v>
      </c>
      <c r="X67" s="23"/>
      <c r="Y67" s="23"/>
      <c r="Z67" s="23">
        <v>4.18</v>
      </c>
      <c r="AA67" s="23">
        <v>7</v>
      </c>
      <c r="AB67" s="23">
        <v>0</v>
      </c>
      <c r="AC67" s="23">
        <v>4.2999999999999997E-2</v>
      </c>
      <c r="AD67" s="23">
        <v>0.151</v>
      </c>
      <c r="AE67" s="23">
        <v>4</v>
      </c>
      <c r="AF67" s="23">
        <v>0</v>
      </c>
      <c r="AG67" s="23">
        <v>4</v>
      </c>
      <c r="AH67" s="23">
        <v>4</v>
      </c>
      <c r="AI67" s="23"/>
      <c r="AJ67" s="23">
        <v>2.14</v>
      </c>
      <c r="AK67" s="65">
        <v>702</v>
      </c>
      <c r="AL67" s="65">
        <v>7</v>
      </c>
    </row>
    <row r="68" spans="1:38">
      <c r="A68" s="38">
        <v>217</v>
      </c>
      <c r="B68" s="16" t="s">
        <v>248</v>
      </c>
      <c r="C68" s="16" t="s">
        <v>553</v>
      </c>
      <c r="D68" s="38"/>
      <c r="E68" s="16"/>
      <c r="F68" s="16"/>
      <c r="G68" s="23">
        <v>15.333</v>
      </c>
      <c r="H68" s="23">
        <v>12</v>
      </c>
      <c r="I68" s="23">
        <v>9</v>
      </c>
      <c r="J68" s="23">
        <v>69.033333333333346</v>
      </c>
      <c r="K68" s="23">
        <v>1</v>
      </c>
      <c r="L68" s="23">
        <v>19.133333333333333</v>
      </c>
      <c r="M68" s="23">
        <v>11.966666666666667</v>
      </c>
      <c r="N68" s="23">
        <v>0</v>
      </c>
      <c r="O68" s="23">
        <v>0</v>
      </c>
      <c r="P68" s="23"/>
      <c r="Q68" s="23">
        <v>0</v>
      </c>
      <c r="R68" s="23">
        <v>180</v>
      </c>
      <c r="S68" s="23">
        <f t="shared" si="0"/>
        <v>184.23333333333335</v>
      </c>
      <c r="T68" s="23">
        <v>15.333333333333334</v>
      </c>
      <c r="U68" s="23">
        <v>2.2333333333333329</v>
      </c>
      <c r="V68" s="23">
        <v>2.2333333333333329</v>
      </c>
      <c r="W68" s="23">
        <v>0</v>
      </c>
      <c r="X68" s="23"/>
      <c r="Y68" s="23"/>
      <c r="Z68" s="23">
        <v>1.5366666666666668</v>
      </c>
      <c r="AA68" s="23">
        <v>4</v>
      </c>
      <c r="AB68" s="23">
        <v>2.3333333333333335</v>
      </c>
      <c r="AC68" s="23">
        <v>0.18000000000000002</v>
      </c>
      <c r="AD68" s="23">
        <v>0.34</v>
      </c>
      <c r="AE68" s="23">
        <v>29.333333333333332</v>
      </c>
      <c r="AF68" s="23">
        <v>0</v>
      </c>
      <c r="AG68" s="23">
        <v>29.333333333333332</v>
      </c>
      <c r="AH68" s="23">
        <v>29.333333333333332</v>
      </c>
      <c r="AI68" s="23"/>
      <c r="AJ68" s="23">
        <v>0.56333333333333335</v>
      </c>
      <c r="AK68" s="65">
        <v>702</v>
      </c>
      <c r="AL68" s="65">
        <v>7</v>
      </c>
    </row>
    <row r="69" spans="1:38">
      <c r="A69" s="38">
        <v>301</v>
      </c>
      <c r="B69" s="16" t="s">
        <v>249</v>
      </c>
      <c r="C69" s="16" t="s">
        <v>553</v>
      </c>
      <c r="D69" s="38"/>
      <c r="E69" s="16"/>
      <c r="F69" s="16"/>
      <c r="G69" s="23">
        <v>41.875</v>
      </c>
      <c r="H69" s="23">
        <v>14</v>
      </c>
      <c r="I69" s="23">
        <v>11</v>
      </c>
      <c r="J69" s="23">
        <v>74.412499999999994</v>
      </c>
      <c r="K69" s="23">
        <v>1.5262499999999997</v>
      </c>
      <c r="L69" s="23">
        <v>19.175000000000001</v>
      </c>
      <c r="M69" s="23">
        <v>3.9125000000000001</v>
      </c>
      <c r="N69" s="23">
        <v>0</v>
      </c>
      <c r="O69" s="23">
        <v>0</v>
      </c>
      <c r="P69" s="23"/>
      <c r="Q69" s="23">
        <v>0.97375000000000389</v>
      </c>
      <c r="R69" s="23">
        <v>111.875</v>
      </c>
      <c r="S69" s="23">
        <f t="shared" si="0"/>
        <v>115.8075</v>
      </c>
      <c r="T69" s="23">
        <v>45</v>
      </c>
      <c r="U69" s="23">
        <v>0.93500000000000005</v>
      </c>
      <c r="V69" s="23">
        <v>0.93500000000000005</v>
      </c>
      <c r="W69" s="23">
        <v>0</v>
      </c>
      <c r="X69" s="23"/>
      <c r="Y69" s="23"/>
      <c r="Z69" s="23">
        <v>0.88875000000000004</v>
      </c>
      <c r="AA69" s="23">
        <v>9.625</v>
      </c>
      <c r="AB69" s="23">
        <v>0.3125</v>
      </c>
      <c r="AC69" s="23">
        <v>7.2500000000000009E-2</v>
      </c>
      <c r="AD69" s="23">
        <v>0.15000000000000002</v>
      </c>
      <c r="AE69" s="23">
        <v>140.76249999999999</v>
      </c>
      <c r="AF69" s="23">
        <v>0</v>
      </c>
      <c r="AG69" s="23">
        <v>140.76249999999999</v>
      </c>
      <c r="AH69" s="23">
        <v>140.76249999999999</v>
      </c>
      <c r="AI69" s="23"/>
      <c r="AJ69" s="23">
        <v>3.5625000000000004</v>
      </c>
      <c r="AK69" s="65">
        <v>606</v>
      </c>
      <c r="AL69" s="65">
        <v>6</v>
      </c>
    </row>
    <row r="70" spans="1:38">
      <c r="A70" s="38">
        <v>302</v>
      </c>
      <c r="B70" s="16" t="s">
        <v>250</v>
      </c>
      <c r="C70" s="16" t="s">
        <v>553</v>
      </c>
      <c r="D70" s="38"/>
      <c r="E70" s="16"/>
      <c r="F70" s="16"/>
      <c r="G70" s="23">
        <v>0</v>
      </c>
      <c r="H70" s="23">
        <v>14</v>
      </c>
      <c r="I70" s="23">
        <v>11</v>
      </c>
      <c r="J70" s="23">
        <v>80.133333333333326</v>
      </c>
      <c r="K70" s="23">
        <v>1.1666666666666667</v>
      </c>
      <c r="L70" s="23">
        <v>16.900000000000002</v>
      </c>
      <c r="M70" s="23">
        <v>1.7</v>
      </c>
      <c r="N70" s="23">
        <v>0</v>
      </c>
      <c r="O70" s="23">
        <v>0</v>
      </c>
      <c r="P70" s="23"/>
      <c r="Q70" s="23">
        <v>0.10000000000000431</v>
      </c>
      <c r="R70" s="23">
        <v>82.666666666666671</v>
      </c>
      <c r="S70" s="23">
        <f t="shared" si="0"/>
        <v>83.300000000000026</v>
      </c>
      <c r="T70" s="23">
        <v>72.666666666666671</v>
      </c>
      <c r="U70" s="23">
        <v>1.1000000000000001</v>
      </c>
      <c r="V70" s="23">
        <v>1.1000000000000001</v>
      </c>
      <c r="W70" s="23">
        <v>0</v>
      </c>
      <c r="X70" s="23"/>
      <c r="Y70" s="23"/>
      <c r="Z70" s="23">
        <v>0.8533333333333335</v>
      </c>
      <c r="AA70" s="23">
        <v>8.3333333333333339</v>
      </c>
      <c r="AB70" s="23">
        <v>0.23333333333333331</v>
      </c>
      <c r="AC70" s="23">
        <v>4.3333333333333335E-2</v>
      </c>
      <c r="AD70" s="23">
        <v>0.12666666666666668</v>
      </c>
      <c r="AE70" s="23">
        <v>6.666666666666667</v>
      </c>
      <c r="AF70" s="23">
        <v>0</v>
      </c>
      <c r="AG70" s="23">
        <v>6.666666666666667</v>
      </c>
      <c r="AH70" s="23">
        <v>6.666666666666667</v>
      </c>
      <c r="AI70" s="23"/>
      <c r="AJ70" s="23">
        <v>2.23</v>
      </c>
      <c r="AK70" s="65">
        <v>606</v>
      </c>
      <c r="AL70" s="65">
        <v>6</v>
      </c>
    </row>
    <row r="71" spans="1:38">
      <c r="A71" s="38">
        <v>303</v>
      </c>
      <c r="B71" s="16" t="s">
        <v>251</v>
      </c>
      <c r="C71" s="16" t="s">
        <v>566</v>
      </c>
      <c r="D71" s="38">
        <v>8008</v>
      </c>
      <c r="E71" s="16" t="s">
        <v>471</v>
      </c>
      <c r="F71" s="16"/>
      <c r="G71" s="23">
        <v>0</v>
      </c>
      <c r="H71" s="23">
        <v>14</v>
      </c>
      <c r="I71" s="23">
        <v>11</v>
      </c>
      <c r="J71" s="23">
        <v>12.2</v>
      </c>
      <c r="K71" s="23">
        <v>4.2</v>
      </c>
      <c r="L71" s="23">
        <v>71.8</v>
      </c>
      <c r="M71" s="23">
        <v>10.7</v>
      </c>
      <c r="N71" s="23">
        <v>0</v>
      </c>
      <c r="O71" s="23">
        <v>0</v>
      </c>
      <c r="P71" s="23"/>
      <c r="Q71" s="23">
        <v>1.2</v>
      </c>
      <c r="R71" s="23">
        <v>388</v>
      </c>
      <c r="S71" s="23">
        <f t="shared" ref="S71:S132" si="2">+L71*4+M71*9+N71*2+O71*7+Q71*4</f>
        <v>388.3</v>
      </c>
      <c r="T71" s="23">
        <v>516</v>
      </c>
      <c r="U71" s="23">
        <v>4</v>
      </c>
      <c r="V71" s="23">
        <v>4</v>
      </c>
      <c r="W71" s="23">
        <v>0</v>
      </c>
      <c r="X71" s="23"/>
      <c r="Y71" s="23"/>
      <c r="Z71" s="23">
        <v>2</v>
      </c>
      <c r="AA71" s="23">
        <v>28</v>
      </c>
      <c r="AB71" s="23">
        <v>0</v>
      </c>
      <c r="AC71" s="23">
        <v>0</v>
      </c>
      <c r="AD71" s="23">
        <v>0</v>
      </c>
      <c r="AE71" s="23">
        <v>186</v>
      </c>
      <c r="AF71" s="23">
        <v>0</v>
      </c>
      <c r="AG71" s="23">
        <v>186</v>
      </c>
      <c r="AH71" s="23">
        <v>186</v>
      </c>
      <c r="AI71" s="23"/>
      <c r="AJ71" s="23">
        <v>5</v>
      </c>
      <c r="AK71" s="65">
        <v>607</v>
      </c>
      <c r="AL71" s="65">
        <v>6</v>
      </c>
    </row>
    <row r="72" spans="1:38">
      <c r="A72" s="38">
        <v>304</v>
      </c>
      <c r="B72" s="16" t="s">
        <v>252</v>
      </c>
      <c r="C72" s="16" t="s">
        <v>566</v>
      </c>
      <c r="D72" s="38">
        <v>8002</v>
      </c>
      <c r="E72" s="16" t="s">
        <v>462</v>
      </c>
      <c r="F72" s="16"/>
      <c r="G72" s="23">
        <v>0</v>
      </c>
      <c r="H72" s="23">
        <v>14</v>
      </c>
      <c r="I72" s="23">
        <v>11</v>
      </c>
      <c r="J72" s="23">
        <v>11.2</v>
      </c>
      <c r="K72" s="23">
        <v>10</v>
      </c>
      <c r="L72" s="23">
        <v>59.5</v>
      </c>
      <c r="M72" s="23">
        <v>10.6</v>
      </c>
      <c r="N72" s="23">
        <v>0</v>
      </c>
      <c r="O72" s="23">
        <v>0</v>
      </c>
      <c r="P72" s="23"/>
      <c r="Q72" s="23">
        <v>0</v>
      </c>
      <c r="R72" s="23">
        <v>333</v>
      </c>
      <c r="S72" s="23">
        <f t="shared" si="2"/>
        <v>333.4</v>
      </c>
      <c r="T72" s="23">
        <v>2790</v>
      </c>
      <c r="U72" s="23">
        <v>6.9</v>
      </c>
      <c r="V72" s="23">
        <v>6.9</v>
      </c>
      <c r="W72" s="23">
        <v>0</v>
      </c>
      <c r="X72" s="23"/>
      <c r="Y72" s="23"/>
      <c r="Z72" s="23">
        <v>16</v>
      </c>
      <c r="AA72" s="23">
        <v>46</v>
      </c>
      <c r="AB72" s="23">
        <v>0</v>
      </c>
      <c r="AC72" s="23">
        <v>0.34</v>
      </c>
      <c r="AD72" s="23">
        <v>0.52</v>
      </c>
      <c r="AE72" s="23">
        <v>141</v>
      </c>
      <c r="AF72" s="23">
        <v>0</v>
      </c>
      <c r="AG72" s="23">
        <v>141</v>
      </c>
      <c r="AH72" s="23">
        <v>141</v>
      </c>
      <c r="AI72" s="23"/>
      <c r="AJ72" s="23">
        <v>60</v>
      </c>
      <c r="AK72" s="65">
        <v>601</v>
      </c>
      <c r="AL72" s="65">
        <v>6</v>
      </c>
    </row>
    <row r="73" spans="1:38">
      <c r="A73" s="38">
        <v>305</v>
      </c>
      <c r="B73" s="16" t="s">
        <v>253</v>
      </c>
      <c r="C73" s="16" t="s">
        <v>566</v>
      </c>
      <c r="D73" s="38">
        <v>8011</v>
      </c>
      <c r="E73" s="16" t="s">
        <v>472</v>
      </c>
      <c r="F73" s="16"/>
      <c r="G73" s="23">
        <v>49</v>
      </c>
      <c r="H73" s="23">
        <v>14</v>
      </c>
      <c r="I73" s="23">
        <v>11</v>
      </c>
      <c r="J73" s="23">
        <v>75.099999999999994</v>
      </c>
      <c r="K73" s="23">
        <v>1.6</v>
      </c>
      <c r="L73" s="23">
        <v>18.399999999999999</v>
      </c>
      <c r="M73" s="23">
        <v>1.1000000000000001</v>
      </c>
      <c r="N73" s="23">
        <v>0</v>
      </c>
      <c r="O73" s="23">
        <v>0</v>
      </c>
      <c r="P73" s="23"/>
      <c r="Q73" s="23">
        <v>3.9</v>
      </c>
      <c r="R73" s="23">
        <v>99</v>
      </c>
      <c r="S73" s="23">
        <f t="shared" si="2"/>
        <v>99.1</v>
      </c>
      <c r="T73" s="23">
        <v>59</v>
      </c>
      <c r="U73" s="23">
        <v>1.5</v>
      </c>
      <c r="V73" s="23">
        <v>1.5</v>
      </c>
      <c r="W73" s="23">
        <v>0</v>
      </c>
      <c r="X73" s="23"/>
      <c r="Y73" s="23"/>
      <c r="Z73" s="23">
        <v>1.43</v>
      </c>
      <c r="AA73" s="23">
        <v>14</v>
      </c>
      <c r="AB73" s="23">
        <v>0.3</v>
      </c>
      <c r="AC73" s="23">
        <v>0.04</v>
      </c>
      <c r="AD73" s="23">
        <v>0.08</v>
      </c>
      <c r="AE73" s="23">
        <v>11</v>
      </c>
      <c r="AF73" s="23">
        <v>56</v>
      </c>
      <c r="AG73" s="23">
        <v>16</v>
      </c>
      <c r="AH73" s="23">
        <v>20</v>
      </c>
      <c r="AI73" s="23"/>
      <c r="AJ73" s="23">
        <v>2.14</v>
      </c>
      <c r="AK73" s="65">
        <v>606</v>
      </c>
      <c r="AL73" s="65">
        <v>6</v>
      </c>
    </row>
    <row r="74" spans="1:38">
      <c r="A74" s="38">
        <v>306</v>
      </c>
      <c r="B74" s="16" t="s">
        <v>254</v>
      </c>
      <c r="C74" s="16" t="s">
        <v>553</v>
      </c>
      <c r="D74" s="38"/>
      <c r="E74" s="16"/>
      <c r="F74" s="16"/>
      <c r="G74" s="23">
        <v>0</v>
      </c>
      <c r="H74" s="23">
        <v>14</v>
      </c>
      <c r="I74" s="23">
        <v>11</v>
      </c>
      <c r="J74" s="23">
        <v>54.099999999999994</v>
      </c>
      <c r="K74" s="23">
        <v>7.3</v>
      </c>
      <c r="L74" s="23">
        <v>26.799999999999997</v>
      </c>
      <c r="M74" s="23">
        <v>11.6</v>
      </c>
      <c r="N74" s="23">
        <v>0</v>
      </c>
      <c r="O74" s="23">
        <v>0</v>
      </c>
      <c r="P74" s="23">
        <v>0</v>
      </c>
      <c r="Q74" s="23">
        <v>0.20000000000001172</v>
      </c>
      <c r="R74" s="23">
        <v>211.5</v>
      </c>
      <c r="S74" s="23">
        <f t="shared" si="2"/>
        <v>212.4</v>
      </c>
      <c r="T74" s="23">
        <v>307</v>
      </c>
      <c r="U74" s="23">
        <v>3.75</v>
      </c>
      <c r="V74" s="23">
        <v>3.75</v>
      </c>
      <c r="W74" s="23">
        <v>0</v>
      </c>
      <c r="X74" s="23"/>
      <c r="Y74" s="23"/>
      <c r="Z74" s="23">
        <v>1.875</v>
      </c>
      <c r="AA74" s="23">
        <v>11.5</v>
      </c>
      <c r="AB74" s="23">
        <v>0</v>
      </c>
      <c r="AC74" s="23">
        <v>0.08</v>
      </c>
      <c r="AD74" s="23">
        <v>0.29499999999999998</v>
      </c>
      <c r="AE74" s="23">
        <v>22</v>
      </c>
      <c r="AF74" s="23">
        <v>0</v>
      </c>
      <c r="AG74" s="23">
        <v>22</v>
      </c>
      <c r="AH74" s="23">
        <v>22</v>
      </c>
      <c r="AI74" s="23"/>
      <c r="AJ74" s="23">
        <v>4.9000000000000004</v>
      </c>
      <c r="AK74" s="65">
        <v>606</v>
      </c>
      <c r="AL74" s="65">
        <v>6</v>
      </c>
    </row>
    <row r="75" spans="1:38">
      <c r="A75" s="38">
        <v>307</v>
      </c>
      <c r="B75" s="16" t="s">
        <v>255</v>
      </c>
      <c r="C75" s="16" t="s">
        <v>553</v>
      </c>
      <c r="D75" s="38"/>
      <c r="E75" s="16"/>
      <c r="F75" s="16"/>
      <c r="G75" s="23">
        <v>0</v>
      </c>
      <c r="H75" s="23">
        <v>14</v>
      </c>
      <c r="I75" s="23">
        <v>11</v>
      </c>
      <c r="J75" s="23">
        <v>42.960499999999996</v>
      </c>
      <c r="K75" s="23">
        <v>0.96292500000000003</v>
      </c>
      <c r="L75" s="23">
        <v>12.57025</v>
      </c>
      <c r="M75" s="23">
        <v>2.9212499999999997</v>
      </c>
      <c r="N75" s="23">
        <v>0</v>
      </c>
      <c r="O75" s="23">
        <v>0</v>
      </c>
      <c r="P75" s="23"/>
      <c r="Q75" s="23">
        <v>1.085075000000006</v>
      </c>
      <c r="R75" s="23">
        <v>76.585000000000008</v>
      </c>
      <c r="S75" s="23">
        <f t="shared" si="2"/>
        <v>80.912550000000024</v>
      </c>
      <c r="T75" s="23">
        <v>13.79</v>
      </c>
      <c r="U75" s="23">
        <v>0.41764999999999997</v>
      </c>
      <c r="V75" s="23">
        <v>0.41764999999999997</v>
      </c>
      <c r="W75" s="23">
        <v>0</v>
      </c>
      <c r="X75" s="23"/>
      <c r="Y75" s="23"/>
      <c r="Z75" s="23">
        <v>0.51635000000000009</v>
      </c>
      <c r="AA75" s="23">
        <v>4.45</v>
      </c>
      <c r="AB75" s="23">
        <v>0.30150000000000005</v>
      </c>
      <c r="AC75" s="23">
        <v>6.7975000000000008E-2</v>
      </c>
      <c r="AD75" s="23">
        <v>0.11582499999999998</v>
      </c>
      <c r="AE75" s="23">
        <v>181.37174999999996</v>
      </c>
      <c r="AF75" s="23">
        <v>0</v>
      </c>
      <c r="AG75" s="23">
        <v>181.37174999999996</v>
      </c>
      <c r="AH75" s="23">
        <v>181.37174999999996</v>
      </c>
      <c r="AI75" s="23"/>
      <c r="AJ75" s="23">
        <v>2.9465750000000002</v>
      </c>
      <c r="AK75" s="65">
        <v>606</v>
      </c>
      <c r="AL75" s="65">
        <v>6</v>
      </c>
    </row>
    <row r="76" spans="1:38">
      <c r="A76" s="38">
        <v>401</v>
      </c>
      <c r="B76" s="16" t="s">
        <v>256</v>
      </c>
      <c r="C76" s="16" t="s">
        <v>566</v>
      </c>
      <c r="D76" s="38">
        <v>6022</v>
      </c>
      <c r="E76" s="16" t="s">
        <v>474</v>
      </c>
      <c r="F76" s="16"/>
      <c r="G76" s="23">
        <v>0</v>
      </c>
      <c r="H76" s="23">
        <v>15</v>
      </c>
      <c r="I76" s="23">
        <v>13</v>
      </c>
      <c r="J76" s="23">
        <v>86.3</v>
      </c>
      <c r="K76" s="23">
        <v>0.7</v>
      </c>
      <c r="L76" s="23">
        <v>3.3</v>
      </c>
      <c r="M76" s="23">
        <v>3.5</v>
      </c>
      <c r="N76" s="23">
        <v>0</v>
      </c>
      <c r="O76" s="23">
        <v>0</v>
      </c>
      <c r="P76" s="23"/>
      <c r="Q76" s="23">
        <v>6.1</v>
      </c>
      <c r="R76" s="23">
        <v>70</v>
      </c>
      <c r="S76" s="23">
        <f t="shared" si="2"/>
        <v>69.099999999999994</v>
      </c>
      <c r="T76" s="23">
        <v>119</v>
      </c>
      <c r="U76" s="23">
        <v>0.1</v>
      </c>
      <c r="V76" s="23">
        <v>0.1</v>
      </c>
      <c r="W76" s="23">
        <v>0</v>
      </c>
      <c r="X76" s="23"/>
      <c r="Y76" s="23"/>
      <c r="Z76" s="23">
        <v>0.63</v>
      </c>
      <c r="AA76" s="23">
        <v>8</v>
      </c>
      <c r="AB76" s="23">
        <v>0</v>
      </c>
      <c r="AC76" s="23">
        <v>0</v>
      </c>
      <c r="AD76" s="23">
        <v>0.27</v>
      </c>
      <c r="AE76" s="23">
        <v>40</v>
      </c>
      <c r="AF76" s="23">
        <v>18</v>
      </c>
      <c r="AG76" s="23">
        <v>41</v>
      </c>
      <c r="AH76" s="23">
        <v>43</v>
      </c>
      <c r="AI76" s="23"/>
      <c r="AJ76" s="23">
        <v>0.59</v>
      </c>
      <c r="AK76" s="65">
        <v>401</v>
      </c>
      <c r="AL76" s="65">
        <v>4</v>
      </c>
    </row>
    <row r="77" spans="1:38">
      <c r="A77" s="38">
        <v>402</v>
      </c>
      <c r="B77" s="16" t="s">
        <v>257</v>
      </c>
      <c r="C77" s="16" t="s">
        <v>553</v>
      </c>
      <c r="D77" s="38"/>
      <c r="E77" s="16"/>
      <c r="F77" s="16"/>
      <c r="G77" s="23">
        <v>0</v>
      </c>
      <c r="H77" s="23">
        <v>15</v>
      </c>
      <c r="I77" s="23">
        <v>13</v>
      </c>
      <c r="J77" s="23">
        <v>87.174999999999997</v>
      </c>
      <c r="K77" s="23">
        <v>0.72499999999999987</v>
      </c>
      <c r="L77" s="23">
        <v>3.3499999999999996</v>
      </c>
      <c r="M77" s="23">
        <v>2.65</v>
      </c>
      <c r="N77" s="23">
        <v>0</v>
      </c>
      <c r="O77" s="23">
        <v>0</v>
      </c>
      <c r="P77" s="23"/>
      <c r="Q77" s="23">
        <v>6.1000000000000032</v>
      </c>
      <c r="R77" s="23">
        <v>62</v>
      </c>
      <c r="S77" s="23">
        <f t="shared" si="2"/>
        <v>61.650000000000013</v>
      </c>
      <c r="T77" s="23">
        <v>121.75</v>
      </c>
      <c r="U77" s="23">
        <v>0.1</v>
      </c>
      <c r="V77" s="23">
        <v>0.1</v>
      </c>
      <c r="W77" s="23">
        <v>0</v>
      </c>
      <c r="X77" s="23"/>
      <c r="Y77" s="23"/>
      <c r="Z77" s="23">
        <v>0.55249999999999999</v>
      </c>
      <c r="AA77" s="23">
        <v>7.5</v>
      </c>
      <c r="AB77" s="23">
        <v>0.25</v>
      </c>
      <c r="AC77" s="23">
        <v>7.4999999999999997E-3</v>
      </c>
      <c r="AD77" s="23">
        <v>0.2475</v>
      </c>
      <c r="AE77" s="23">
        <v>30</v>
      </c>
      <c r="AF77" s="23">
        <v>13.75</v>
      </c>
      <c r="AG77" s="23">
        <v>31.145833333333332</v>
      </c>
      <c r="AH77" s="23">
        <v>32.291666666666664</v>
      </c>
      <c r="AI77" s="23"/>
      <c r="AJ77" s="23">
        <v>0.54249999999999998</v>
      </c>
      <c r="AK77" s="65">
        <v>401</v>
      </c>
      <c r="AL77" s="65">
        <v>4</v>
      </c>
    </row>
    <row r="78" spans="1:38">
      <c r="A78" s="38">
        <v>403</v>
      </c>
      <c r="B78" s="16" t="s">
        <v>258</v>
      </c>
      <c r="C78" s="16" t="s">
        <v>607</v>
      </c>
      <c r="D78" s="38">
        <v>14177</v>
      </c>
      <c r="E78" s="16" t="s">
        <v>606</v>
      </c>
      <c r="F78" s="16"/>
      <c r="G78" s="23">
        <v>0</v>
      </c>
      <c r="H78" s="23">
        <v>15</v>
      </c>
      <c r="I78" s="23">
        <v>13</v>
      </c>
      <c r="J78" s="23">
        <v>80.790000000000006</v>
      </c>
      <c r="K78" s="23">
        <v>0.78</v>
      </c>
      <c r="L78" s="23">
        <v>3.23</v>
      </c>
      <c r="M78" s="23">
        <v>3.24</v>
      </c>
      <c r="N78" s="23">
        <v>0.4</v>
      </c>
      <c r="O78" s="23">
        <v>0</v>
      </c>
      <c r="P78" s="23">
        <v>11.96</v>
      </c>
      <c r="Q78" s="23">
        <f>100-J78-K78-L78-M78-N78-O78</f>
        <v>11.559999999999992</v>
      </c>
      <c r="R78" s="23">
        <v>85</v>
      </c>
      <c r="S78" s="23">
        <f t="shared" si="2"/>
        <v>89.119999999999976</v>
      </c>
      <c r="T78" s="23">
        <v>95</v>
      </c>
      <c r="U78" s="23">
        <v>0.3</v>
      </c>
      <c r="V78" s="23">
        <v>0.3</v>
      </c>
      <c r="W78" s="23">
        <v>0</v>
      </c>
      <c r="X78" s="23"/>
      <c r="Y78" s="23"/>
      <c r="Z78" s="23">
        <v>0.48</v>
      </c>
      <c r="AA78" s="23">
        <v>5</v>
      </c>
      <c r="AB78" s="23">
        <v>0.1</v>
      </c>
      <c r="AC78" s="23">
        <v>4.2999999999999997E-2</v>
      </c>
      <c r="AD78" s="23">
        <v>0.18</v>
      </c>
      <c r="AE78" s="23">
        <v>26</v>
      </c>
      <c r="AF78" s="23">
        <v>5</v>
      </c>
      <c r="AG78" s="23">
        <v>26.416666666666668</v>
      </c>
      <c r="AH78" s="23">
        <v>26.833333333333332</v>
      </c>
      <c r="AI78" s="23"/>
      <c r="AJ78" s="23">
        <v>0.4</v>
      </c>
      <c r="AK78" s="65">
        <v>401</v>
      </c>
      <c r="AL78" s="65">
        <v>4</v>
      </c>
    </row>
    <row r="79" spans="1:38">
      <c r="A79" s="38">
        <v>404</v>
      </c>
      <c r="B79" s="16" t="s">
        <v>259</v>
      </c>
      <c r="C79" s="16" t="s">
        <v>608</v>
      </c>
      <c r="D79" s="38"/>
      <c r="E79" s="16"/>
      <c r="F79" s="16"/>
      <c r="G79" s="23">
        <v>0</v>
      </c>
      <c r="H79" s="23">
        <v>15</v>
      </c>
      <c r="I79" s="23">
        <v>13</v>
      </c>
      <c r="J79" s="23">
        <v>87.174999999999997</v>
      </c>
      <c r="K79" s="23">
        <v>0.72499999999999987</v>
      </c>
      <c r="L79" s="23">
        <v>3.3499999999999996</v>
      </c>
      <c r="M79" s="23">
        <v>2.65</v>
      </c>
      <c r="N79" s="23">
        <v>0</v>
      </c>
      <c r="O79" s="23">
        <v>0</v>
      </c>
      <c r="P79" s="23">
        <v>0</v>
      </c>
      <c r="Q79" s="23">
        <v>6.1000000000000032</v>
      </c>
      <c r="R79" s="23">
        <v>62</v>
      </c>
      <c r="S79" s="23">
        <f t="shared" si="2"/>
        <v>61.650000000000013</v>
      </c>
      <c r="T79" s="23">
        <v>121.75</v>
      </c>
      <c r="U79" s="23">
        <v>0.1</v>
      </c>
      <c r="V79" s="23">
        <v>0.1</v>
      </c>
      <c r="W79" s="23">
        <v>0</v>
      </c>
      <c r="X79" s="23"/>
      <c r="Y79" s="23"/>
      <c r="Z79" s="23">
        <v>0.55249999999999999</v>
      </c>
      <c r="AA79" s="23">
        <v>7.5</v>
      </c>
      <c r="AB79" s="23">
        <v>0.25</v>
      </c>
      <c r="AC79" s="23">
        <v>7.4999999999999997E-3</v>
      </c>
      <c r="AD79" s="23">
        <v>0.2475</v>
      </c>
      <c r="AE79" s="23">
        <v>30</v>
      </c>
      <c r="AF79" s="23">
        <v>13.75</v>
      </c>
      <c r="AG79" s="23">
        <v>31.145833333333332</v>
      </c>
      <c r="AH79" s="23">
        <v>32.291666666666664</v>
      </c>
      <c r="AI79" s="23"/>
      <c r="AJ79" s="23">
        <v>0.54249999999999998</v>
      </c>
      <c r="AK79" s="65">
        <v>401</v>
      </c>
      <c r="AL79" s="65">
        <v>4</v>
      </c>
    </row>
    <row r="80" spans="1:38">
      <c r="A80" s="38">
        <v>405</v>
      </c>
      <c r="B80" s="16" t="s">
        <v>260</v>
      </c>
      <c r="C80" s="16" t="s">
        <v>566</v>
      </c>
      <c r="D80" s="38">
        <v>6023</v>
      </c>
      <c r="E80" s="16" t="s">
        <v>477</v>
      </c>
      <c r="F80" s="16"/>
      <c r="G80" s="23">
        <v>0</v>
      </c>
      <c r="H80" s="23">
        <v>15</v>
      </c>
      <c r="I80" s="23">
        <v>13</v>
      </c>
      <c r="J80" s="23">
        <v>85.3</v>
      </c>
      <c r="K80" s="23">
        <v>0.9</v>
      </c>
      <c r="L80" s="23">
        <v>3.5</v>
      </c>
      <c r="M80" s="23">
        <v>4.5</v>
      </c>
      <c r="N80" s="23">
        <v>0</v>
      </c>
      <c r="O80" s="23">
        <v>0</v>
      </c>
      <c r="P80" s="23"/>
      <c r="Q80" s="23">
        <v>5.8</v>
      </c>
      <c r="R80" s="23">
        <v>78</v>
      </c>
      <c r="S80" s="23">
        <f t="shared" si="2"/>
        <v>77.7</v>
      </c>
      <c r="T80" s="23">
        <v>180</v>
      </c>
      <c r="U80" s="23">
        <v>0.1</v>
      </c>
      <c r="V80" s="23">
        <v>0.1</v>
      </c>
      <c r="W80" s="23">
        <v>0</v>
      </c>
      <c r="X80" s="23"/>
      <c r="Y80" s="23"/>
      <c r="Z80" s="23">
        <v>0.35</v>
      </c>
      <c r="AA80" s="23">
        <v>1</v>
      </c>
      <c r="AB80" s="23">
        <v>0.5</v>
      </c>
      <c r="AC80" s="23">
        <v>0.05</v>
      </c>
      <c r="AD80" s="23">
        <v>0.19</v>
      </c>
      <c r="AE80" s="23">
        <v>32</v>
      </c>
      <c r="AF80" s="23">
        <v>0</v>
      </c>
      <c r="AG80" s="23">
        <v>32</v>
      </c>
      <c r="AH80" s="23">
        <v>32</v>
      </c>
      <c r="AI80" s="23"/>
      <c r="AJ80" s="23">
        <v>0.35</v>
      </c>
      <c r="AK80" s="65">
        <v>401</v>
      </c>
      <c r="AL80" s="65">
        <v>4</v>
      </c>
    </row>
    <row r="81" spans="1:38">
      <c r="A81" s="38">
        <v>406</v>
      </c>
      <c r="B81" s="16" t="s">
        <v>261</v>
      </c>
      <c r="C81" s="16" t="s">
        <v>566</v>
      </c>
      <c r="D81" s="38">
        <v>6014</v>
      </c>
      <c r="E81" s="16" t="s">
        <v>478</v>
      </c>
      <c r="F81" s="16"/>
      <c r="G81" s="23">
        <v>0</v>
      </c>
      <c r="H81" s="23">
        <v>15</v>
      </c>
      <c r="I81" s="23">
        <v>13</v>
      </c>
      <c r="J81" s="23">
        <v>89.8</v>
      </c>
      <c r="K81" s="23">
        <v>0.7</v>
      </c>
      <c r="L81" s="23">
        <v>2.2000000000000002</v>
      </c>
      <c r="M81" s="23">
        <v>2.8</v>
      </c>
      <c r="N81" s="23">
        <v>0</v>
      </c>
      <c r="O81" s="23">
        <v>0</v>
      </c>
      <c r="P81" s="23"/>
      <c r="Q81" s="23">
        <v>4.5</v>
      </c>
      <c r="R81" s="23">
        <v>52</v>
      </c>
      <c r="S81" s="23">
        <f t="shared" si="2"/>
        <v>52</v>
      </c>
      <c r="T81" s="23">
        <v>56</v>
      </c>
      <c r="U81" s="23">
        <v>1.5</v>
      </c>
      <c r="V81" s="23">
        <v>1.5</v>
      </c>
      <c r="W81" s="23">
        <v>0</v>
      </c>
      <c r="X81" s="23"/>
      <c r="Y81" s="23"/>
      <c r="Z81" s="23">
        <v>0.35</v>
      </c>
      <c r="AA81" s="23">
        <v>8</v>
      </c>
      <c r="AB81" s="23">
        <v>0</v>
      </c>
      <c r="AC81" s="23">
        <v>0.61</v>
      </c>
      <c r="AD81" s="23">
        <v>0.08</v>
      </c>
      <c r="AE81" s="23">
        <v>13</v>
      </c>
      <c r="AF81" s="23">
        <v>18</v>
      </c>
      <c r="AG81" s="23">
        <v>15</v>
      </c>
      <c r="AH81" s="23">
        <v>16</v>
      </c>
      <c r="AI81" s="23"/>
      <c r="AJ81" s="23">
        <v>0.6</v>
      </c>
      <c r="AK81" s="65">
        <v>401</v>
      </c>
      <c r="AL81" s="65">
        <v>4</v>
      </c>
    </row>
    <row r="82" spans="1:38">
      <c r="A82" s="38">
        <v>407</v>
      </c>
      <c r="B82" s="16" t="s">
        <v>262</v>
      </c>
      <c r="C82" s="16" t="s">
        <v>553</v>
      </c>
      <c r="D82" s="38"/>
      <c r="E82" s="16"/>
      <c r="F82" s="16"/>
      <c r="G82" s="23">
        <v>0</v>
      </c>
      <c r="H82" s="23">
        <v>15</v>
      </c>
      <c r="I82" s="23">
        <v>13</v>
      </c>
      <c r="J82" s="23">
        <v>15.025</v>
      </c>
      <c r="K82" s="23">
        <v>4.2249999999999996</v>
      </c>
      <c r="L82" s="23">
        <v>20.375</v>
      </c>
      <c r="M82" s="23">
        <v>9.1749999999999989</v>
      </c>
      <c r="N82" s="23">
        <v>0</v>
      </c>
      <c r="O82" s="23">
        <v>0</v>
      </c>
      <c r="P82" s="23"/>
      <c r="Q82" s="23">
        <v>51.2</v>
      </c>
      <c r="R82" s="23">
        <v>368.75</v>
      </c>
      <c r="S82" s="23">
        <f t="shared" si="2"/>
        <v>368.875</v>
      </c>
      <c r="T82" s="23">
        <v>725.75</v>
      </c>
      <c r="U82" s="23">
        <v>0.35</v>
      </c>
      <c r="V82" s="23">
        <v>0.35</v>
      </c>
      <c r="W82" s="23">
        <v>0</v>
      </c>
      <c r="X82" s="23"/>
      <c r="Y82" s="23"/>
      <c r="Z82" s="23">
        <v>2.1875</v>
      </c>
      <c r="AA82" s="23">
        <v>27</v>
      </c>
      <c r="AB82" s="23">
        <v>2</v>
      </c>
      <c r="AC82" s="23">
        <v>0.2475</v>
      </c>
      <c r="AD82" s="23">
        <v>1.0150000000000001</v>
      </c>
      <c r="AE82" s="23">
        <v>114.25</v>
      </c>
      <c r="AF82" s="23">
        <v>51</v>
      </c>
      <c r="AG82" s="23">
        <v>118.5</v>
      </c>
      <c r="AH82" s="23">
        <v>122.75</v>
      </c>
      <c r="AI82" s="23"/>
      <c r="AJ82" s="23">
        <v>2</v>
      </c>
      <c r="AK82" s="65">
        <v>401</v>
      </c>
      <c r="AL82" s="65">
        <v>4</v>
      </c>
    </row>
    <row r="83" spans="1:38">
      <c r="A83" s="38">
        <v>408</v>
      </c>
      <c r="B83" s="16" t="s">
        <v>263</v>
      </c>
      <c r="C83" s="16" t="s">
        <v>561</v>
      </c>
      <c r="D83" s="38">
        <v>252</v>
      </c>
      <c r="E83" s="16" t="s">
        <v>642</v>
      </c>
      <c r="F83" s="16"/>
      <c r="G83" s="23">
        <v>0</v>
      </c>
      <c r="H83" s="23">
        <v>15</v>
      </c>
      <c r="I83" s="23">
        <v>13</v>
      </c>
      <c r="J83" s="23"/>
      <c r="K83" s="23"/>
      <c r="L83" s="23">
        <v>21.6</v>
      </c>
      <c r="M83" s="23">
        <v>19</v>
      </c>
      <c r="N83" s="23">
        <v>0</v>
      </c>
      <c r="O83" s="23">
        <v>0</v>
      </c>
      <c r="P83" s="23">
        <v>51.6</v>
      </c>
      <c r="Q83" s="23">
        <f>+P83-N83</f>
        <v>51.6</v>
      </c>
      <c r="R83" s="23">
        <v>464</v>
      </c>
      <c r="S83" s="23">
        <f t="shared" si="2"/>
        <v>463.79999999999995</v>
      </c>
      <c r="T83" s="23">
        <v>770</v>
      </c>
      <c r="U83" s="23">
        <v>8</v>
      </c>
      <c r="V83" s="23">
        <v>8</v>
      </c>
      <c r="W83" s="23">
        <v>0</v>
      </c>
      <c r="X83" s="23"/>
      <c r="Y83" s="23"/>
      <c r="Z83" s="23">
        <v>3.5</v>
      </c>
      <c r="AA83" s="23">
        <v>42</v>
      </c>
      <c r="AB83" s="23">
        <v>37</v>
      </c>
      <c r="AC83" s="23">
        <v>0.3</v>
      </c>
      <c r="AD83" s="23">
        <v>0.6</v>
      </c>
      <c r="AE83" s="23">
        <v>420</v>
      </c>
      <c r="AF83" s="23">
        <v>0</v>
      </c>
      <c r="AG83" s="23">
        <v>420</v>
      </c>
      <c r="AH83" s="23">
        <v>420</v>
      </c>
      <c r="AI83" s="23"/>
      <c r="AJ83" s="23">
        <v>1</v>
      </c>
      <c r="AK83" s="65">
        <v>1501</v>
      </c>
      <c r="AL83" s="65">
        <v>15</v>
      </c>
    </row>
    <row r="84" spans="1:38">
      <c r="A84" s="38">
        <v>409</v>
      </c>
      <c r="B84" s="16" t="s">
        <v>264</v>
      </c>
      <c r="C84" s="16" t="s">
        <v>607</v>
      </c>
      <c r="D84" s="38">
        <v>1178</v>
      </c>
      <c r="E84" s="16" t="s">
        <v>643</v>
      </c>
      <c r="F84" s="16"/>
      <c r="G84" s="23">
        <v>0</v>
      </c>
      <c r="H84" s="23">
        <v>15</v>
      </c>
      <c r="I84" s="23">
        <v>13</v>
      </c>
      <c r="J84" s="23">
        <v>71</v>
      </c>
      <c r="K84" s="23">
        <v>0.9</v>
      </c>
      <c r="L84" s="23">
        <v>7</v>
      </c>
      <c r="M84" s="23">
        <v>14.1</v>
      </c>
      <c r="N84" s="23">
        <v>0</v>
      </c>
      <c r="O84" s="23">
        <v>0</v>
      </c>
      <c r="P84" s="23">
        <v>7</v>
      </c>
      <c r="Q84" s="23">
        <f t="shared" ref="Q84:Q85" si="3">100-J84-K84-L84-M84-N84-O84</f>
        <v>7.0000000000000018</v>
      </c>
      <c r="R84" s="23">
        <v>181</v>
      </c>
      <c r="S84" s="23">
        <f t="shared" si="2"/>
        <v>182.89999999999998</v>
      </c>
      <c r="T84" s="23">
        <v>141</v>
      </c>
      <c r="U84" s="23">
        <v>0.06</v>
      </c>
      <c r="V84" s="23">
        <v>0.06</v>
      </c>
      <c r="W84" s="23">
        <v>0</v>
      </c>
      <c r="X84" s="23"/>
      <c r="Y84" s="23"/>
      <c r="Z84" s="23">
        <v>0.27</v>
      </c>
      <c r="AA84" s="23">
        <v>11</v>
      </c>
      <c r="AB84" s="23">
        <v>0.9</v>
      </c>
      <c r="AC84" s="23">
        <v>0.04</v>
      </c>
      <c r="AD84" s="23">
        <v>0.24</v>
      </c>
      <c r="AE84" s="23">
        <v>117</v>
      </c>
      <c r="AF84" s="23">
        <v>27</v>
      </c>
      <c r="AG84" s="23">
        <v>119.25</v>
      </c>
      <c r="AH84" s="23">
        <v>121.5</v>
      </c>
      <c r="AI84" s="23"/>
      <c r="AJ84" s="23">
        <v>0.3</v>
      </c>
      <c r="AK84" s="65">
        <v>402</v>
      </c>
      <c r="AL84" s="65">
        <v>4</v>
      </c>
    </row>
    <row r="85" spans="1:38">
      <c r="A85" s="38">
        <v>410</v>
      </c>
      <c r="B85" s="16" t="s">
        <v>265</v>
      </c>
      <c r="C85" s="16" t="s">
        <v>607</v>
      </c>
      <c r="D85" s="38">
        <v>1056</v>
      </c>
      <c r="E85" s="16" t="s">
        <v>644</v>
      </c>
      <c r="F85" s="16"/>
      <c r="G85" s="23">
        <v>0</v>
      </c>
      <c r="H85" s="23">
        <v>15</v>
      </c>
      <c r="I85" s="23">
        <v>13</v>
      </c>
      <c r="J85" s="23">
        <v>73.069999999999993</v>
      </c>
      <c r="K85" s="23">
        <v>0.51</v>
      </c>
      <c r="L85" s="23">
        <v>2.44</v>
      </c>
      <c r="M85" s="23">
        <v>19.350000000000001</v>
      </c>
      <c r="N85" s="23">
        <v>0</v>
      </c>
      <c r="O85" s="23">
        <v>0</v>
      </c>
      <c r="P85" s="23">
        <v>4.63</v>
      </c>
      <c r="Q85" s="23">
        <f t="shared" si="3"/>
        <v>4.6300000000000026</v>
      </c>
      <c r="R85" s="23">
        <v>198</v>
      </c>
      <c r="S85" s="23">
        <f t="shared" si="2"/>
        <v>202.43</v>
      </c>
      <c r="T85" s="23">
        <v>101</v>
      </c>
      <c r="U85" s="23">
        <v>7.0000000000000007E-2</v>
      </c>
      <c r="V85" s="23">
        <v>7.0000000000000007E-2</v>
      </c>
      <c r="W85" s="23">
        <v>0</v>
      </c>
      <c r="X85" s="23"/>
      <c r="Y85" s="23"/>
      <c r="Z85" s="23">
        <v>0.33</v>
      </c>
      <c r="AA85" s="23">
        <v>6</v>
      </c>
      <c r="AB85" s="23">
        <v>0.9</v>
      </c>
      <c r="AC85" s="23">
        <v>0.02</v>
      </c>
      <c r="AD85" s="23">
        <v>0.16800000000000001</v>
      </c>
      <c r="AE85" s="23">
        <v>121</v>
      </c>
      <c r="AF85" s="23">
        <v>25.5</v>
      </c>
      <c r="AG85" s="23">
        <v>123.125</v>
      </c>
      <c r="AH85" s="23">
        <v>125.25</v>
      </c>
      <c r="AI85" s="23"/>
      <c r="AJ85" s="23">
        <v>0.21</v>
      </c>
      <c r="AK85" s="65">
        <v>402</v>
      </c>
      <c r="AL85" s="65">
        <v>4</v>
      </c>
    </row>
    <row r="86" spans="1:38">
      <c r="A86" s="38">
        <v>411</v>
      </c>
      <c r="B86" s="16" t="s">
        <v>266</v>
      </c>
      <c r="C86" s="16" t="s">
        <v>566</v>
      </c>
      <c r="D86" s="38">
        <v>6026</v>
      </c>
      <c r="E86" s="16" t="s">
        <v>574</v>
      </c>
      <c r="F86" s="16"/>
      <c r="G86" s="23">
        <v>0</v>
      </c>
      <c r="H86" s="23">
        <v>15</v>
      </c>
      <c r="I86" s="23">
        <v>13</v>
      </c>
      <c r="J86" s="23">
        <v>82</v>
      </c>
      <c r="K86" s="23">
        <v>0.7</v>
      </c>
      <c r="L86" s="23">
        <v>2.9</v>
      </c>
      <c r="M86" s="23">
        <v>3.1</v>
      </c>
      <c r="N86" s="23">
        <v>0</v>
      </c>
      <c r="O86" s="23">
        <v>0</v>
      </c>
      <c r="P86" s="23"/>
      <c r="Q86" s="23">
        <v>11.3</v>
      </c>
      <c r="R86" s="23">
        <v>85</v>
      </c>
      <c r="S86" s="23">
        <f t="shared" si="2"/>
        <v>84.7</v>
      </c>
      <c r="T86" s="23">
        <v>149</v>
      </c>
      <c r="U86" s="23">
        <v>0.2</v>
      </c>
      <c r="V86" s="23">
        <v>0.2</v>
      </c>
      <c r="W86" s="23">
        <v>0</v>
      </c>
      <c r="X86" s="23"/>
      <c r="Y86" s="23"/>
      <c r="Z86" s="23">
        <v>0.34</v>
      </c>
      <c r="AA86" s="23">
        <v>0</v>
      </c>
      <c r="AB86" s="23">
        <v>0</v>
      </c>
      <c r="AC86" s="23">
        <v>0.1</v>
      </c>
      <c r="AD86" s="23">
        <v>0.2</v>
      </c>
      <c r="AE86" s="23">
        <v>32</v>
      </c>
      <c r="AF86" s="23">
        <v>23</v>
      </c>
      <c r="AG86" s="23">
        <v>34</v>
      </c>
      <c r="AH86" s="23">
        <v>36</v>
      </c>
      <c r="AI86" s="23"/>
      <c r="AJ86" s="23">
        <v>0.2</v>
      </c>
      <c r="AK86" s="65">
        <v>402</v>
      </c>
      <c r="AL86" s="65">
        <v>4</v>
      </c>
    </row>
    <row r="87" spans="1:38">
      <c r="A87" s="38">
        <v>412</v>
      </c>
      <c r="B87" s="16" t="s">
        <v>267</v>
      </c>
      <c r="C87" s="16" t="s">
        <v>553</v>
      </c>
      <c r="D87" s="38"/>
      <c r="E87" s="16"/>
      <c r="F87" s="16"/>
      <c r="G87" s="23">
        <v>0</v>
      </c>
      <c r="H87" s="23">
        <v>15</v>
      </c>
      <c r="I87" s="23">
        <v>13</v>
      </c>
      <c r="J87" s="23">
        <v>66.25</v>
      </c>
      <c r="K87" s="23">
        <v>1.9749999999999999</v>
      </c>
      <c r="L87" s="23">
        <v>17.099999999999998</v>
      </c>
      <c r="M87" s="23">
        <v>11.324999999999999</v>
      </c>
      <c r="N87" s="23">
        <v>0</v>
      </c>
      <c r="O87" s="23">
        <v>0</v>
      </c>
      <c r="P87" s="23"/>
      <c r="Q87" s="23">
        <v>3.3500000000000014</v>
      </c>
      <c r="R87" s="23">
        <v>183.75</v>
      </c>
      <c r="S87" s="23">
        <f t="shared" si="2"/>
        <v>183.72499999999999</v>
      </c>
      <c r="T87" s="23">
        <v>265.25</v>
      </c>
      <c r="U87" s="23">
        <v>0.3</v>
      </c>
      <c r="V87" s="23">
        <v>0.3</v>
      </c>
      <c r="W87" s="23">
        <v>0</v>
      </c>
      <c r="X87" s="23"/>
      <c r="Y87" s="23"/>
      <c r="Z87" s="23">
        <v>1.1075000000000002</v>
      </c>
      <c r="AA87" s="23">
        <v>17.5</v>
      </c>
      <c r="AB87" s="23">
        <v>0.25</v>
      </c>
      <c r="AC87" s="23">
        <v>4.2500000000000003E-2</v>
      </c>
      <c r="AD87" s="23">
        <v>0.315</v>
      </c>
      <c r="AE87" s="23">
        <v>64</v>
      </c>
      <c r="AF87" s="23">
        <v>46.75</v>
      </c>
      <c r="AG87" s="23">
        <v>67.895833333333329</v>
      </c>
      <c r="AH87" s="23">
        <v>71.791666666666671</v>
      </c>
      <c r="AI87" s="23"/>
      <c r="AJ87" s="23">
        <v>0.88250000000000006</v>
      </c>
      <c r="AK87" s="65">
        <v>404</v>
      </c>
      <c r="AL87" s="65">
        <v>4</v>
      </c>
    </row>
    <row r="88" spans="1:38">
      <c r="A88" s="38">
        <v>413</v>
      </c>
      <c r="B88" s="16" t="s">
        <v>268</v>
      </c>
      <c r="C88" s="16" t="s">
        <v>566</v>
      </c>
      <c r="D88" s="38">
        <v>7011</v>
      </c>
      <c r="E88" s="16" t="s">
        <v>485</v>
      </c>
      <c r="F88" s="16"/>
      <c r="G88" s="23">
        <v>13</v>
      </c>
      <c r="H88" s="23">
        <v>13</v>
      </c>
      <c r="I88" s="23">
        <v>10</v>
      </c>
      <c r="J88" s="23">
        <v>75.900000000000006</v>
      </c>
      <c r="K88" s="23">
        <v>0.9</v>
      </c>
      <c r="L88" s="23">
        <v>12.7</v>
      </c>
      <c r="M88" s="23">
        <v>8.1</v>
      </c>
      <c r="N88" s="23">
        <v>0</v>
      </c>
      <c r="O88" s="23">
        <v>0</v>
      </c>
      <c r="P88" s="23"/>
      <c r="Q88" s="23">
        <v>2.4</v>
      </c>
      <c r="R88" s="23">
        <v>134</v>
      </c>
      <c r="S88" s="23">
        <f t="shared" si="2"/>
        <v>133.29999999999998</v>
      </c>
      <c r="T88" s="23">
        <v>54</v>
      </c>
      <c r="U88" s="23">
        <v>1.7</v>
      </c>
      <c r="V88" s="23">
        <v>1.7</v>
      </c>
      <c r="W88" s="23">
        <v>0</v>
      </c>
      <c r="X88" s="23"/>
      <c r="Y88" s="23"/>
      <c r="Z88" s="23">
        <v>1.1299999999999999</v>
      </c>
      <c r="AA88" s="23">
        <v>83</v>
      </c>
      <c r="AB88" s="23">
        <v>0</v>
      </c>
      <c r="AC88" s="23">
        <v>0.12</v>
      </c>
      <c r="AD88" s="23">
        <v>0.51</v>
      </c>
      <c r="AE88" s="23">
        <v>186</v>
      </c>
      <c r="AF88" s="23">
        <v>0</v>
      </c>
      <c r="AG88" s="23">
        <v>186</v>
      </c>
      <c r="AH88" s="23">
        <v>186</v>
      </c>
      <c r="AI88" s="23"/>
      <c r="AJ88" s="23">
        <v>1.7</v>
      </c>
      <c r="AK88" s="65">
        <v>501</v>
      </c>
      <c r="AL88" s="65">
        <v>5</v>
      </c>
    </row>
    <row r="89" spans="1:38">
      <c r="A89" s="38">
        <v>414</v>
      </c>
      <c r="B89" s="16" t="s">
        <v>269</v>
      </c>
      <c r="C89" s="16" t="s">
        <v>683</v>
      </c>
      <c r="D89" s="38"/>
      <c r="E89" s="16"/>
      <c r="F89" s="16"/>
      <c r="G89" s="23">
        <v>0</v>
      </c>
      <c r="H89" s="23">
        <v>15</v>
      </c>
      <c r="I89" s="23">
        <v>13</v>
      </c>
      <c r="J89" s="23">
        <v>83.098749999999995</v>
      </c>
      <c r="K89" s="23">
        <v>0.9006249999999999</v>
      </c>
      <c r="L89" s="23">
        <v>4.8662499999999991</v>
      </c>
      <c r="M89" s="23">
        <v>4.2206250000000001</v>
      </c>
      <c r="N89" s="23">
        <v>0.05</v>
      </c>
      <c r="O89" s="23">
        <v>0</v>
      </c>
      <c r="P89" s="23"/>
      <c r="Q89" s="23">
        <f>100-J89-K89-L89-M89-N89-O89</f>
        <v>6.863750000000004</v>
      </c>
      <c r="R89" s="23">
        <v>84.71875</v>
      </c>
      <c r="S89" s="23">
        <f t="shared" si="2"/>
        <v>85.005625000000009</v>
      </c>
      <c r="T89" s="23">
        <v>138.46875</v>
      </c>
      <c r="U89" s="23">
        <v>0.33750000000000002</v>
      </c>
      <c r="V89" s="23">
        <v>0.33750000000000002</v>
      </c>
      <c r="W89" s="23">
        <v>0</v>
      </c>
      <c r="X89" s="23"/>
      <c r="Y89" s="23"/>
      <c r="Z89" s="23">
        <v>0.54531249999999998</v>
      </c>
      <c r="AA89" s="23">
        <v>6.8125</v>
      </c>
      <c r="AB89" s="23">
        <v>0.16875000000000001</v>
      </c>
      <c r="AC89" s="23">
        <v>0.10756249999999999</v>
      </c>
      <c r="AD89" s="23">
        <v>0.21625</v>
      </c>
      <c r="AE89" s="23">
        <v>33.375</v>
      </c>
      <c r="AF89" s="23">
        <v>17.28125</v>
      </c>
      <c r="AG89" s="23">
        <f>+AE89+AF89/12</f>
        <v>34.815104166666664</v>
      </c>
      <c r="AH89" s="23">
        <f>+AE89+AG89/6</f>
        <v>39.177517361111114</v>
      </c>
      <c r="AI89" s="23"/>
      <c r="AJ89" s="23">
        <v>0.51343749999999999</v>
      </c>
      <c r="AK89" s="65">
        <v>403</v>
      </c>
      <c r="AL89" s="65">
        <v>4</v>
      </c>
    </row>
    <row r="90" spans="1:38">
      <c r="A90" s="38">
        <v>501</v>
      </c>
      <c r="B90" s="16" t="s">
        <v>270</v>
      </c>
      <c r="C90" s="16" t="s">
        <v>566</v>
      </c>
      <c r="D90" s="38">
        <v>6002</v>
      </c>
      <c r="E90" s="16" t="s">
        <v>486</v>
      </c>
      <c r="F90" s="16"/>
      <c r="G90" s="23">
        <v>0</v>
      </c>
      <c r="H90" s="23">
        <v>17</v>
      </c>
      <c r="I90" s="23">
        <v>14</v>
      </c>
      <c r="J90" s="23">
        <v>15.3</v>
      </c>
      <c r="K90" s="23">
        <v>1.7</v>
      </c>
      <c r="L90" s="23">
        <v>1.1000000000000001</v>
      </c>
      <c r="M90" s="23">
        <v>81.3</v>
      </c>
      <c r="N90" s="23">
        <v>0</v>
      </c>
      <c r="O90" s="23">
        <v>0</v>
      </c>
      <c r="P90" s="23"/>
      <c r="Q90" s="23">
        <v>0.6</v>
      </c>
      <c r="R90" s="23">
        <v>739</v>
      </c>
      <c r="S90" s="23">
        <f t="shared" si="2"/>
        <v>738.49999999999989</v>
      </c>
      <c r="T90" s="23">
        <v>17</v>
      </c>
      <c r="U90" s="23">
        <v>0.01</v>
      </c>
      <c r="V90" s="23">
        <v>0</v>
      </c>
      <c r="W90" s="23">
        <v>0.01</v>
      </c>
      <c r="X90" s="23"/>
      <c r="Y90" s="23"/>
      <c r="Z90" s="23">
        <v>0.06</v>
      </c>
      <c r="AA90" s="23">
        <v>6</v>
      </c>
      <c r="AB90" s="23">
        <v>0</v>
      </c>
      <c r="AC90" s="23">
        <v>0</v>
      </c>
      <c r="AD90" s="23">
        <v>0.05</v>
      </c>
      <c r="AE90" s="23">
        <v>832</v>
      </c>
      <c r="AF90" s="23">
        <v>153</v>
      </c>
      <c r="AG90" s="23">
        <v>845</v>
      </c>
      <c r="AH90" s="23">
        <v>858</v>
      </c>
      <c r="AI90" s="23"/>
      <c r="AJ90" s="23">
        <v>0</v>
      </c>
      <c r="AK90" s="65">
        <v>1103</v>
      </c>
      <c r="AL90" s="65">
        <v>11</v>
      </c>
    </row>
    <row r="91" spans="1:38">
      <c r="A91" s="38">
        <v>502</v>
      </c>
      <c r="B91" s="16" t="s">
        <v>271</v>
      </c>
      <c r="C91" s="16" t="s">
        <v>566</v>
      </c>
      <c r="D91" s="38">
        <v>6008</v>
      </c>
      <c r="E91" s="16" t="s">
        <v>575</v>
      </c>
      <c r="F91" s="16"/>
      <c r="G91" s="23">
        <v>0</v>
      </c>
      <c r="H91" s="23">
        <v>17</v>
      </c>
      <c r="I91" s="23">
        <v>14</v>
      </c>
      <c r="J91" s="23">
        <v>0</v>
      </c>
      <c r="K91" s="23">
        <v>0.5</v>
      </c>
      <c r="L91" s="23">
        <v>0.3</v>
      </c>
      <c r="M91" s="23">
        <v>99.9</v>
      </c>
      <c r="N91" s="23">
        <v>0</v>
      </c>
      <c r="O91" s="23">
        <v>0</v>
      </c>
      <c r="P91" s="23"/>
      <c r="Q91" s="23">
        <v>0</v>
      </c>
      <c r="R91" s="23">
        <v>898</v>
      </c>
      <c r="S91" s="23">
        <f t="shared" si="2"/>
        <v>900.30000000000007</v>
      </c>
      <c r="T91" s="23">
        <v>2</v>
      </c>
      <c r="U91" s="23">
        <v>0.2</v>
      </c>
      <c r="V91" s="23">
        <v>0</v>
      </c>
      <c r="W91" s="23">
        <v>0.2</v>
      </c>
      <c r="X91" s="23"/>
      <c r="Y91" s="23"/>
      <c r="Z91" s="23">
        <v>0.01</v>
      </c>
      <c r="AA91" s="23">
        <v>0</v>
      </c>
      <c r="AB91" s="23">
        <v>0</v>
      </c>
      <c r="AC91" s="23">
        <v>0</v>
      </c>
      <c r="AD91" s="23">
        <v>0.01</v>
      </c>
      <c r="AE91" s="23">
        <v>860</v>
      </c>
      <c r="AF91" s="23">
        <v>480</v>
      </c>
      <c r="AG91" s="23">
        <v>900</v>
      </c>
      <c r="AH91" s="23">
        <v>940</v>
      </c>
      <c r="AI91" s="23"/>
      <c r="AJ91" s="23">
        <v>0</v>
      </c>
      <c r="AK91" s="65">
        <v>1103</v>
      </c>
      <c r="AL91" s="65">
        <v>11</v>
      </c>
    </row>
    <row r="92" spans="1:38">
      <c r="A92" s="38">
        <v>503</v>
      </c>
      <c r="B92" s="16" t="s">
        <v>272</v>
      </c>
      <c r="C92" s="16" t="s">
        <v>553</v>
      </c>
      <c r="D92" s="38"/>
      <c r="E92" s="16"/>
      <c r="F92" s="16"/>
      <c r="G92" s="23">
        <v>0</v>
      </c>
      <c r="H92" s="23">
        <v>16</v>
      </c>
      <c r="I92" s="23">
        <v>14</v>
      </c>
      <c r="J92" s="23">
        <v>43.833333333333336</v>
      </c>
      <c r="K92" s="23">
        <v>1.6333333333333335</v>
      </c>
      <c r="L92" s="23">
        <v>0.13333333333333333</v>
      </c>
      <c r="M92" s="23">
        <v>54.1</v>
      </c>
      <c r="N92" s="23">
        <v>0</v>
      </c>
      <c r="O92" s="23">
        <v>0</v>
      </c>
      <c r="P92" s="23"/>
      <c r="Q92" s="23">
        <v>0.29999999999999716</v>
      </c>
      <c r="R92" s="23">
        <v>488.66666666666669</v>
      </c>
      <c r="S92" s="23">
        <f t="shared" si="2"/>
        <v>488.63333333333338</v>
      </c>
      <c r="T92" s="23">
        <v>10.333333333333334</v>
      </c>
      <c r="U92" s="23">
        <v>0</v>
      </c>
      <c r="V92" s="23">
        <v>0</v>
      </c>
      <c r="W92" s="23">
        <v>0</v>
      </c>
      <c r="X92" s="23"/>
      <c r="Y92" s="23"/>
      <c r="Z92" s="23">
        <v>0</v>
      </c>
      <c r="AA92" s="23">
        <v>0.66666666666666663</v>
      </c>
      <c r="AB92" s="23">
        <v>8.3333333333333329E-2</v>
      </c>
      <c r="AC92" s="23">
        <v>3.3333333333333335E-3</v>
      </c>
      <c r="AD92" s="23">
        <v>0.01</v>
      </c>
      <c r="AE92" s="23">
        <v>768</v>
      </c>
      <c r="AF92" s="23">
        <v>610</v>
      </c>
      <c r="AG92" s="23">
        <v>818.83333333333337</v>
      </c>
      <c r="AH92" s="23">
        <v>869.66666666666663</v>
      </c>
      <c r="AI92" s="23"/>
      <c r="AJ92" s="23">
        <v>1.2366666666666666</v>
      </c>
      <c r="AK92" s="65">
        <v>1101</v>
      </c>
      <c r="AL92" s="65">
        <v>11</v>
      </c>
    </row>
    <row r="93" spans="1:38">
      <c r="A93" s="38">
        <v>504</v>
      </c>
      <c r="B93" s="16" t="s">
        <v>273</v>
      </c>
      <c r="C93" s="16" t="s">
        <v>611</v>
      </c>
      <c r="D93" s="38" t="s">
        <v>685</v>
      </c>
      <c r="E93" s="16" t="s">
        <v>684</v>
      </c>
      <c r="F93" s="16"/>
      <c r="G93" s="23">
        <v>0</v>
      </c>
      <c r="H93" s="23">
        <v>16</v>
      </c>
      <c r="I93" s="23">
        <v>14</v>
      </c>
      <c r="J93" s="23">
        <v>16.5</v>
      </c>
      <c r="K93" s="23">
        <v>1.9</v>
      </c>
      <c r="L93" s="23">
        <v>0.2</v>
      </c>
      <c r="M93" s="23">
        <v>80.7</v>
      </c>
      <c r="N93" s="23">
        <v>0</v>
      </c>
      <c r="O93" s="23">
        <v>0</v>
      </c>
      <c r="P93" s="23"/>
      <c r="Q93" s="23">
        <v>0.7</v>
      </c>
      <c r="R93" s="23">
        <v>730</v>
      </c>
      <c r="S93" s="23">
        <f t="shared" si="2"/>
        <v>729.9</v>
      </c>
      <c r="T93" s="23">
        <v>3</v>
      </c>
      <c r="U93" s="23">
        <v>0.1</v>
      </c>
      <c r="V93" s="23">
        <v>0</v>
      </c>
      <c r="W93" s="23">
        <v>0.1</v>
      </c>
      <c r="X93" s="23"/>
      <c r="Y93" s="23"/>
      <c r="Z93" s="23">
        <v>0</v>
      </c>
      <c r="AA93" s="23">
        <v>1</v>
      </c>
      <c r="AB93" s="23">
        <v>0.2</v>
      </c>
      <c r="AC93" s="23">
        <v>0.01</v>
      </c>
      <c r="AD93" s="23">
        <v>0.04</v>
      </c>
      <c r="AE93" s="23">
        <v>768</v>
      </c>
      <c r="AF93" s="23">
        <v>610</v>
      </c>
      <c r="AG93" s="23">
        <v>818.83333333333337</v>
      </c>
      <c r="AH93" s="23">
        <v>869.66666666666663</v>
      </c>
      <c r="AI93" s="23"/>
      <c r="AJ93" s="23">
        <v>0.1</v>
      </c>
      <c r="AK93" s="65">
        <v>1101</v>
      </c>
      <c r="AL93" s="65">
        <v>11</v>
      </c>
    </row>
    <row r="94" spans="1:38">
      <c r="A94" s="38">
        <v>505</v>
      </c>
      <c r="B94" s="16" t="s">
        <v>274</v>
      </c>
      <c r="C94" s="16" t="s">
        <v>566</v>
      </c>
      <c r="D94" s="38">
        <v>10012</v>
      </c>
      <c r="E94" s="16" t="s">
        <v>576</v>
      </c>
      <c r="F94" s="16"/>
      <c r="G94" s="23">
        <v>0</v>
      </c>
      <c r="H94" s="23">
        <v>16</v>
      </c>
      <c r="I94" s="23">
        <v>14</v>
      </c>
      <c r="J94" s="23">
        <v>5.9</v>
      </c>
      <c r="K94" s="23">
        <v>2.2999999999999998</v>
      </c>
      <c r="L94" s="23">
        <v>20.100000000000001</v>
      </c>
      <c r="M94" s="23">
        <v>48.4</v>
      </c>
      <c r="N94" s="23">
        <v>8.3000000000000007</v>
      </c>
      <c r="O94" s="23">
        <v>0</v>
      </c>
      <c r="P94" s="23"/>
      <c r="Q94" s="23">
        <v>15</v>
      </c>
      <c r="R94" s="23">
        <v>593</v>
      </c>
      <c r="S94" s="23">
        <f t="shared" si="2"/>
        <v>592.6</v>
      </c>
      <c r="T94" s="23">
        <v>117</v>
      </c>
      <c r="U94" s="23">
        <v>5.5</v>
      </c>
      <c r="V94" s="23">
        <v>0</v>
      </c>
      <c r="W94" s="23">
        <v>5.5</v>
      </c>
      <c r="X94" s="23"/>
      <c r="Y94" s="23"/>
      <c r="Z94" s="23">
        <v>2.2400000000000002</v>
      </c>
      <c r="AA94" s="23">
        <v>110</v>
      </c>
      <c r="AB94" s="23">
        <v>0</v>
      </c>
      <c r="AC94" s="23">
        <v>0.85</v>
      </c>
      <c r="AD94" s="23">
        <v>0.14000000000000001</v>
      </c>
      <c r="AE94" s="23">
        <v>0</v>
      </c>
      <c r="AF94" s="23">
        <v>4</v>
      </c>
      <c r="AG94" s="23">
        <v>0</v>
      </c>
      <c r="AH94" s="23">
        <v>1</v>
      </c>
      <c r="AI94" s="23"/>
      <c r="AJ94" s="23">
        <v>0</v>
      </c>
      <c r="AK94" s="65">
        <v>303</v>
      </c>
      <c r="AL94" s="65">
        <v>3</v>
      </c>
    </row>
    <row r="95" spans="1:38">
      <c r="A95" s="38">
        <v>506</v>
      </c>
      <c r="B95" s="16" t="s">
        <v>275</v>
      </c>
      <c r="C95" s="16" t="s">
        <v>553</v>
      </c>
      <c r="D95" s="38"/>
      <c r="E95" s="16"/>
      <c r="F95" s="16"/>
      <c r="G95" s="23">
        <v>0</v>
      </c>
      <c r="H95" s="23">
        <v>16</v>
      </c>
      <c r="I95" s="23">
        <v>14</v>
      </c>
      <c r="J95" s="23">
        <v>0</v>
      </c>
      <c r="K95" s="23">
        <v>0</v>
      </c>
      <c r="L95" s="23">
        <v>2.5000000000000001E-2</v>
      </c>
      <c r="M95" s="23">
        <v>99.974999999999994</v>
      </c>
      <c r="N95" s="23">
        <v>0</v>
      </c>
      <c r="O95" s="23">
        <v>0</v>
      </c>
      <c r="P95" s="23"/>
      <c r="Q95" s="23">
        <v>0</v>
      </c>
      <c r="R95" s="23">
        <v>900</v>
      </c>
      <c r="S95" s="23">
        <f t="shared" si="2"/>
        <v>899.875</v>
      </c>
      <c r="T95" s="23">
        <v>0.25</v>
      </c>
      <c r="U95" s="23">
        <v>2.5000000000000001E-2</v>
      </c>
      <c r="V95" s="23">
        <v>0</v>
      </c>
      <c r="W95" s="23">
        <v>2.5000000000000001E-2</v>
      </c>
      <c r="X95" s="23"/>
      <c r="Y95" s="23"/>
      <c r="Z95" s="23">
        <v>3.5000000000000003E-2</v>
      </c>
      <c r="AA95" s="23">
        <v>0</v>
      </c>
      <c r="AB95" s="23">
        <v>0</v>
      </c>
      <c r="AC95" s="23">
        <v>0</v>
      </c>
      <c r="AD95" s="23">
        <v>0</v>
      </c>
      <c r="AE95" s="23">
        <v>1.595</v>
      </c>
      <c r="AF95" s="23">
        <v>0</v>
      </c>
      <c r="AG95" s="23">
        <v>1.595</v>
      </c>
      <c r="AH95" s="23">
        <v>1.595</v>
      </c>
      <c r="AI95" s="23"/>
      <c r="AJ95" s="23">
        <v>0</v>
      </c>
      <c r="AK95" s="65">
        <v>1103</v>
      </c>
      <c r="AL95" s="65">
        <v>11</v>
      </c>
    </row>
    <row r="96" spans="1:38">
      <c r="A96" s="38">
        <v>507</v>
      </c>
      <c r="B96" s="16" t="s">
        <v>276</v>
      </c>
      <c r="C96" s="16" t="s">
        <v>553</v>
      </c>
      <c r="D96" s="38"/>
      <c r="E96" s="16"/>
      <c r="F96" s="16"/>
      <c r="G96" s="23">
        <v>0</v>
      </c>
      <c r="H96" s="23">
        <v>16</v>
      </c>
      <c r="I96" s="23">
        <v>14</v>
      </c>
      <c r="J96" s="23">
        <v>0</v>
      </c>
      <c r="K96" s="23">
        <v>0</v>
      </c>
      <c r="L96" s="23">
        <v>0</v>
      </c>
      <c r="M96" s="23">
        <v>99.974999999999994</v>
      </c>
      <c r="N96" s="23">
        <v>0</v>
      </c>
      <c r="O96" s="23">
        <v>0</v>
      </c>
      <c r="P96" s="23"/>
      <c r="Q96" s="23">
        <v>2.5000000000005684E-2</v>
      </c>
      <c r="R96" s="23">
        <v>900</v>
      </c>
      <c r="S96" s="23">
        <f t="shared" si="2"/>
        <v>899.875</v>
      </c>
      <c r="T96" s="23">
        <v>0</v>
      </c>
      <c r="U96" s="23">
        <v>2.5000000000000001E-2</v>
      </c>
      <c r="V96" s="23">
        <v>0</v>
      </c>
      <c r="W96" s="23">
        <v>2.5000000000000001E-2</v>
      </c>
      <c r="X96" s="23"/>
      <c r="Y96" s="23"/>
      <c r="Z96" s="23">
        <v>3.2500000000000001E-2</v>
      </c>
      <c r="AA96" s="23">
        <v>0</v>
      </c>
      <c r="AB96" s="23">
        <v>0</v>
      </c>
      <c r="AC96" s="23">
        <v>0</v>
      </c>
      <c r="AD96" s="23">
        <v>0</v>
      </c>
      <c r="AE96" s="23">
        <v>1.595</v>
      </c>
      <c r="AF96" s="23">
        <v>2.75</v>
      </c>
      <c r="AG96" s="23">
        <v>1.8241666666666667</v>
      </c>
      <c r="AH96" s="23">
        <v>2.0533333333333332</v>
      </c>
      <c r="AI96" s="23"/>
      <c r="AJ96" s="23">
        <v>0</v>
      </c>
      <c r="AK96" s="65">
        <v>1101</v>
      </c>
      <c r="AL96" s="65">
        <v>11</v>
      </c>
    </row>
    <row r="97" spans="1:38">
      <c r="A97" s="38">
        <v>508</v>
      </c>
      <c r="B97" s="16" t="s">
        <v>277</v>
      </c>
      <c r="C97" s="16" t="s">
        <v>686</v>
      </c>
      <c r="D97" s="38"/>
      <c r="E97" s="16"/>
      <c r="F97" s="16"/>
      <c r="G97" s="23">
        <v>0</v>
      </c>
      <c r="H97" s="23">
        <v>16</v>
      </c>
      <c r="I97" s="23">
        <v>14</v>
      </c>
      <c r="J97" s="23">
        <v>16.5</v>
      </c>
      <c r="K97" s="23">
        <v>1.9</v>
      </c>
      <c r="L97" s="23">
        <v>0.2</v>
      </c>
      <c r="M97" s="23">
        <v>80.7</v>
      </c>
      <c r="N97" s="23">
        <v>0</v>
      </c>
      <c r="O97" s="23">
        <v>0</v>
      </c>
      <c r="P97" s="23"/>
      <c r="Q97" s="23">
        <v>0.7</v>
      </c>
      <c r="R97" s="23">
        <v>730</v>
      </c>
      <c r="S97" s="23">
        <f t="shared" si="2"/>
        <v>729.9</v>
      </c>
      <c r="T97" s="23">
        <v>3</v>
      </c>
      <c r="U97" s="23">
        <v>0.1</v>
      </c>
      <c r="V97" s="23">
        <v>0</v>
      </c>
      <c r="W97" s="23">
        <v>0.1</v>
      </c>
      <c r="X97" s="23"/>
      <c r="Y97" s="23"/>
      <c r="Z97" s="23">
        <v>0</v>
      </c>
      <c r="AA97" s="23">
        <v>1</v>
      </c>
      <c r="AB97" s="23">
        <v>0.2</v>
      </c>
      <c r="AC97" s="23">
        <v>0.01</v>
      </c>
      <c r="AD97" s="23">
        <v>0.04</v>
      </c>
      <c r="AE97" s="23">
        <v>768</v>
      </c>
      <c r="AF97" s="23">
        <v>610</v>
      </c>
      <c r="AG97" s="23">
        <v>818.83333333333337</v>
      </c>
      <c r="AH97" s="23">
        <v>869.66666666666663</v>
      </c>
      <c r="AI97" s="23"/>
      <c r="AJ97" s="23">
        <v>0.1</v>
      </c>
      <c r="AK97" s="65">
        <v>1103</v>
      </c>
      <c r="AL97" s="65">
        <v>11</v>
      </c>
    </row>
    <row r="98" spans="1:38">
      <c r="A98" s="38">
        <v>509</v>
      </c>
      <c r="B98" s="16" t="s">
        <v>278</v>
      </c>
      <c r="C98" s="16" t="s">
        <v>566</v>
      </c>
      <c r="D98" s="38">
        <v>9001</v>
      </c>
      <c r="E98" s="16" t="s">
        <v>577</v>
      </c>
      <c r="F98" s="16"/>
      <c r="G98" s="23">
        <v>0</v>
      </c>
      <c r="H98" s="23">
        <v>17</v>
      </c>
      <c r="I98" s="23">
        <v>14</v>
      </c>
      <c r="J98" s="23">
        <v>1</v>
      </c>
      <c r="K98" s="23">
        <v>0.3</v>
      </c>
      <c r="L98" s="23">
        <v>0</v>
      </c>
      <c r="M98" s="23">
        <v>99</v>
      </c>
      <c r="N98" s="23">
        <v>0</v>
      </c>
      <c r="O98" s="23">
        <v>0</v>
      </c>
      <c r="P98" s="23"/>
      <c r="Q98" s="23">
        <v>0</v>
      </c>
      <c r="R98" s="23">
        <v>890</v>
      </c>
      <c r="S98" s="23">
        <f t="shared" si="2"/>
        <v>891</v>
      </c>
      <c r="T98" s="23">
        <v>1</v>
      </c>
      <c r="U98" s="23">
        <v>0.1</v>
      </c>
      <c r="V98" s="23">
        <v>0</v>
      </c>
      <c r="W98" s="23">
        <v>0.1</v>
      </c>
      <c r="X98" s="23"/>
      <c r="Y98" s="23"/>
      <c r="Z98" s="23">
        <v>0.11</v>
      </c>
      <c r="AA98" s="23">
        <v>0</v>
      </c>
      <c r="AB98" s="23">
        <v>0</v>
      </c>
      <c r="AC98" s="23">
        <v>0</v>
      </c>
      <c r="AD98" s="23">
        <v>0</v>
      </c>
      <c r="AE98" s="23">
        <v>0</v>
      </c>
      <c r="AF98" s="23">
        <v>0</v>
      </c>
      <c r="AG98" s="23">
        <v>0</v>
      </c>
      <c r="AH98" s="23">
        <v>0</v>
      </c>
      <c r="AI98" s="23"/>
      <c r="AJ98" s="23">
        <v>0</v>
      </c>
      <c r="AK98" s="65">
        <v>1103</v>
      </c>
      <c r="AL98" s="65">
        <v>11</v>
      </c>
    </row>
    <row r="99" spans="1:38">
      <c r="A99" s="38">
        <v>510</v>
      </c>
      <c r="B99" s="16" t="s">
        <v>279</v>
      </c>
      <c r="C99" s="16" t="s">
        <v>553</v>
      </c>
      <c r="D99" s="38"/>
      <c r="E99" s="16"/>
      <c r="F99" s="16"/>
      <c r="G99" s="23">
        <v>0</v>
      </c>
      <c r="H99" s="23">
        <v>16</v>
      </c>
      <c r="I99" s="23">
        <v>14</v>
      </c>
      <c r="J99" s="23">
        <v>0</v>
      </c>
      <c r="K99" s="23">
        <v>0</v>
      </c>
      <c r="L99" s="23">
        <v>0</v>
      </c>
      <c r="M99" s="23">
        <v>100</v>
      </c>
      <c r="N99" s="23">
        <v>0</v>
      </c>
      <c r="O99" s="23">
        <v>0</v>
      </c>
      <c r="P99" s="23"/>
      <c r="Q99" s="23">
        <v>0</v>
      </c>
      <c r="R99" s="23">
        <v>900</v>
      </c>
      <c r="S99" s="23">
        <f t="shared" si="2"/>
        <v>900</v>
      </c>
      <c r="T99" s="23">
        <v>0</v>
      </c>
      <c r="U99" s="23">
        <v>0</v>
      </c>
      <c r="V99" s="23">
        <v>0</v>
      </c>
      <c r="W99" s="23">
        <v>0</v>
      </c>
      <c r="X99" s="23"/>
      <c r="Y99" s="23"/>
      <c r="Z99" s="23">
        <v>0</v>
      </c>
      <c r="AA99" s="23">
        <v>0</v>
      </c>
      <c r="AB99" s="23">
        <v>0</v>
      </c>
      <c r="AC99" s="23">
        <v>0</v>
      </c>
      <c r="AD99" s="23">
        <v>0</v>
      </c>
      <c r="AE99" s="23">
        <v>0</v>
      </c>
      <c r="AF99" s="23">
        <v>0</v>
      </c>
      <c r="AG99" s="23">
        <v>0</v>
      </c>
      <c r="AH99" s="23">
        <v>0</v>
      </c>
      <c r="AI99" s="23"/>
      <c r="AJ99" s="23">
        <v>0</v>
      </c>
      <c r="AK99" s="65">
        <v>1101</v>
      </c>
      <c r="AL99" s="65">
        <v>11</v>
      </c>
    </row>
    <row r="100" spans="1:38">
      <c r="A100" s="38">
        <v>601</v>
      </c>
      <c r="B100" s="16" t="s">
        <v>280</v>
      </c>
      <c r="C100" s="16" t="s">
        <v>566</v>
      </c>
      <c r="D100" s="38">
        <v>5004</v>
      </c>
      <c r="E100" s="16" t="s">
        <v>578</v>
      </c>
      <c r="F100" s="16"/>
      <c r="G100" s="23">
        <v>38</v>
      </c>
      <c r="H100" s="23">
        <v>8</v>
      </c>
      <c r="I100" s="23">
        <v>7</v>
      </c>
      <c r="J100" s="23">
        <v>74.400000000000006</v>
      </c>
      <c r="K100" s="23">
        <v>0.9</v>
      </c>
      <c r="L100" s="23">
        <v>1.08</v>
      </c>
      <c r="M100" s="23">
        <v>0.3</v>
      </c>
      <c r="N100" s="23">
        <v>2.75</v>
      </c>
      <c r="O100" s="23">
        <v>0</v>
      </c>
      <c r="P100" s="23"/>
      <c r="Q100" s="23">
        <v>20.6</v>
      </c>
      <c r="R100" s="23">
        <v>95</v>
      </c>
      <c r="S100" s="23">
        <f t="shared" si="2"/>
        <v>94.92</v>
      </c>
      <c r="T100" s="23">
        <v>10</v>
      </c>
      <c r="U100" s="23">
        <v>0.3</v>
      </c>
      <c r="V100" s="23">
        <v>0</v>
      </c>
      <c r="W100" s="23">
        <v>0.3</v>
      </c>
      <c r="X100" s="23"/>
      <c r="Y100" s="23"/>
      <c r="Z100" s="23">
        <v>0.36</v>
      </c>
      <c r="AA100" s="23">
        <v>22</v>
      </c>
      <c r="AB100" s="23">
        <v>4</v>
      </c>
      <c r="AC100" s="23">
        <v>0.05</v>
      </c>
      <c r="AD100" s="23">
        <v>0.05</v>
      </c>
      <c r="AE100" s="23">
        <v>0</v>
      </c>
      <c r="AF100" s="23">
        <v>56</v>
      </c>
      <c r="AG100" s="23">
        <v>5</v>
      </c>
      <c r="AH100" s="23">
        <v>9</v>
      </c>
      <c r="AI100" s="23"/>
      <c r="AJ100" s="23">
        <v>0</v>
      </c>
      <c r="AK100" s="65">
        <v>1002</v>
      </c>
      <c r="AL100" s="65">
        <v>10</v>
      </c>
    </row>
    <row r="101" spans="1:38">
      <c r="A101" s="38">
        <v>602</v>
      </c>
      <c r="B101" s="16" t="s">
        <v>281</v>
      </c>
      <c r="C101" s="16" t="s">
        <v>566</v>
      </c>
      <c r="D101" s="38">
        <v>5023</v>
      </c>
      <c r="E101" s="16" t="s">
        <v>497</v>
      </c>
      <c r="F101" s="16"/>
      <c r="G101" s="23">
        <v>25</v>
      </c>
      <c r="H101" s="23">
        <v>8</v>
      </c>
      <c r="I101" s="23">
        <v>7</v>
      </c>
      <c r="J101" s="23">
        <v>87.6</v>
      </c>
      <c r="K101" s="23">
        <v>0.7</v>
      </c>
      <c r="L101" s="23">
        <v>0.9</v>
      </c>
      <c r="M101" s="23">
        <v>0.2</v>
      </c>
      <c r="N101" s="23">
        <v>3.1</v>
      </c>
      <c r="O101" s="23">
        <v>0</v>
      </c>
      <c r="P101" s="23"/>
      <c r="Q101" s="23">
        <v>7.5</v>
      </c>
      <c r="R101" s="23">
        <v>42</v>
      </c>
      <c r="S101" s="23">
        <f t="shared" si="2"/>
        <v>41.6</v>
      </c>
      <c r="T101" s="23">
        <v>23</v>
      </c>
      <c r="U101" s="23">
        <v>0.2</v>
      </c>
      <c r="V101" s="23">
        <v>0</v>
      </c>
      <c r="W101" s="23">
        <v>0.2</v>
      </c>
      <c r="X101" s="23"/>
      <c r="Y101" s="23"/>
      <c r="Z101" s="23">
        <v>0.05</v>
      </c>
      <c r="AA101" s="23">
        <v>52</v>
      </c>
      <c r="AB101" s="23">
        <v>45</v>
      </c>
      <c r="AC101" s="23">
        <v>0.04</v>
      </c>
      <c r="AD101" s="23">
        <v>0.03</v>
      </c>
      <c r="AE101" s="23">
        <v>0</v>
      </c>
      <c r="AF101" s="23">
        <v>57</v>
      </c>
      <c r="AG101" s="23">
        <v>5</v>
      </c>
      <c r="AH101" s="23">
        <v>9</v>
      </c>
      <c r="AI101" s="23"/>
      <c r="AJ101" s="23">
        <v>0</v>
      </c>
      <c r="AK101" s="65">
        <v>1002</v>
      </c>
      <c r="AL101" s="65">
        <v>10</v>
      </c>
    </row>
    <row r="102" spans="1:38">
      <c r="A102" s="38">
        <v>603</v>
      </c>
      <c r="B102" s="16" t="s">
        <v>282</v>
      </c>
      <c r="C102" s="16" t="s">
        <v>566</v>
      </c>
      <c r="D102" s="38">
        <v>5024</v>
      </c>
      <c r="E102" s="16" t="s">
        <v>579</v>
      </c>
      <c r="F102" s="16"/>
      <c r="G102" s="23">
        <v>24</v>
      </c>
      <c r="H102" s="23">
        <v>8</v>
      </c>
      <c r="I102" s="23">
        <v>7</v>
      </c>
      <c r="J102" s="23">
        <v>89.8</v>
      </c>
      <c r="K102" s="23">
        <v>0.5</v>
      </c>
      <c r="L102" s="23">
        <v>0.6</v>
      </c>
      <c r="M102" s="23">
        <v>0.3</v>
      </c>
      <c r="N102" s="23">
        <v>2.1</v>
      </c>
      <c r="O102" s="23">
        <v>0</v>
      </c>
      <c r="P102" s="23"/>
      <c r="Q102" s="23">
        <v>6.8</v>
      </c>
      <c r="R102" s="23">
        <v>36</v>
      </c>
      <c r="S102" s="23">
        <f t="shared" si="2"/>
        <v>36.5</v>
      </c>
      <c r="T102" s="23">
        <v>21</v>
      </c>
      <c r="U102" s="23">
        <v>0.6</v>
      </c>
      <c r="V102" s="23">
        <v>0</v>
      </c>
      <c r="W102" s="23">
        <v>0.6</v>
      </c>
      <c r="X102" s="23"/>
      <c r="Y102" s="23"/>
      <c r="Z102" s="23">
        <v>0.2</v>
      </c>
      <c r="AA102" s="23">
        <v>37</v>
      </c>
      <c r="AB102" s="23">
        <v>51</v>
      </c>
      <c r="AC102" s="23">
        <v>0.04</v>
      </c>
      <c r="AD102" s="23">
        <v>0.03</v>
      </c>
      <c r="AE102" s="23">
        <v>0</v>
      </c>
      <c r="AF102" s="23">
        <v>1018</v>
      </c>
      <c r="AG102" s="23">
        <v>85</v>
      </c>
      <c r="AH102" s="23">
        <v>170</v>
      </c>
      <c r="AI102" s="23"/>
      <c r="AJ102" s="23">
        <v>0</v>
      </c>
      <c r="AK102" s="65">
        <v>1001</v>
      </c>
      <c r="AL102" s="65">
        <v>10</v>
      </c>
    </row>
    <row r="103" spans="1:38">
      <c r="A103" s="38">
        <v>604</v>
      </c>
      <c r="B103" s="16" t="s">
        <v>283</v>
      </c>
      <c r="C103" s="16" t="s">
        <v>566</v>
      </c>
      <c r="D103" s="38">
        <v>5003</v>
      </c>
      <c r="E103" s="16" t="s">
        <v>580</v>
      </c>
      <c r="F103" s="16"/>
      <c r="G103" s="23">
        <v>29.000000000000004</v>
      </c>
      <c r="H103" s="23">
        <v>7</v>
      </c>
      <c r="I103" s="23">
        <v>7</v>
      </c>
      <c r="J103" s="23">
        <v>74</v>
      </c>
      <c r="K103" s="23">
        <v>1.9</v>
      </c>
      <c r="L103" s="23">
        <v>1.6</v>
      </c>
      <c r="M103" s="23">
        <v>19.600000000000001</v>
      </c>
      <c r="N103" s="23">
        <v>4</v>
      </c>
      <c r="O103" s="23">
        <v>0</v>
      </c>
      <c r="P103" s="23"/>
      <c r="Q103" s="23">
        <v>0</v>
      </c>
      <c r="R103" s="23">
        <v>185</v>
      </c>
      <c r="S103" s="23">
        <f t="shared" si="2"/>
        <v>190.8</v>
      </c>
      <c r="T103" s="23">
        <v>19</v>
      </c>
      <c r="U103" s="23">
        <v>1</v>
      </c>
      <c r="V103" s="23">
        <v>0</v>
      </c>
      <c r="W103" s="23">
        <v>1</v>
      </c>
      <c r="X103" s="23"/>
      <c r="Y103" s="23"/>
      <c r="Z103" s="23">
        <v>0.39</v>
      </c>
      <c r="AA103" s="23">
        <v>67</v>
      </c>
      <c r="AB103" s="23">
        <v>14</v>
      </c>
      <c r="AC103" s="23">
        <v>7.0000000000000007E-2</v>
      </c>
      <c r="AD103" s="23">
        <v>0.15</v>
      </c>
      <c r="AE103" s="23">
        <v>0</v>
      </c>
      <c r="AF103" s="23">
        <v>27</v>
      </c>
      <c r="AG103" s="23">
        <v>2</v>
      </c>
      <c r="AH103" s="23">
        <v>5</v>
      </c>
      <c r="AI103" s="23"/>
      <c r="AJ103" s="23">
        <v>0</v>
      </c>
      <c r="AK103" s="65">
        <v>1002</v>
      </c>
      <c r="AL103" s="65">
        <v>10</v>
      </c>
    </row>
    <row r="104" spans="1:38">
      <c r="A104" s="38">
        <v>605</v>
      </c>
      <c r="B104" s="16" t="s">
        <v>284</v>
      </c>
      <c r="C104" s="16" t="s">
        <v>566</v>
      </c>
      <c r="D104" s="38">
        <v>5019</v>
      </c>
      <c r="E104" s="16" t="s">
        <v>581</v>
      </c>
      <c r="F104" s="16"/>
      <c r="G104" s="23">
        <v>28.000000000000004</v>
      </c>
      <c r="H104" s="23">
        <v>8</v>
      </c>
      <c r="I104" s="23">
        <v>6</v>
      </c>
      <c r="J104" s="23">
        <v>83</v>
      </c>
      <c r="K104" s="23">
        <v>0.5</v>
      </c>
      <c r="L104" s="23">
        <v>0.6</v>
      </c>
      <c r="M104" s="23">
        <v>0.3</v>
      </c>
      <c r="N104" s="23">
        <v>1.6</v>
      </c>
      <c r="O104" s="23">
        <v>0</v>
      </c>
      <c r="P104" s="23"/>
      <c r="Q104" s="23">
        <v>14</v>
      </c>
      <c r="R104" s="23">
        <v>64</v>
      </c>
      <c r="S104" s="23">
        <f t="shared" si="2"/>
        <v>64.3</v>
      </c>
      <c r="T104" s="23">
        <v>14</v>
      </c>
      <c r="U104" s="23">
        <v>0.2</v>
      </c>
      <c r="V104" s="23">
        <v>0</v>
      </c>
      <c r="W104" s="23">
        <v>0.2</v>
      </c>
      <c r="X104" s="23"/>
      <c r="Y104" s="23"/>
      <c r="Z104" s="23">
        <v>0.14000000000000001</v>
      </c>
      <c r="AA104" s="23">
        <v>54</v>
      </c>
      <c r="AB104" s="23">
        <v>35</v>
      </c>
      <c r="AC104" s="23">
        <v>0.03</v>
      </c>
      <c r="AD104" s="23">
        <v>0.04</v>
      </c>
      <c r="AE104" s="23">
        <v>0</v>
      </c>
      <c r="AF104" s="23">
        <v>1105</v>
      </c>
      <c r="AG104" s="23">
        <v>92</v>
      </c>
      <c r="AH104" s="23">
        <v>184</v>
      </c>
      <c r="AI104" s="23"/>
      <c r="AJ104" s="23">
        <v>0</v>
      </c>
      <c r="AK104" s="65">
        <v>1001</v>
      </c>
      <c r="AL104" s="65">
        <v>10</v>
      </c>
    </row>
    <row r="105" spans="1:38">
      <c r="A105" s="38">
        <v>606</v>
      </c>
      <c r="B105" s="16" t="s">
        <v>285</v>
      </c>
      <c r="C105" s="16" t="s">
        <v>566</v>
      </c>
      <c r="D105" s="38">
        <v>5030</v>
      </c>
      <c r="E105" s="16" t="s">
        <v>582</v>
      </c>
      <c r="F105" s="16"/>
      <c r="G105" s="23">
        <v>31.999999999999996</v>
      </c>
      <c r="H105" s="23">
        <v>8</v>
      </c>
      <c r="I105" s="23">
        <v>7</v>
      </c>
      <c r="J105" s="23">
        <v>88.6</v>
      </c>
      <c r="K105" s="23">
        <v>0.3</v>
      </c>
      <c r="L105" s="23">
        <v>0.48</v>
      </c>
      <c r="M105" s="23">
        <v>0.2</v>
      </c>
      <c r="N105" s="23">
        <v>2.2999999999999998</v>
      </c>
      <c r="O105" s="23">
        <v>0</v>
      </c>
      <c r="P105" s="23"/>
      <c r="Q105" s="23">
        <v>8.1</v>
      </c>
      <c r="R105" s="23">
        <v>41</v>
      </c>
      <c r="S105" s="23">
        <f t="shared" si="2"/>
        <v>40.72</v>
      </c>
      <c r="T105" s="23">
        <v>16</v>
      </c>
      <c r="U105" s="23">
        <v>0.4</v>
      </c>
      <c r="V105" s="23">
        <v>0</v>
      </c>
      <c r="W105" s="23">
        <v>0.4</v>
      </c>
      <c r="X105" s="23"/>
      <c r="Y105" s="23"/>
      <c r="Z105" s="23">
        <v>0.37</v>
      </c>
      <c r="AA105" s="23">
        <v>32</v>
      </c>
      <c r="AB105" s="23">
        <v>36.4</v>
      </c>
      <c r="AC105" s="23">
        <v>0.05</v>
      </c>
      <c r="AD105" s="23">
        <v>0.03</v>
      </c>
      <c r="AE105" s="23">
        <v>0</v>
      </c>
      <c r="AF105" s="23">
        <v>31</v>
      </c>
      <c r="AG105" s="23">
        <v>3</v>
      </c>
      <c r="AH105" s="23">
        <v>5</v>
      </c>
      <c r="AI105" s="23"/>
      <c r="AJ105" s="23">
        <v>0</v>
      </c>
      <c r="AK105" s="65">
        <v>1002</v>
      </c>
      <c r="AL105" s="65">
        <v>10</v>
      </c>
    </row>
    <row r="106" spans="1:38">
      <c r="A106" s="38">
        <v>607</v>
      </c>
      <c r="B106" s="16" t="s">
        <v>286</v>
      </c>
      <c r="C106" s="16" t="s">
        <v>566</v>
      </c>
      <c r="D106" s="38">
        <v>5025</v>
      </c>
      <c r="E106" s="16" t="s">
        <v>498</v>
      </c>
      <c r="F106" s="16"/>
      <c r="G106" s="23">
        <v>48</v>
      </c>
      <c r="H106" s="23">
        <v>8</v>
      </c>
      <c r="I106" s="23">
        <v>7</v>
      </c>
      <c r="J106" s="23">
        <v>75.7</v>
      </c>
      <c r="K106" s="23">
        <v>0.8</v>
      </c>
      <c r="L106" s="23">
        <v>2.4</v>
      </c>
      <c r="M106" s="23">
        <v>0.9</v>
      </c>
      <c r="N106" s="23">
        <v>11.7</v>
      </c>
      <c r="O106" s="23">
        <v>0</v>
      </c>
      <c r="P106" s="23"/>
      <c r="Q106" s="23">
        <v>8.6999999999999993</v>
      </c>
      <c r="R106" s="23">
        <v>75</v>
      </c>
      <c r="S106" s="23">
        <f t="shared" si="2"/>
        <v>75.899999999999991</v>
      </c>
      <c r="T106" s="23">
        <v>10</v>
      </c>
      <c r="U106" s="23">
        <v>0.6</v>
      </c>
      <c r="V106" s="23">
        <v>0</v>
      </c>
      <c r="W106" s="23">
        <v>0.6</v>
      </c>
      <c r="X106" s="23"/>
      <c r="Y106" s="23"/>
      <c r="Z106" s="23">
        <v>0.8</v>
      </c>
      <c r="AA106" s="23">
        <v>7</v>
      </c>
      <c r="AB106" s="23">
        <v>29</v>
      </c>
      <c r="AC106" s="23">
        <v>0.03</v>
      </c>
      <c r="AD106" s="23">
        <v>0.14000000000000001</v>
      </c>
      <c r="AE106" s="23">
        <v>0</v>
      </c>
      <c r="AF106" s="23">
        <v>764</v>
      </c>
      <c r="AG106" s="23">
        <v>64</v>
      </c>
      <c r="AH106" s="23">
        <v>127</v>
      </c>
      <c r="AI106" s="23"/>
      <c r="AJ106" s="23">
        <v>0</v>
      </c>
      <c r="AK106" s="65">
        <v>1002</v>
      </c>
      <c r="AL106" s="65">
        <v>10</v>
      </c>
    </row>
    <row r="107" spans="1:38">
      <c r="A107" s="38">
        <v>608</v>
      </c>
      <c r="B107" s="16" t="s">
        <v>287</v>
      </c>
      <c r="C107" s="16" t="s">
        <v>566</v>
      </c>
      <c r="D107" s="38">
        <v>5028</v>
      </c>
      <c r="E107" s="16" t="s">
        <v>583</v>
      </c>
      <c r="F107" s="16"/>
      <c r="G107" s="23">
        <v>15.000000000000002</v>
      </c>
      <c r="H107" s="23">
        <v>8</v>
      </c>
      <c r="I107" s="23">
        <v>7</v>
      </c>
      <c r="J107" s="23">
        <v>86</v>
      </c>
      <c r="K107" s="23">
        <v>0.3</v>
      </c>
      <c r="L107" s="23">
        <v>0.4</v>
      </c>
      <c r="M107" s="23">
        <v>0.2</v>
      </c>
      <c r="N107" s="23">
        <v>4</v>
      </c>
      <c r="O107" s="23">
        <v>0</v>
      </c>
      <c r="P107" s="23"/>
      <c r="Q107" s="23">
        <v>9.1</v>
      </c>
      <c r="R107" s="23">
        <v>48</v>
      </c>
      <c r="S107" s="23">
        <f t="shared" si="2"/>
        <v>47.8</v>
      </c>
      <c r="T107" s="23">
        <v>8</v>
      </c>
      <c r="U107" s="23">
        <v>0.3</v>
      </c>
      <c r="V107" s="23">
        <v>0</v>
      </c>
      <c r="W107" s="23">
        <v>0.3</v>
      </c>
      <c r="X107" s="23"/>
      <c r="Y107" s="23"/>
      <c r="Z107" s="23">
        <v>0.08</v>
      </c>
      <c r="AA107" s="23">
        <v>7</v>
      </c>
      <c r="AB107" s="23">
        <v>4</v>
      </c>
      <c r="AC107" s="23">
        <v>0.03</v>
      </c>
      <c r="AD107" s="23">
        <v>0.03</v>
      </c>
      <c r="AE107" s="23">
        <v>0</v>
      </c>
      <c r="AF107" s="23">
        <v>14</v>
      </c>
      <c r="AG107" s="23">
        <v>1</v>
      </c>
      <c r="AH107" s="23">
        <v>2</v>
      </c>
      <c r="AI107" s="23"/>
      <c r="AJ107" s="23">
        <v>0</v>
      </c>
      <c r="AK107" s="65">
        <v>1002</v>
      </c>
      <c r="AL107" s="65">
        <v>10</v>
      </c>
    </row>
    <row r="108" spans="1:38">
      <c r="A108" s="38">
        <v>609</v>
      </c>
      <c r="B108" s="16" t="s">
        <v>288</v>
      </c>
      <c r="C108" s="16" t="s">
        <v>566</v>
      </c>
      <c r="D108" s="38">
        <v>5027</v>
      </c>
      <c r="E108" s="16" t="s">
        <v>584</v>
      </c>
      <c r="F108" s="16"/>
      <c r="G108" s="23">
        <v>12</v>
      </c>
      <c r="H108" s="23">
        <v>8</v>
      </c>
      <c r="I108" s="23">
        <v>7</v>
      </c>
      <c r="J108" s="23">
        <v>86.7</v>
      </c>
      <c r="K108" s="23">
        <v>0.4</v>
      </c>
      <c r="L108" s="23">
        <v>1</v>
      </c>
      <c r="M108" s="23">
        <v>0.1</v>
      </c>
      <c r="N108" s="23">
        <v>1.9</v>
      </c>
      <c r="O108" s="23">
        <v>0</v>
      </c>
      <c r="P108" s="23"/>
      <c r="Q108" s="23">
        <v>9.9</v>
      </c>
      <c r="R108" s="23">
        <v>48</v>
      </c>
      <c r="S108" s="23">
        <f t="shared" si="2"/>
        <v>48.3</v>
      </c>
      <c r="T108" s="23">
        <v>5</v>
      </c>
      <c r="U108" s="23">
        <v>0.3</v>
      </c>
      <c r="V108" s="23">
        <v>0</v>
      </c>
      <c r="W108" s="23">
        <v>0.3</v>
      </c>
      <c r="X108" s="23"/>
      <c r="Y108" s="23"/>
      <c r="Z108" s="23">
        <v>0.11</v>
      </c>
      <c r="AA108" s="23">
        <v>0</v>
      </c>
      <c r="AB108" s="23">
        <v>8</v>
      </c>
      <c r="AC108" s="23">
        <v>0.01</v>
      </c>
      <c r="AD108" s="23">
        <v>0.03</v>
      </c>
      <c r="AE108" s="23">
        <v>0</v>
      </c>
      <c r="AF108" s="23">
        <v>157</v>
      </c>
      <c r="AG108" s="23">
        <v>13</v>
      </c>
      <c r="AH108" s="23">
        <v>26</v>
      </c>
      <c r="AI108" s="23"/>
      <c r="AJ108" s="23">
        <v>0</v>
      </c>
      <c r="AK108" s="65">
        <v>1002</v>
      </c>
      <c r="AL108" s="65">
        <v>10</v>
      </c>
    </row>
    <row r="109" spans="1:38">
      <c r="A109" s="38">
        <v>610</v>
      </c>
      <c r="B109" s="16" t="s">
        <v>289</v>
      </c>
      <c r="C109" s="16" t="s">
        <v>566</v>
      </c>
      <c r="D109" s="38">
        <v>5031</v>
      </c>
      <c r="E109" s="16" t="s">
        <v>585</v>
      </c>
      <c r="F109" s="16"/>
      <c r="G109" s="23">
        <v>6.9999999999999947</v>
      </c>
      <c r="H109" s="23">
        <v>8</v>
      </c>
      <c r="I109" s="23">
        <v>7</v>
      </c>
      <c r="J109" s="23">
        <v>86.9</v>
      </c>
      <c r="K109" s="23">
        <v>0.4</v>
      </c>
      <c r="L109" s="23">
        <v>0.7</v>
      </c>
      <c r="M109" s="23">
        <v>0.1</v>
      </c>
      <c r="N109" s="23">
        <v>2</v>
      </c>
      <c r="O109" s="23">
        <v>0</v>
      </c>
      <c r="P109" s="23"/>
      <c r="Q109" s="23">
        <v>9.9</v>
      </c>
      <c r="R109" s="23">
        <v>47</v>
      </c>
      <c r="S109" s="23">
        <f t="shared" si="2"/>
        <v>47.3</v>
      </c>
      <c r="T109" s="23">
        <v>10</v>
      </c>
      <c r="U109" s="23">
        <v>0.4</v>
      </c>
      <c r="V109" s="23">
        <v>0</v>
      </c>
      <c r="W109" s="23">
        <v>0.4</v>
      </c>
      <c r="X109" s="23"/>
      <c r="Y109" s="23"/>
      <c r="Z109" s="23">
        <v>0.1</v>
      </c>
      <c r="AA109" s="23">
        <v>1</v>
      </c>
      <c r="AB109" s="23">
        <v>4</v>
      </c>
      <c r="AC109" s="23">
        <v>0.04</v>
      </c>
      <c r="AD109" s="23">
        <v>0.06</v>
      </c>
      <c r="AE109" s="23">
        <v>0</v>
      </c>
      <c r="AF109" s="23">
        <v>74</v>
      </c>
      <c r="AG109" s="23">
        <v>6</v>
      </c>
      <c r="AH109" s="23">
        <v>12</v>
      </c>
      <c r="AI109" s="23"/>
      <c r="AJ109" s="23">
        <v>0</v>
      </c>
      <c r="AK109" s="65">
        <v>1002</v>
      </c>
      <c r="AL109" s="65">
        <v>10</v>
      </c>
    </row>
    <row r="110" spans="1:38">
      <c r="A110" s="38">
        <v>611</v>
      </c>
      <c r="B110" s="16" t="s">
        <v>290</v>
      </c>
      <c r="C110" s="16" t="s">
        <v>553</v>
      </c>
      <c r="D110" s="38"/>
      <c r="E110" s="16"/>
      <c r="F110" s="16"/>
      <c r="G110" s="23">
        <v>9.9999999999999982</v>
      </c>
      <c r="H110" s="23">
        <v>8</v>
      </c>
      <c r="I110" s="23">
        <v>7</v>
      </c>
      <c r="J110" s="23">
        <v>84.8</v>
      </c>
      <c r="K110" s="23">
        <v>0.22500000000000001</v>
      </c>
      <c r="L110" s="23">
        <v>0.3</v>
      </c>
      <c r="M110" s="23">
        <v>0.05</v>
      </c>
      <c r="N110" s="23">
        <v>2.3499999999999996</v>
      </c>
      <c r="O110" s="23">
        <v>0</v>
      </c>
      <c r="P110" s="23"/>
      <c r="Q110" s="23">
        <v>12.275000000000002</v>
      </c>
      <c r="R110" s="23">
        <v>56</v>
      </c>
      <c r="S110" s="23">
        <f t="shared" si="2"/>
        <v>55.45000000000001</v>
      </c>
      <c r="T110" s="23">
        <v>6</v>
      </c>
      <c r="U110" s="23">
        <v>0.35</v>
      </c>
      <c r="V110" s="23">
        <v>0</v>
      </c>
      <c r="W110" s="23">
        <v>0.35</v>
      </c>
      <c r="X110" s="23"/>
      <c r="Y110" s="23"/>
      <c r="Z110" s="23">
        <v>7.0000000000000007E-2</v>
      </c>
      <c r="AA110" s="23">
        <v>2.5</v>
      </c>
      <c r="AB110" s="23">
        <v>4</v>
      </c>
      <c r="AC110" s="23">
        <v>2.2499999999999999E-2</v>
      </c>
      <c r="AD110" s="23">
        <v>0.01</v>
      </c>
      <c r="AE110" s="23">
        <v>0</v>
      </c>
      <c r="AF110" s="23">
        <v>12.5</v>
      </c>
      <c r="AG110" s="23">
        <v>1.0416666666666667</v>
      </c>
      <c r="AH110" s="23">
        <v>2.0833333333333335</v>
      </c>
      <c r="AI110" s="23"/>
      <c r="AJ110" s="23">
        <v>0</v>
      </c>
      <c r="AK110" s="65">
        <v>1002</v>
      </c>
      <c r="AL110" s="65">
        <v>10</v>
      </c>
    </row>
    <row r="111" spans="1:38">
      <c r="A111" s="38">
        <v>612</v>
      </c>
      <c r="B111" s="16" t="s">
        <v>291</v>
      </c>
      <c r="C111" s="16" t="s">
        <v>566</v>
      </c>
      <c r="D111" s="38">
        <v>5015</v>
      </c>
      <c r="E111" s="16" t="s">
        <v>503</v>
      </c>
      <c r="F111" s="16"/>
      <c r="G111" s="23">
        <v>34</v>
      </c>
      <c r="H111" s="23">
        <v>8</v>
      </c>
      <c r="I111" s="23">
        <v>7</v>
      </c>
      <c r="J111" s="23">
        <v>89.5</v>
      </c>
      <c r="K111" s="23">
        <v>0.3</v>
      </c>
      <c r="L111" s="23">
        <v>0.82</v>
      </c>
      <c r="M111" s="23">
        <v>0.2</v>
      </c>
      <c r="N111" s="23">
        <v>2.5</v>
      </c>
      <c r="O111" s="23">
        <v>0</v>
      </c>
      <c r="P111" s="23"/>
      <c r="Q111" s="23">
        <v>6.7</v>
      </c>
      <c r="R111" s="23">
        <v>37</v>
      </c>
      <c r="S111" s="23">
        <f t="shared" si="2"/>
        <v>36.880000000000003</v>
      </c>
      <c r="T111" s="23">
        <v>33</v>
      </c>
      <c r="U111" s="23">
        <v>0.3</v>
      </c>
      <c r="V111" s="23">
        <v>0</v>
      </c>
      <c r="W111" s="23">
        <v>0.3</v>
      </c>
      <c r="X111" s="23"/>
      <c r="Y111" s="23"/>
      <c r="Z111" s="23">
        <v>0.1</v>
      </c>
      <c r="AA111" s="23">
        <v>11</v>
      </c>
      <c r="AB111" s="23">
        <v>44</v>
      </c>
      <c r="AC111" s="23">
        <v>0.03</v>
      </c>
      <c r="AD111" s="23">
        <v>0.02</v>
      </c>
      <c r="AE111" s="23">
        <v>0</v>
      </c>
      <c r="AF111" s="23">
        <v>10</v>
      </c>
      <c r="AG111" s="23">
        <v>1</v>
      </c>
      <c r="AH111" s="23">
        <v>2</v>
      </c>
      <c r="AI111" s="23"/>
      <c r="AJ111" s="23">
        <v>0</v>
      </c>
      <c r="AK111" s="65">
        <v>1002</v>
      </c>
      <c r="AL111" s="65">
        <v>10</v>
      </c>
    </row>
    <row r="112" spans="1:38">
      <c r="A112" s="38">
        <v>613</v>
      </c>
      <c r="B112" s="16" t="s">
        <v>292</v>
      </c>
      <c r="C112" s="16" t="s">
        <v>561</v>
      </c>
      <c r="D112" s="38">
        <v>135</v>
      </c>
      <c r="E112" s="16" t="s">
        <v>645</v>
      </c>
      <c r="F112" s="16"/>
      <c r="G112" s="23">
        <v>50</v>
      </c>
      <c r="H112" s="23">
        <v>8</v>
      </c>
      <c r="I112" s="23">
        <v>7</v>
      </c>
      <c r="J112" s="23"/>
      <c r="K112" s="23"/>
      <c r="L112" s="23">
        <v>0.7</v>
      </c>
      <c r="M112" s="23">
        <v>0.1</v>
      </c>
      <c r="N112" s="23">
        <v>1.1000000000000001</v>
      </c>
      <c r="O112" s="23">
        <v>0</v>
      </c>
      <c r="P112" s="23">
        <v>8.4</v>
      </c>
      <c r="Q112" s="23">
        <f>+P112-N112</f>
        <v>7.3000000000000007</v>
      </c>
      <c r="R112" s="23">
        <v>33</v>
      </c>
      <c r="S112" s="23">
        <f t="shared" si="2"/>
        <v>35.1</v>
      </c>
      <c r="T112" s="23">
        <v>12</v>
      </c>
      <c r="U112" s="23">
        <v>0.06</v>
      </c>
      <c r="V112" s="23">
        <v>0</v>
      </c>
      <c r="W112" s="23">
        <v>0.06</v>
      </c>
      <c r="X112" s="23"/>
      <c r="Y112" s="23"/>
      <c r="Z112" s="23">
        <v>7.0000000000000007E-2</v>
      </c>
      <c r="AA112" s="23">
        <v>10</v>
      </c>
      <c r="AB112" s="23">
        <v>33.299999999999997</v>
      </c>
      <c r="AC112" s="23">
        <v>0</v>
      </c>
      <c r="AD112" s="23">
        <v>0</v>
      </c>
      <c r="AE112" s="23">
        <v>0</v>
      </c>
      <c r="AF112" s="23">
        <v>24</v>
      </c>
      <c r="AG112" s="23">
        <v>2</v>
      </c>
      <c r="AH112" s="23">
        <v>4</v>
      </c>
      <c r="AI112" s="23"/>
      <c r="AJ112" s="23">
        <v>0</v>
      </c>
      <c r="AK112" s="65">
        <v>1002</v>
      </c>
      <c r="AL112" s="65">
        <v>10</v>
      </c>
    </row>
    <row r="113" spans="1:38">
      <c r="A113" s="38">
        <v>614</v>
      </c>
      <c r="B113" s="16" t="s">
        <v>293</v>
      </c>
      <c r="C113" s="16" t="s">
        <v>566</v>
      </c>
      <c r="D113" s="38">
        <v>5010</v>
      </c>
      <c r="E113" s="16" t="s">
        <v>586</v>
      </c>
      <c r="F113" s="16"/>
      <c r="G113" s="23">
        <v>5.0000000000000044</v>
      </c>
      <c r="H113" s="23">
        <v>8</v>
      </c>
      <c r="I113" s="23">
        <v>7</v>
      </c>
      <c r="J113" s="23">
        <v>80.7</v>
      </c>
      <c r="K113" s="23">
        <v>0.6</v>
      </c>
      <c r="L113" s="23">
        <v>0.6</v>
      </c>
      <c r="M113" s="23">
        <v>0.1</v>
      </c>
      <c r="N113" s="23">
        <v>2</v>
      </c>
      <c r="O113" s="23">
        <v>0</v>
      </c>
      <c r="P113" s="23"/>
      <c r="Q113" s="23">
        <v>16</v>
      </c>
      <c r="R113" s="23">
        <v>71</v>
      </c>
      <c r="S113" s="23">
        <f t="shared" si="2"/>
        <v>71.3</v>
      </c>
      <c r="T113" s="23">
        <v>14</v>
      </c>
      <c r="U113" s="23">
        <v>0.3</v>
      </c>
      <c r="V113" s="23">
        <v>0</v>
      </c>
      <c r="W113" s="23">
        <v>0.3</v>
      </c>
      <c r="X113" s="23"/>
      <c r="Y113" s="23"/>
      <c r="Z113" s="23">
        <v>0.1</v>
      </c>
      <c r="AA113" s="23">
        <v>4</v>
      </c>
      <c r="AB113" s="23">
        <v>14</v>
      </c>
      <c r="AC113" s="23">
        <v>0.03</v>
      </c>
      <c r="AD113" s="23">
        <v>0.03</v>
      </c>
      <c r="AE113" s="23">
        <v>0</v>
      </c>
      <c r="AF113" s="23">
        <v>29</v>
      </c>
      <c r="AG113" s="23">
        <v>2</v>
      </c>
      <c r="AH113" s="23">
        <v>5</v>
      </c>
      <c r="AI113" s="23"/>
      <c r="AJ113" s="23">
        <v>0</v>
      </c>
      <c r="AK113" s="65">
        <v>1002</v>
      </c>
      <c r="AL113" s="65">
        <v>10</v>
      </c>
    </row>
    <row r="114" spans="1:38">
      <c r="A114" s="38">
        <v>615</v>
      </c>
      <c r="B114" s="16" t="s">
        <v>294</v>
      </c>
      <c r="C114" s="16" t="s">
        <v>566</v>
      </c>
      <c r="D114" s="38">
        <v>5034</v>
      </c>
      <c r="E114" s="16" t="s">
        <v>587</v>
      </c>
      <c r="F114" s="16"/>
      <c r="G114" s="23">
        <v>4.0000000000000036</v>
      </c>
      <c r="H114" s="23">
        <v>8</v>
      </c>
      <c r="I114" s="23">
        <v>7</v>
      </c>
      <c r="J114" s="23">
        <v>90</v>
      </c>
      <c r="K114" s="23">
        <v>0.4</v>
      </c>
      <c r="L114" s="23">
        <v>0.7</v>
      </c>
      <c r="M114" s="23">
        <v>0.2</v>
      </c>
      <c r="N114" s="23">
        <v>2.5</v>
      </c>
      <c r="O114" s="23">
        <v>0</v>
      </c>
      <c r="P114" s="23"/>
      <c r="Q114" s="23">
        <v>6.3</v>
      </c>
      <c r="R114" s="23">
        <v>35</v>
      </c>
      <c r="S114" s="23">
        <f t="shared" si="2"/>
        <v>34.799999999999997</v>
      </c>
      <c r="T114" s="23">
        <v>19</v>
      </c>
      <c r="U114" s="23">
        <v>0.6</v>
      </c>
      <c r="V114" s="23">
        <v>0</v>
      </c>
      <c r="W114" s="23">
        <v>0.6</v>
      </c>
      <c r="X114" s="23"/>
      <c r="Y114" s="23"/>
      <c r="Z114" s="23">
        <v>0.18</v>
      </c>
      <c r="AA114" s="23">
        <v>39</v>
      </c>
      <c r="AB114" s="23">
        <v>49</v>
      </c>
      <c r="AC114" s="23">
        <v>0.03</v>
      </c>
      <c r="AD114" s="23">
        <v>0.02</v>
      </c>
      <c r="AE114" s="23">
        <v>0</v>
      </c>
      <c r="AF114" s="23">
        <v>1</v>
      </c>
      <c r="AG114" s="23">
        <v>0</v>
      </c>
      <c r="AH114" s="23">
        <v>0</v>
      </c>
      <c r="AI114" s="23"/>
      <c r="AJ114" s="23">
        <v>0</v>
      </c>
      <c r="AK114" s="65">
        <v>1002</v>
      </c>
      <c r="AL114" s="65">
        <v>10</v>
      </c>
    </row>
    <row r="115" spans="1:38">
      <c r="A115" s="38">
        <v>616</v>
      </c>
      <c r="B115" s="16" t="s">
        <v>295</v>
      </c>
      <c r="C115" s="16" t="s">
        <v>553</v>
      </c>
      <c r="D115" s="38"/>
      <c r="E115" s="16"/>
      <c r="F115" s="16"/>
      <c r="G115" s="23">
        <v>0</v>
      </c>
      <c r="H115" s="23">
        <v>8</v>
      </c>
      <c r="I115" s="23">
        <v>6</v>
      </c>
      <c r="J115" s="23">
        <v>49.054000000000002</v>
      </c>
      <c r="K115" s="23">
        <v>0.26250000000000001</v>
      </c>
      <c r="L115" s="23">
        <v>0.31850000000000001</v>
      </c>
      <c r="M115" s="23">
        <v>0.10700000000000001</v>
      </c>
      <c r="N115" s="23">
        <v>0.3135</v>
      </c>
      <c r="O115" s="23">
        <v>0</v>
      </c>
      <c r="P115" s="23"/>
      <c r="Q115" s="23">
        <v>3.4444999999999975</v>
      </c>
      <c r="R115" s="23">
        <v>16.534999999999997</v>
      </c>
      <c r="S115" s="23">
        <f t="shared" si="2"/>
        <v>16.641999999999989</v>
      </c>
      <c r="T115" s="23">
        <v>5.2750000000000004</v>
      </c>
      <c r="U115" s="23">
        <v>0.13500000000000001</v>
      </c>
      <c r="V115" s="23">
        <v>0</v>
      </c>
      <c r="W115" s="23">
        <v>0.13500000000000001</v>
      </c>
      <c r="X115" s="23"/>
      <c r="Y115" s="23"/>
      <c r="Z115" s="23">
        <v>7.3899999999999993E-2</v>
      </c>
      <c r="AA115" s="23">
        <v>5.2</v>
      </c>
      <c r="AB115" s="23">
        <v>9.7170000000000005</v>
      </c>
      <c r="AC115" s="23">
        <v>1.8599999999999998E-2</v>
      </c>
      <c r="AD115" s="23">
        <v>1.6300000000000002E-2</v>
      </c>
      <c r="AE115" s="23">
        <v>0</v>
      </c>
      <c r="AF115" s="23">
        <v>625.34</v>
      </c>
      <c r="AG115" s="23">
        <v>52.111666666666672</v>
      </c>
      <c r="AH115" s="23">
        <v>104.22333333333334</v>
      </c>
      <c r="AI115" s="23"/>
      <c r="AJ115" s="23">
        <v>0</v>
      </c>
      <c r="AK115" s="65">
        <v>1001</v>
      </c>
      <c r="AL115" s="65">
        <v>10</v>
      </c>
    </row>
    <row r="116" spans="1:38">
      <c r="A116" s="38">
        <v>617</v>
      </c>
      <c r="B116" s="16" t="s">
        <v>296</v>
      </c>
      <c r="C116" s="16" t="s">
        <v>553</v>
      </c>
      <c r="D116" s="38"/>
      <c r="E116" s="16"/>
      <c r="F116" s="16"/>
      <c r="G116" s="23">
        <v>26</v>
      </c>
      <c r="H116" s="23">
        <v>6</v>
      </c>
      <c r="I116" s="23">
        <v>7</v>
      </c>
      <c r="J116" s="23">
        <v>52.55</v>
      </c>
      <c r="K116" s="23">
        <v>0.95</v>
      </c>
      <c r="L116" s="23">
        <v>3.2</v>
      </c>
      <c r="M116" s="23">
        <v>24.9</v>
      </c>
      <c r="N116" s="23">
        <v>5.55</v>
      </c>
      <c r="O116" s="23">
        <v>0</v>
      </c>
      <c r="P116" s="23"/>
      <c r="Q116" s="23">
        <v>12.849999999999998</v>
      </c>
      <c r="R116" s="23">
        <v>299.5</v>
      </c>
      <c r="S116" s="23">
        <f t="shared" si="2"/>
        <v>299.39999999999998</v>
      </c>
      <c r="T116" s="23">
        <v>26.35</v>
      </c>
      <c r="U116" s="23">
        <v>1.75</v>
      </c>
      <c r="V116" s="23">
        <v>0</v>
      </c>
      <c r="W116" s="23">
        <v>1.75</v>
      </c>
      <c r="X116" s="23"/>
      <c r="Y116" s="23"/>
      <c r="Z116" s="23">
        <v>0.57499999999999996</v>
      </c>
      <c r="AA116" s="23">
        <v>17</v>
      </c>
      <c r="AB116" s="23">
        <v>4.2</v>
      </c>
      <c r="AC116" s="23">
        <v>5.5E-2</v>
      </c>
      <c r="AD116" s="23">
        <v>0.33999999999999997</v>
      </c>
      <c r="AE116" s="23">
        <v>0</v>
      </c>
      <c r="AF116" s="23">
        <v>0</v>
      </c>
      <c r="AG116" s="23">
        <v>0</v>
      </c>
      <c r="AH116" s="23">
        <v>0</v>
      </c>
      <c r="AI116" s="23"/>
      <c r="AJ116" s="23">
        <v>0</v>
      </c>
      <c r="AK116" s="65">
        <v>303</v>
      </c>
      <c r="AL116" s="65">
        <v>3</v>
      </c>
    </row>
    <row r="117" spans="1:38">
      <c r="A117" s="38">
        <v>618</v>
      </c>
      <c r="B117" s="16" t="s">
        <v>297</v>
      </c>
      <c r="C117" s="16" t="s">
        <v>566</v>
      </c>
      <c r="D117" s="38">
        <v>5011</v>
      </c>
      <c r="E117" s="16" t="s">
        <v>588</v>
      </c>
      <c r="F117" s="16"/>
      <c r="G117" s="23">
        <v>0</v>
      </c>
      <c r="H117" s="23">
        <v>8</v>
      </c>
      <c r="I117" s="23">
        <v>7</v>
      </c>
      <c r="J117" s="23">
        <v>80.7</v>
      </c>
      <c r="K117" s="23">
        <v>0.8</v>
      </c>
      <c r="L117" s="23">
        <v>1.1000000000000001</v>
      </c>
      <c r="M117" s="23">
        <v>1.1000000000000001</v>
      </c>
      <c r="N117" s="23">
        <v>15.5</v>
      </c>
      <c r="O117" s="23">
        <v>0</v>
      </c>
      <c r="P117" s="23"/>
      <c r="Q117" s="23">
        <v>0.9</v>
      </c>
      <c r="R117" s="23">
        <v>48</v>
      </c>
      <c r="S117" s="23">
        <f t="shared" si="2"/>
        <v>48.9</v>
      </c>
      <c r="T117" s="23">
        <v>20</v>
      </c>
      <c r="U117" s="23">
        <v>0.4</v>
      </c>
      <c r="V117" s="23">
        <v>0</v>
      </c>
      <c r="W117" s="23">
        <v>0.4</v>
      </c>
      <c r="X117" s="23"/>
      <c r="Y117" s="23"/>
      <c r="Z117" s="23">
        <v>0.26</v>
      </c>
      <c r="AA117" s="23">
        <v>16</v>
      </c>
      <c r="AB117" s="23">
        <v>222</v>
      </c>
      <c r="AC117" s="23">
        <v>0.06</v>
      </c>
      <c r="AD117" s="23">
        <v>0.05</v>
      </c>
      <c r="AE117" s="23">
        <v>0</v>
      </c>
      <c r="AF117" s="23">
        <v>267</v>
      </c>
      <c r="AG117" s="23">
        <v>22</v>
      </c>
      <c r="AH117" s="23">
        <v>45</v>
      </c>
      <c r="AI117" s="23"/>
      <c r="AJ117" s="23">
        <v>0</v>
      </c>
      <c r="AK117" s="65">
        <v>1002</v>
      </c>
      <c r="AL117" s="65">
        <v>10</v>
      </c>
    </row>
    <row r="118" spans="1:38">
      <c r="A118" s="38">
        <v>619</v>
      </c>
      <c r="B118" s="16" t="s">
        <v>298</v>
      </c>
      <c r="C118" s="16" t="s">
        <v>566</v>
      </c>
      <c r="D118" s="38">
        <v>5017</v>
      </c>
      <c r="E118" s="16" t="s">
        <v>507</v>
      </c>
      <c r="F118" s="16"/>
      <c r="G118" s="23">
        <v>30.000000000000004</v>
      </c>
      <c r="H118" s="23">
        <v>8</v>
      </c>
      <c r="I118" s="23">
        <v>7</v>
      </c>
      <c r="J118" s="23">
        <v>87.1</v>
      </c>
      <c r="K118" s="23">
        <v>0.6</v>
      </c>
      <c r="L118" s="23">
        <v>0.7</v>
      </c>
      <c r="M118" s="23">
        <v>0.2</v>
      </c>
      <c r="N118" s="23">
        <v>4.0999999999999996</v>
      </c>
      <c r="O118" s="23">
        <v>0</v>
      </c>
      <c r="P118" s="23"/>
      <c r="Q118" s="23">
        <v>7.4</v>
      </c>
      <c r="R118" s="23">
        <v>42</v>
      </c>
      <c r="S118" s="23">
        <f t="shared" si="2"/>
        <v>42.4</v>
      </c>
      <c r="T118" s="23">
        <v>22</v>
      </c>
      <c r="U118" s="23">
        <v>0</v>
      </c>
      <c r="V118" s="23">
        <v>0</v>
      </c>
      <c r="W118" s="23">
        <v>0</v>
      </c>
      <c r="X118" s="23"/>
      <c r="Y118" s="23"/>
      <c r="Z118" s="23">
        <v>0.1</v>
      </c>
      <c r="AA118" s="23">
        <v>8</v>
      </c>
      <c r="AB118" s="23">
        <v>55</v>
      </c>
      <c r="AC118" s="23">
        <v>0.02</v>
      </c>
      <c r="AD118" s="23">
        <v>0.03</v>
      </c>
      <c r="AE118" s="23">
        <v>0</v>
      </c>
      <c r="AF118" s="23">
        <v>31</v>
      </c>
      <c r="AG118" s="23">
        <v>3</v>
      </c>
      <c r="AH118" s="23">
        <v>5</v>
      </c>
      <c r="AI118" s="23"/>
      <c r="AJ118" s="23">
        <v>0</v>
      </c>
      <c r="AK118" s="65">
        <v>1002</v>
      </c>
      <c r="AL118" s="65">
        <v>10</v>
      </c>
    </row>
    <row r="119" spans="1:38">
      <c r="A119" s="38">
        <v>620</v>
      </c>
      <c r="B119" s="16" t="s">
        <v>299</v>
      </c>
      <c r="C119" s="16" t="s">
        <v>566</v>
      </c>
      <c r="D119" s="38">
        <v>5018</v>
      </c>
      <c r="E119" s="16" t="s">
        <v>589</v>
      </c>
      <c r="F119" s="16"/>
      <c r="G119" s="23">
        <v>25</v>
      </c>
      <c r="H119" s="23">
        <v>8</v>
      </c>
      <c r="I119" s="23">
        <v>7</v>
      </c>
      <c r="J119" s="23">
        <v>84.6</v>
      </c>
      <c r="K119" s="23">
        <v>0.7</v>
      </c>
      <c r="L119" s="23">
        <v>0.62</v>
      </c>
      <c r="M119" s="23">
        <v>0.2</v>
      </c>
      <c r="N119" s="23">
        <v>4.51</v>
      </c>
      <c r="O119" s="23">
        <v>0</v>
      </c>
      <c r="P119" s="23"/>
      <c r="Q119" s="23">
        <v>9.5</v>
      </c>
      <c r="R119" s="23">
        <v>51</v>
      </c>
      <c r="S119" s="23">
        <f t="shared" si="2"/>
        <v>51.3</v>
      </c>
      <c r="T119" s="23">
        <v>13</v>
      </c>
      <c r="U119" s="23">
        <v>0.5</v>
      </c>
      <c r="V119" s="23">
        <v>0</v>
      </c>
      <c r="W119" s="23">
        <v>0.5</v>
      </c>
      <c r="X119" s="23"/>
      <c r="Y119" s="23"/>
      <c r="Z119" s="23">
        <v>0.22</v>
      </c>
      <c r="AA119" s="23">
        <v>14</v>
      </c>
      <c r="AB119" s="23">
        <v>4.0999999999999996</v>
      </c>
      <c r="AC119" s="23">
        <v>0.02</v>
      </c>
      <c r="AD119" s="23">
        <v>0.04</v>
      </c>
      <c r="AE119" s="23">
        <v>0</v>
      </c>
      <c r="AF119" s="23">
        <v>537</v>
      </c>
      <c r="AG119" s="23">
        <v>45</v>
      </c>
      <c r="AH119" s="23">
        <v>89</v>
      </c>
      <c r="AI119" s="23"/>
      <c r="AJ119" s="23">
        <v>0</v>
      </c>
      <c r="AK119" s="65">
        <v>1002</v>
      </c>
      <c r="AL119" s="65">
        <v>10</v>
      </c>
    </row>
    <row r="120" spans="1:38">
      <c r="A120" s="38">
        <v>621</v>
      </c>
      <c r="B120" s="16" t="s">
        <v>300</v>
      </c>
      <c r="C120" s="16" t="s">
        <v>566</v>
      </c>
      <c r="D120" s="38">
        <v>5036</v>
      </c>
      <c r="E120" s="16" t="s">
        <v>509</v>
      </c>
      <c r="F120" s="16"/>
      <c r="G120" s="23">
        <v>25</v>
      </c>
      <c r="H120" s="23">
        <v>8</v>
      </c>
      <c r="I120" s="23">
        <v>7</v>
      </c>
      <c r="J120" s="23">
        <v>86.2</v>
      </c>
      <c r="K120" s="23">
        <v>0.4</v>
      </c>
      <c r="L120" s="23">
        <v>0.87</v>
      </c>
      <c r="M120" s="23">
        <v>0.2</v>
      </c>
      <c r="N120" s="23">
        <v>1.5</v>
      </c>
      <c r="O120" s="23">
        <v>0</v>
      </c>
      <c r="P120" s="23"/>
      <c r="Q120" s="23">
        <v>10.8</v>
      </c>
      <c r="R120" s="23">
        <v>52</v>
      </c>
      <c r="S120" s="23">
        <f t="shared" si="2"/>
        <v>51.480000000000004</v>
      </c>
      <c r="T120" s="23">
        <v>26</v>
      </c>
      <c r="U120" s="23">
        <v>0</v>
      </c>
      <c r="V120" s="23">
        <v>0</v>
      </c>
      <c r="W120" s="23">
        <v>0</v>
      </c>
      <c r="X120" s="23"/>
      <c r="Y120" s="23"/>
      <c r="Z120" s="23">
        <v>0.1</v>
      </c>
      <c r="AA120" s="23">
        <v>24</v>
      </c>
      <c r="AB120" s="23">
        <v>36</v>
      </c>
      <c r="AC120" s="23">
        <v>0.08</v>
      </c>
      <c r="AD120" s="23">
        <v>0.05</v>
      </c>
      <c r="AE120" s="23">
        <v>0</v>
      </c>
      <c r="AF120" s="23">
        <v>10</v>
      </c>
      <c r="AG120" s="23">
        <v>1</v>
      </c>
      <c r="AH120" s="23">
        <v>2</v>
      </c>
      <c r="AI120" s="23"/>
      <c r="AJ120" s="23">
        <v>0</v>
      </c>
      <c r="AK120" s="65">
        <v>1002</v>
      </c>
      <c r="AL120" s="65">
        <v>10</v>
      </c>
    </row>
    <row r="121" spans="1:38">
      <c r="A121" s="38">
        <v>622</v>
      </c>
      <c r="B121" s="16" t="s">
        <v>301</v>
      </c>
      <c r="C121" s="16" t="s">
        <v>566</v>
      </c>
      <c r="D121" s="38">
        <v>5037</v>
      </c>
      <c r="E121" s="16" t="s">
        <v>590</v>
      </c>
      <c r="F121" s="16"/>
      <c r="G121" s="23">
        <v>60</v>
      </c>
      <c r="H121" s="23">
        <v>8</v>
      </c>
      <c r="I121" s="23">
        <v>7</v>
      </c>
      <c r="J121" s="23">
        <v>85.6</v>
      </c>
      <c r="K121" s="23">
        <v>0.9</v>
      </c>
      <c r="L121" s="23">
        <v>2.1</v>
      </c>
      <c r="M121" s="23">
        <v>0.3</v>
      </c>
      <c r="N121" s="23">
        <v>6.5</v>
      </c>
      <c r="O121" s="23">
        <v>0</v>
      </c>
      <c r="P121" s="23"/>
      <c r="Q121" s="23">
        <v>4.5999999999999996</v>
      </c>
      <c r="R121" s="23">
        <v>43</v>
      </c>
      <c r="S121" s="23">
        <f t="shared" si="2"/>
        <v>42.5</v>
      </c>
      <c r="T121" s="23">
        <v>56</v>
      </c>
      <c r="U121" s="23">
        <v>1</v>
      </c>
      <c r="V121" s="23">
        <v>0</v>
      </c>
      <c r="W121" s="23">
        <v>1</v>
      </c>
      <c r="X121" s="23"/>
      <c r="Y121" s="23"/>
      <c r="Z121" s="23">
        <v>0.4</v>
      </c>
      <c r="AA121" s="23">
        <v>63</v>
      </c>
      <c r="AB121" s="23">
        <v>12.6</v>
      </c>
      <c r="AC121" s="23">
        <v>0.13</v>
      </c>
      <c r="AD121" s="23">
        <v>0.1</v>
      </c>
      <c r="AE121" s="23">
        <v>0</v>
      </c>
      <c r="AF121" s="23">
        <v>546</v>
      </c>
      <c r="AG121" s="23">
        <v>45</v>
      </c>
      <c r="AH121" s="23">
        <v>91</v>
      </c>
      <c r="AI121" s="23"/>
      <c r="AJ121" s="23">
        <v>0</v>
      </c>
      <c r="AK121" s="65">
        <v>1002</v>
      </c>
      <c r="AL121" s="65">
        <v>10</v>
      </c>
    </row>
    <row r="122" spans="1:38">
      <c r="A122" s="38">
        <v>623</v>
      </c>
      <c r="B122" s="16" t="s">
        <v>302</v>
      </c>
      <c r="C122" s="16" t="s">
        <v>553</v>
      </c>
      <c r="D122" s="38"/>
      <c r="E122" s="16"/>
      <c r="F122" s="16"/>
      <c r="G122" s="23">
        <v>0</v>
      </c>
      <c r="H122" s="23">
        <v>8</v>
      </c>
      <c r="I122" s="23">
        <v>7</v>
      </c>
      <c r="J122" s="23">
        <v>56.488333333333337</v>
      </c>
      <c r="K122" s="23">
        <v>0.6153333333333334</v>
      </c>
      <c r="L122" s="23">
        <v>1.1363333333333332</v>
      </c>
      <c r="M122" s="23">
        <v>0.19133333333333336</v>
      </c>
      <c r="N122" s="23">
        <v>2.8816666666666664</v>
      </c>
      <c r="O122" s="23">
        <v>0</v>
      </c>
      <c r="P122" s="23"/>
      <c r="Q122" s="23">
        <v>11.520333333333326</v>
      </c>
      <c r="R122" s="23">
        <v>58.273333333333333</v>
      </c>
      <c r="S122" s="23">
        <f t="shared" si="2"/>
        <v>58.111999999999966</v>
      </c>
      <c r="T122" s="23">
        <v>24.290000000000003</v>
      </c>
      <c r="U122" s="23">
        <v>0.49833333333333335</v>
      </c>
      <c r="V122" s="23">
        <v>0</v>
      </c>
      <c r="W122" s="23">
        <v>0.49833333333333335</v>
      </c>
      <c r="X122" s="23"/>
      <c r="Y122" s="23"/>
      <c r="Z122" s="23">
        <v>0.18213333333333334</v>
      </c>
      <c r="AA122" s="23">
        <v>23.473333333333333</v>
      </c>
      <c r="AB122" s="23">
        <v>14.301666666666668</v>
      </c>
      <c r="AC122" s="23">
        <v>3.6999999999999998E-2</v>
      </c>
      <c r="AD122" s="23">
        <v>5.2866666666666673E-2</v>
      </c>
      <c r="AE122" s="23">
        <v>0</v>
      </c>
      <c r="AF122" s="23">
        <v>18.001666666666665</v>
      </c>
      <c r="AG122" s="23">
        <v>1.5001388888888887</v>
      </c>
      <c r="AH122" s="23">
        <v>3.0002777777777774</v>
      </c>
      <c r="AI122" s="23"/>
      <c r="AJ122" s="23">
        <v>0</v>
      </c>
      <c r="AK122" s="65">
        <v>1002</v>
      </c>
      <c r="AL122" s="65">
        <v>10</v>
      </c>
    </row>
    <row r="123" spans="1:38">
      <c r="A123" s="38">
        <v>701</v>
      </c>
      <c r="B123" s="16" t="s">
        <v>303</v>
      </c>
      <c r="C123" s="16" t="s">
        <v>566</v>
      </c>
      <c r="D123" s="38">
        <v>4021</v>
      </c>
      <c r="E123" s="16" t="s">
        <v>516</v>
      </c>
      <c r="F123" s="16"/>
      <c r="G123" s="23">
        <v>35</v>
      </c>
      <c r="H123" s="23">
        <v>7</v>
      </c>
      <c r="I123" s="23">
        <v>5</v>
      </c>
      <c r="J123" s="23">
        <v>84.5</v>
      </c>
      <c r="K123" s="23">
        <v>0.8</v>
      </c>
      <c r="L123" s="23">
        <v>1.7</v>
      </c>
      <c r="M123" s="23">
        <v>0.4</v>
      </c>
      <c r="N123" s="23">
        <v>3.1</v>
      </c>
      <c r="O123" s="23">
        <v>0</v>
      </c>
      <c r="P123" s="23"/>
      <c r="Q123" s="23">
        <v>9.5</v>
      </c>
      <c r="R123" s="23">
        <v>54</v>
      </c>
      <c r="S123" s="23">
        <f t="shared" si="2"/>
        <v>54.6</v>
      </c>
      <c r="T123" s="23">
        <v>78</v>
      </c>
      <c r="U123" s="23">
        <v>1.8</v>
      </c>
      <c r="V123" s="23">
        <v>0</v>
      </c>
      <c r="W123" s="23">
        <v>1.8</v>
      </c>
      <c r="X123" s="23"/>
      <c r="Y123" s="23"/>
      <c r="Z123" s="23">
        <v>0.3</v>
      </c>
      <c r="AA123" s="23">
        <v>64</v>
      </c>
      <c r="AB123" s="23">
        <v>21</v>
      </c>
      <c r="AC123" s="23">
        <v>0.14000000000000001</v>
      </c>
      <c r="AD123" s="23">
        <v>0</v>
      </c>
      <c r="AE123" s="23">
        <v>0</v>
      </c>
      <c r="AF123" s="23">
        <v>242</v>
      </c>
      <c r="AG123" s="23">
        <v>20</v>
      </c>
      <c r="AH123" s="23">
        <v>40</v>
      </c>
      <c r="AI123" s="23"/>
      <c r="AJ123" s="23">
        <v>0</v>
      </c>
      <c r="AK123" s="65">
        <v>903</v>
      </c>
      <c r="AL123" s="65">
        <v>9</v>
      </c>
    </row>
    <row r="124" spans="1:38">
      <c r="A124" s="38">
        <v>702</v>
      </c>
      <c r="B124" s="16" t="s">
        <v>304</v>
      </c>
      <c r="C124" s="16" t="s">
        <v>566</v>
      </c>
      <c r="D124" s="38">
        <v>13024</v>
      </c>
      <c r="E124" s="16" t="s">
        <v>517</v>
      </c>
      <c r="F124" s="16"/>
      <c r="G124" s="23">
        <v>21.999999999999996</v>
      </c>
      <c r="H124" s="23">
        <v>7</v>
      </c>
      <c r="I124" s="23">
        <v>5</v>
      </c>
      <c r="J124" s="23">
        <v>90.8</v>
      </c>
      <c r="K124" s="23">
        <v>0.7</v>
      </c>
      <c r="L124" s="23">
        <v>1.8</v>
      </c>
      <c r="M124" s="23">
        <v>0.3</v>
      </c>
      <c r="N124" s="23">
        <v>2.2999999999999998</v>
      </c>
      <c r="O124" s="23">
        <v>0</v>
      </c>
      <c r="P124" s="23"/>
      <c r="Q124" s="23">
        <v>4.0999999999999996</v>
      </c>
      <c r="R124" s="23">
        <v>31</v>
      </c>
      <c r="S124" s="23">
        <f t="shared" si="2"/>
        <v>30.9</v>
      </c>
      <c r="T124" s="23">
        <v>44</v>
      </c>
      <c r="U124" s="23">
        <v>1.3</v>
      </c>
      <c r="V124" s="23">
        <v>0</v>
      </c>
      <c r="W124" s="23">
        <v>1.3</v>
      </c>
      <c r="X124" s="23"/>
      <c r="Y124" s="23"/>
      <c r="Z124" s="23">
        <v>0.3</v>
      </c>
      <c r="AA124" s="23">
        <v>48</v>
      </c>
      <c r="AB124" s="23">
        <v>26</v>
      </c>
      <c r="AC124" s="23">
        <v>0.04</v>
      </c>
      <c r="AD124" s="23">
        <v>0.06</v>
      </c>
      <c r="AE124" s="23">
        <v>0</v>
      </c>
      <c r="AF124" s="23">
        <v>632</v>
      </c>
      <c r="AG124" s="23">
        <v>53</v>
      </c>
      <c r="AH124" s="23">
        <v>105</v>
      </c>
      <c r="AI124" s="23"/>
      <c r="AJ124" s="23">
        <v>0</v>
      </c>
      <c r="AK124" s="65">
        <v>903</v>
      </c>
      <c r="AL124" s="65">
        <v>9</v>
      </c>
    </row>
    <row r="125" spans="1:38">
      <c r="A125" s="38">
        <v>703</v>
      </c>
      <c r="B125" s="16" t="s">
        <v>305</v>
      </c>
      <c r="C125" s="16" t="s">
        <v>553</v>
      </c>
      <c r="D125" s="38"/>
      <c r="E125" s="16"/>
      <c r="F125" s="16"/>
      <c r="G125" s="23">
        <v>15.33</v>
      </c>
      <c r="H125" s="23">
        <v>7</v>
      </c>
      <c r="I125" s="23">
        <v>5</v>
      </c>
      <c r="J125" s="23">
        <v>95.899999999999991</v>
      </c>
      <c r="K125" s="23">
        <v>0.5</v>
      </c>
      <c r="L125" s="23">
        <v>0.96666666666666679</v>
      </c>
      <c r="M125" s="23">
        <v>0.23333333333333331</v>
      </c>
      <c r="N125" s="23">
        <v>1.4666666666666668</v>
      </c>
      <c r="O125" s="23">
        <v>0</v>
      </c>
      <c r="P125" s="23"/>
      <c r="Q125" s="23">
        <v>0.93333333333334156</v>
      </c>
      <c r="R125" s="23">
        <v>12.666666666666666</v>
      </c>
      <c r="S125" s="23">
        <f t="shared" si="2"/>
        <v>12.633333333333367</v>
      </c>
      <c r="T125" s="23">
        <v>39.333333333333336</v>
      </c>
      <c r="U125" s="23">
        <v>1</v>
      </c>
      <c r="V125" s="23">
        <v>0</v>
      </c>
      <c r="W125" s="23">
        <v>1</v>
      </c>
      <c r="X125" s="23"/>
      <c r="Y125" s="23"/>
      <c r="Z125" s="23">
        <v>0.11666666666666665</v>
      </c>
      <c r="AA125" s="23">
        <v>90.666666666666671</v>
      </c>
      <c r="AB125" s="23">
        <v>26</v>
      </c>
      <c r="AC125" s="23">
        <v>0.03</v>
      </c>
      <c r="AD125" s="23">
        <v>3.6666666666666674E-2</v>
      </c>
      <c r="AE125" s="23">
        <v>0</v>
      </c>
      <c r="AF125" s="23">
        <v>121.33333333333333</v>
      </c>
      <c r="AG125" s="23">
        <v>10.111111111111111</v>
      </c>
      <c r="AH125" s="23">
        <v>20.222222222222221</v>
      </c>
      <c r="AI125" s="23"/>
      <c r="AJ125" s="23">
        <v>0</v>
      </c>
      <c r="AK125" s="65">
        <v>903</v>
      </c>
      <c r="AL125" s="65">
        <v>9</v>
      </c>
    </row>
    <row r="126" spans="1:38">
      <c r="A126" s="38">
        <v>704</v>
      </c>
      <c r="B126" s="16" t="s">
        <v>306</v>
      </c>
      <c r="C126" s="16" t="s">
        <v>566</v>
      </c>
      <c r="D126" s="38">
        <v>4011</v>
      </c>
      <c r="E126" s="16" t="s">
        <v>521</v>
      </c>
      <c r="F126" s="16"/>
      <c r="G126" s="23">
        <v>17.000000000000004</v>
      </c>
      <c r="H126" s="23">
        <v>7</v>
      </c>
      <c r="I126" s="23">
        <v>3</v>
      </c>
      <c r="J126" s="23">
        <v>90.6</v>
      </c>
      <c r="K126" s="23">
        <v>0.6</v>
      </c>
      <c r="L126" s="23">
        <v>0.7</v>
      </c>
      <c r="M126" s="23">
        <v>0.2</v>
      </c>
      <c r="N126" s="23">
        <v>3.2</v>
      </c>
      <c r="O126" s="23">
        <v>0</v>
      </c>
      <c r="P126" s="23"/>
      <c r="Q126" s="23">
        <v>4.5</v>
      </c>
      <c r="R126" s="23">
        <v>30</v>
      </c>
      <c r="S126" s="23">
        <f t="shared" si="2"/>
        <v>29</v>
      </c>
      <c r="T126" s="23">
        <v>33</v>
      </c>
      <c r="U126" s="23">
        <v>0.6</v>
      </c>
      <c r="V126" s="23">
        <v>0</v>
      </c>
      <c r="W126" s="23">
        <v>0.6</v>
      </c>
      <c r="X126" s="23"/>
      <c r="Y126" s="23"/>
      <c r="Z126" s="23">
        <v>0.14000000000000001</v>
      </c>
      <c r="AA126" s="23">
        <v>18</v>
      </c>
      <c r="AB126" s="23">
        <v>5.5</v>
      </c>
      <c r="AC126" s="23">
        <v>0.04</v>
      </c>
      <c r="AD126" s="23">
        <v>0.03</v>
      </c>
      <c r="AE126" s="23">
        <v>0</v>
      </c>
      <c r="AF126" s="23">
        <v>7070</v>
      </c>
      <c r="AG126" s="23">
        <v>589</v>
      </c>
      <c r="AH126" s="23">
        <v>1180</v>
      </c>
      <c r="AI126" s="23"/>
      <c r="AJ126" s="23">
        <v>0</v>
      </c>
      <c r="AK126" s="65">
        <v>902</v>
      </c>
      <c r="AL126" s="65">
        <v>9</v>
      </c>
    </row>
    <row r="127" spans="1:38">
      <c r="A127" s="38">
        <v>705</v>
      </c>
      <c r="B127" s="16" t="s">
        <v>307</v>
      </c>
      <c r="C127" s="16" t="s">
        <v>553</v>
      </c>
      <c r="D127" s="38"/>
      <c r="E127" s="16"/>
      <c r="F127" s="16"/>
      <c r="G127" s="23">
        <v>2.0000000000000018</v>
      </c>
      <c r="H127" s="23">
        <v>7</v>
      </c>
      <c r="I127" s="23">
        <v>5</v>
      </c>
      <c r="J127" s="23">
        <v>93.4</v>
      </c>
      <c r="K127" s="23">
        <v>0.55000000000000004</v>
      </c>
      <c r="L127" s="23">
        <v>1.05</v>
      </c>
      <c r="M127" s="23">
        <v>0.2</v>
      </c>
      <c r="N127" s="23">
        <v>1.5</v>
      </c>
      <c r="O127" s="23">
        <v>0</v>
      </c>
      <c r="P127" s="23"/>
      <c r="Q127" s="23">
        <v>3.2999999999999945</v>
      </c>
      <c r="R127" s="23">
        <v>22.5</v>
      </c>
      <c r="S127" s="23">
        <f t="shared" si="2"/>
        <v>22.199999999999978</v>
      </c>
      <c r="T127" s="23">
        <v>8</v>
      </c>
      <c r="U127" s="23">
        <v>0.65</v>
      </c>
      <c r="V127" s="23">
        <v>0</v>
      </c>
      <c r="W127" s="23">
        <v>0.65</v>
      </c>
      <c r="X127" s="23"/>
      <c r="Y127" s="23"/>
      <c r="Z127" s="23">
        <v>0.28500000000000003</v>
      </c>
      <c r="AA127" s="23">
        <v>17</v>
      </c>
      <c r="AB127" s="23">
        <v>20.5</v>
      </c>
      <c r="AC127" s="23">
        <v>0.06</v>
      </c>
      <c r="AD127" s="23">
        <v>7.0000000000000007E-2</v>
      </c>
      <c r="AE127" s="23">
        <v>0</v>
      </c>
      <c r="AF127" s="23">
        <v>174</v>
      </c>
      <c r="AG127" s="23">
        <v>14.5</v>
      </c>
      <c r="AH127" s="23">
        <v>29</v>
      </c>
      <c r="AI127" s="23"/>
      <c r="AJ127" s="23">
        <v>0</v>
      </c>
      <c r="AK127" s="65">
        <v>903</v>
      </c>
      <c r="AL127" s="65">
        <v>9</v>
      </c>
    </row>
    <row r="128" spans="1:38">
      <c r="A128" s="38">
        <v>706</v>
      </c>
      <c r="B128" s="16" t="s">
        <v>308</v>
      </c>
      <c r="C128" s="16" t="s">
        <v>553</v>
      </c>
      <c r="D128" s="38"/>
      <c r="E128" s="16"/>
      <c r="F128" s="16"/>
      <c r="G128" s="23">
        <v>38</v>
      </c>
      <c r="H128" s="23">
        <v>7</v>
      </c>
      <c r="I128" s="23">
        <v>4</v>
      </c>
      <c r="J128" s="23">
        <v>90.05</v>
      </c>
      <c r="K128" s="23">
        <v>1.9</v>
      </c>
      <c r="L128" s="23">
        <v>2.95</v>
      </c>
      <c r="M128" s="23">
        <v>0.30000000000000004</v>
      </c>
      <c r="N128" s="23">
        <v>3.8499999999999996</v>
      </c>
      <c r="O128" s="23">
        <v>0</v>
      </c>
      <c r="P128" s="23"/>
      <c r="Q128" s="23">
        <v>0.95000000000000284</v>
      </c>
      <c r="R128" s="23">
        <v>26</v>
      </c>
      <c r="S128" s="23">
        <f t="shared" si="2"/>
        <v>26.000000000000011</v>
      </c>
      <c r="T128" s="23">
        <v>124</v>
      </c>
      <c r="U128" s="23">
        <v>3.0500000000000003</v>
      </c>
      <c r="V128" s="23">
        <v>0</v>
      </c>
      <c r="W128" s="23">
        <v>3.0500000000000003</v>
      </c>
      <c r="X128" s="23"/>
      <c r="Y128" s="23"/>
      <c r="Z128" s="23">
        <v>0.86499999999999999</v>
      </c>
      <c r="AA128" s="23">
        <v>115.5</v>
      </c>
      <c r="AB128" s="23">
        <v>30.5</v>
      </c>
      <c r="AC128" s="23">
        <v>0.03</v>
      </c>
      <c r="AD128" s="23">
        <v>0.14000000000000001</v>
      </c>
      <c r="AE128" s="23">
        <v>0</v>
      </c>
      <c r="AF128" s="23">
        <v>2270</v>
      </c>
      <c r="AG128" s="23">
        <v>189.16666666666666</v>
      </c>
      <c r="AH128" s="23">
        <v>378.33333333333331</v>
      </c>
      <c r="AI128" s="23"/>
      <c r="AJ128" s="23">
        <v>0</v>
      </c>
      <c r="AK128" s="65">
        <v>901</v>
      </c>
      <c r="AL128" s="65">
        <v>9</v>
      </c>
    </row>
    <row r="129" spans="1:38">
      <c r="A129" s="38">
        <v>707</v>
      </c>
      <c r="B129" s="16" t="s">
        <v>309</v>
      </c>
      <c r="C129" s="16" t="s">
        <v>566</v>
      </c>
      <c r="D129" s="38">
        <v>4020</v>
      </c>
      <c r="E129" s="16" t="s">
        <v>526</v>
      </c>
      <c r="F129" s="16"/>
      <c r="G129" s="23">
        <v>12</v>
      </c>
      <c r="H129" s="23">
        <v>7</v>
      </c>
      <c r="I129" s="23">
        <v>4</v>
      </c>
      <c r="J129" s="23">
        <v>89.2</v>
      </c>
      <c r="K129" s="23">
        <v>1.6</v>
      </c>
      <c r="L129" s="23">
        <v>3</v>
      </c>
      <c r="M129" s="23">
        <v>0.3</v>
      </c>
      <c r="N129" s="23">
        <v>4.7</v>
      </c>
      <c r="O129" s="23">
        <v>0</v>
      </c>
      <c r="P129" s="23"/>
      <c r="Q129" s="23">
        <v>1.2</v>
      </c>
      <c r="R129" s="23">
        <v>29</v>
      </c>
      <c r="S129" s="23">
        <f t="shared" si="2"/>
        <v>28.900000000000002</v>
      </c>
      <c r="T129" s="23">
        <v>402</v>
      </c>
      <c r="U129" s="23">
        <v>2.8</v>
      </c>
      <c r="V129" s="23">
        <v>0</v>
      </c>
      <c r="W129" s="23">
        <v>2.8</v>
      </c>
      <c r="X129" s="23"/>
      <c r="Y129" s="23"/>
      <c r="Z129" s="23">
        <v>0.5</v>
      </c>
      <c r="AA129" s="23">
        <v>62</v>
      </c>
      <c r="AB129" s="23">
        <v>134</v>
      </c>
      <c r="AC129" s="23">
        <v>0.11</v>
      </c>
      <c r="AD129" s="23">
        <v>0.13</v>
      </c>
      <c r="AE129" s="23">
        <v>0</v>
      </c>
      <c r="AF129" s="23">
        <v>2127</v>
      </c>
      <c r="AG129" s="23">
        <v>177</v>
      </c>
      <c r="AH129" s="23">
        <v>355</v>
      </c>
      <c r="AI129" s="23"/>
      <c r="AJ129" s="23">
        <v>0</v>
      </c>
      <c r="AK129" s="65">
        <v>901</v>
      </c>
      <c r="AL129" s="65">
        <v>9</v>
      </c>
    </row>
    <row r="130" spans="1:38">
      <c r="A130" s="38">
        <v>708</v>
      </c>
      <c r="B130" s="16" t="s">
        <v>310</v>
      </c>
      <c r="C130" s="16" t="s">
        <v>566</v>
      </c>
      <c r="D130" s="38">
        <v>4016</v>
      </c>
      <c r="E130" s="16" t="s">
        <v>591</v>
      </c>
      <c r="F130" s="16"/>
      <c r="G130" s="23">
        <v>3.0000000000000027</v>
      </c>
      <c r="H130" s="23">
        <v>7</v>
      </c>
      <c r="I130" s="23">
        <v>5</v>
      </c>
      <c r="J130" s="23">
        <v>96.2</v>
      </c>
      <c r="K130" s="23">
        <v>0.5</v>
      </c>
      <c r="L130" s="23">
        <v>0.6</v>
      </c>
      <c r="M130" s="23">
        <v>0.1</v>
      </c>
      <c r="N130" s="23">
        <v>1.4</v>
      </c>
      <c r="O130" s="23">
        <v>0</v>
      </c>
      <c r="P130" s="23"/>
      <c r="Q130" s="23">
        <v>1.3</v>
      </c>
      <c r="R130" s="23">
        <v>11</v>
      </c>
      <c r="S130" s="23">
        <f t="shared" si="2"/>
        <v>11.3</v>
      </c>
      <c r="T130" s="23">
        <v>20</v>
      </c>
      <c r="U130" s="23">
        <v>0.7</v>
      </c>
      <c r="V130" s="23">
        <v>0</v>
      </c>
      <c r="W130" s="23">
        <v>0.7</v>
      </c>
      <c r="X130" s="23"/>
      <c r="Y130" s="23"/>
      <c r="Z130" s="23">
        <v>0.18</v>
      </c>
      <c r="AA130" s="23">
        <v>7</v>
      </c>
      <c r="AB130" s="23">
        <v>7</v>
      </c>
      <c r="AC130" s="23">
        <v>0.03</v>
      </c>
      <c r="AD130" s="23">
        <v>0.02</v>
      </c>
      <c r="AE130" s="23">
        <v>0</v>
      </c>
      <c r="AF130" s="23">
        <v>5</v>
      </c>
      <c r="AG130" s="23">
        <v>0</v>
      </c>
      <c r="AH130" s="23">
        <v>1</v>
      </c>
      <c r="AI130" s="23"/>
      <c r="AJ130" s="23">
        <v>0</v>
      </c>
      <c r="AK130" s="65">
        <v>903</v>
      </c>
      <c r="AL130" s="65">
        <v>9</v>
      </c>
    </row>
    <row r="131" spans="1:38">
      <c r="A131" s="38">
        <v>709</v>
      </c>
      <c r="B131" s="16" t="s">
        <v>311</v>
      </c>
      <c r="C131" s="16" t="s">
        <v>561</v>
      </c>
      <c r="D131" s="38">
        <v>425</v>
      </c>
      <c r="E131" s="16" t="s">
        <v>620</v>
      </c>
      <c r="F131" s="16"/>
      <c r="G131" s="23">
        <v>8</v>
      </c>
      <c r="H131" s="23">
        <v>7</v>
      </c>
      <c r="I131" s="23">
        <v>5</v>
      </c>
      <c r="J131" s="23"/>
      <c r="K131" s="23"/>
      <c r="L131" s="23">
        <v>1.9</v>
      </c>
      <c r="M131" s="23">
        <v>0.3</v>
      </c>
      <c r="N131" s="23">
        <v>3.2</v>
      </c>
      <c r="O131" s="23">
        <v>0</v>
      </c>
      <c r="P131" s="23">
        <v>7.9</v>
      </c>
      <c r="Q131" s="23">
        <f>+P131-N131</f>
        <v>4.7</v>
      </c>
      <c r="R131" s="23">
        <v>35</v>
      </c>
      <c r="S131" s="23">
        <f t="shared" si="2"/>
        <v>35.5</v>
      </c>
      <c r="T131" s="23">
        <v>46</v>
      </c>
      <c r="U131" s="23">
        <v>1.3</v>
      </c>
      <c r="V131" s="23">
        <v>0</v>
      </c>
      <c r="W131" s="23">
        <v>1.3</v>
      </c>
      <c r="X131" s="23"/>
      <c r="Y131" s="23"/>
      <c r="Z131" s="23">
        <v>0.4</v>
      </c>
      <c r="AA131" s="23">
        <v>3.3</v>
      </c>
      <c r="AB131" s="23">
        <v>0</v>
      </c>
      <c r="AC131" s="23">
        <v>0.1</v>
      </c>
      <c r="AD131" s="23">
        <v>0.1</v>
      </c>
      <c r="AE131" s="23">
        <v>0</v>
      </c>
      <c r="AF131" s="23">
        <v>804</v>
      </c>
      <c r="AG131" s="23">
        <v>67</v>
      </c>
      <c r="AH131" s="23">
        <v>134</v>
      </c>
      <c r="AI131" s="23"/>
      <c r="AJ131" s="23">
        <v>0</v>
      </c>
      <c r="AK131" s="65">
        <v>903</v>
      </c>
      <c r="AL131" s="65">
        <v>9</v>
      </c>
    </row>
    <row r="132" spans="1:38">
      <c r="A132" s="38">
        <v>710</v>
      </c>
      <c r="B132" s="16" t="s">
        <v>312</v>
      </c>
      <c r="C132" s="16" t="s">
        <v>566</v>
      </c>
      <c r="D132" s="38">
        <v>3002</v>
      </c>
      <c r="E132" s="16" t="s">
        <v>423</v>
      </c>
      <c r="F132" s="16"/>
      <c r="G132" s="23">
        <v>0</v>
      </c>
      <c r="H132" s="23">
        <v>7</v>
      </c>
      <c r="I132" s="23">
        <v>5</v>
      </c>
      <c r="J132" s="23">
        <v>75</v>
      </c>
      <c r="K132" s="23">
        <v>1.3</v>
      </c>
      <c r="L132" s="23">
        <v>7.2</v>
      </c>
      <c r="M132" s="23">
        <v>0.5</v>
      </c>
      <c r="N132" s="23">
        <v>7.1</v>
      </c>
      <c r="O132" s="23">
        <v>0</v>
      </c>
      <c r="P132" s="23"/>
      <c r="Q132" s="23">
        <v>8.6999999999999993</v>
      </c>
      <c r="R132" s="23">
        <v>82</v>
      </c>
      <c r="S132" s="23">
        <f t="shared" si="2"/>
        <v>82.3</v>
      </c>
      <c r="T132" s="23">
        <v>26</v>
      </c>
      <c r="U132" s="23">
        <v>1.6</v>
      </c>
      <c r="V132" s="23">
        <v>0</v>
      </c>
      <c r="W132" s="23">
        <v>1.6</v>
      </c>
      <c r="X132" s="23"/>
      <c r="Y132" s="23"/>
      <c r="Z132" s="23">
        <v>1.1000000000000001</v>
      </c>
      <c r="AA132" s="23">
        <v>284</v>
      </c>
      <c r="AB132" s="23">
        <v>41</v>
      </c>
      <c r="AC132" s="23">
        <v>0.12</v>
      </c>
      <c r="AD132" s="23">
        <v>0.14000000000000001</v>
      </c>
      <c r="AE132" s="23">
        <v>0</v>
      </c>
      <c r="AF132" s="23">
        <v>195</v>
      </c>
      <c r="AG132" s="23">
        <v>16</v>
      </c>
      <c r="AH132" s="23">
        <v>32</v>
      </c>
      <c r="AI132" s="23"/>
      <c r="AJ132" s="23">
        <v>0</v>
      </c>
      <c r="AK132" s="65">
        <v>903</v>
      </c>
      <c r="AL132" s="65">
        <v>9</v>
      </c>
    </row>
    <row r="133" spans="1:38">
      <c r="A133" s="38">
        <v>711</v>
      </c>
      <c r="B133" s="16" t="s">
        <v>313</v>
      </c>
      <c r="C133" s="16" t="s">
        <v>566</v>
      </c>
      <c r="D133" s="38">
        <v>3015</v>
      </c>
      <c r="E133" s="16" t="s">
        <v>426</v>
      </c>
      <c r="F133" s="16"/>
      <c r="G133" s="23">
        <v>59.000000000000007</v>
      </c>
      <c r="H133" s="23">
        <v>7</v>
      </c>
      <c r="I133" s="23">
        <v>5</v>
      </c>
      <c r="J133" s="23">
        <v>72.5</v>
      </c>
      <c r="K133" s="23">
        <v>1</v>
      </c>
      <c r="L133" s="23">
        <v>7.9</v>
      </c>
      <c r="M133" s="23">
        <v>0.7</v>
      </c>
      <c r="N133" s="23">
        <v>8</v>
      </c>
      <c r="O133" s="23">
        <v>0</v>
      </c>
      <c r="P133" s="23"/>
      <c r="Q133" s="23">
        <v>9.8000000000000007</v>
      </c>
      <c r="R133" s="23">
        <v>93</v>
      </c>
      <c r="S133" s="23">
        <f t="shared" ref="S133:S193" si="4">+L133*4+M133*9+N133*2+O133*7+Q133*4</f>
        <v>93.1</v>
      </c>
      <c r="T133" s="23">
        <v>28.2</v>
      </c>
      <c r="U133" s="23">
        <v>2.63</v>
      </c>
      <c r="V133" s="23">
        <v>0</v>
      </c>
      <c r="W133" s="23">
        <v>2.63</v>
      </c>
      <c r="X133" s="23"/>
      <c r="Y133" s="23"/>
      <c r="Z133" s="23">
        <v>4.6500000000000004</v>
      </c>
      <c r="AA133" s="23">
        <v>216</v>
      </c>
      <c r="AB133" s="23">
        <v>38.4</v>
      </c>
      <c r="AC133" s="23">
        <v>0.28999999999999998</v>
      </c>
      <c r="AD133" s="23">
        <v>0.13</v>
      </c>
      <c r="AE133" s="23">
        <v>0</v>
      </c>
      <c r="AF133" s="23">
        <v>363</v>
      </c>
      <c r="AG133" s="23">
        <v>30</v>
      </c>
      <c r="AH133" s="23">
        <v>60</v>
      </c>
      <c r="AI133" s="23"/>
      <c r="AJ133" s="23">
        <v>0</v>
      </c>
      <c r="AK133" s="65">
        <v>903</v>
      </c>
      <c r="AL133" s="65">
        <v>9</v>
      </c>
    </row>
    <row r="134" spans="1:38">
      <c r="A134" s="38">
        <v>712</v>
      </c>
      <c r="B134" s="16" t="s">
        <v>314</v>
      </c>
      <c r="C134" s="16" t="s">
        <v>553</v>
      </c>
      <c r="D134" s="38"/>
      <c r="E134" s="16"/>
      <c r="F134" s="16"/>
      <c r="G134" s="23">
        <v>35.5</v>
      </c>
      <c r="H134" s="23">
        <v>7</v>
      </c>
      <c r="I134" s="23">
        <v>5</v>
      </c>
      <c r="J134" s="23">
        <v>92.65</v>
      </c>
      <c r="K134" s="23">
        <v>1.25</v>
      </c>
      <c r="L134" s="23">
        <v>0.89999999999999991</v>
      </c>
      <c r="M134" s="23">
        <v>0.15000000000000002</v>
      </c>
      <c r="N134" s="23">
        <v>1.5</v>
      </c>
      <c r="O134" s="23">
        <v>0</v>
      </c>
      <c r="P134" s="23"/>
      <c r="Q134" s="23">
        <v>3.5499999999999936</v>
      </c>
      <c r="R134" s="23">
        <v>22</v>
      </c>
      <c r="S134" s="23">
        <f t="shared" si="4"/>
        <v>22.149999999999974</v>
      </c>
      <c r="T134" s="23">
        <v>58.5</v>
      </c>
      <c r="U134" s="23">
        <v>1.3</v>
      </c>
      <c r="V134" s="23">
        <v>0</v>
      </c>
      <c r="W134" s="23">
        <v>1.3</v>
      </c>
      <c r="X134" s="23"/>
      <c r="Y134" s="23"/>
      <c r="Z134" s="23">
        <v>0.23499999999999999</v>
      </c>
      <c r="AA134" s="23">
        <v>39.5</v>
      </c>
      <c r="AB134" s="23">
        <v>11</v>
      </c>
      <c r="AC134" s="23">
        <v>5.5E-2</v>
      </c>
      <c r="AD134" s="23">
        <v>0.04</v>
      </c>
      <c r="AE134" s="23">
        <v>0</v>
      </c>
      <c r="AF134" s="23">
        <v>875</v>
      </c>
      <c r="AG134" s="23">
        <v>72.916666666666671</v>
      </c>
      <c r="AH134" s="23">
        <v>145.83333333333334</v>
      </c>
      <c r="AI134" s="23"/>
      <c r="AJ134" s="23">
        <v>0</v>
      </c>
      <c r="AK134" s="65">
        <v>901</v>
      </c>
      <c r="AL134" s="65">
        <v>9</v>
      </c>
    </row>
    <row r="135" spans="1:38">
      <c r="A135" s="38">
        <v>713</v>
      </c>
      <c r="B135" s="16" t="s">
        <v>315</v>
      </c>
      <c r="C135" s="16" t="s">
        <v>553</v>
      </c>
      <c r="D135" s="38"/>
      <c r="E135" s="16"/>
      <c r="F135" s="16"/>
      <c r="G135" s="23">
        <v>31</v>
      </c>
      <c r="H135" s="23">
        <v>7</v>
      </c>
      <c r="I135" s="23">
        <v>5</v>
      </c>
      <c r="J135" s="23">
        <v>89.8</v>
      </c>
      <c r="K135" s="23">
        <v>1.6666666666666667</v>
      </c>
      <c r="L135" s="23">
        <v>3.5</v>
      </c>
      <c r="M135" s="23">
        <v>0.46666666666666662</v>
      </c>
      <c r="N135" s="23">
        <v>4</v>
      </c>
      <c r="O135" s="23">
        <v>0</v>
      </c>
      <c r="P135" s="23"/>
      <c r="Q135" s="23">
        <v>0.56666666666666998</v>
      </c>
      <c r="R135" s="23">
        <v>28.666666666666668</v>
      </c>
      <c r="S135" s="23">
        <f t="shared" si="4"/>
        <v>28.466666666666679</v>
      </c>
      <c r="T135" s="23">
        <v>161.33333333333334</v>
      </c>
      <c r="U135" s="23">
        <v>8.4</v>
      </c>
      <c r="V135" s="23">
        <v>0</v>
      </c>
      <c r="W135" s="23">
        <v>8.4</v>
      </c>
      <c r="X135" s="23"/>
      <c r="Y135" s="23"/>
      <c r="Z135" s="23">
        <v>0.6166666666666667</v>
      </c>
      <c r="AA135" s="23">
        <v>182.66666666666666</v>
      </c>
      <c r="AB135" s="23">
        <v>83.266666666666666</v>
      </c>
      <c r="AC135" s="23">
        <v>7.3333333333333334E-2</v>
      </c>
      <c r="AD135" s="23">
        <v>0.25</v>
      </c>
      <c r="AE135" s="23">
        <v>0</v>
      </c>
      <c r="AF135" s="23">
        <v>1217.3333333333333</v>
      </c>
      <c r="AG135" s="23">
        <v>101.44444444444444</v>
      </c>
      <c r="AH135" s="23">
        <v>202.88888888888889</v>
      </c>
      <c r="AI135" s="23"/>
      <c r="AJ135" s="23">
        <v>0</v>
      </c>
      <c r="AK135" s="65">
        <v>903</v>
      </c>
      <c r="AL135" s="65">
        <v>9</v>
      </c>
    </row>
    <row r="136" spans="1:38">
      <c r="A136" s="38">
        <v>714</v>
      </c>
      <c r="B136" s="16" t="s">
        <v>316</v>
      </c>
      <c r="C136" s="16" t="s">
        <v>566</v>
      </c>
      <c r="D136" s="38">
        <v>2005</v>
      </c>
      <c r="E136" s="16" t="s">
        <v>546</v>
      </c>
      <c r="F136" s="16"/>
      <c r="G136" s="23">
        <v>15.000000000000002</v>
      </c>
      <c r="H136" s="23">
        <v>7</v>
      </c>
      <c r="I136" s="23">
        <v>5</v>
      </c>
      <c r="J136" s="23">
        <v>86.1</v>
      </c>
      <c r="K136" s="23">
        <v>1.4</v>
      </c>
      <c r="L136" s="23">
        <v>2.17</v>
      </c>
      <c r="M136" s="23">
        <v>0.1</v>
      </c>
      <c r="N136" s="23">
        <v>3.31</v>
      </c>
      <c r="O136" s="23">
        <v>0</v>
      </c>
      <c r="P136" s="23"/>
      <c r="Q136" s="23">
        <v>6.9</v>
      </c>
      <c r="R136" s="23">
        <v>44</v>
      </c>
      <c r="S136" s="23">
        <f t="shared" si="4"/>
        <v>43.8</v>
      </c>
      <c r="T136" s="23">
        <v>13</v>
      </c>
      <c r="U136" s="23">
        <v>0.8</v>
      </c>
      <c r="V136" s="23">
        <v>0</v>
      </c>
      <c r="W136" s="23">
        <v>0.8</v>
      </c>
      <c r="X136" s="23"/>
      <c r="Y136" s="23"/>
      <c r="Z136" s="23">
        <v>0.55000000000000004</v>
      </c>
      <c r="AA136" s="23">
        <v>110</v>
      </c>
      <c r="AB136" s="23">
        <v>5.3</v>
      </c>
      <c r="AC136" s="23">
        <v>0.01</v>
      </c>
      <c r="AD136" s="23">
        <v>0.02</v>
      </c>
      <c r="AE136" s="23">
        <v>0</v>
      </c>
      <c r="AF136" s="23">
        <v>10</v>
      </c>
      <c r="AG136" s="23">
        <v>1</v>
      </c>
      <c r="AH136" s="23">
        <v>2</v>
      </c>
      <c r="AI136" s="23"/>
      <c r="AJ136" s="23">
        <v>0</v>
      </c>
      <c r="AK136" s="65">
        <v>903</v>
      </c>
      <c r="AL136" s="65">
        <v>9</v>
      </c>
    </row>
    <row r="137" spans="1:38">
      <c r="A137" s="38">
        <v>715</v>
      </c>
      <c r="B137" s="16" t="s">
        <v>317</v>
      </c>
      <c r="C137" s="16" t="s">
        <v>553</v>
      </c>
      <c r="D137" s="38"/>
      <c r="E137" s="16"/>
      <c r="F137" s="16"/>
      <c r="G137" s="23">
        <v>11</v>
      </c>
      <c r="H137" s="23">
        <v>7</v>
      </c>
      <c r="I137" s="23">
        <v>3</v>
      </c>
      <c r="J137" s="23">
        <v>91.05</v>
      </c>
      <c r="K137" s="23">
        <v>0.60000000000000009</v>
      </c>
      <c r="L137" s="23">
        <v>1.2</v>
      </c>
      <c r="M137" s="23">
        <v>0.2</v>
      </c>
      <c r="N137" s="23">
        <v>1.8</v>
      </c>
      <c r="O137" s="23">
        <v>0</v>
      </c>
      <c r="P137" s="23"/>
      <c r="Q137" s="23">
        <v>5.150000000000003</v>
      </c>
      <c r="R137" s="23">
        <v>31</v>
      </c>
      <c r="S137" s="23">
        <f t="shared" si="4"/>
        <v>30.800000000000011</v>
      </c>
      <c r="T137" s="23">
        <v>18</v>
      </c>
      <c r="U137" s="23">
        <v>0.75</v>
      </c>
      <c r="V137" s="23">
        <v>0</v>
      </c>
      <c r="W137" s="23">
        <v>0.75</v>
      </c>
      <c r="X137" s="23"/>
      <c r="Y137" s="23"/>
      <c r="Z137" s="23">
        <v>0.26500000000000001</v>
      </c>
      <c r="AA137" s="23">
        <v>24</v>
      </c>
      <c r="AB137" s="23">
        <v>16</v>
      </c>
      <c r="AC137" s="23">
        <v>0.05</v>
      </c>
      <c r="AD137" s="23">
        <v>0.06</v>
      </c>
      <c r="AE137" s="23">
        <v>0</v>
      </c>
      <c r="AF137" s="23">
        <v>1099</v>
      </c>
      <c r="AG137" s="23">
        <v>91.583333333333329</v>
      </c>
      <c r="AH137" s="23">
        <v>183.16666666666666</v>
      </c>
      <c r="AI137" s="23"/>
      <c r="AJ137" s="23">
        <v>0</v>
      </c>
      <c r="AK137" s="65">
        <v>902</v>
      </c>
      <c r="AL137" s="65">
        <v>9</v>
      </c>
    </row>
    <row r="138" spans="1:38">
      <c r="A138" s="38">
        <v>716</v>
      </c>
      <c r="B138" s="16" t="s">
        <v>318</v>
      </c>
      <c r="C138" s="16" t="s">
        <v>553</v>
      </c>
      <c r="D138" s="38"/>
      <c r="E138" s="16"/>
      <c r="F138" s="16"/>
      <c r="G138" s="23">
        <v>58</v>
      </c>
      <c r="H138" s="23">
        <v>7</v>
      </c>
      <c r="I138" s="23">
        <v>5</v>
      </c>
      <c r="J138" s="23">
        <v>93.033333333333346</v>
      </c>
      <c r="K138" s="23">
        <v>0.40000000000000008</v>
      </c>
      <c r="L138" s="23">
        <v>1.5333333333333332</v>
      </c>
      <c r="M138" s="23">
        <v>0.16666666666666666</v>
      </c>
      <c r="N138" s="23">
        <v>2</v>
      </c>
      <c r="O138" s="23">
        <v>0</v>
      </c>
      <c r="P138" s="23"/>
      <c r="Q138" s="23">
        <v>2.8666666666666538</v>
      </c>
      <c r="R138" s="23">
        <v>23.333333333333332</v>
      </c>
      <c r="S138" s="23">
        <f t="shared" si="4"/>
        <v>23.099999999999948</v>
      </c>
      <c r="T138" s="23">
        <v>10.333333333333334</v>
      </c>
      <c r="U138" s="23">
        <v>0.6</v>
      </c>
      <c r="V138" s="23">
        <v>0</v>
      </c>
      <c r="W138" s="23">
        <v>0.6</v>
      </c>
      <c r="X138" s="23"/>
      <c r="Y138" s="23"/>
      <c r="Z138" s="23">
        <v>0.12666666666666668</v>
      </c>
      <c r="AA138" s="23">
        <v>30</v>
      </c>
      <c r="AB138" s="23">
        <v>132.66666666666666</v>
      </c>
      <c r="AC138" s="23">
        <v>7.0000000000000007E-2</v>
      </c>
      <c r="AD138" s="23">
        <v>3.3333333333333333E-2</v>
      </c>
      <c r="AE138" s="23">
        <v>0</v>
      </c>
      <c r="AF138" s="23">
        <v>246.66666666666666</v>
      </c>
      <c r="AG138" s="23">
        <v>20.555555555555554</v>
      </c>
      <c r="AH138" s="23">
        <v>41.111111111111107</v>
      </c>
      <c r="AI138" s="23"/>
      <c r="AJ138" s="23">
        <v>0</v>
      </c>
      <c r="AK138" s="65">
        <v>903</v>
      </c>
      <c r="AL138" s="65">
        <v>9</v>
      </c>
    </row>
    <row r="139" spans="1:38">
      <c r="A139" s="38">
        <v>717</v>
      </c>
      <c r="B139" s="16" t="s">
        <v>319</v>
      </c>
      <c r="C139" s="16" t="s">
        <v>611</v>
      </c>
      <c r="D139" s="38" t="s">
        <v>693</v>
      </c>
      <c r="E139" s="16" t="s">
        <v>692</v>
      </c>
      <c r="F139" s="16"/>
      <c r="G139" s="23">
        <v>27</v>
      </c>
      <c r="H139" s="23">
        <v>7</v>
      </c>
      <c r="I139" s="23">
        <v>5</v>
      </c>
      <c r="J139" s="23">
        <v>87.3</v>
      </c>
      <c r="K139" s="23">
        <v>0.7</v>
      </c>
      <c r="L139" s="23">
        <v>1.9</v>
      </c>
      <c r="M139" s="23">
        <v>0.3</v>
      </c>
      <c r="N139" s="23">
        <v>2.2000000000000002</v>
      </c>
      <c r="O139" s="23">
        <v>0</v>
      </c>
      <c r="P139" s="23"/>
      <c r="Q139" s="23">
        <v>7.6</v>
      </c>
      <c r="R139" s="23">
        <v>45</v>
      </c>
      <c r="S139" s="23">
        <f t="shared" si="4"/>
        <v>45.099999999999994</v>
      </c>
      <c r="T139" s="23">
        <v>16</v>
      </c>
      <c r="U139" s="23">
        <v>1.1000000000000001</v>
      </c>
      <c r="V139" s="23">
        <v>0</v>
      </c>
      <c r="W139" s="23">
        <v>1.1000000000000001</v>
      </c>
      <c r="X139" s="23"/>
      <c r="Y139" s="23"/>
      <c r="Z139" s="23">
        <v>0.28999999999999998</v>
      </c>
      <c r="AA139" s="23">
        <v>23</v>
      </c>
      <c r="AB139" s="23">
        <v>193.1</v>
      </c>
      <c r="AC139" s="23">
        <v>0.08</v>
      </c>
      <c r="AD139" s="23">
        <v>0.09</v>
      </c>
      <c r="AE139" s="23">
        <v>0</v>
      </c>
      <c r="AF139" s="23">
        <v>640</v>
      </c>
      <c r="AG139" s="23">
        <v>53.333333333333336</v>
      </c>
      <c r="AH139" s="23">
        <v>106.66666666666667</v>
      </c>
      <c r="AI139" s="23"/>
      <c r="AJ139" s="23">
        <v>0</v>
      </c>
      <c r="AK139" s="65">
        <v>903</v>
      </c>
      <c r="AL139" s="65">
        <v>9</v>
      </c>
    </row>
    <row r="140" spans="1:38">
      <c r="A140" s="38">
        <v>718</v>
      </c>
      <c r="B140" s="16" t="s">
        <v>320</v>
      </c>
      <c r="C140" s="16" t="s">
        <v>566</v>
      </c>
      <c r="D140" s="38">
        <v>4004</v>
      </c>
      <c r="E140" s="16" t="s">
        <v>535</v>
      </c>
      <c r="F140" s="16"/>
      <c r="G140" s="23">
        <v>40</v>
      </c>
      <c r="H140" s="23">
        <v>7</v>
      </c>
      <c r="I140" s="23">
        <v>5</v>
      </c>
      <c r="J140" s="23">
        <v>89</v>
      </c>
      <c r="K140" s="23">
        <v>1</v>
      </c>
      <c r="L140" s="23">
        <v>3.3</v>
      </c>
      <c r="M140" s="23">
        <v>0.3</v>
      </c>
      <c r="N140" s="23">
        <v>3.7</v>
      </c>
      <c r="O140" s="23">
        <v>0</v>
      </c>
      <c r="P140" s="23"/>
      <c r="Q140" s="23">
        <v>2.7</v>
      </c>
      <c r="R140" s="23">
        <v>34</v>
      </c>
      <c r="S140" s="23">
        <f t="shared" si="4"/>
        <v>34.099999999999994</v>
      </c>
      <c r="T140" s="23">
        <v>66</v>
      </c>
      <c r="U140" s="23">
        <v>0.8</v>
      </c>
      <c r="V140" s="23">
        <v>0</v>
      </c>
      <c r="W140" s="23">
        <v>0.8</v>
      </c>
      <c r="X140" s="23"/>
      <c r="Y140" s="23"/>
      <c r="Z140" s="23">
        <v>1</v>
      </c>
      <c r="AA140" s="23">
        <v>48</v>
      </c>
      <c r="AB140" s="23">
        <v>103</v>
      </c>
      <c r="AC140" s="23">
        <v>0.1</v>
      </c>
      <c r="AD140" s="23">
        <v>0.22</v>
      </c>
      <c r="AE140" s="23">
        <v>0</v>
      </c>
      <c r="AF140" s="23">
        <v>303</v>
      </c>
      <c r="AG140" s="23">
        <v>25</v>
      </c>
      <c r="AH140" s="23">
        <v>51</v>
      </c>
      <c r="AI140" s="23"/>
      <c r="AJ140" s="23">
        <v>0</v>
      </c>
      <c r="AK140" s="65">
        <v>903</v>
      </c>
      <c r="AL140" s="65">
        <v>9</v>
      </c>
    </row>
    <row r="141" spans="1:38">
      <c r="A141" s="38">
        <v>719</v>
      </c>
      <c r="B141" s="16" t="s">
        <v>321</v>
      </c>
      <c r="C141" s="16"/>
      <c r="D141" s="38"/>
      <c r="E141" s="16"/>
      <c r="F141" s="16"/>
      <c r="G141" s="23">
        <v>0</v>
      </c>
      <c r="H141" s="23">
        <v>7</v>
      </c>
      <c r="I141" s="23">
        <v>5</v>
      </c>
      <c r="J141" s="23">
        <v>76.004999999999995</v>
      </c>
      <c r="K141" s="23">
        <v>0.62</v>
      </c>
      <c r="L141" s="23">
        <v>3.2450000000000001</v>
      </c>
      <c r="M141" s="23">
        <v>1.2650000000000001</v>
      </c>
      <c r="N141" s="23">
        <v>2.35</v>
      </c>
      <c r="O141" s="23">
        <v>0</v>
      </c>
      <c r="P141" s="23">
        <v>18.86</v>
      </c>
      <c r="Q141" s="23">
        <v>16.515000000000001</v>
      </c>
      <c r="R141" s="23">
        <v>86</v>
      </c>
      <c r="S141" s="23">
        <f t="shared" si="4"/>
        <v>95.125</v>
      </c>
      <c r="T141" s="23">
        <v>2</v>
      </c>
      <c r="U141" s="23">
        <v>0.52</v>
      </c>
      <c r="V141" s="23">
        <v>0</v>
      </c>
      <c r="W141" s="23">
        <v>0.52</v>
      </c>
      <c r="X141" s="23"/>
      <c r="Y141" s="23"/>
      <c r="Z141" s="23">
        <v>0.45500000000000002</v>
      </c>
      <c r="AA141" s="23">
        <v>44</v>
      </c>
      <c r="AB141" s="23">
        <v>6.8</v>
      </c>
      <c r="AC141" s="23">
        <v>0.17749999999999999</v>
      </c>
      <c r="AD141" s="23">
        <v>5.7499999999999996E-2</v>
      </c>
      <c r="AE141" s="23">
        <v>0</v>
      </c>
      <c r="AF141" s="23">
        <v>56.75</v>
      </c>
      <c r="AG141" s="23">
        <v>4.729166666666667</v>
      </c>
      <c r="AH141" s="23">
        <v>9.4583333333333339</v>
      </c>
      <c r="AI141" s="23"/>
      <c r="AJ141" s="23">
        <v>0</v>
      </c>
      <c r="AK141" s="65">
        <v>903</v>
      </c>
      <c r="AL141" s="65">
        <v>9</v>
      </c>
    </row>
    <row r="142" spans="1:38">
      <c r="A142" s="38">
        <v>720</v>
      </c>
      <c r="B142" s="16" t="s">
        <v>322</v>
      </c>
      <c r="C142" s="16" t="s">
        <v>553</v>
      </c>
      <c r="D142" s="38"/>
      <c r="E142" s="16"/>
      <c r="F142" s="16"/>
      <c r="G142" s="23">
        <v>0</v>
      </c>
      <c r="H142" s="23">
        <v>7</v>
      </c>
      <c r="I142" s="23">
        <v>5</v>
      </c>
      <c r="J142" s="23">
        <v>89.7</v>
      </c>
      <c r="K142" s="23">
        <v>0.9</v>
      </c>
      <c r="L142" s="23">
        <v>2.2999999999999998</v>
      </c>
      <c r="M142" s="23">
        <v>0.4</v>
      </c>
      <c r="N142" s="23">
        <v>2.2999999999999998</v>
      </c>
      <c r="O142" s="23">
        <v>0</v>
      </c>
      <c r="P142" s="23"/>
      <c r="Q142" s="23">
        <v>4.5</v>
      </c>
      <c r="R142" s="23">
        <v>35</v>
      </c>
      <c r="S142" s="23">
        <f t="shared" si="4"/>
        <v>35.4</v>
      </c>
      <c r="T142" s="23">
        <v>16</v>
      </c>
      <c r="U142" s="23">
        <v>0.3</v>
      </c>
      <c r="V142" s="23">
        <v>0</v>
      </c>
      <c r="W142" s="23">
        <v>0.3</v>
      </c>
      <c r="X142" s="23"/>
      <c r="Y142" s="23"/>
      <c r="Z142" s="23">
        <v>0.17</v>
      </c>
      <c r="AA142" s="23">
        <v>23</v>
      </c>
      <c r="AB142" s="23">
        <v>0</v>
      </c>
      <c r="AC142" s="23">
        <v>0.1</v>
      </c>
      <c r="AD142" s="23">
        <v>0.4</v>
      </c>
      <c r="AE142" s="23">
        <v>0</v>
      </c>
      <c r="AF142" s="23">
        <v>0</v>
      </c>
      <c r="AG142" s="23">
        <v>0</v>
      </c>
      <c r="AH142" s="23">
        <v>0</v>
      </c>
      <c r="AI142" s="23"/>
      <c r="AJ142" s="23">
        <v>0</v>
      </c>
      <c r="AK142" s="65">
        <v>903</v>
      </c>
      <c r="AL142" s="65">
        <v>9</v>
      </c>
    </row>
    <row r="143" spans="1:38">
      <c r="A143" s="38">
        <v>721</v>
      </c>
      <c r="B143" s="16" t="s">
        <v>323</v>
      </c>
      <c r="C143" s="16" t="s">
        <v>566</v>
      </c>
      <c r="D143" s="38">
        <v>4017</v>
      </c>
      <c r="E143" s="16" t="s">
        <v>537</v>
      </c>
      <c r="F143" s="16"/>
      <c r="G143" s="23">
        <v>8.9999999999999964</v>
      </c>
      <c r="H143" s="23">
        <v>7</v>
      </c>
      <c r="I143" s="23">
        <v>5</v>
      </c>
      <c r="J143" s="23">
        <v>90.8</v>
      </c>
      <c r="K143" s="23">
        <v>0.9</v>
      </c>
      <c r="L143" s="23">
        <v>1.2</v>
      </c>
      <c r="M143" s="23">
        <v>0.3</v>
      </c>
      <c r="N143" s="23">
        <v>4</v>
      </c>
      <c r="O143" s="23">
        <v>0</v>
      </c>
      <c r="P143" s="23"/>
      <c r="Q143" s="23">
        <v>2.8</v>
      </c>
      <c r="R143" s="23">
        <v>27</v>
      </c>
      <c r="S143" s="23">
        <f t="shared" si="4"/>
        <v>26.7</v>
      </c>
      <c r="T143" s="23">
        <v>18</v>
      </c>
      <c r="U143" s="23">
        <v>0.4</v>
      </c>
      <c r="V143" s="23">
        <v>0</v>
      </c>
      <c r="W143" s="23">
        <v>0.4</v>
      </c>
      <c r="X143" s="23"/>
      <c r="Y143" s="23"/>
      <c r="Z143" s="23">
        <v>0.21</v>
      </c>
      <c r="AA143" s="23">
        <v>29</v>
      </c>
      <c r="AB143" s="23">
        <v>2</v>
      </c>
      <c r="AC143" s="23">
        <v>0.05</v>
      </c>
      <c r="AD143" s="23">
        <v>0.05</v>
      </c>
      <c r="AE143" s="23">
        <v>0</v>
      </c>
      <c r="AF143" s="23">
        <v>146</v>
      </c>
      <c r="AG143" s="23">
        <v>12</v>
      </c>
      <c r="AH143" s="23">
        <v>24</v>
      </c>
      <c r="AI143" s="23"/>
      <c r="AJ143" s="23">
        <v>0</v>
      </c>
      <c r="AK143" s="65">
        <v>1002</v>
      </c>
      <c r="AL143" s="65">
        <v>10</v>
      </c>
    </row>
    <row r="144" spans="1:38">
      <c r="A144" s="38">
        <v>722</v>
      </c>
      <c r="B144" s="16" t="s">
        <v>324</v>
      </c>
      <c r="C144" s="16" t="s">
        <v>566</v>
      </c>
      <c r="D144" s="38">
        <v>4027</v>
      </c>
      <c r="E144" s="16" t="s">
        <v>538</v>
      </c>
      <c r="F144" s="16"/>
      <c r="G144" s="23">
        <v>19.999999999999996</v>
      </c>
      <c r="H144" s="23">
        <v>7</v>
      </c>
      <c r="I144" s="23">
        <v>3</v>
      </c>
      <c r="J144" s="23">
        <v>90.3</v>
      </c>
      <c r="K144" s="23">
        <v>0.7</v>
      </c>
      <c r="L144" s="23">
        <v>1.2</v>
      </c>
      <c r="M144" s="23">
        <v>0.2</v>
      </c>
      <c r="N144" s="23">
        <v>2.4</v>
      </c>
      <c r="O144" s="23">
        <v>0</v>
      </c>
      <c r="P144" s="23"/>
      <c r="Q144" s="23">
        <v>5.2</v>
      </c>
      <c r="R144" s="23">
        <v>32</v>
      </c>
      <c r="S144" s="23">
        <f t="shared" si="4"/>
        <v>32.200000000000003</v>
      </c>
      <c r="T144" s="23">
        <v>17</v>
      </c>
      <c r="U144" s="23">
        <v>0.2</v>
      </c>
      <c r="V144" s="23">
        <v>0</v>
      </c>
      <c r="W144" s="23">
        <v>0.2</v>
      </c>
      <c r="X144" s="23"/>
      <c r="Y144" s="23"/>
      <c r="Z144" s="23">
        <v>0.21</v>
      </c>
      <c r="AA144" s="23">
        <v>50</v>
      </c>
      <c r="AB144" s="23">
        <v>8</v>
      </c>
      <c r="AC144" s="23">
        <v>7.0000000000000007E-2</v>
      </c>
      <c r="AD144" s="23">
        <v>0.06</v>
      </c>
      <c r="AE144" s="23">
        <v>0</v>
      </c>
      <c r="AF144" s="23">
        <v>1512</v>
      </c>
      <c r="AG144" s="23">
        <v>126</v>
      </c>
      <c r="AH144" s="23">
        <v>252</v>
      </c>
      <c r="AI144" s="23"/>
      <c r="AJ144" s="23">
        <v>0</v>
      </c>
      <c r="AK144" s="65">
        <v>902</v>
      </c>
      <c r="AL144" s="65">
        <v>9</v>
      </c>
    </row>
    <row r="145" spans="1:38">
      <c r="A145" s="38">
        <v>723</v>
      </c>
      <c r="B145" s="16" t="s">
        <v>325</v>
      </c>
      <c r="C145" s="16" t="s">
        <v>566</v>
      </c>
      <c r="D145" s="38">
        <v>13011</v>
      </c>
      <c r="E145" s="16" t="s">
        <v>592</v>
      </c>
      <c r="F145" s="16"/>
      <c r="G145" s="23">
        <v>17.000000000000004</v>
      </c>
      <c r="H145" s="23">
        <v>7</v>
      </c>
      <c r="I145" s="23">
        <v>4</v>
      </c>
      <c r="J145" s="23">
        <v>81.900000000000006</v>
      </c>
      <c r="K145" s="23">
        <v>2.9</v>
      </c>
      <c r="L145" s="23">
        <v>3.3</v>
      </c>
      <c r="M145" s="23">
        <v>0.7</v>
      </c>
      <c r="N145" s="23">
        <v>3.5</v>
      </c>
      <c r="O145" s="23">
        <v>0</v>
      </c>
      <c r="P145" s="23"/>
      <c r="Q145" s="23">
        <v>7.7</v>
      </c>
      <c r="R145" s="23">
        <v>57</v>
      </c>
      <c r="S145" s="23">
        <f t="shared" si="4"/>
        <v>57.3</v>
      </c>
      <c r="T145" s="23">
        <v>115</v>
      </c>
      <c r="U145" s="23">
        <v>6.6</v>
      </c>
      <c r="V145" s="23">
        <v>0</v>
      </c>
      <c r="W145" s="23">
        <v>6.6</v>
      </c>
      <c r="X145" s="23"/>
      <c r="Y145" s="23"/>
      <c r="Z145" s="23">
        <v>0.54</v>
      </c>
      <c r="AA145" s="23">
        <v>62</v>
      </c>
      <c r="AB145" s="23">
        <v>35.9</v>
      </c>
      <c r="AC145" s="23">
        <v>0.3</v>
      </c>
      <c r="AD145" s="23">
        <v>0.1</v>
      </c>
      <c r="AE145" s="23">
        <v>0</v>
      </c>
      <c r="AF145" s="23">
        <v>3810</v>
      </c>
      <c r="AG145" s="23">
        <v>317</v>
      </c>
      <c r="AH145" s="23">
        <v>635</v>
      </c>
      <c r="AI145" s="23"/>
      <c r="AJ145" s="23">
        <v>0</v>
      </c>
      <c r="AK145" s="65">
        <v>901</v>
      </c>
      <c r="AL145" s="65">
        <v>9</v>
      </c>
    </row>
    <row r="146" spans="1:38">
      <c r="A146" s="38">
        <v>724</v>
      </c>
      <c r="B146" s="16" t="s">
        <v>326</v>
      </c>
      <c r="C146" s="16" t="s">
        <v>566</v>
      </c>
      <c r="D146" s="38">
        <v>2017</v>
      </c>
      <c r="E146" s="16" t="s">
        <v>547</v>
      </c>
      <c r="F146" s="16"/>
      <c r="G146" s="23">
        <v>23</v>
      </c>
      <c r="H146" s="23">
        <v>7</v>
      </c>
      <c r="I146" s="23">
        <v>5</v>
      </c>
      <c r="J146" s="23">
        <v>93.1</v>
      </c>
      <c r="K146" s="23">
        <v>0.8</v>
      </c>
      <c r="L146" s="23">
        <v>0.7</v>
      </c>
      <c r="M146" s="23">
        <v>0.2</v>
      </c>
      <c r="N146" s="23">
        <v>1.7</v>
      </c>
      <c r="O146" s="23">
        <v>0</v>
      </c>
      <c r="P146" s="23"/>
      <c r="Q146" s="23">
        <v>3.6</v>
      </c>
      <c r="R146" s="23">
        <v>22</v>
      </c>
      <c r="S146" s="23">
        <f t="shared" si="4"/>
        <v>22.4</v>
      </c>
      <c r="T146" s="23">
        <v>34</v>
      </c>
      <c r="U146" s="23">
        <v>0.5</v>
      </c>
      <c r="V146" s="23">
        <v>0</v>
      </c>
      <c r="W146" s="23">
        <v>0.5</v>
      </c>
      <c r="X146" s="23"/>
      <c r="Y146" s="23"/>
      <c r="Z146" s="23">
        <v>0.2</v>
      </c>
      <c r="AA146" s="23">
        <v>15</v>
      </c>
      <c r="AB146" s="23">
        <v>23</v>
      </c>
      <c r="AC146" s="23">
        <v>0.04</v>
      </c>
      <c r="AD146" s="23">
        <v>0.04</v>
      </c>
      <c r="AE146" s="23">
        <v>0</v>
      </c>
      <c r="AF146" s="23">
        <v>0</v>
      </c>
      <c r="AG146" s="23">
        <v>0</v>
      </c>
      <c r="AH146" s="23">
        <v>0</v>
      </c>
      <c r="AI146" s="23"/>
      <c r="AJ146" s="23">
        <v>0</v>
      </c>
      <c r="AK146" s="65">
        <v>903</v>
      </c>
      <c r="AL146" s="65">
        <v>9</v>
      </c>
    </row>
    <row r="147" spans="1:38">
      <c r="A147" s="38">
        <v>725</v>
      </c>
      <c r="B147" s="16" t="s">
        <v>327</v>
      </c>
      <c r="C147" s="16" t="s">
        <v>566</v>
      </c>
      <c r="D147" s="38">
        <v>2004</v>
      </c>
      <c r="E147" s="16" t="s">
        <v>593</v>
      </c>
      <c r="F147" s="16"/>
      <c r="G147" s="23">
        <v>50</v>
      </c>
      <c r="H147" s="23">
        <v>2</v>
      </c>
      <c r="I147" s="23">
        <v>5</v>
      </c>
      <c r="J147" s="23">
        <v>73.599999999999994</v>
      </c>
      <c r="K147" s="23">
        <v>0.9</v>
      </c>
      <c r="L147" s="23">
        <v>1.4</v>
      </c>
      <c r="M147" s="23">
        <v>0.4</v>
      </c>
      <c r="N147" s="23">
        <v>3.6</v>
      </c>
      <c r="O147" s="23">
        <v>0</v>
      </c>
      <c r="P147" s="23"/>
      <c r="Q147" s="23">
        <v>20.100000000000001</v>
      </c>
      <c r="R147" s="23">
        <v>97</v>
      </c>
      <c r="S147" s="23">
        <f t="shared" si="4"/>
        <v>96.800000000000011</v>
      </c>
      <c r="T147" s="23">
        <v>7</v>
      </c>
      <c r="U147" s="23">
        <v>0.8</v>
      </c>
      <c r="V147" s="23">
        <v>0</v>
      </c>
      <c r="W147" s="23">
        <v>0.8</v>
      </c>
      <c r="X147" s="23"/>
      <c r="Y147" s="23"/>
      <c r="Z147" s="23">
        <v>0.23</v>
      </c>
      <c r="AA147" s="23">
        <v>19</v>
      </c>
      <c r="AB147" s="23">
        <v>23.3</v>
      </c>
      <c r="AC147" s="23">
        <v>0.06</v>
      </c>
      <c r="AD147" s="23">
        <v>0.04</v>
      </c>
      <c r="AE147" s="23">
        <v>0</v>
      </c>
      <c r="AF147" s="23">
        <v>3</v>
      </c>
      <c r="AG147" s="23">
        <v>0</v>
      </c>
      <c r="AH147" s="23">
        <v>1</v>
      </c>
      <c r="AI147" s="23"/>
      <c r="AJ147" s="23">
        <v>0</v>
      </c>
      <c r="AK147" s="65">
        <v>206</v>
      </c>
      <c r="AL147" s="65">
        <v>2</v>
      </c>
    </row>
    <row r="148" spans="1:38">
      <c r="A148" s="38">
        <v>726</v>
      </c>
      <c r="B148" s="16" t="s">
        <v>328</v>
      </c>
      <c r="C148" s="16" t="s">
        <v>566</v>
      </c>
      <c r="D148" s="38">
        <v>4037</v>
      </c>
      <c r="E148" s="16" t="s">
        <v>539</v>
      </c>
      <c r="F148" s="16"/>
      <c r="G148" s="23">
        <v>0</v>
      </c>
      <c r="H148" s="23">
        <v>7</v>
      </c>
      <c r="I148" s="23">
        <v>5</v>
      </c>
      <c r="J148" s="23">
        <v>94</v>
      </c>
      <c r="K148" s="23">
        <v>0.5</v>
      </c>
      <c r="L148" s="23">
        <v>1</v>
      </c>
      <c r="M148" s="23">
        <v>0.1</v>
      </c>
      <c r="N148" s="23">
        <v>1.3</v>
      </c>
      <c r="O148" s="23">
        <v>0</v>
      </c>
      <c r="P148" s="23"/>
      <c r="Q148" s="23">
        <v>3.1</v>
      </c>
      <c r="R148" s="23">
        <v>20</v>
      </c>
      <c r="S148" s="23">
        <f t="shared" si="4"/>
        <v>19.899999999999999</v>
      </c>
      <c r="T148" s="23">
        <v>22</v>
      </c>
      <c r="U148" s="23">
        <v>0.6</v>
      </c>
      <c r="V148" s="23">
        <v>0</v>
      </c>
      <c r="W148" s="23">
        <v>0.6</v>
      </c>
      <c r="X148" s="23"/>
      <c r="Y148" s="23"/>
      <c r="Z148" s="23">
        <v>0.16</v>
      </c>
      <c r="AA148" s="23">
        <v>26</v>
      </c>
      <c r="AB148" s="23">
        <v>6</v>
      </c>
      <c r="AC148" s="23">
        <v>0</v>
      </c>
      <c r="AD148" s="23">
        <v>0</v>
      </c>
      <c r="AE148" s="23">
        <v>0</v>
      </c>
      <c r="AF148" s="23">
        <v>334</v>
      </c>
      <c r="AG148" s="23">
        <v>28</v>
      </c>
      <c r="AH148" s="23">
        <v>56</v>
      </c>
      <c r="AI148" s="23"/>
      <c r="AJ148" s="23">
        <v>0</v>
      </c>
      <c r="AK148" s="65">
        <v>905</v>
      </c>
      <c r="AL148" s="65">
        <v>9</v>
      </c>
    </row>
    <row r="149" spans="1:38">
      <c r="A149" s="38">
        <v>727</v>
      </c>
      <c r="B149" s="16" t="s">
        <v>329</v>
      </c>
      <c r="C149" s="16" t="s">
        <v>607</v>
      </c>
      <c r="D149" s="38">
        <v>11579</v>
      </c>
      <c r="E149" s="16" t="s">
        <v>706</v>
      </c>
      <c r="F149" s="16"/>
      <c r="G149" s="23">
        <v>0</v>
      </c>
      <c r="H149" s="23">
        <v>7</v>
      </c>
      <c r="I149" s="23">
        <v>5</v>
      </c>
      <c r="J149" s="23">
        <v>90.24</v>
      </c>
      <c r="K149" s="23">
        <v>0.96</v>
      </c>
      <c r="L149" s="23">
        <v>1.42</v>
      </c>
      <c r="M149" s="23">
        <v>0.25</v>
      </c>
      <c r="N149" s="23">
        <v>3.8</v>
      </c>
      <c r="O149" s="23">
        <v>0</v>
      </c>
      <c r="P149" s="23">
        <v>7.13</v>
      </c>
      <c r="Q149" s="23">
        <v>3.3300000000000045</v>
      </c>
      <c r="R149" s="23">
        <v>36</v>
      </c>
      <c r="S149" s="23">
        <f t="shared" si="4"/>
        <v>28.850000000000016</v>
      </c>
      <c r="T149" s="23">
        <v>21</v>
      </c>
      <c r="U149" s="23">
        <v>0.65</v>
      </c>
      <c r="V149" s="23">
        <v>0</v>
      </c>
      <c r="W149" s="23">
        <v>0.65</v>
      </c>
      <c r="X149" s="23"/>
      <c r="Y149" s="23"/>
      <c r="Z149" s="23">
        <v>0.51</v>
      </c>
      <c r="AA149" s="23">
        <v>18</v>
      </c>
      <c r="AB149" s="23">
        <v>3.8</v>
      </c>
      <c r="AC149" s="23">
        <v>3.4000000000000002E-2</v>
      </c>
      <c r="AD149" s="23">
        <v>0.04</v>
      </c>
      <c r="AE149" s="23">
        <v>0</v>
      </c>
      <c r="AF149" s="23">
        <v>0</v>
      </c>
      <c r="AG149" s="23">
        <v>0</v>
      </c>
      <c r="AH149" s="23">
        <v>0</v>
      </c>
      <c r="AI149" s="23"/>
      <c r="AJ149" s="23">
        <v>0</v>
      </c>
      <c r="AK149" s="65">
        <v>906</v>
      </c>
      <c r="AL149" s="65">
        <v>9</v>
      </c>
    </row>
    <row r="150" spans="1:38">
      <c r="A150" s="38">
        <v>801</v>
      </c>
      <c r="B150" s="16" t="s">
        <v>330</v>
      </c>
      <c r="C150" s="16" t="s">
        <v>566</v>
      </c>
      <c r="D150" s="38">
        <v>2009</v>
      </c>
      <c r="E150" s="16" t="s">
        <v>540</v>
      </c>
      <c r="F150" s="16"/>
      <c r="G150" s="23">
        <v>15.000000000000002</v>
      </c>
      <c r="H150" s="23">
        <v>2</v>
      </c>
      <c r="I150" s="23">
        <v>2</v>
      </c>
      <c r="J150" s="23">
        <v>72.099999999999994</v>
      </c>
      <c r="K150" s="23">
        <v>1</v>
      </c>
      <c r="L150" s="23">
        <v>2.4</v>
      </c>
      <c r="M150" s="23">
        <v>0.1</v>
      </c>
      <c r="N150" s="23">
        <v>1.68</v>
      </c>
      <c r="O150" s="23">
        <v>0</v>
      </c>
      <c r="P150" s="23"/>
      <c r="Q150" s="23">
        <v>22.7</v>
      </c>
      <c r="R150" s="23">
        <v>105</v>
      </c>
      <c r="S150" s="23">
        <f t="shared" si="4"/>
        <v>104.66</v>
      </c>
      <c r="T150" s="23">
        <v>9</v>
      </c>
      <c r="U150" s="23">
        <v>1.4</v>
      </c>
      <c r="V150" s="23">
        <v>0</v>
      </c>
      <c r="W150" s="23">
        <v>1.4</v>
      </c>
      <c r="X150" s="23"/>
      <c r="Y150" s="23"/>
      <c r="Z150" s="23">
        <v>0.32</v>
      </c>
      <c r="AA150" s="23">
        <v>53</v>
      </c>
      <c r="AB150" s="23">
        <v>6.6</v>
      </c>
      <c r="AC150" s="23">
        <v>7.0000000000000007E-2</v>
      </c>
      <c r="AD150" s="23">
        <v>0.04</v>
      </c>
      <c r="AE150" s="23">
        <v>0</v>
      </c>
      <c r="AF150" s="23">
        <v>0</v>
      </c>
      <c r="AG150" s="23">
        <v>0</v>
      </c>
      <c r="AH150" s="23">
        <v>0</v>
      </c>
      <c r="AI150" s="23"/>
      <c r="AJ150" s="23">
        <v>0</v>
      </c>
      <c r="AK150" s="65">
        <v>201</v>
      </c>
      <c r="AL150" s="65">
        <v>2</v>
      </c>
    </row>
    <row r="151" spans="1:38">
      <c r="A151" s="38">
        <v>802</v>
      </c>
      <c r="B151" s="16" t="s">
        <v>331</v>
      </c>
      <c r="C151" s="16" t="s">
        <v>553</v>
      </c>
      <c r="D151" s="38"/>
      <c r="E151" s="16"/>
      <c r="F151" s="16"/>
      <c r="G151" s="23">
        <v>13.33</v>
      </c>
      <c r="H151" s="23">
        <v>2</v>
      </c>
      <c r="I151" s="23">
        <v>3</v>
      </c>
      <c r="J151" s="23">
        <v>75.833333333333329</v>
      </c>
      <c r="K151" s="23">
        <v>1.0666666666666667</v>
      </c>
      <c r="L151" s="23">
        <v>1.7999999999999998</v>
      </c>
      <c r="M151" s="23">
        <v>0.3666666666666667</v>
      </c>
      <c r="N151" s="23">
        <v>3.6333333333333333</v>
      </c>
      <c r="O151" s="23">
        <v>0</v>
      </c>
      <c r="P151" s="23"/>
      <c r="Q151" s="23">
        <v>17.300000000000004</v>
      </c>
      <c r="R151" s="23">
        <v>86.966666666666654</v>
      </c>
      <c r="S151" s="23">
        <f t="shared" si="4"/>
        <v>86.966666666666683</v>
      </c>
      <c r="T151" s="23">
        <v>21</v>
      </c>
      <c r="U151" s="23">
        <v>0.6333333333333333</v>
      </c>
      <c r="V151" s="23">
        <v>0</v>
      </c>
      <c r="W151" s="23">
        <v>0.6333333333333333</v>
      </c>
      <c r="X151" s="23"/>
      <c r="Y151" s="23"/>
      <c r="Z151" s="23">
        <v>0.3066666666666667</v>
      </c>
      <c r="AA151" s="23">
        <v>13.666666666666666</v>
      </c>
      <c r="AB151" s="23">
        <v>23.666666666666668</v>
      </c>
      <c r="AC151" s="23">
        <v>5.6666666666666671E-2</v>
      </c>
      <c r="AD151" s="23">
        <v>3.6666666666666667E-2</v>
      </c>
      <c r="AE151" s="23">
        <v>0</v>
      </c>
      <c r="AF151" s="23">
        <v>2103.6666666666665</v>
      </c>
      <c r="AG151" s="23">
        <v>175.30555555555554</v>
      </c>
      <c r="AH151" s="23">
        <v>350.61111111111109</v>
      </c>
      <c r="AI151" s="23"/>
      <c r="AJ151" s="23">
        <v>0</v>
      </c>
      <c r="AK151" s="65">
        <v>201</v>
      </c>
      <c r="AL151" s="65">
        <v>2</v>
      </c>
    </row>
    <row r="152" spans="1:38">
      <c r="A152" s="38">
        <v>803</v>
      </c>
      <c r="B152" s="16" t="s">
        <v>332</v>
      </c>
      <c r="C152" s="16" t="s">
        <v>566</v>
      </c>
      <c r="D152" s="38">
        <v>2002</v>
      </c>
      <c r="E152" s="16" t="s">
        <v>544</v>
      </c>
      <c r="F152" s="16"/>
      <c r="G152" s="23">
        <v>24</v>
      </c>
      <c r="H152" s="23">
        <v>2</v>
      </c>
      <c r="I152" s="23">
        <v>2</v>
      </c>
      <c r="J152" s="23">
        <v>70.900000000000006</v>
      </c>
      <c r="K152" s="23">
        <v>1.3</v>
      </c>
      <c r="L152" s="23">
        <v>3.2</v>
      </c>
      <c r="M152" s="23">
        <v>0.3</v>
      </c>
      <c r="N152" s="23">
        <v>1.3</v>
      </c>
      <c r="O152" s="23">
        <v>0</v>
      </c>
      <c r="P152" s="23"/>
      <c r="Q152" s="23">
        <v>22.3</v>
      </c>
      <c r="R152" s="23">
        <v>109</v>
      </c>
      <c r="S152" s="23">
        <f t="shared" si="4"/>
        <v>107.30000000000001</v>
      </c>
      <c r="T152" s="23">
        <v>6</v>
      </c>
      <c r="U152" s="23">
        <v>1.1000000000000001</v>
      </c>
      <c r="V152" s="23">
        <v>0</v>
      </c>
      <c r="W152" s="23">
        <v>1.1000000000000001</v>
      </c>
      <c r="X152" s="23"/>
      <c r="Y152" s="23"/>
      <c r="Z152" s="23">
        <v>1</v>
      </c>
      <c r="AA152" s="23">
        <v>0</v>
      </c>
      <c r="AB152" s="23">
        <v>2</v>
      </c>
      <c r="AC152" s="23">
        <v>0.22</v>
      </c>
      <c r="AD152" s="23">
        <v>0.09</v>
      </c>
      <c r="AE152" s="23">
        <v>0</v>
      </c>
      <c r="AF152" s="23">
        <v>17</v>
      </c>
      <c r="AG152" s="23">
        <v>1</v>
      </c>
      <c r="AH152" s="23">
        <v>3</v>
      </c>
      <c r="AI152" s="23"/>
      <c r="AJ152" s="23">
        <v>0</v>
      </c>
      <c r="AK152" s="65">
        <v>205</v>
      </c>
      <c r="AL152" s="65">
        <v>2</v>
      </c>
    </row>
    <row r="153" spans="1:38">
      <c r="A153" s="38">
        <v>804</v>
      </c>
      <c r="B153" s="16" t="s">
        <v>333</v>
      </c>
      <c r="C153" s="16" t="s">
        <v>553</v>
      </c>
      <c r="D153" s="38"/>
      <c r="E153" s="16"/>
      <c r="F153" s="16"/>
      <c r="G153" s="23">
        <v>6</v>
      </c>
      <c r="H153" s="23">
        <v>2</v>
      </c>
      <c r="I153" s="23">
        <v>2</v>
      </c>
      <c r="J153" s="23">
        <v>59.75</v>
      </c>
      <c r="K153" s="23">
        <v>0.9</v>
      </c>
      <c r="L153" s="23">
        <v>1.4500000000000002</v>
      </c>
      <c r="M153" s="23">
        <v>0.25</v>
      </c>
      <c r="N153" s="23">
        <v>4.6500000000000004</v>
      </c>
      <c r="O153" s="23">
        <v>0</v>
      </c>
      <c r="P153" s="23"/>
      <c r="Q153" s="23">
        <v>33</v>
      </c>
      <c r="R153" s="23">
        <v>149.5</v>
      </c>
      <c r="S153" s="23">
        <f t="shared" si="4"/>
        <v>149.35</v>
      </c>
      <c r="T153" s="23">
        <v>25.5</v>
      </c>
      <c r="U153" s="23">
        <v>0.75</v>
      </c>
      <c r="V153" s="23">
        <v>0</v>
      </c>
      <c r="W153" s="23">
        <v>0.75</v>
      </c>
      <c r="X153" s="23"/>
      <c r="Y153" s="23"/>
      <c r="Z153" s="23">
        <v>0.34</v>
      </c>
      <c r="AA153" s="23">
        <v>27</v>
      </c>
      <c r="AB153" s="23">
        <v>39.5</v>
      </c>
      <c r="AC153" s="23">
        <v>0.16</v>
      </c>
      <c r="AD153" s="23">
        <v>0.02</v>
      </c>
      <c r="AE153" s="23">
        <v>0</v>
      </c>
      <c r="AF153" s="23">
        <v>369</v>
      </c>
      <c r="AG153" s="23">
        <v>30.75</v>
      </c>
      <c r="AH153" s="23">
        <v>61.5</v>
      </c>
      <c r="AI153" s="23"/>
      <c r="AJ153" s="23">
        <v>0</v>
      </c>
      <c r="AK153" s="65">
        <v>202</v>
      </c>
      <c r="AL153" s="65">
        <v>2</v>
      </c>
    </row>
    <row r="154" spans="1:38">
      <c r="A154" s="38">
        <v>805</v>
      </c>
      <c r="B154" s="16" t="s">
        <v>334</v>
      </c>
      <c r="C154" s="16" t="s">
        <v>561</v>
      </c>
      <c r="D154" s="38">
        <v>362</v>
      </c>
      <c r="E154" s="16" t="s">
        <v>621</v>
      </c>
      <c r="F154" s="16"/>
      <c r="G154" s="23">
        <v>0</v>
      </c>
      <c r="H154" s="23">
        <v>2</v>
      </c>
      <c r="I154" s="23">
        <v>2</v>
      </c>
      <c r="J154" s="23"/>
      <c r="K154" s="23"/>
      <c r="L154" s="23">
        <v>2.6</v>
      </c>
      <c r="M154" s="23">
        <v>0.7</v>
      </c>
      <c r="N154" s="23">
        <v>3.6</v>
      </c>
      <c r="O154" s="23">
        <v>0</v>
      </c>
      <c r="P154" s="23">
        <v>76.599999999999994</v>
      </c>
      <c r="Q154" s="23">
        <f>+P154-N154</f>
        <v>73</v>
      </c>
      <c r="R154" s="23">
        <v>314</v>
      </c>
      <c r="S154" s="23">
        <f t="shared" si="4"/>
        <v>315.89999999999998</v>
      </c>
      <c r="T154" s="23">
        <v>46</v>
      </c>
      <c r="U154" s="23">
        <v>1.9</v>
      </c>
      <c r="V154" s="23">
        <v>0</v>
      </c>
      <c r="W154" s="23">
        <v>1.9</v>
      </c>
      <c r="X154" s="23"/>
      <c r="Y154" s="23"/>
      <c r="Z154" s="23">
        <v>0.7</v>
      </c>
      <c r="AA154" s="23">
        <v>36</v>
      </c>
      <c r="AB154" s="23">
        <v>72</v>
      </c>
      <c r="AC154" s="23">
        <v>0.3</v>
      </c>
      <c r="AD154" s="23">
        <v>0.1</v>
      </c>
      <c r="AE154" s="23">
        <v>0</v>
      </c>
      <c r="AF154" s="23">
        <v>168</v>
      </c>
      <c r="AG154" s="23">
        <v>14</v>
      </c>
      <c r="AH154" s="23">
        <v>28</v>
      </c>
      <c r="AI154" s="23"/>
      <c r="AJ154" s="23">
        <v>0</v>
      </c>
      <c r="AK154" s="65">
        <v>202</v>
      </c>
      <c r="AL154" s="65">
        <v>2</v>
      </c>
    </row>
    <row r="155" spans="1:38">
      <c r="A155" s="38">
        <v>806</v>
      </c>
      <c r="B155" s="16" t="s">
        <v>335</v>
      </c>
      <c r="C155" s="16" t="s">
        <v>566</v>
      </c>
      <c r="D155" s="38">
        <v>2019</v>
      </c>
      <c r="E155" s="16" t="s">
        <v>545</v>
      </c>
      <c r="F155" s="16"/>
      <c r="G155" s="23">
        <v>18.999999999999993</v>
      </c>
      <c r="H155" s="23">
        <v>2</v>
      </c>
      <c r="I155" s="23">
        <v>2</v>
      </c>
      <c r="J155" s="23">
        <v>69</v>
      </c>
      <c r="K155" s="23">
        <v>1.1000000000000001</v>
      </c>
      <c r="L155" s="23">
        <v>1.9</v>
      </c>
      <c r="M155" s="23">
        <v>0.2</v>
      </c>
      <c r="N155" s="23">
        <v>4.0999999999999996</v>
      </c>
      <c r="O155" s="23">
        <v>0</v>
      </c>
      <c r="P155" s="23"/>
      <c r="Q155" s="23">
        <v>23.7</v>
      </c>
      <c r="R155" s="23">
        <v>112</v>
      </c>
      <c r="S155" s="23">
        <f t="shared" si="4"/>
        <v>112.4</v>
      </c>
      <c r="T155" s="23">
        <v>16</v>
      </c>
      <c r="U155" s="23">
        <v>0.8</v>
      </c>
      <c r="V155" s="23">
        <v>0</v>
      </c>
      <c r="W155" s="23">
        <v>0.8</v>
      </c>
      <c r="X155" s="23"/>
      <c r="Y155" s="23"/>
      <c r="Z155" s="23">
        <v>0.27</v>
      </c>
      <c r="AA155" s="23">
        <v>16</v>
      </c>
      <c r="AB155" s="23">
        <v>6</v>
      </c>
      <c r="AC155" s="23">
        <v>0.11</v>
      </c>
      <c r="AD155" s="23">
        <v>0.02</v>
      </c>
      <c r="AE155" s="23">
        <v>0</v>
      </c>
      <c r="AF155" s="23">
        <v>0</v>
      </c>
      <c r="AG155" s="23">
        <v>0</v>
      </c>
      <c r="AH155" s="23">
        <v>0</v>
      </c>
      <c r="AI155" s="23"/>
      <c r="AJ155" s="23">
        <v>0</v>
      </c>
      <c r="AK155" s="65">
        <v>204</v>
      </c>
      <c r="AL155" s="65">
        <v>2</v>
      </c>
    </row>
    <row r="156" spans="1:38">
      <c r="A156" s="38">
        <v>807</v>
      </c>
      <c r="B156" s="16" t="s">
        <v>336</v>
      </c>
      <c r="C156" s="16" t="s">
        <v>566</v>
      </c>
      <c r="D156" s="38">
        <v>2005</v>
      </c>
      <c r="E156" s="16" t="s">
        <v>546</v>
      </c>
      <c r="F156" s="16"/>
      <c r="G156" s="23">
        <v>15.000000000000002</v>
      </c>
      <c r="H156" s="23">
        <v>2</v>
      </c>
      <c r="I156" s="23">
        <v>2</v>
      </c>
      <c r="J156" s="23">
        <v>86.1</v>
      </c>
      <c r="K156" s="23">
        <v>1.4</v>
      </c>
      <c r="L156" s="23">
        <v>2.17</v>
      </c>
      <c r="M156" s="23">
        <v>0.1</v>
      </c>
      <c r="N156" s="23">
        <v>3.31</v>
      </c>
      <c r="O156" s="23">
        <v>0</v>
      </c>
      <c r="P156" s="23"/>
      <c r="Q156" s="23">
        <v>6.9</v>
      </c>
      <c r="R156" s="23">
        <v>44</v>
      </c>
      <c r="S156" s="23">
        <f t="shared" si="4"/>
        <v>43.8</v>
      </c>
      <c r="T156" s="23">
        <v>13</v>
      </c>
      <c r="U156" s="23">
        <v>0.8</v>
      </c>
      <c r="V156" s="23">
        <v>0</v>
      </c>
      <c r="W156" s="23">
        <v>0.8</v>
      </c>
      <c r="X156" s="23"/>
      <c r="Y156" s="23"/>
      <c r="Z156" s="23">
        <v>0.55000000000000004</v>
      </c>
      <c r="AA156" s="23">
        <v>110</v>
      </c>
      <c r="AB156" s="23">
        <v>5.3</v>
      </c>
      <c r="AC156" s="23">
        <v>0.01</v>
      </c>
      <c r="AD156" s="23">
        <v>0.02</v>
      </c>
      <c r="AE156" s="23">
        <v>0</v>
      </c>
      <c r="AF156" s="23">
        <v>10</v>
      </c>
      <c r="AG156" s="23">
        <v>1</v>
      </c>
      <c r="AH156" s="23">
        <v>2</v>
      </c>
      <c r="AI156" s="23"/>
      <c r="AJ156" s="23">
        <v>0</v>
      </c>
      <c r="AK156" s="65">
        <v>205</v>
      </c>
      <c r="AL156" s="65">
        <v>2</v>
      </c>
    </row>
    <row r="157" spans="1:38">
      <c r="A157" s="38">
        <v>901</v>
      </c>
      <c r="B157" s="16" t="s">
        <v>337</v>
      </c>
      <c r="C157" s="16" t="s">
        <v>561</v>
      </c>
      <c r="D157" s="38">
        <v>466</v>
      </c>
      <c r="E157" s="16" t="s">
        <v>622</v>
      </c>
      <c r="F157" s="16"/>
      <c r="G157" s="23">
        <v>95</v>
      </c>
      <c r="H157" s="23">
        <v>3</v>
      </c>
      <c r="I157" s="23">
        <v>15</v>
      </c>
      <c r="J157" s="23"/>
      <c r="K157" s="23"/>
      <c r="L157" s="23">
        <v>0</v>
      </c>
      <c r="M157" s="23">
        <v>0</v>
      </c>
      <c r="N157" s="23">
        <v>0</v>
      </c>
      <c r="O157" s="23">
        <v>0</v>
      </c>
      <c r="P157" s="23">
        <v>6.8</v>
      </c>
      <c r="Q157" s="23">
        <f>+P157-N157</f>
        <v>6.8</v>
      </c>
      <c r="R157" s="23">
        <v>26</v>
      </c>
      <c r="S157" s="23">
        <f t="shared" si="4"/>
        <v>27.2</v>
      </c>
      <c r="T157" s="23">
        <v>6</v>
      </c>
      <c r="U157" s="23">
        <v>0.1</v>
      </c>
      <c r="V157" s="23">
        <v>0</v>
      </c>
      <c r="W157" s="23">
        <v>0.1</v>
      </c>
      <c r="X157" s="23"/>
      <c r="Y157" s="23"/>
      <c r="Z157" s="23">
        <v>0</v>
      </c>
      <c r="AA157" s="23">
        <v>0</v>
      </c>
      <c r="AB157" s="23">
        <v>0</v>
      </c>
      <c r="AC157" s="23">
        <v>0</v>
      </c>
      <c r="AD157" s="23">
        <v>0</v>
      </c>
      <c r="AE157" s="23">
        <v>0</v>
      </c>
      <c r="AF157" s="23">
        <v>0</v>
      </c>
      <c r="AG157" s="23">
        <v>0</v>
      </c>
      <c r="AH157" s="23">
        <v>0</v>
      </c>
      <c r="AI157" s="23"/>
      <c r="AJ157" s="23">
        <v>0</v>
      </c>
      <c r="AK157" s="65">
        <v>1205</v>
      </c>
      <c r="AL157" s="65">
        <v>12</v>
      </c>
    </row>
    <row r="158" spans="1:38">
      <c r="A158" s="38">
        <v>902</v>
      </c>
      <c r="B158" s="16" t="s">
        <v>338</v>
      </c>
      <c r="C158" s="16" t="s">
        <v>566</v>
      </c>
      <c r="D158" s="38">
        <v>11003</v>
      </c>
      <c r="E158" s="16" t="s">
        <v>548</v>
      </c>
      <c r="F158" s="16"/>
      <c r="G158" s="23">
        <v>0</v>
      </c>
      <c r="H158" s="23">
        <v>3</v>
      </c>
      <c r="I158" s="23">
        <v>15</v>
      </c>
      <c r="J158" s="23">
        <v>0</v>
      </c>
      <c r="K158" s="23">
        <v>0</v>
      </c>
      <c r="L158" s="23">
        <v>0</v>
      </c>
      <c r="M158" s="23">
        <v>0</v>
      </c>
      <c r="N158" s="23">
        <v>0</v>
      </c>
      <c r="O158" s="23">
        <v>0</v>
      </c>
      <c r="P158" s="23"/>
      <c r="Q158" s="23">
        <v>100</v>
      </c>
      <c r="R158" s="23">
        <v>400</v>
      </c>
      <c r="S158" s="23">
        <f t="shared" si="4"/>
        <v>400</v>
      </c>
      <c r="T158" s="23">
        <v>0</v>
      </c>
      <c r="U158" s="23">
        <v>0</v>
      </c>
      <c r="V158" s="23">
        <v>0</v>
      </c>
      <c r="W158" s="23">
        <v>0</v>
      </c>
      <c r="X158" s="23"/>
      <c r="Y158" s="23"/>
      <c r="Z158" s="23">
        <v>0</v>
      </c>
      <c r="AA158" s="23">
        <v>0</v>
      </c>
      <c r="AB158" s="23">
        <v>0</v>
      </c>
      <c r="AC158" s="23">
        <v>0</v>
      </c>
      <c r="AD158" s="23">
        <v>0</v>
      </c>
      <c r="AE158" s="23">
        <v>0</v>
      </c>
      <c r="AF158" s="23">
        <v>0</v>
      </c>
      <c r="AG158" s="23">
        <v>0</v>
      </c>
      <c r="AH158" s="23">
        <v>0</v>
      </c>
      <c r="AI158" s="23"/>
      <c r="AJ158" s="23">
        <v>0</v>
      </c>
      <c r="AK158" s="65">
        <v>1205</v>
      </c>
      <c r="AL158" s="65">
        <v>12</v>
      </c>
    </row>
    <row r="159" spans="1:38">
      <c r="A159" s="38">
        <v>903</v>
      </c>
      <c r="B159" s="16" t="s">
        <v>339</v>
      </c>
      <c r="C159" s="16" t="s">
        <v>566</v>
      </c>
      <c r="D159" s="38">
        <v>11003</v>
      </c>
      <c r="E159" s="16" t="s">
        <v>548</v>
      </c>
      <c r="F159" s="16"/>
      <c r="G159" s="23">
        <v>0</v>
      </c>
      <c r="H159" s="23">
        <v>3</v>
      </c>
      <c r="I159" s="23">
        <v>15</v>
      </c>
      <c r="J159" s="23">
        <v>0</v>
      </c>
      <c r="K159" s="23">
        <v>0</v>
      </c>
      <c r="L159" s="23">
        <v>0</v>
      </c>
      <c r="M159" s="23">
        <v>0</v>
      </c>
      <c r="N159" s="23">
        <v>0</v>
      </c>
      <c r="O159" s="23">
        <v>0</v>
      </c>
      <c r="P159" s="23"/>
      <c r="Q159" s="23">
        <v>100</v>
      </c>
      <c r="R159" s="23">
        <v>400</v>
      </c>
      <c r="S159" s="23">
        <f t="shared" si="4"/>
        <v>400</v>
      </c>
      <c r="T159" s="23">
        <v>0</v>
      </c>
      <c r="U159" s="23">
        <v>0</v>
      </c>
      <c r="V159" s="23">
        <v>0</v>
      </c>
      <c r="W159" s="23">
        <v>0</v>
      </c>
      <c r="X159" s="23"/>
      <c r="Y159" s="23"/>
      <c r="Z159" s="23">
        <v>0</v>
      </c>
      <c r="AA159" s="23">
        <v>0</v>
      </c>
      <c r="AB159" s="23">
        <v>0</v>
      </c>
      <c r="AC159" s="23">
        <v>0</v>
      </c>
      <c r="AD159" s="23">
        <v>0</v>
      </c>
      <c r="AE159" s="23">
        <v>0</v>
      </c>
      <c r="AF159" s="23">
        <v>0</v>
      </c>
      <c r="AG159" s="23">
        <v>0</v>
      </c>
      <c r="AH159" s="23">
        <v>0</v>
      </c>
      <c r="AI159" s="23"/>
      <c r="AJ159" s="23">
        <v>0</v>
      </c>
      <c r="AK159" s="65">
        <v>1205</v>
      </c>
      <c r="AL159" s="65">
        <v>12</v>
      </c>
    </row>
    <row r="160" spans="1:38">
      <c r="A160" s="38">
        <v>904</v>
      </c>
      <c r="B160" s="16" t="s">
        <v>340</v>
      </c>
      <c r="C160" s="16" t="s">
        <v>696</v>
      </c>
      <c r="D160" s="38" t="s">
        <v>695</v>
      </c>
      <c r="E160" s="16" t="s">
        <v>694</v>
      </c>
      <c r="F160" s="16"/>
      <c r="G160" s="23">
        <v>0</v>
      </c>
      <c r="H160" s="23">
        <v>3</v>
      </c>
      <c r="I160" s="23">
        <v>15</v>
      </c>
      <c r="J160" s="23">
        <v>11.2</v>
      </c>
      <c r="K160" s="23">
        <v>1.92</v>
      </c>
      <c r="L160" s="23">
        <v>1.85</v>
      </c>
      <c r="M160" s="23">
        <v>0.16</v>
      </c>
      <c r="N160" s="23">
        <v>0</v>
      </c>
      <c r="O160" s="23">
        <v>0</v>
      </c>
      <c r="P160" s="23"/>
      <c r="Q160" s="23">
        <v>84.87</v>
      </c>
      <c r="R160" s="23">
        <v>353.7</v>
      </c>
      <c r="S160" s="23">
        <f t="shared" si="4"/>
        <v>348.32</v>
      </c>
      <c r="T160" s="23">
        <v>107</v>
      </c>
      <c r="U160" s="23">
        <v>4.63</v>
      </c>
      <c r="V160" s="23">
        <v>0</v>
      </c>
      <c r="W160" s="23">
        <v>4.63</v>
      </c>
      <c r="X160" s="23"/>
      <c r="Y160" s="23"/>
      <c r="Z160" s="23">
        <v>0.45</v>
      </c>
      <c r="AA160" s="23">
        <v>0</v>
      </c>
      <c r="AB160" s="23">
        <v>0</v>
      </c>
      <c r="AC160" s="23">
        <v>0.04</v>
      </c>
      <c r="AD160" s="23">
        <v>0.01</v>
      </c>
      <c r="AE160" s="23">
        <v>0</v>
      </c>
      <c r="AF160" s="23">
        <v>0</v>
      </c>
      <c r="AG160" s="23">
        <v>0</v>
      </c>
      <c r="AH160" s="23">
        <v>0</v>
      </c>
      <c r="AI160" s="23"/>
      <c r="AJ160" s="23">
        <v>0</v>
      </c>
      <c r="AK160" s="65">
        <v>1205</v>
      </c>
      <c r="AL160" s="65">
        <v>12</v>
      </c>
    </row>
    <row r="161" spans="1:38">
      <c r="A161" s="38">
        <v>905</v>
      </c>
      <c r="B161" s="16" t="s">
        <v>341</v>
      </c>
      <c r="C161" s="16" t="s">
        <v>561</v>
      </c>
      <c r="D161" s="38">
        <v>610</v>
      </c>
      <c r="E161" s="16" t="s">
        <v>623</v>
      </c>
      <c r="F161" s="16"/>
      <c r="G161" s="23">
        <v>0</v>
      </c>
      <c r="H161" s="23">
        <v>3</v>
      </c>
      <c r="I161" s="23">
        <v>15</v>
      </c>
      <c r="J161" s="23"/>
      <c r="K161" s="23"/>
      <c r="L161" s="23">
        <v>0.4</v>
      </c>
      <c r="M161" s="23">
        <v>0</v>
      </c>
      <c r="N161" s="23">
        <v>0.8</v>
      </c>
      <c r="O161" s="23">
        <v>0</v>
      </c>
      <c r="P161" s="23">
        <v>69.3</v>
      </c>
      <c r="Q161" s="23">
        <f>+P161-N161</f>
        <v>68.5</v>
      </c>
      <c r="R161" s="23">
        <v>261</v>
      </c>
      <c r="S161" s="23">
        <f t="shared" si="4"/>
        <v>277.2</v>
      </c>
      <c r="T161" s="23">
        <v>24</v>
      </c>
      <c r="U161" s="23">
        <v>1</v>
      </c>
      <c r="V161" s="23">
        <v>0</v>
      </c>
      <c r="W161" s="23">
        <v>1</v>
      </c>
      <c r="X161" s="23"/>
      <c r="Y161" s="23"/>
      <c r="Z161" s="23">
        <v>0.2</v>
      </c>
      <c r="AA161" s="23">
        <v>2</v>
      </c>
      <c r="AB161" s="23">
        <v>7</v>
      </c>
      <c r="AC161" s="23">
        <v>0</v>
      </c>
      <c r="AD161" s="24">
        <v>6.4100000000000004E-2</v>
      </c>
      <c r="AE161" s="23">
        <v>0</v>
      </c>
      <c r="AF161" s="23">
        <v>36</v>
      </c>
      <c r="AG161" s="23">
        <v>3</v>
      </c>
      <c r="AH161" s="23">
        <v>6</v>
      </c>
      <c r="AI161" s="23"/>
      <c r="AJ161" s="23">
        <v>0</v>
      </c>
      <c r="AK161" s="65">
        <v>1203</v>
      </c>
      <c r="AL161" s="65">
        <v>12</v>
      </c>
    </row>
    <row r="162" spans="1:38">
      <c r="A162" s="38">
        <v>906</v>
      </c>
      <c r="B162" s="16" t="s">
        <v>342</v>
      </c>
      <c r="C162" s="16" t="s">
        <v>607</v>
      </c>
      <c r="D162" s="38">
        <v>19297</v>
      </c>
      <c r="E162" s="16" t="s">
        <v>646</v>
      </c>
      <c r="F162" s="16"/>
      <c r="G162" s="23">
        <v>0</v>
      </c>
      <c r="H162" s="23">
        <v>3</v>
      </c>
      <c r="I162" s="23">
        <v>15</v>
      </c>
      <c r="J162" s="23">
        <v>30.47</v>
      </c>
      <c r="K162" s="23">
        <v>0.23</v>
      </c>
      <c r="L162" s="23">
        <v>0.37</v>
      </c>
      <c r="M162" s="23">
        <v>7.0000000000000007E-2</v>
      </c>
      <c r="N162" s="23">
        <v>1.1000000000000001</v>
      </c>
      <c r="O162" s="23">
        <v>0</v>
      </c>
      <c r="P162" s="23">
        <v>68.86</v>
      </c>
      <c r="Q162" s="23">
        <f>100-J162-K162-L162-M162-N162-O162</f>
        <v>67.760000000000005</v>
      </c>
      <c r="R162" s="23">
        <v>278</v>
      </c>
      <c r="S162" s="23">
        <f t="shared" si="4"/>
        <v>275.35000000000002</v>
      </c>
      <c r="T162" s="23">
        <v>20</v>
      </c>
      <c r="U162" s="23">
        <v>0.49</v>
      </c>
      <c r="V162" s="23">
        <v>0</v>
      </c>
      <c r="W162" s="23">
        <v>0.49</v>
      </c>
      <c r="X162" s="23"/>
      <c r="Y162" s="23"/>
      <c r="Z162" s="23">
        <v>0.06</v>
      </c>
      <c r="AA162" s="23">
        <v>11</v>
      </c>
      <c r="AB162" s="23">
        <v>8.8000000000000007</v>
      </c>
      <c r="AC162" s="23">
        <v>1.6E-2</v>
      </c>
      <c r="AD162" s="23">
        <v>7.5999999999999998E-2</v>
      </c>
      <c r="AE162" s="23">
        <v>0</v>
      </c>
      <c r="AF162" s="23">
        <v>0</v>
      </c>
      <c r="AG162" s="23">
        <v>0</v>
      </c>
      <c r="AH162" s="23">
        <v>0</v>
      </c>
      <c r="AI162" s="23"/>
      <c r="AJ162" s="23">
        <v>0</v>
      </c>
      <c r="AK162" s="65">
        <v>1203</v>
      </c>
      <c r="AL162" s="65">
        <v>12</v>
      </c>
    </row>
    <row r="163" spans="1:38">
      <c r="A163" s="38">
        <v>907</v>
      </c>
      <c r="B163" s="16" t="s">
        <v>343</v>
      </c>
      <c r="C163" s="16" t="s">
        <v>566</v>
      </c>
      <c r="D163" s="38">
        <v>11001</v>
      </c>
      <c r="E163" s="16" t="s">
        <v>594</v>
      </c>
      <c r="F163" s="16"/>
      <c r="G163" s="23">
        <v>0</v>
      </c>
      <c r="H163" s="23">
        <v>3</v>
      </c>
      <c r="I163" s="23">
        <v>15</v>
      </c>
      <c r="J163" s="23">
        <v>19.2</v>
      </c>
      <c r="K163" s="23">
        <v>0.3</v>
      </c>
      <c r="L163" s="23">
        <v>0.4</v>
      </c>
      <c r="M163" s="23">
        <v>0</v>
      </c>
      <c r="N163" s="23">
        <v>0</v>
      </c>
      <c r="O163" s="23">
        <v>0</v>
      </c>
      <c r="P163" s="23"/>
      <c r="Q163" s="23">
        <v>80.099999999999994</v>
      </c>
      <c r="R163" s="23">
        <v>322</v>
      </c>
      <c r="S163" s="23">
        <f t="shared" si="4"/>
        <v>322</v>
      </c>
      <c r="T163" s="23">
        <v>11</v>
      </c>
      <c r="U163" s="23">
        <v>0.6</v>
      </c>
      <c r="V163" s="23">
        <v>0</v>
      </c>
      <c r="W163" s="23">
        <v>0.6</v>
      </c>
      <c r="X163" s="23"/>
      <c r="Y163" s="23"/>
      <c r="Z163" s="23">
        <v>3</v>
      </c>
      <c r="AA163" s="23">
        <v>0</v>
      </c>
      <c r="AB163" s="23">
        <v>0</v>
      </c>
      <c r="AC163" s="23">
        <v>0</v>
      </c>
      <c r="AD163" s="23">
        <v>0</v>
      </c>
      <c r="AE163" s="23">
        <v>0</v>
      </c>
      <c r="AF163" s="23">
        <v>0</v>
      </c>
      <c r="AG163" s="23">
        <v>0</v>
      </c>
      <c r="AH163" s="23">
        <v>0</v>
      </c>
      <c r="AI163" s="23"/>
      <c r="AJ163" s="23">
        <v>0</v>
      </c>
      <c r="AK163" s="65">
        <v>1205</v>
      </c>
      <c r="AL163" s="65">
        <v>12</v>
      </c>
    </row>
    <row r="164" spans="1:38">
      <c r="A164" s="38">
        <v>908</v>
      </c>
      <c r="B164" s="16" t="s">
        <v>344</v>
      </c>
      <c r="C164" s="16" t="s">
        <v>561</v>
      </c>
      <c r="D164" s="38">
        <v>455</v>
      </c>
      <c r="E164" s="16" t="s">
        <v>625</v>
      </c>
      <c r="F164" s="16"/>
      <c r="G164" s="23">
        <v>0</v>
      </c>
      <c r="H164" s="23">
        <v>3</v>
      </c>
      <c r="I164" s="23">
        <v>15</v>
      </c>
      <c r="J164" s="23"/>
      <c r="K164" s="23"/>
      <c r="L164" s="23">
        <v>4.2</v>
      </c>
      <c r="M164" s="23">
        <v>30</v>
      </c>
      <c r="N164" s="23">
        <v>5.9</v>
      </c>
      <c r="O164" s="23">
        <v>0</v>
      </c>
      <c r="P164" s="23">
        <v>63.1</v>
      </c>
      <c r="Q164" s="23">
        <v>57.2</v>
      </c>
      <c r="R164" s="23">
        <v>479</v>
      </c>
      <c r="S164" s="23">
        <f t="shared" si="4"/>
        <v>527.40000000000009</v>
      </c>
      <c r="T164" s="23">
        <v>32</v>
      </c>
      <c r="U164" s="23">
        <v>3.1</v>
      </c>
      <c r="V164" s="23">
        <v>0</v>
      </c>
      <c r="W164" s="23">
        <v>3.1</v>
      </c>
      <c r="X164" s="23"/>
      <c r="Y164" s="23"/>
      <c r="Z164" s="23">
        <v>1.6</v>
      </c>
      <c r="AA164" s="23">
        <v>13</v>
      </c>
      <c r="AB164" s="23">
        <v>0</v>
      </c>
      <c r="AC164" s="23">
        <v>0.1</v>
      </c>
      <c r="AD164" s="23">
        <v>0.1</v>
      </c>
      <c r="AE164" s="23">
        <v>0</v>
      </c>
      <c r="AF164" s="23">
        <v>0</v>
      </c>
      <c r="AG164" s="23">
        <v>0</v>
      </c>
      <c r="AH164" s="23">
        <v>0</v>
      </c>
      <c r="AI164" s="23"/>
      <c r="AJ164" s="23">
        <v>0</v>
      </c>
      <c r="AK164" s="65">
        <v>1202</v>
      </c>
      <c r="AL164" s="65">
        <v>12</v>
      </c>
    </row>
    <row r="165" spans="1:38">
      <c r="A165" s="38">
        <v>909</v>
      </c>
      <c r="B165" s="16" t="s">
        <v>345</v>
      </c>
      <c r="C165" s="16" t="s">
        <v>607</v>
      </c>
      <c r="D165" s="38">
        <v>19074</v>
      </c>
      <c r="E165" s="16" t="s">
        <v>647</v>
      </c>
      <c r="F165" s="16"/>
      <c r="G165" s="23">
        <v>0</v>
      </c>
      <c r="H165" s="23">
        <v>3</v>
      </c>
      <c r="I165" s="23">
        <v>15</v>
      </c>
      <c r="J165" s="23">
        <v>8.5</v>
      </c>
      <c r="K165" s="23">
        <v>1.8</v>
      </c>
      <c r="L165" s="23">
        <v>4.5999999999999996</v>
      </c>
      <c r="M165" s="23">
        <v>8.1</v>
      </c>
      <c r="N165" s="23">
        <v>0</v>
      </c>
      <c r="O165" s="23">
        <v>0</v>
      </c>
      <c r="P165" s="23">
        <v>0</v>
      </c>
      <c r="Q165" s="23">
        <f t="shared" ref="Q165:Q166" si="5">100-J165-K165-L165-M165-N165-O165</f>
        <v>77.000000000000014</v>
      </c>
      <c r="R165" s="23">
        <v>382</v>
      </c>
      <c r="S165" s="23">
        <f t="shared" si="4"/>
        <v>399.30000000000007</v>
      </c>
      <c r="T165" s="23">
        <v>138</v>
      </c>
      <c r="U165" s="23">
        <v>0.14000000000000001</v>
      </c>
      <c r="V165" s="23">
        <v>0</v>
      </c>
      <c r="W165" s="23">
        <v>0.14000000000000001</v>
      </c>
      <c r="X165" s="23"/>
      <c r="Y165" s="23"/>
      <c r="Z165" s="23">
        <v>0.44</v>
      </c>
      <c r="AA165" s="23">
        <v>4</v>
      </c>
      <c r="AB165" s="23">
        <v>0.4</v>
      </c>
      <c r="AC165" s="23">
        <v>0.10299999999999999</v>
      </c>
      <c r="AD165" s="23">
        <v>0.25600000000000001</v>
      </c>
      <c r="AE165" s="23">
        <v>11</v>
      </c>
      <c r="AF165" s="23">
        <v>2</v>
      </c>
      <c r="AG165" s="23">
        <v>11.166666666666666</v>
      </c>
      <c r="AH165" s="23">
        <v>11.333333333333334</v>
      </c>
      <c r="AI165" s="23"/>
      <c r="AJ165" s="23">
        <v>0.3</v>
      </c>
      <c r="AK165" s="65">
        <v>1204</v>
      </c>
      <c r="AL165" s="65">
        <v>12</v>
      </c>
    </row>
    <row r="166" spans="1:38">
      <c r="A166" s="38">
        <v>910</v>
      </c>
      <c r="B166" s="16" t="s">
        <v>346</v>
      </c>
      <c r="C166" s="16" t="s">
        <v>607</v>
      </c>
      <c r="D166" s="38">
        <v>19163</v>
      </c>
      <c r="E166" s="16" t="s">
        <v>648</v>
      </c>
      <c r="F166" s="16"/>
      <c r="G166" s="23">
        <v>0</v>
      </c>
      <c r="H166" s="23">
        <v>3</v>
      </c>
      <c r="I166" s="23">
        <v>15</v>
      </c>
      <c r="J166" s="23">
        <v>2.6</v>
      </c>
      <c r="K166" s="23">
        <v>0.4</v>
      </c>
      <c r="L166" s="23">
        <v>0</v>
      </c>
      <c r="M166" s="23">
        <v>0.3</v>
      </c>
      <c r="N166" s="23">
        <v>2.4</v>
      </c>
      <c r="O166" s="23">
        <v>0</v>
      </c>
      <c r="P166" s="23">
        <v>96.7</v>
      </c>
      <c r="Q166" s="23">
        <f t="shared" si="5"/>
        <v>94.3</v>
      </c>
      <c r="R166" s="23">
        <v>360</v>
      </c>
      <c r="S166" s="23">
        <f t="shared" si="4"/>
        <v>384.7</v>
      </c>
      <c r="T166" s="23">
        <v>0</v>
      </c>
      <c r="U166" s="23">
        <v>0</v>
      </c>
      <c r="V166" s="23">
        <v>0</v>
      </c>
      <c r="W166" s="23">
        <v>0</v>
      </c>
      <c r="X166" s="23"/>
      <c r="Y166" s="23"/>
      <c r="Z166" s="23">
        <v>0</v>
      </c>
      <c r="AA166" s="23">
        <v>0</v>
      </c>
      <c r="AB166" s="23">
        <v>0</v>
      </c>
      <c r="AC166" s="23">
        <v>0</v>
      </c>
      <c r="AD166" s="23">
        <v>0</v>
      </c>
      <c r="AE166" s="23">
        <v>0</v>
      </c>
      <c r="AF166" s="23">
        <v>0</v>
      </c>
      <c r="AG166" s="23">
        <v>0</v>
      </c>
      <c r="AH166" s="23">
        <v>0</v>
      </c>
      <c r="AI166" s="23"/>
      <c r="AJ166" s="23">
        <v>0</v>
      </c>
      <c r="AK166" s="65">
        <v>1204</v>
      </c>
      <c r="AL166" s="65">
        <v>12</v>
      </c>
    </row>
    <row r="167" spans="1:38">
      <c r="A167" s="38">
        <v>911</v>
      </c>
      <c r="B167" s="16" t="s">
        <v>347</v>
      </c>
      <c r="C167" s="16" t="s">
        <v>680</v>
      </c>
      <c r="D167" s="38"/>
      <c r="E167" s="16"/>
      <c r="F167" s="16"/>
      <c r="G167" s="23">
        <v>0</v>
      </c>
      <c r="H167" s="23">
        <v>3</v>
      </c>
      <c r="I167" s="23">
        <v>15</v>
      </c>
      <c r="J167" s="23"/>
      <c r="K167" s="23"/>
      <c r="L167" s="23">
        <v>4.2</v>
      </c>
      <c r="M167" s="23">
        <v>30</v>
      </c>
      <c r="N167" s="23">
        <v>5.9</v>
      </c>
      <c r="O167" s="23">
        <v>0</v>
      </c>
      <c r="P167" s="23">
        <v>63.1</v>
      </c>
      <c r="Q167" s="23">
        <v>57.2</v>
      </c>
      <c r="R167" s="23">
        <v>479</v>
      </c>
      <c r="S167" s="23">
        <f t="shared" si="4"/>
        <v>527.40000000000009</v>
      </c>
      <c r="T167" s="23">
        <v>32</v>
      </c>
      <c r="U167" s="23">
        <v>3.1</v>
      </c>
      <c r="V167" s="23">
        <v>0</v>
      </c>
      <c r="W167" s="23">
        <v>3.1</v>
      </c>
      <c r="X167" s="23"/>
      <c r="Y167" s="23"/>
      <c r="Z167" s="23">
        <v>1.6</v>
      </c>
      <c r="AA167" s="23">
        <v>13</v>
      </c>
      <c r="AB167" s="23">
        <v>0</v>
      </c>
      <c r="AC167" s="23">
        <v>0.1</v>
      </c>
      <c r="AD167" s="23">
        <v>0.1</v>
      </c>
      <c r="AE167" s="23">
        <v>0</v>
      </c>
      <c r="AF167" s="23">
        <v>0</v>
      </c>
      <c r="AG167" s="23">
        <v>0</v>
      </c>
      <c r="AH167" s="23">
        <v>0</v>
      </c>
      <c r="AI167" s="23"/>
      <c r="AJ167" s="23">
        <v>0</v>
      </c>
      <c r="AK167" s="65">
        <v>1204</v>
      </c>
      <c r="AL167" s="65">
        <v>12</v>
      </c>
    </row>
    <row r="168" spans="1:38">
      <c r="A168" s="38">
        <v>1001</v>
      </c>
      <c r="B168" s="16" t="s">
        <v>348</v>
      </c>
      <c r="C168" s="16" t="s">
        <v>566</v>
      </c>
      <c r="D168" s="38">
        <v>13027</v>
      </c>
      <c r="E168" s="16" t="s">
        <v>595</v>
      </c>
      <c r="F168" s="16"/>
      <c r="G168" s="23">
        <v>0</v>
      </c>
      <c r="H168" s="23">
        <v>10</v>
      </c>
      <c r="I168" s="23">
        <v>16</v>
      </c>
      <c r="J168" s="23">
        <v>0.2</v>
      </c>
      <c r="K168" s="23">
        <v>99.8</v>
      </c>
      <c r="L168" s="23">
        <v>0</v>
      </c>
      <c r="M168" s="23">
        <v>0</v>
      </c>
      <c r="N168" s="23">
        <v>0</v>
      </c>
      <c r="O168" s="23">
        <v>0</v>
      </c>
      <c r="P168" s="23"/>
      <c r="Q168" s="23">
        <v>0</v>
      </c>
      <c r="R168" s="23">
        <v>0</v>
      </c>
      <c r="S168" s="23">
        <f t="shared" si="4"/>
        <v>0</v>
      </c>
      <c r="T168" s="23">
        <v>32</v>
      </c>
      <c r="U168" s="23">
        <v>0.1</v>
      </c>
      <c r="V168" s="23">
        <v>0</v>
      </c>
      <c r="W168" s="23">
        <v>0.1</v>
      </c>
      <c r="X168" s="23"/>
      <c r="Y168" s="23"/>
      <c r="Z168" s="23">
        <v>0.1</v>
      </c>
      <c r="AA168" s="23">
        <v>0</v>
      </c>
      <c r="AB168" s="23">
        <v>0</v>
      </c>
      <c r="AC168" s="23">
        <v>0</v>
      </c>
      <c r="AD168" s="23">
        <v>0</v>
      </c>
      <c r="AE168" s="23">
        <v>0</v>
      </c>
      <c r="AF168" s="23">
        <v>0</v>
      </c>
      <c r="AG168" s="23">
        <v>0</v>
      </c>
      <c r="AH168" s="23">
        <v>0</v>
      </c>
      <c r="AI168" s="23"/>
      <c r="AJ168" s="23">
        <v>0</v>
      </c>
      <c r="AK168" s="65">
        <v>1302</v>
      </c>
      <c r="AL168" s="65">
        <v>13</v>
      </c>
    </row>
    <row r="169" spans="1:38">
      <c r="A169" s="38">
        <v>1002</v>
      </c>
      <c r="B169" s="16" t="s">
        <v>349</v>
      </c>
      <c r="C169" s="16" t="s">
        <v>566</v>
      </c>
      <c r="D169" s="38">
        <v>13003</v>
      </c>
      <c r="E169" s="16" t="s">
        <v>596</v>
      </c>
      <c r="F169" s="16"/>
      <c r="G169" s="23">
        <v>0</v>
      </c>
      <c r="H169" s="23">
        <v>10</v>
      </c>
      <c r="I169" s="23">
        <v>16</v>
      </c>
      <c r="J169" s="23">
        <v>0.3</v>
      </c>
      <c r="K169" s="23">
        <v>36.9</v>
      </c>
      <c r="L169" s="23">
        <v>0</v>
      </c>
      <c r="M169" s="23">
        <v>0</v>
      </c>
      <c r="N169" s="23">
        <v>0</v>
      </c>
      <c r="O169" s="23">
        <v>0</v>
      </c>
      <c r="P169" s="23"/>
      <c r="Q169" s="23">
        <v>0</v>
      </c>
      <c r="R169" s="23">
        <v>0</v>
      </c>
      <c r="S169" s="23">
        <f t="shared" si="4"/>
        <v>0</v>
      </c>
      <c r="T169" s="23">
        <v>0</v>
      </c>
      <c r="U169" s="23">
        <v>0</v>
      </c>
      <c r="V169" s="23">
        <v>0</v>
      </c>
      <c r="W169" s="23">
        <v>0</v>
      </c>
      <c r="X169" s="23"/>
      <c r="Y169" s="23"/>
      <c r="Z169" s="23">
        <v>0</v>
      </c>
      <c r="AA169" s="23">
        <v>0</v>
      </c>
      <c r="AB169" s="23">
        <v>0</v>
      </c>
      <c r="AC169" s="23">
        <v>0</v>
      </c>
      <c r="AD169" s="23">
        <v>0</v>
      </c>
      <c r="AE169" s="23">
        <v>0</v>
      </c>
      <c r="AF169" s="23">
        <v>0</v>
      </c>
      <c r="AG169" s="23">
        <v>0</v>
      </c>
      <c r="AH169" s="23">
        <v>0</v>
      </c>
      <c r="AI169" s="23"/>
      <c r="AJ169" s="23">
        <v>0</v>
      </c>
      <c r="AK169" s="65">
        <v>1704</v>
      </c>
      <c r="AL169" s="65">
        <v>17</v>
      </c>
    </row>
    <row r="170" spans="1:38">
      <c r="A170" s="38">
        <v>1003</v>
      </c>
      <c r="B170" s="16" t="s">
        <v>350</v>
      </c>
      <c r="C170" s="16" t="s">
        <v>566</v>
      </c>
      <c r="D170" s="38">
        <v>13031</v>
      </c>
      <c r="E170" s="16" t="s">
        <v>549</v>
      </c>
      <c r="F170" s="16"/>
      <c r="G170" s="23">
        <v>0</v>
      </c>
      <c r="H170" s="23">
        <v>7</v>
      </c>
      <c r="I170" s="23">
        <v>5</v>
      </c>
      <c r="J170" s="23">
        <v>67.5</v>
      </c>
      <c r="K170" s="23">
        <v>3.4</v>
      </c>
      <c r="L170" s="23">
        <v>1.6</v>
      </c>
      <c r="M170" s="23">
        <v>0.2</v>
      </c>
      <c r="N170" s="23">
        <v>1.5</v>
      </c>
      <c r="O170" s="23">
        <v>0</v>
      </c>
      <c r="P170" s="23"/>
      <c r="Q170" s="23">
        <v>26.1</v>
      </c>
      <c r="R170" s="23">
        <v>115</v>
      </c>
      <c r="S170" s="23">
        <f t="shared" si="4"/>
        <v>115.60000000000001</v>
      </c>
      <c r="T170" s="23">
        <v>13</v>
      </c>
      <c r="U170" s="23">
        <v>0.7</v>
      </c>
      <c r="V170" s="23">
        <v>0</v>
      </c>
      <c r="W170" s="23">
        <v>0.7</v>
      </c>
      <c r="X170" s="23"/>
      <c r="Y170" s="23"/>
      <c r="Z170" s="23">
        <v>0.18</v>
      </c>
      <c r="AA170" s="23">
        <v>16</v>
      </c>
      <c r="AB170" s="23">
        <v>0</v>
      </c>
      <c r="AC170" s="23">
        <v>0</v>
      </c>
      <c r="AD170" s="23">
        <v>0.1</v>
      </c>
      <c r="AE170" s="23">
        <v>0</v>
      </c>
      <c r="AF170" s="23">
        <v>260</v>
      </c>
      <c r="AG170" s="23">
        <v>22</v>
      </c>
      <c r="AH170" s="23">
        <v>43</v>
      </c>
      <c r="AI170" s="23"/>
      <c r="AJ170" s="23">
        <v>0</v>
      </c>
      <c r="AK170" s="65">
        <v>1302</v>
      </c>
      <c r="AL170" s="65">
        <v>13</v>
      </c>
    </row>
    <row r="171" spans="1:38">
      <c r="A171" s="38">
        <v>1004</v>
      </c>
      <c r="B171" s="16" t="s">
        <v>351</v>
      </c>
      <c r="C171" s="16" t="s">
        <v>561</v>
      </c>
      <c r="D171" s="38">
        <v>481</v>
      </c>
      <c r="E171" s="16" t="s">
        <v>626</v>
      </c>
      <c r="F171" s="16"/>
      <c r="G171" s="23">
        <v>0</v>
      </c>
      <c r="H171" s="23">
        <v>10</v>
      </c>
      <c r="I171" s="23">
        <v>16</v>
      </c>
      <c r="J171" s="23"/>
      <c r="K171" s="23"/>
      <c r="L171" s="23">
        <v>0.5</v>
      </c>
      <c r="M171" s="23">
        <v>0.1</v>
      </c>
      <c r="N171" s="23">
        <v>0.6</v>
      </c>
      <c r="O171" s="23">
        <v>0</v>
      </c>
      <c r="P171" s="23">
        <v>38.299999999999997</v>
      </c>
      <c r="Q171" s="23">
        <f>+P171-N171</f>
        <v>37.699999999999996</v>
      </c>
      <c r="R171" s="23">
        <v>169.9</v>
      </c>
      <c r="S171" s="23">
        <f t="shared" si="4"/>
        <v>154.89999999999998</v>
      </c>
      <c r="T171" s="23">
        <v>6.9</v>
      </c>
      <c r="U171" s="23">
        <v>0.4</v>
      </c>
      <c r="V171" s="23">
        <v>0</v>
      </c>
      <c r="W171" s="23">
        <v>0.4</v>
      </c>
      <c r="X171" s="23"/>
      <c r="Y171" s="23"/>
      <c r="Z171" s="23">
        <v>0.1</v>
      </c>
      <c r="AA171" s="23">
        <v>18</v>
      </c>
      <c r="AB171" s="23">
        <v>0</v>
      </c>
      <c r="AC171" s="23">
        <v>0.1</v>
      </c>
      <c r="AD171" s="23">
        <v>0.2</v>
      </c>
      <c r="AE171" s="23">
        <v>0</v>
      </c>
      <c r="AF171" s="23">
        <v>0</v>
      </c>
      <c r="AG171" s="23">
        <v>0</v>
      </c>
      <c r="AH171" s="23">
        <v>0</v>
      </c>
      <c r="AI171" s="23"/>
      <c r="AJ171" s="23">
        <v>0</v>
      </c>
      <c r="AK171" s="65">
        <v>1302</v>
      </c>
      <c r="AL171" s="65">
        <v>13</v>
      </c>
    </row>
    <row r="172" spans="1:38">
      <c r="A172" s="38">
        <v>1005</v>
      </c>
      <c r="B172" s="16" t="s">
        <v>352</v>
      </c>
      <c r="C172" s="16" t="s">
        <v>607</v>
      </c>
      <c r="D172" s="38">
        <v>2034</v>
      </c>
      <c r="E172" s="16" t="s">
        <v>649</v>
      </c>
      <c r="F172" s="16"/>
      <c r="G172" s="23">
        <v>0</v>
      </c>
      <c r="H172" s="23">
        <v>10</v>
      </c>
      <c r="I172" s="23">
        <v>16</v>
      </c>
      <c r="J172" s="23">
        <v>9.31</v>
      </c>
      <c r="K172" s="23">
        <v>5.92</v>
      </c>
      <c r="L172" s="23">
        <v>9.59</v>
      </c>
      <c r="M172" s="23">
        <v>7.53</v>
      </c>
      <c r="N172" s="23">
        <v>11.3</v>
      </c>
      <c r="O172" s="23">
        <v>0</v>
      </c>
      <c r="P172" s="23">
        <v>65.59</v>
      </c>
      <c r="Q172" s="23">
        <f>100-J172-K172-L172-M172-N172-O172</f>
        <v>56.349999999999994</v>
      </c>
      <c r="R172" s="23">
        <v>307</v>
      </c>
      <c r="S172" s="23">
        <f t="shared" si="4"/>
        <v>354.13</v>
      </c>
      <c r="T172" s="23">
        <v>996</v>
      </c>
      <c r="U172" s="23">
        <v>35.299999999999997</v>
      </c>
      <c r="V172" s="23">
        <v>0</v>
      </c>
      <c r="W172" s="23">
        <v>35.299999999999997</v>
      </c>
      <c r="X172" s="23"/>
      <c r="Y172" s="23"/>
      <c r="Z172" s="23">
        <v>3.14</v>
      </c>
      <c r="AA172" s="23">
        <v>138</v>
      </c>
      <c r="AB172" s="23">
        <v>12</v>
      </c>
      <c r="AC172" s="23">
        <v>0.26400000000000001</v>
      </c>
      <c r="AD172" s="23">
        <v>0.191</v>
      </c>
      <c r="AE172" s="23">
        <v>0</v>
      </c>
      <c r="AF172" s="23">
        <v>1568</v>
      </c>
      <c r="AG172" s="23">
        <v>130.66666666666666</v>
      </c>
      <c r="AH172" s="23">
        <v>261.33333333333331</v>
      </c>
      <c r="AI172" s="23"/>
      <c r="AJ172" s="23">
        <v>0</v>
      </c>
      <c r="AK172" s="65">
        <v>1302</v>
      </c>
      <c r="AL172" s="65">
        <v>13</v>
      </c>
    </row>
    <row r="173" spans="1:38">
      <c r="A173" s="38">
        <v>1006</v>
      </c>
      <c r="B173" s="16" t="s">
        <v>353</v>
      </c>
      <c r="C173" s="16" t="s">
        <v>566</v>
      </c>
      <c r="D173" s="38">
        <v>13018</v>
      </c>
      <c r="E173" s="16" t="s">
        <v>597</v>
      </c>
      <c r="F173" s="16"/>
      <c r="G173" s="23">
        <v>0</v>
      </c>
      <c r="H173" s="23">
        <v>10</v>
      </c>
      <c r="I173" s="23">
        <v>16</v>
      </c>
      <c r="J173" s="23">
        <v>10.1</v>
      </c>
      <c r="K173" s="23">
        <v>5.6</v>
      </c>
      <c r="L173" s="23">
        <v>15.6</v>
      </c>
      <c r="M173" s="23">
        <v>15.1</v>
      </c>
      <c r="N173" s="23">
        <v>22.6</v>
      </c>
      <c r="O173" s="23">
        <v>0</v>
      </c>
      <c r="P173" s="23"/>
      <c r="Q173" s="23">
        <v>31</v>
      </c>
      <c r="R173" s="23">
        <v>368</v>
      </c>
      <c r="S173" s="23">
        <f t="shared" si="4"/>
        <v>367.5</v>
      </c>
      <c r="T173" s="23">
        <v>760</v>
      </c>
      <c r="U173" s="23">
        <v>32.6</v>
      </c>
      <c r="V173" s="23">
        <v>0</v>
      </c>
      <c r="W173" s="23">
        <v>32.6</v>
      </c>
      <c r="X173" s="23"/>
      <c r="Y173" s="23"/>
      <c r="Z173" s="23">
        <v>3.8</v>
      </c>
      <c r="AA173" s="23">
        <v>0</v>
      </c>
      <c r="AB173" s="23">
        <v>0</v>
      </c>
      <c r="AC173" s="23">
        <v>0.35</v>
      </c>
      <c r="AD173" s="23">
        <v>0.33</v>
      </c>
      <c r="AE173" s="23">
        <v>0</v>
      </c>
      <c r="AF173" s="23">
        <v>340</v>
      </c>
      <c r="AG173" s="23">
        <v>28</v>
      </c>
      <c r="AH173" s="23">
        <v>57</v>
      </c>
      <c r="AI173" s="23"/>
      <c r="AJ173" s="23">
        <v>0</v>
      </c>
      <c r="AK173" s="65">
        <v>1302</v>
      </c>
      <c r="AL173" s="65">
        <v>13</v>
      </c>
    </row>
    <row r="174" spans="1:38">
      <c r="A174" s="38">
        <v>1007</v>
      </c>
      <c r="B174" s="16" t="s">
        <v>354</v>
      </c>
      <c r="C174" s="16" t="s">
        <v>566</v>
      </c>
      <c r="D174" s="38">
        <v>13021</v>
      </c>
      <c r="E174" s="16" t="s">
        <v>550</v>
      </c>
      <c r="F174" s="16"/>
      <c r="G174" s="23">
        <v>6.0000000000000053</v>
      </c>
      <c r="H174" s="23">
        <v>10</v>
      </c>
      <c r="I174" s="23">
        <v>16</v>
      </c>
      <c r="J174" s="23">
        <v>73.599999999999994</v>
      </c>
      <c r="K174" s="23">
        <v>1.7</v>
      </c>
      <c r="L174" s="23">
        <v>2.6</v>
      </c>
      <c r="M174" s="23">
        <v>1.1000000000000001</v>
      </c>
      <c r="N174" s="23">
        <v>7.7</v>
      </c>
      <c r="O174" s="23">
        <v>0</v>
      </c>
      <c r="P174" s="23"/>
      <c r="Q174" s="23">
        <v>13.4</v>
      </c>
      <c r="R174" s="23">
        <v>89</v>
      </c>
      <c r="S174" s="23">
        <f t="shared" si="4"/>
        <v>89.300000000000011</v>
      </c>
      <c r="T174" s="23">
        <v>46.8</v>
      </c>
      <c r="U174" s="23">
        <v>1.9</v>
      </c>
      <c r="V174" s="23">
        <v>0</v>
      </c>
      <c r="W174" s="23">
        <v>1.9</v>
      </c>
      <c r="X174" s="23"/>
      <c r="Y174" s="23"/>
      <c r="Z174" s="23">
        <v>1</v>
      </c>
      <c r="AA174" s="23">
        <v>30</v>
      </c>
      <c r="AB174" s="23">
        <v>8</v>
      </c>
      <c r="AC174" s="23">
        <v>0.03</v>
      </c>
      <c r="AD174" s="23">
        <v>0.06</v>
      </c>
      <c r="AE174" s="23">
        <v>0</v>
      </c>
      <c r="AF174" s="23">
        <v>35</v>
      </c>
      <c r="AG174" s="23">
        <v>3</v>
      </c>
      <c r="AH174" s="23">
        <v>6</v>
      </c>
      <c r="AI174" s="23"/>
      <c r="AJ174" s="23">
        <v>0</v>
      </c>
      <c r="AK174" s="65">
        <v>1301</v>
      </c>
      <c r="AL174" s="65">
        <v>13</v>
      </c>
    </row>
    <row r="175" spans="1:38">
      <c r="A175" s="38">
        <v>1008</v>
      </c>
      <c r="B175" s="16" t="s">
        <v>355</v>
      </c>
      <c r="C175" s="16" t="s">
        <v>611</v>
      </c>
      <c r="D175" s="38" t="s">
        <v>650</v>
      </c>
      <c r="E175" s="16" t="s">
        <v>651</v>
      </c>
      <c r="F175" s="16"/>
      <c r="G175" s="23">
        <v>0</v>
      </c>
      <c r="H175" s="23">
        <v>19</v>
      </c>
      <c r="I175" s="23">
        <v>16</v>
      </c>
      <c r="J175" s="23">
        <v>82.7</v>
      </c>
      <c r="K175" s="23">
        <v>3.6</v>
      </c>
      <c r="L175" s="23">
        <v>4.4000000000000004</v>
      </c>
      <c r="M175" s="23">
        <v>4</v>
      </c>
      <c r="N175" s="23">
        <v>3.3</v>
      </c>
      <c r="O175" s="23">
        <v>0</v>
      </c>
      <c r="P175" s="23"/>
      <c r="Q175" s="23">
        <v>2</v>
      </c>
      <c r="R175" s="23">
        <v>86</v>
      </c>
      <c r="S175" s="23">
        <f t="shared" si="4"/>
        <v>68.2</v>
      </c>
      <c r="T175" s="23">
        <v>58</v>
      </c>
      <c r="U175" s="23">
        <v>1.5</v>
      </c>
      <c r="V175" s="23">
        <v>0</v>
      </c>
      <c r="W175" s="23">
        <v>1.5</v>
      </c>
      <c r="X175" s="23"/>
      <c r="Y175" s="23"/>
      <c r="Z175" s="23">
        <v>0.64</v>
      </c>
      <c r="AA175" s="23">
        <v>7</v>
      </c>
      <c r="AB175" s="23">
        <v>1.5</v>
      </c>
      <c r="AC175" s="23">
        <v>0.34</v>
      </c>
      <c r="AD175" s="23">
        <v>0.03</v>
      </c>
      <c r="AE175" s="23">
        <v>0</v>
      </c>
      <c r="AF175" s="23">
        <v>65</v>
      </c>
      <c r="AG175" s="23">
        <v>5.416666666666667</v>
      </c>
      <c r="AH175" s="23">
        <v>10.833333333333334</v>
      </c>
      <c r="AI175" s="23"/>
      <c r="AJ175" s="23">
        <v>0</v>
      </c>
      <c r="AK175" s="65">
        <v>1302</v>
      </c>
      <c r="AL175" s="65">
        <v>13</v>
      </c>
    </row>
    <row r="176" spans="1:38">
      <c r="A176" s="38">
        <v>1009</v>
      </c>
      <c r="B176" s="16" t="s">
        <v>356</v>
      </c>
      <c r="C176" s="16" t="s">
        <v>553</v>
      </c>
      <c r="D176" s="38"/>
      <c r="E176" s="16"/>
      <c r="F176" s="16"/>
      <c r="G176" s="23">
        <v>0</v>
      </c>
      <c r="H176" s="23">
        <v>19</v>
      </c>
      <c r="I176" s="23">
        <v>16</v>
      </c>
      <c r="J176" s="23">
        <v>90.490000000000009</v>
      </c>
      <c r="K176" s="23">
        <v>2.4299999999999997</v>
      </c>
      <c r="L176" s="23">
        <v>0.61499999999999999</v>
      </c>
      <c r="M176" s="23">
        <v>0.44999999999999996</v>
      </c>
      <c r="N176" s="23">
        <v>1.85</v>
      </c>
      <c r="O176" s="23">
        <v>0</v>
      </c>
      <c r="P176" s="23">
        <v>6.0149999999999997</v>
      </c>
      <c r="Q176" s="23">
        <v>4.1649999999999903</v>
      </c>
      <c r="R176" s="23">
        <v>30</v>
      </c>
      <c r="S176" s="23">
        <f t="shared" si="4"/>
        <v>26.869999999999962</v>
      </c>
      <c r="T176" s="23">
        <v>12.5</v>
      </c>
      <c r="U176" s="23">
        <v>0.58499999999999996</v>
      </c>
      <c r="V176" s="23">
        <v>0</v>
      </c>
      <c r="W176" s="23">
        <v>0.58499999999999996</v>
      </c>
      <c r="X176" s="23"/>
      <c r="Y176" s="23"/>
      <c r="Z176" s="23">
        <v>0.125</v>
      </c>
      <c r="AA176" s="23">
        <v>10.5</v>
      </c>
      <c r="AB176" s="23">
        <v>0.5</v>
      </c>
      <c r="AC176" s="23">
        <v>2.5000000000000001E-2</v>
      </c>
      <c r="AD176" s="23">
        <v>0.04</v>
      </c>
      <c r="AE176" s="23">
        <v>0</v>
      </c>
      <c r="AF176" s="23">
        <v>72.25</v>
      </c>
      <c r="AG176" s="23">
        <v>6.020833333333333</v>
      </c>
      <c r="AH176" s="23">
        <v>12.041666666666666</v>
      </c>
      <c r="AI176" s="23"/>
      <c r="AJ176" s="23">
        <v>0</v>
      </c>
      <c r="AK176" s="65">
        <v>905</v>
      </c>
      <c r="AL176" s="65">
        <v>9</v>
      </c>
    </row>
    <row r="177" spans="1:38">
      <c r="A177" s="38">
        <v>1010</v>
      </c>
      <c r="B177" s="16" t="s">
        <v>357</v>
      </c>
      <c r="C177" s="16" t="s">
        <v>561</v>
      </c>
      <c r="D177" s="38">
        <v>480</v>
      </c>
      <c r="E177" s="16" t="s">
        <v>624</v>
      </c>
      <c r="F177" s="16"/>
      <c r="G177" s="23">
        <v>0</v>
      </c>
      <c r="H177" s="23">
        <v>10</v>
      </c>
      <c r="I177" s="23">
        <v>16</v>
      </c>
      <c r="J177" s="23"/>
      <c r="K177" s="23"/>
      <c r="L177" s="23">
        <v>0</v>
      </c>
      <c r="M177" s="23">
        <v>0</v>
      </c>
      <c r="N177" s="23">
        <v>0</v>
      </c>
      <c r="O177" s="23">
        <v>2.5428571428571431</v>
      </c>
      <c r="P177" s="23">
        <v>0.3</v>
      </c>
      <c r="Q177" s="23">
        <f t="shared" ref="Q177:Q178" si="6">+P177-N177</f>
        <v>0.3</v>
      </c>
      <c r="R177" s="23">
        <v>19</v>
      </c>
      <c r="S177" s="23">
        <f t="shared" si="4"/>
        <v>19</v>
      </c>
      <c r="T177" s="23">
        <v>8</v>
      </c>
      <c r="U177" s="23">
        <v>0.4</v>
      </c>
      <c r="V177" s="23">
        <v>0</v>
      </c>
      <c r="W177" s="23">
        <v>0.4</v>
      </c>
      <c r="X177" s="23"/>
      <c r="Y177" s="23"/>
      <c r="Z177" s="23">
        <v>0.1</v>
      </c>
      <c r="AA177" s="23">
        <v>1</v>
      </c>
      <c r="AB177" s="23">
        <v>0.5</v>
      </c>
      <c r="AC177" s="23">
        <v>0</v>
      </c>
      <c r="AD177" s="23">
        <v>0</v>
      </c>
      <c r="AE177" s="23">
        <v>0</v>
      </c>
      <c r="AF177" s="23">
        <v>0</v>
      </c>
      <c r="AG177" s="23">
        <v>0</v>
      </c>
      <c r="AH177" s="23">
        <v>0</v>
      </c>
      <c r="AI177" s="23"/>
      <c r="AJ177" s="23">
        <v>0</v>
      </c>
      <c r="AK177" s="65">
        <v>1302</v>
      </c>
      <c r="AL177" s="65">
        <v>13</v>
      </c>
    </row>
    <row r="178" spans="1:38">
      <c r="A178" s="38">
        <v>1011</v>
      </c>
      <c r="B178" s="16" t="s">
        <v>358</v>
      </c>
      <c r="C178" s="16" t="s">
        <v>654</v>
      </c>
      <c r="D178" s="38">
        <v>354</v>
      </c>
      <c r="E178" s="16" t="s">
        <v>655</v>
      </c>
      <c r="F178" s="16"/>
      <c r="G178" s="23">
        <v>0</v>
      </c>
      <c r="H178" s="23">
        <v>19</v>
      </c>
      <c r="I178" s="23">
        <v>14</v>
      </c>
      <c r="J178" s="23"/>
      <c r="K178" s="23"/>
      <c r="L178" s="23">
        <v>6.6</v>
      </c>
      <c r="M178" s="23">
        <v>37.5</v>
      </c>
      <c r="N178" s="23">
        <v>4.4000000000000004</v>
      </c>
      <c r="O178" s="23">
        <v>0</v>
      </c>
      <c r="P178" s="23">
        <v>49.7</v>
      </c>
      <c r="Q178" s="23">
        <f t="shared" si="6"/>
        <v>45.300000000000004</v>
      </c>
      <c r="R178" s="23">
        <v>547</v>
      </c>
      <c r="S178" s="23">
        <f t="shared" si="4"/>
        <v>553.9</v>
      </c>
      <c r="T178" s="23">
        <v>19</v>
      </c>
      <c r="U178" s="23">
        <v>0.8</v>
      </c>
      <c r="V178" s="23">
        <v>0</v>
      </c>
      <c r="W178" s="23">
        <v>0.8</v>
      </c>
      <c r="X178" s="23"/>
      <c r="Y178" s="23"/>
      <c r="Z178" s="23">
        <v>0.4</v>
      </c>
      <c r="AA178" s="23">
        <v>9</v>
      </c>
      <c r="AB178" s="23">
        <v>13</v>
      </c>
      <c r="AC178" s="23">
        <v>0.1</v>
      </c>
      <c r="AD178" s="23">
        <v>0</v>
      </c>
      <c r="AE178" s="23">
        <v>0</v>
      </c>
      <c r="AF178" s="23">
        <v>0</v>
      </c>
      <c r="AG178" s="23">
        <v>0</v>
      </c>
      <c r="AH178" s="23">
        <v>0</v>
      </c>
      <c r="AI178" s="23"/>
      <c r="AJ178" s="23">
        <v>0</v>
      </c>
      <c r="AK178" s="65">
        <v>1901</v>
      </c>
      <c r="AL178" s="65">
        <v>19</v>
      </c>
    </row>
    <row r="179" spans="1:38">
      <c r="A179" s="38">
        <v>1012</v>
      </c>
      <c r="B179" s="16" t="s">
        <v>359</v>
      </c>
      <c r="C179" s="16" t="s">
        <v>607</v>
      </c>
      <c r="D179" s="38">
        <v>18371</v>
      </c>
      <c r="E179" s="16" t="s">
        <v>697</v>
      </c>
      <c r="F179" s="16"/>
      <c r="G179" s="23">
        <v>0</v>
      </c>
      <c r="H179" s="23">
        <v>19</v>
      </c>
      <c r="I179" s="23">
        <v>16</v>
      </c>
      <c r="J179" s="23">
        <v>6.2</v>
      </c>
      <c r="K179" s="23">
        <v>46.4</v>
      </c>
      <c r="L179" s="23">
        <v>0.1</v>
      </c>
      <c r="M179" s="23">
        <v>0.4</v>
      </c>
      <c r="N179" s="23">
        <v>2.2000000000000002</v>
      </c>
      <c r="O179" s="23">
        <v>0</v>
      </c>
      <c r="P179" s="23">
        <v>46.9</v>
      </c>
      <c r="Q179" s="23">
        <f>100-J179-K179-L179-M179-N179-O179</f>
        <v>44.699999999999996</v>
      </c>
      <c r="R179" s="23">
        <v>97</v>
      </c>
      <c r="S179" s="23">
        <f t="shared" si="4"/>
        <v>187.2</v>
      </c>
      <c r="T179" s="23">
        <v>4332</v>
      </c>
      <c r="U179" s="23">
        <v>8.17</v>
      </c>
      <c r="V179" s="23">
        <v>0</v>
      </c>
      <c r="W179" s="23">
        <v>8.17</v>
      </c>
      <c r="X179" s="23"/>
      <c r="Y179" s="23"/>
      <c r="Z179" s="23">
        <v>0.72</v>
      </c>
      <c r="AA179" s="23">
        <v>0</v>
      </c>
      <c r="AB179" s="23">
        <v>0</v>
      </c>
      <c r="AC179" s="23">
        <v>0</v>
      </c>
      <c r="AD179" s="23">
        <v>0</v>
      </c>
      <c r="AE179" s="23">
        <v>0</v>
      </c>
      <c r="AF179" s="23">
        <v>0</v>
      </c>
      <c r="AG179" s="23">
        <v>0</v>
      </c>
      <c r="AH179" s="23">
        <v>0</v>
      </c>
      <c r="AI179" s="23"/>
      <c r="AJ179" s="23">
        <v>0</v>
      </c>
      <c r="AK179" s="65">
        <v>1704</v>
      </c>
      <c r="AL179" s="65">
        <v>17</v>
      </c>
    </row>
    <row r="180" spans="1:38">
      <c r="A180" s="38">
        <v>1013</v>
      </c>
      <c r="B180" s="16" t="s">
        <v>360</v>
      </c>
      <c r="C180" s="16" t="s">
        <v>566</v>
      </c>
      <c r="D180" s="38">
        <v>13035</v>
      </c>
      <c r="E180" s="16" t="s">
        <v>598</v>
      </c>
      <c r="F180" s="16"/>
      <c r="G180" s="23">
        <v>0</v>
      </c>
      <c r="H180" s="23">
        <v>19</v>
      </c>
      <c r="I180" s="23">
        <v>16</v>
      </c>
      <c r="J180" s="23">
        <v>7.9</v>
      </c>
      <c r="K180" s="23">
        <v>6.6</v>
      </c>
      <c r="L180" s="23">
        <v>35.700000000000003</v>
      </c>
      <c r="M180" s="23">
        <v>4.9000000000000004</v>
      </c>
      <c r="N180" s="23">
        <v>19.3</v>
      </c>
      <c r="O180" s="23">
        <v>0</v>
      </c>
      <c r="P180" s="23"/>
      <c r="Q180" s="23">
        <v>30.5</v>
      </c>
      <c r="R180" s="23">
        <v>347</v>
      </c>
      <c r="S180" s="23">
        <f t="shared" si="4"/>
        <v>347.5</v>
      </c>
      <c r="T180" s="23">
        <v>120</v>
      </c>
      <c r="U180" s="23">
        <v>3.4</v>
      </c>
      <c r="V180" s="23">
        <v>0</v>
      </c>
      <c r="W180" s="23">
        <v>3.4</v>
      </c>
      <c r="X180" s="23"/>
      <c r="Y180" s="23"/>
      <c r="Z180" s="23">
        <v>8</v>
      </c>
      <c r="AA180" s="23">
        <v>4000</v>
      </c>
      <c r="AB180" s="23">
        <v>0</v>
      </c>
      <c r="AC180" s="23">
        <v>2.8</v>
      </c>
      <c r="AD180" s="23">
        <v>4</v>
      </c>
      <c r="AE180" s="23">
        <v>0</v>
      </c>
      <c r="AF180" s="23">
        <v>0</v>
      </c>
      <c r="AG180" s="23">
        <v>0</v>
      </c>
      <c r="AH180" s="23">
        <v>0</v>
      </c>
      <c r="AI180" s="23"/>
      <c r="AJ180" s="23">
        <v>0</v>
      </c>
      <c r="AK180" s="65">
        <v>1704</v>
      </c>
      <c r="AL180" s="65">
        <v>17</v>
      </c>
    </row>
    <row r="181" spans="1:38">
      <c r="A181" s="38">
        <v>1014</v>
      </c>
      <c r="B181" s="16" t="s">
        <v>361</v>
      </c>
      <c r="C181" s="16" t="s">
        <v>566</v>
      </c>
      <c r="D181" s="38">
        <v>13028</v>
      </c>
      <c r="E181" s="16" t="s">
        <v>551</v>
      </c>
      <c r="F181" s="16"/>
      <c r="G181" s="23">
        <v>0</v>
      </c>
      <c r="H181" s="23">
        <v>10</v>
      </c>
      <c r="I181" s="23">
        <v>16</v>
      </c>
      <c r="J181" s="23">
        <v>8.5</v>
      </c>
      <c r="K181" s="23">
        <v>3.8</v>
      </c>
      <c r="L181" s="23">
        <v>9.4</v>
      </c>
      <c r="M181" s="23">
        <v>16.3</v>
      </c>
      <c r="N181" s="23">
        <v>35.799999999999997</v>
      </c>
      <c r="O181" s="23">
        <v>0</v>
      </c>
      <c r="P181" s="23"/>
      <c r="Q181" s="23">
        <v>26.3</v>
      </c>
      <c r="R181" s="23">
        <v>360</v>
      </c>
      <c r="S181" s="23">
        <f t="shared" si="4"/>
        <v>361.1</v>
      </c>
      <c r="T181" s="23">
        <v>727</v>
      </c>
      <c r="U181" s="23">
        <v>35.5</v>
      </c>
      <c r="V181" s="23">
        <v>0</v>
      </c>
      <c r="W181" s="23">
        <v>35.5</v>
      </c>
      <c r="X181" s="23"/>
      <c r="Y181" s="23"/>
      <c r="Z181" s="23">
        <v>3.65</v>
      </c>
      <c r="AA181" s="23">
        <v>52</v>
      </c>
      <c r="AB181" s="23">
        <v>30</v>
      </c>
      <c r="AC181" s="23">
        <v>0.25</v>
      </c>
      <c r="AD181" s="23">
        <v>0.45</v>
      </c>
      <c r="AE181" s="23">
        <v>0</v>
      </c>
      <c r="AF181" s="23">
        <v>656</v>
      </c>
      <c r="AG181" s="23">
        <v>55</v>
      </c>
      <c r="AH181" s="23">
        <v>109</v>
      </c>
      <c r="AI181" s="23"/>
      <c r="AJ181" s="23">
        <v>0</v>
      </c>
      <c r="AK181" s="65">
        <v>1302</v>
      </c>
      <c r="AL181" s="65">
        <v>13</v>
      </c>
    </row>
    <row r="182" spans="1:38">
      <c r="A182" s="38">
        <v>1101</v>
      </c>
      <c r="B182" s="16" t="s">
        <v>362</v>
      </c>
      <c r="C182" s="16" t="s">
        <v>611</v>
      </c>
      <c r="D182" s="6" t="s">
        <v>725</v>
      </c>
      <c r="E182" s="16" t="s">
        <v>722</v>
      </c>
      <c r="F182" s="16"/>
      <c r="G182" s="23">
        <v>90</v>
      </c>
      <c r="H182" s="23">
        <v>9</v>
      </c>
      <c r="I182" s="23">
        <v>16</v>
      </c>
      <c r="J182" s="23">
        <v>99.2</v>
      </c>
      <c r="K182" s="23">
        <v>0.2</v>
      </c>
      <c r="L182" s="23">
        <v>0.1</v>
      </c>
      <c r="M182" s="23">
        <v>0</v>
      </c>
      <c r="N182" s="23">
        <v>0</v>
      </c>
      <c r="O182" s="23">
        <v>0</v>
      </c>
      <c r="P182" s="23"/>
      <c r="Q182" s="23">
        <v>0.5</v>
      </c>
      <c r="R182" s="23">
        <v>2</v>
      </c>
      <c r="S182" s="23">
        <f t="shared" si="4"/>
        <v>2.4</v>
      </c>
      <c r="T182" s="23">
        <v>4</v>
      </c>
      <c r="U182" s="23">
        <v>0</v>
      </c>
      <c r="V182" s="23">
        <v>0</v>
      </c>
      <c r="W182" s="23">
        <v>0</v>
      </c>
      <c r="X182" s="23"/>
      <c r="Y182" s="23"/>
      <c r="Z182" s="23">
        <v>0.01</v>
      </c>
      <c r="AA182" s="23">
        <v>0</v>
      </c>
      <c r="AB182" s="23">
        <v>0</v>
      </c>
      <c r="AC182" s="23">
        <v>0</v>
      </c>
      <c r="AD182" s="23">
        <v>0</v>
      </c>
      <c r="AE182" s="23">
        <v>0</v>
      </c>
      <c r="AF182" s="23">
        <v>0</v>
      </c>
      <c r="AG182" s="23">
        <v>0</v>
      </c>
      <c r="AH182" s="23">
        <v>0</v>
      </c>
      <c r="AI182" s="23"/>
      <c r="AJ182" s="23">
        <v>0</v>
      </c>
      <c r="AK182" s="65">
        <v>1403</v>
      </c>
      <c r="AL182" s="65">
        <v>14</v>
      </c>
    </row>
    <row r="183" spans="1:38">
      <c r="A183" s="38">
        <v>1102</v>
      </c>
      <c r="B183" s="16" t="s">
        <v>363</v>
      </c>
      <c r="C183" s="16" t="s">
        <v>611</v>
      </c>
      <c r="D183" s="38" t="s">
        <v>724</v>
      </c>
      <c r="E183" s="16" t="s">
        <v>723</v>
      </c>
      <c r="F183" s="16"/>
      <c r="G183" s="23">
        <v>57</v>
      </c>
      <c r="H183" s="23">
        <v>9</v>
      </c>
      <c r="I183" s="23">
        <v>16</v>
      </c>
      <c r="J183" s="23">
        <v>99.8</v>
      </c>
      <c r="K183" s="23">
        <v>0</v>
      </c>
      <c r="L183" s="23">
        <v>0.1</v>
      </c>
      <c r="M183" s="23">
        <v>0</v>
      </c>
      <c r="N183" s="23">
        <v>0</v>
      </c>
      <c r="O183" s="23">
        <v>0</v>
      </c>
      <c r="P183" s="23"/>
      <c r="Q183" s="23">
        <v>0</v>
      </c>
      <c r="R183" s="23">
        <v>0</v>
      </c>
      <c r="S183" s="23">
        <f t="shared" si="4"/>
        <v>0.4</v>
      </c>
      <c r="T183" s="23">
        <v>2</v>
      </c>
      <c r="U183" s="23">
        <v>0.1</v>
      </c>
      <c r="V183" s="23">
        <v>0</v>
      </c>
      <c r="W183" s="23">
        <v>0.1</v>
      </c>
      <c r="X183" s="23"/>
      <c r="Y183" s="23"/>
      <c r="Z183" s="23">
        <v>0.03</v>
      </c>
      <c r="AA183" s="23">
        <v>5</v>
      </c>
      <c r="AB183" s="23">
        <v>0</v>
      </c>
      <c r="AC183" s="23">
        <v>0</v>
      </c>
      <c r="AD183" s="23">
        <v>0.02</v>
      </c>
      <c r="AE183" s="23">
        <v>0</v>
      </c>
      <c r="AF183" s="23">
        <v>0</v>
      </c>
      <c r="AG183" s="23">
        <v>0</v>
      </c>
      <c r="AH183" s="23">
        <v>0</v>
      </c>
      <c r="AI183" s="23"/>
      <c r="AJ183" s="23">
        <v>0</v>
      </c>
      <c r="AK183" s="65">
        <v>1403</v>
      </c>
      <c r="AL183" s="65">
        <v>14</v>
      </c>
    </row>
    <row r="184" spans="1:38">
      <c r="A184" s="38">
        <v>1103</v>
      </c>
      <c r="B184" s="16" t="s">
        <v>364</v>
      </c>
      <c r="C184" s="16" t="s">
        <v>566</v>
      </c>
      <c r="D184" s="38">
        <v>12004</v>
      </c>
      <c r="E184" s="16" t="s">
        <v>552</v>
      </c>
      <c r="F184" s="16"/>
      <c r="G184" s="23">
        <v>0</v>
      </c>
      <c r="H184" s="23">
        <v>9</v>
      </c>
      <c r="I184" s="23">
        <v>16</v>
      </c>
      <c r="J184" s="23">
        <v>1</v>
      </c>
      <c r="K184" s="23">
        <v>1.4</v>
      </c>
      <c r="L184" s="23">
        <v>4.4000000000000004</v>
      </c>
      <c r="M184" s="23">
        <v>30.9</v>
      </c>
      <c r="N184" s="23">
        <v>2</v>
      </c>
      <c r="O184" s="23">
        <v>0</v>
      </c>
      <c r="P184" s="23"/>
      <c r="Q184" s="23">
        <v>60.4</v>
      </c>
      <c r="R184" s="23">
        <v>541</v>
      </c>
      <c r="S184" s="23">
        <f t="shared" si="4"/>
        <v>541.29999999999995</v>
      </c>
      <c r="T184" s="23">
        <v>60</v>
      </c>
      <c r="U184" s="23">
        <v>2</v>
      </c>
      <c r="V184" s="23">
        <v>0</v>
      </c>
      <c r="W184" s="23">
        <v>2</v>
      </c>
      <c r="X184" s="23"/>
      <c r="Y184" s="23"/>
      <c r="Z184" s="23">
        <v>1.55</v>
      </c>
      <c r="AA184" s="23">
        <v>6</v>
      </c>
      <c r="AB184" s="23">
        <v>1</v>
      </c>
      <c r="AC184" s="23">
        <v>0.03</v>
      </c>
      <c r="AD184" s="23">
        <v>0.15</v>
      </c>
      <c r="AE184" s="23">
        <v>60</v>
      </c>
      <c r="AF184" s="23">
        <v>9</v>
      </c>
      <c r="AG184" s="23">
        <v>61</v>
      </c>
      <c r="AH184" s="23">
        <v>62</v>
      </c>
      <c r="AI184" s="23"/>
      <c r="AJ184" s="23">
        <v>0</v>
      </c>
      <c r="AK184" s="65">
        <v>1403</v>
      </c>
      <c r="AL184" s="65">
        <v>14</v>
      </c>
    </row>
    <row r="185" spans="1:38">
      <c r="A185" s="38">
        <v>1104</v>
      </c>
      <c r="B185" s="16" t="s">
        <v>365</v>
      </c>
      <c r="C185" s="16" t="s">
        <v>699</v>
      </c>
      <c r="D185" s="38">
        <v>1178</v>
      </c>
      <c r="E185" s="16" t="s">
        <v>698</v>
      </c>
      <c r="F185" s="16"/>
      <c r="G185" s="23">
        <v>0</v>
      </c>
      <c r="H185" s="23">
        <v>18</v>
      </c>
      <c r="I185" s="23">
        <v>16</v>
      </c>
      <c r="J185" s="23">
        <v>88.6</v>
      </c>
      <c r="K185" s="23">
        <v>0.4</v>
      </c>
      <c r="L185" s="23">
        <v>3.4</v>
      </c>
      <c r="M185" s="23">
        <v>2.2999999999999998</v>
      </c>
      <c r="N185" s="23">
        <v>0.3</v>
      </c>
      <c r="O185" s="23">
        <v>0</v>
      </c>
      <c r="P185" s="23"/>
      <c r="Q185" s="23">
        <v>5</v>
      </c>
      <c r="R185" s="23">
        <v>55</v>
      </c>
      <c r="S185" s="23">
        <f t="shared" si="4"/>
        <v>54.9</v>
      </c>
      <c r="T185" s="23">
        <v>9.86</v>
      </c>
      <c r="U185" s="23">
        <v>0.45</v>
      </c>
      <c r="V185" s="23">
        <v>0</v>
      </c>
      <c r="W185" s="23">
        <v>0.45</v>
      </c>
      <c r="X185" s="23"/>
      <c r="Y185" s="23"/>
      <c r="Z185" s="23">
        <v>0.252</v>
      </c>
      <c r="AA185" s="23">
        <v>9</v>
      </c>
      <c r="AB185" s="23">
        <v>1</v>
      </c>
      <c r="AC185" s="23">
        <v>3.4200000000000001E-2</v>
      </c>
      <c r="AD185" s="23">
        <v>1.3299999999999999E-2</v>
      </c>
      <c r="AE185" s="23">
        <v>0</v>
      </c>
      <c r="AF185" s="23">
        <v>0</v>
      </c>
      <c r="AG185" s="23">
        <v>0</v>
      </c>
      <c r="AH185" s="23">
        <v>0</v>
      </c>
      <c r="AI185" s="23"/>
      <c r="AJ185" s="23">
        <v>0</v>
      </c>
      <c r="AK185" s="65">
        <v>302</v>
      </c>
      <c r="AL185" s="65">
        <v>3</v>
      </c>
    </row>
    <row r="186" spans="1:38">
      <c r="A186" s="38">
        <v>1105</v>
      </c>
      <c r="B186" s="16" t="s">
        <v>366</v>
      </c>
      <c r="C186" s="16"/>
      <c r="D186" s="38"/>
      <c r="E186" s="16"/>
      <c r="F186" s="16"/>
      <c r="G186" s="23">
        <v>0</v>
      </c>
      <c r="H186" s="23">
        <v>9</v>
      </c>
      <c r="I186" s="23">
        <v>16</v>
      </c>
      <c r="J186" s="23">
        <v>93.923333333333332</v>
      </c>
      <c r="K186" s="23">
        <v>0.33333333333333331</v>
      </c>
      <c r="L186" s="23">
        <v>1.2866666666666666</v>
      </c>
      <c r="M186" s="23">
        <v>0.78666666666666663</v>
      </c>
      <c r="N186" s="23">
        <v>0.33333333333333331</v>
      </c>
      <c r="O186" s="23">
        <v>0</v>
      </c>
      <c r="P186" s="23">
        <v>3.58</v>
      </c>
      <c r="Q186" s="23">
        <f t="shared" ref="Q186" si="7">100-J186-K186-L186-M186-N186-O186</f>
        <v>3.3366666666666687</v>
      </c>
      <c r="R186" s="23">
        <v>26.333333333333332</v>
      </c>
      <c r="S186" s="23">
        <f t="shared" si="4"/>
        <v>26.240000000000009</v>
      </c>
      <c r="T186" s="23">
        <v>38.666666666666664</v>
      </c>
      <c r="U186" s="23">
        <v>0.15</v>
      </c>
      <c r="V186" s="23">
        <v>0</v>
      </c>
      <c r="W186" s="23">
        <v>0.15</v>
      </c>
      <c r="X186" s="23"/>
      <c r="Y186" s="23"/>
      <c r="Z186" s="23">
        <v>0.22</v>
      </c>
      <c r="AA186" s="23">
        <v>2.3333333333333335</v>
      </c>
      <c r="AB186" s="23">
        <v>6.6666666666666666E-2</v>
      </c>
      <c r="AC186" s="23">
        <v>0.02</v>
      </c>
      <c r="AD186" s="23">
        <v>0.10533333333333333</v>
      </c>
      <c r="AE186" s="23">
        <v>17</v>
      </c>
      <c r="AF186" s="23">
        <v>1.3333333333333333</v>
      </c>
      <c r="AG186" s="23">
        <v>17</v>
      </c>
      <c r="AH186" s="23">
        <v>17</v>
      </c>
      <c r="AI186" s="23"/>
      <c r="AJ186" s="23">
        <v>0.16333333333333333</v>
      </c>
      <c r="AK186" s="65">
        <v>1403</v>
      </c>
      <c r="AL186" s="65">
        <v>14</v>
      </c>
    </row>
    <row r="187" spans="1:38">
      <c r="A187" s="38">
        <v>1201</v>
      </c>
      <c r="B187" s="16" t="s">
        <v>367</v>
      </c>
      <c r="C187" s="16" t="s">
        <v>607</v>
      </c>
      <c r="D187" s="38">
        <v>14555</v>
      </c>
      <c r="E187" s="16" t="s">
        <v>656</v>
      </c>
      <c r="F187" s="16"/>
      <c r="G187" s="23">
        <v>0</v>
      </c>
      <c r="H187" s="23">
        <v>18</v>
      </c>
      <c r="I187" s="23">
        <v>16</v>
      </c>
      <c r="J187" s="23">
        <v>99.98</v>
      </c>
      <c r="K187" s="23">
        <v>7.0000000000000007E-2</v>
      </c>
      <c r="L187" s="23">
        <v>0</v>
      </c>
      <c r="M187" s="23">
        <v>0</v>
      </c>
      <c r="N187" s="23">
        <v>0</v>
      </c>
      <c r="O187" s="23">
        <v>0</v>
      </c>
      <c r="P187" s="23">
        <v>0</v>
      </c>
      <c r="Q187" s="23">
        <v>0</v>
      </c>
      <c r="R187" s="23">
        <v>0</v>
      </c>
      <c r="S187" s="23">
        <f t="shared" si="4"/>
        <v>0</v>
      </c>
      <c r="T187" s="23">
        <v>10</v>
      </c>
      <c r="U187" s="23">
        <v>0</v>
      </c>
      <c r="V187" s="23">
        <v>0</v>
      </c>
      <c r="W187" s="23">
        <v>0</v>
      </c>
      <c r="X187" s="23"/>
      <c r="Y187" s="23"/>
      <c r="Z187" s="23">
        <v>0</v>
      </c>
      <c r="AA187" s="23">
        <v>0</v>
      </c>
      <c r="AB187" s="23">
        <v>0</v>
      </c>
      <c r="AC187" s="23">
        <v>0</v>
      </c>
      <c r="AD187" s="23">
        <v>0</v>
      </c>
      <c r="AE187" s="23">
        <v>0</v>
      </c>
      <c r="AF187" s="23">
        <v>0</v>
      </c>
      <c r="AG187" s="23">
        <v>0</v>
      </c>
      <c r="AH187" s="23">
        <v>0</v>
      </c>
      <c r="AI187" s="23"/>
      <c r="AJ187" s="23">
        <v>0</v>
      </c>
      <c r="AK187" s="65">
        <v>1402</v>
      </c>
      <c r="AL187" s="65">
        <v>14</v>
      </c>
    </row>
    <row r="188" spans="1:38">
      <c r="A188" s="38">
        <v>1202</v>
      </c>
      <c r="B188" s="16" t="s">
        <v>368</v>
      </c>
      <c r="C188" s="16" t="s">
        <v>607</v>
      </c>
      <c r="D188" s="38">
        <v>344355</v>
      </c>
      <c r="E188" s="16" t="s">
        <v>704</v>
      </c>
      <c r="F188" s="16"/>
      <c r="G188" s="23">
        <v>0</v>
      </c>
      <c r="H188" s="23">
        <v>18</v>
      </c>
      <c r="I188" s="23">
        <v>16</v>
      </c>
      <c r="J188" s="23">
        <v>89.78</v>
      </c>
      <c r="K188" s="23"/>
      <c r="L188" s="23">
        <v>0.05</v>
      </c>
      <c r="M188" s="23">
        <v>0</v>
      </c>
      <c r="N188" s="23">
        <v>0</v>
      </c>
      <c r="O188" s="23">
        <v>0</v>
      </c>
      <c r="P188" s="23">
        <v>10.14</v>
      </c>
      <c r="Q188" s="23">
        <v>10.14</v>
      </c>
      <c r="R188" s="23">
        <v>40</v>
      </c>
      <c r="S188" s="23">
        <f t="shared" si="4"/>
        <v>40.760000000000005</v>
      </c>
      <c r="T188" s="23">
        <v>2</v>
      </c>
      <c r="U188" s="23">
        <v>0.11</v>
      </c>
      <c r="V188" s="23">
        <v>0</v>
      </c>
      <c r="W188" s="23">
        <v>0.11</v>
      </c>
      <c r="X188" s="23"/>
      <c r="Y188" s="23"/>
      <c r="Z188" s="23">
        <v>0.04</v>
      </c>
      <c r="AA188" s="23">
        <v>0</v>
      </c>
      <c r="AB188" s="23">
        <v>0</v>
      </c>
      <c r="AC188" s="23">
        <v>0</v>
      </c>
      <c r="AD188" s="23">
        <v>0</v>
      </c>
      <c r="AE188" s="23">
        <v>0</v>
      </c>
      <c r="AF188" s="23">
        <v>0</v>
      </c>
      <c r="AG188" s="23">
        <v>0</v>
      </c>
      <c r="AH188" s="23">
        <v>0</v>
      </c>
      <c r="AI188" s="23"/>
      <c r="AJ188" s="23">
        <v>0</v>
      </c>
      <c r="AK188" s="65">
        <v>1405</v>
      </c>
      <c r="AL188" s="65">
        <v>14</v>
      </c>
    </row>
    <row r="189" spans="1:38">
      <c r="A189" s="38">
        <v>1203</v>
      </c>
      <c r="B189" s="16" t="s">
        <v>369</v>
      </c>
      <c r="C189" s="16" t="s">
        <v>657</v>
      </c>
      <c r="D189" s="38">
        <v>14148</v>
      </c>
      <c r="E189" s="16" t="s">
        <v>658</v>
      </c>
      <c r="F189" s="16"/>
      <c r="G189" s="23">
        <v>0</v>
      </c>
      <c r="H189" s="23">
        <v>18</v>
      </c>
      <c r="I189" s="23">
        <v>16</v>
      </c>
      <c r="J189" s="23">
        <v>89.36</v>
      </c>
      <c r="K189" s="23">
        <v>0.04</v>
      </c>
      <c r="L189" s="23">
        <v>0</v>
      </c>
      <c r="M189" s="23">
        <v>0.25</v>
      </c>
      <c r="N189" s="23">
        <v>0</v>
      </c>
      <c r="O189" s="23">
        <v>0</v>
      </c>
      <c r="P189" s="23">
        <v>10.36</v>
      </c>
      <c r="Q189" s="23">
        <f t="shared" ref="Q189:Q190" si="8">100-J189-K189-L189-M189-N189-O189</f>
        <v>10.350000000000001</v>
      </c>
      <c r="R189" s="23">
        <v>42</v>
      </c>
      <c r="S189" s="23">
        <f t="shared" si="4"/>
        <v>43.650000000000006</v>
      </c>
      <c r="T189" s="23">
        <v>1</v>
      </c>
      <c r="U189" s="23">
        <v>0.02</v>
      </c>
      <c r="V189" s="23">
        <v>0</v>
      </c>
      <c r="W189" s="23">
        <v>0.02</v>
      </c>
      <c r="X189" s="23"/>
      <c r="Y189" s="23"/>
      <c r="Z189" s="23">
        <v>0.09</v>
      </c>
      <c r="AA189" s="23">
        <v>0</v>
      </c>
      <c r="AB189" s="23">
        <v>0</v>
      </c>
      <c r="AC189" s="23">
        <v>0</v>
      </c>
      <c r="AD189" s="23">
        <v>0</v>
      </c>
      <c r="AE189" s="23">
        <v>0</v>
      </c>
      <c r="AF189" s="23">
        <v>0</v>
      </c>
      <c r="AG189" s="23">
        <v>0</v>
      </c>
      <c r="AH189" s="23">
        <v>0</v>
      </c>
      <c r="AI189" s="23"/>
      <c r="AJ189" s="23">
        <v>0</v>
      </c>
      <c r="AK189" s="65">
        <v>1405</v>
      </c>
      <c r="AL189" s="65">
        <v>14</v>
      </c>
    </row>
    <row r="190" spans="1:38">
      <c r="A190" s="38">
        <v>1204</v>
      </c>
      <c r="B190" s="16" t="s">
        <v>370</v>
      </c>
      <c r="C190" s="16" t="s">
        <v>657</v>
      </c>
      <c r="D190" s="38">
        <v>14154</v>
      </c>
      <c r="E190" s="16" t="s">
        <v>659</v>
      </c>
      <c r="F190" s="16"/>
      <c r="G190" s="23">
        <v>0</v>
      </c>
      <c r="H190" s="23">
        <v>18</v>
      </c>
      <c r="I190" s="23">
        <v>16</v>
      </c>
      <c r="J190" s="23">
        <v>89.22</v>
      </c>
      <c r="K190" s="23">
        <v>0.1</v>
      </c>
      <c r="L190" s="23">
        <v>0.46</v>
      </c>
      <c r="M190" s="23">
        <v>0</v>
      </c>
      <c r="N190" s="23">
        <v>0</v>
      </c>
      <c r="O190" s="23">
        <v>0</v>
      </c>
      <c r="P190" s="23">
        <v>10.23</v>
      </c>
      <c r="Q190" s="23">
        <f t="shared" si="8"/>
        <v>10.220000000000001</v>
      </c>
      <c r="R190" s="23">
        <v>43</v>
      </c>
      <c r="S190" s="23">
        <f t="shared" si="4"/>
        <v>42.720000000000006</v>
      </c>
      <c r="T190" s="23">
        <v>6</v>
      </c>
      <c r="U190" s="23">
        <v>0.06</v>
      </c>
      <c r="V190" s="23">
        <v>0</v>
      </c>
      <c r="W190" s="23">
        <v>0.06</v>
      </c>
      <c r="X190" s="23"/>
      <c r="Y190" s="23"/>
      <c r="Z190" s="23">
        <v>0.01</v>
      </c>
      <c r="AA190" s="23">
        <v>0</v>
      </c>
      <c r="AB190" s="23">
        <v>0</v>
      </c>
      <c r="AC190" s="23">
        <v>0.04</v>
      </c>
      <c r="AD190" s="23">
        <v>0.10299999999999999</v>
      </c>
      <c r="AE190" s="23">
        <v>0</v>
      </c>
      <c r="AF190" s="23">
        <v>0</v>
      </c>
      <c r="AG190" s="23">
        <v>0</v>
      </c>
      <c r="AH190" s="23">
        <v>0</v>
      </c>
      <c r="AI190" s="23"/>
      <c r="AJ190" s="23">
        <v>1.97</v>
      </c>
      <c r="AK190" s="65">
        <v>1503</v>
      </c>
      <c r="AL190" s="65">
        <v>15</v>
      </c>
    </row>
    <row r="191" spans="1:38">
      <c r="A191" s="38">
        <v>1205</v>
      </c>
      <c r="B191" s="16" t="s">
        <v>371</v>
      </c>
      <c r="C191" s="16" t="s">
        <v>553</v>
      </c>
      <c r="D191" s="38"/>
      <c r="E191" s="16"/>
      <c r="F191" s="16"/>
      <c r="G191" s="23">
        <v>0</v>
      </c>
      <c r="H191" s="23">
        <v>8</v>
      </c>
      <c r="I191" s="23">
        <v>7</v>
      </c>
      <c r="J191" s="23">
        <v>87.14</v>
      </c>
      <c r="K191" s="23">
        <v>0.39</v>
      </c>
      <c r="L191" s="23">
        <v>0.62</v>
      </c>
      <c r="M191" s="23">
        <v>0.16</v>
      </c>
      <c r="N191" s="23">
        <v>1.6199999999999999</v>
      </c>
      <c r="O191" s="23">
        <v>0</v>
      </c>
      <c r="P191" s="23"/>
      <c r="Q191" s="23">
        <v>10.07</v>
      </c>
      <c r="R191" s="23">
        <v>47.4</v>
      </c>
      <c r="S191" s="23">
        <f t="shared" si="4"/>
        <v>47.44</v>
      </c>
      <c r="T191" s="23">
        <v>18.399999999999999</v>
      </c>
      <c r="U191" s="23">
        <v>0.37999999999999995</v>
      </c>
      <c r="V191" s="23">
        <v>0</v>
      </c>
      <c r="W191" s="23">
        <v>0.37999999999999995</v>
      </c>
      <c r="X191" s="23"/>
      <c r="Y191" s="23"/>
      <c r="Z191" s="23">
        <v>8.2000000000000003E-2</v>
      </c>
      <c r="AA191" s="23">
        <v>18</v>
      </c>
      <c r="AB191" s="23">
        <v>41.8</v>
      </c>
      <c r="AC191" s="23">
        <v>4.3999999999999997E-2</v>
      </c>
      <c r="AD191" s="23">
        <v>1.7999999999999999E-2</v>
      </c>
      <c r="AE191" s="23">
        <v>0</v>
      </c>
      <c r="AF191" s="23">
        <v>154</v>
      </c>
      <c r="AG191" s="23">
        <v>12.833333333333334</v>
      </c>
      <c r="AH191" s="23">
        <v>25.666666666666668</v>
      </c>
      <c r="AI191" s="23"/>
      <c r="AJ191" s="23">
        <v>0</v>
      </c>
      <c r="AK191" s="65">
        <v>1406</v>
      </c>
      <c r="AL191" s="65">
        <v>14</v>
      </c>
    </row>
    <row r="192" spans="1:38">
      <c r="A192" s="38">
        <v>1206</v>
      </c>
      <c r="B192" s="16" t="s">
        <v>372</v>
      </c>
      <c r="C192" s="16" t="s">
        <v>607</v>
      </c>
      <c r="D192" s="38">
        <v>11578</v>
      </c>
      <c r="E192" s="16" t="s">
        <v>700</v>
      </c>
      <c r="F192" s="16"/>
      <c r="G192" s="23">
        <v>0</v>
      </c>
      <c r="H192" s="23">
        <v>7</v>
      </c>
      <c r="I192" s="23">
        <v>5</v>
      </c>
      <c r="J192" s="23">
        <v>94.09</v>
      </c>
      <c r="K192" s="23">
        <v>0.8</v>
      </c>
      <c r="L192" s="23">
        <v>0.93</v>
      </c>
      <c r="M192" s="23">
        <v>0.31</v>
      </c>
      <c r="N192" s="23">
        <v>0.5</v>
      </c>
      <c r="O192" s="23">
        <v>0</v>
      </c>
      <c r="P192" s="23">
        <v>3.87</v>
      </c>
      <c r="Q192" s="23">
        <f t="shared" ref="Q192:Q193" si="9">100-J192-K192-L192-M192-N192-O192</f>
        <v>3.369999999999997</v>
      </c>
      <c r="R192" s="23">
        <v>22</v>
      </c>
      <c r="S192" s="23">
        <f t="shared" si="4"/>
        <v>20.989999999999988</v>
      </c>
      <c r="T192" s="23">
        <v>14</v>
      </c>
      <c r="U192" s="23">
        <v>0.28000000000000003</v>
      </c>
      <c r="V192" s="23">
        <v>0</v>
      </c>
      <c r="W192" s="23">
        <v>0.28000000000000003</v>
      </c>
      <c r="X192" s="23"/>
      <c r="Y192" s="23"/>
      <c r="Z192" s="23">
        <v>0.12</v>
      </c>
      <c r="AA192" s="23">
        <v>21</v>
      </c>
      <c r="AB192" s="23">
        <v>54.3</v>
      </c>
      <c r="AC192" s="23">
        <v>0.05</v>
      </c>
      <c r="AD192" s="23">
        <v>3.3000000000000002E-2</v>
      </c>
      <c r="AE192" s="23">
        <v>0</v>
      </c>
      <c r="AF192" s="23">
        <v>423.5</v>
      </c>
      <c r="AG192" s="23">
        <v>35.291666666666664</v>
      </c>
      <c r="AH192" s="23">
        <v>70.583333333333329</v>
      </c>
      <c r="AI192" s="23"/>
      <c r="AJ192" s="23">
        <v>0</v>
      </c>
      <c r="AK192" s="65">
        <v>1406</v>
      </c>
      <c r="AL192" s="65">
        <v>14</v>
      </c>
    </row>
    <row r="193" spans="1:38">
      <c r="A193" s="38">
        <v>1207</v>
      </c>
      <c r="B193" s="16" t="s">
        <v>373</v>
      </c>
      <c r="C193" s="16" t="s">
        <v>682</v>
      </c>
      <c r="D193" s="38"/>
      <c r="E193" s="16"/>
      <c r="F193" s="16"/>
      <c r="G193" s="23">
        <v>0</v>
      </c>
      <c r="H193" s="23">
        <v>18</v>
      </c>
      <c r="I193" s="23">
        <v>16</v>
      </c>
      <c r="J193" s="23">
        <v>89.698333333333338</v>
      </c>
      <c r="K193" s="23">
        <v>0.34599999999999997</v>
      </c>
      <c r="L193" s="23">
        <v>0.91</v>
      </c>
      <c r="M193" s="23">
        <v>0.5033333333333333</v>
      </c>
      <c r="N193" s="23">
        <v>0.40333333333333332</v>
      </c>
      <c r="O193" s="23">
        <v>0</v>
      </c>
      <c r="P193" s="23"/>
      <c r="Q193" s="23">
        <f t="shared" si="9"/>
        <v>8.1389999999999958</v>
      </c>
      <c r="R193" s="23">
        <v>41.56666666666667</v>
      </c>
      <c r="S193" s="23">
        <f t="shared" si="4"/>
        <v>41.53266666666665</v>
      </c>
      <c r="T193" s="23">
        <v>8.543333333333333</v>
      </c>
      <c r="U193" s="23">
        <v>0.21666666666666667</v>
      </c>
      <c r="V193" s="23"/>
      <c r="W193" s="23"/>
      <c r="X193" s="23"/>
      <c r="Y193" s="23"/>
      <c r="Z193" s="23">
        <v>9.9000000000000019E-2</v>
      </c>
      <c r="AA193" s="23">
        <v>8</v>
      </c>
      <c r="AB193" s="23">
        <v>16.183333333333334</v>
      </c>
      <c r="AC193" s="23">
        <v>2.8033333333333337E-2</v>
      </c>
      <c r="AD193" s="23">
        <v>2.7883333333333333E-2</v>
      </c>
      <c r="AE193" s="23">
        <v>0</v>
      </c>
      <c r="AF193" s="23">
        <v>96.25</v>
      </c>
      <c r="AG193" s="23">
        <v>8.0208333333333339</v>
      </c>
      <c r="AH193" s="23">
        <v>16.041666666666668</v>
      </c>
      <c r="AI193" s="23"/>
      <c r="AJ193" s="23">
        <v>0.32833333333333331</v>
      </c>
      <c r="AK193" s="65">
        <v>1405</v>
      </c>
      <c r="AL193" s="65">
        <v>14</v>
      </c>
    </row>
    <row r="194" spans="1:38">
      <c r="A194" s="38">
        <v>1301</v>
      </c>
      <c r="B194" s="16" t="s">
        <v>374</v>
      </c>
      <c r="C194" s="16"/>
      <c r="D194" s="38"/>
      <c r="E194" s="16"/>
      <c r="F194" s="16"/>
      <c r="G194" s="23">
        <v>0</v>
      </c>
      <c r="H194" s="23">
        <v>19</v>
      </c>
      <c r="I194" s="23">
        <v>17</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65"/>
      <c r="AL194" s="65"/>
    </row>
    <row r="195" spans="1:38">
      <c r="A195" s="38">
        <v>1302</v>
      </c>
      <c r="B195" s="16" t="s">
        <v>375</v>
      </c>
      <c r="C195" s="16"/>
      <c r="D195" s="38"/>
      <c r="E195" s="16"/>
      <c r="F195" s="16"/>
      <c r="G195" s="23">
        <v>0</v>
      </c>
      <c r="H195" s="23">
        <v>19</v>
      </c>
      <c r="I195" s="23">
        <v>17</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65"/>
      <c r="AL195" s="65"/>
    </row>
    <row r="196" spans="1:38">
      <c r="A196" s="38">
        <v>1303</v>
      </c>
      <c r="B196" s="16" t="s">
        <v>376</v>
      </c>
      <c r="C196" s="16"/>
      <c r="D196" s="38"/>
      <c r="E196" s="16"/>
      <c r="F196" s="16"/>
      <c r="G196" s="23">
        <v>0</v>
      </c>
      <c r="H196" s="23">
        <v>19</v>
      </c>
      <c r="I196" s="23">
        <v>17</v>
      </c>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65"/>
      <c r="AL196" s="65"/>
    </row>
    <row r="197" spans="1:38">
      <c r="A197" s="38">
        <v>1304</v>
      </c>
      <c r="B197" s="16" t="s">
        <v>377</v>
      </c>
      <c r="C197" s="16"/>
      <c r="D197" s="38"/>
      <c r="E197" s="16"/>
      <c r="F197" s="16"/>
      <c r="G197" s="23">
        <v>0</v>
      </c>
      <c r="H197" s="23">
        <v>19</v>
      </c>
      <c r="I197" s="23">
        <v>17</v>
      </c>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65"/>
      <c r="AL197" s="65"/>
    </row>
    <row r="198" spans="1:38">
      <c r="A198" s="38">
        <v>1305</v>
      </c>
      <c r="B198" s="16" t="s">
        <v>378</v>
      </c>
      <c r="C198" s="16"/>
      <c r="D198" s="38"/>
      <c r="E198" s="16"/>
      <c r="F198" s="16"/>
      <c r="G198" s="23">
        <v>0</v>
      </c>
      <c r="H198" s="23">
        <v>19</v>
      </c>
      <c r="I198" s="23">
        <v>17</v>
      </c>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65"/>
      <c r="AL198" s="65"/>
    </row>
    <row r="199" spans="1:38">
      <c r="A199" s="38">
        <v>1401</v>
      </c>
      <c r="B199" s="16" t="s">
        <v>379</v>
      </c>
      <c r="C199" s="16"/>
      <c r="D199" s="38"/>
      <c r="E199" s="16"/>
      <c r="F199" s="16"/>
      <c r="G199" s="23">
        <v>0</v>
      </c>
      <c r="H199" s="23">
        <v>19</v>
      </c>
      <c r="I199" s="23">
        <v>17</v>
      </c>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65"/>
      <c r="AL199" s="65"/>
    </row>
    <row r="200" spans="1:38">
      <c r="A200" s="38">
        <v>1402</v>
      </c>
      <c r="B200" s="16" t="s">
        <v>380</v>
      </c>
      <c r="C200" s="16"/>
      <c r="D200" s="38"/>
      <c r="E200" s="16"/>
      <c r="F200" s="16"/>
      <c r="G200" s="23">
        <v>0</v>
      </c>
      <c r="H200" s="23">
        <v>19</v>
      </c>
      <c r="I200" s="23">
        <v>17</v>
      </c>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65"/>
      <c r="AL200" s="65"/>
    </row>
    <row r="201" spans="1:38">
      <c r="A201" s="38">
        <v>1403</v>
      </c>
      <c r="B201" s="16" t="s">
        <v>381</v>
      </c>
      <c r="C201" s="16"/>
      <c r="D201" s="38"/>
      <c r="E201" s="16"/>
      <c r="F201" s="16"/>
      <c r="G201" s="23">
        <v>0</v>
      </c>
      <c r="H201" s="23">
        <v>19</v>
      </c>
      <c r="I201" s="23">
        <v>17</v>
      </c>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65"/>
      <c r="AL201" s="65"/>
    </row>
    <row r="202" spans="1:38">
      <c r="A202" s="38">
        <v>1501</v>
      </c>
      <c r="B202" s="16" t="s">
        <v>382</v>
      </c>
      <c r="C202" s="16" t="s">
        <v>660</v>
      </c>
      <c r="D202" s="38">
        <v>14051</v>
      </c>
      <c r="E202" s="16" t="s">
        <v>661</v>
      </c>
      <c r="F202" s="16"/>
      <c r="G202" s="23">
        <v>0</v>
      </c>
      <c r="H202" s="23">
        <v>11</v>
      </c>
      <c r="I202" s="23">
        <v>16</v>
      </c>
      <c r="J202" s="23">
        <v>66.599999999999994</v>
      </c>
      <c r="K202" s="23">
        <v>0.01</v>
      </c>
      <c r="L202" s="23">
        <v>0</v>
      </c>
      <c r="M202" s="23">
        <v>0</v>
      </c>
      <c r="N202" s="23">
        <v>0</v>
      </c>
      <c r="O202" s="23">
        <v>33.4</v>
      </c>
      <c r="P202" s="23">
        <v>0</v>
      </c>
      <c r="Q202" s="23">
        <v>0</v>
      </c>
      <c r="R202" s="23">
        <v>231</v>
      </c>
      <c r="S202" s="23">
        <f t="shared" ref="S202:S213" si="10">+L202*4+M202*9+N202*2+O202*7+Q202*4</f>
        <v>233.79999999999998</v>
      </c>
      <c r="T202" s="23">
        <v>0</v>
      </c>
      <c r="U202" s="23">
        <v>0.01</v>
      </c>
      <c r="V202" s="23">
        <v>0</v>
      </c>
      <c r="W202" s="23">
        <v>0.01</v>
      </c>
      <c r="X202" s="23"/>
      <c r="Y202" s="23"/>
      <c r="Z202" s="23">
        <v>0</v>
      </c>
      <c r="AA202" s="23">
        <v>0</v>
      </c>
      <c r="AB202" s="23">
        <v>0</v>
      </c>
      <c r="AC202" s="23">
        <v>5.0000000000000001E-3</v>
      </c>
      <c r="AD202" s="23">
        <v>7.0000000000000001E-3</v>
      </c>
      <c r="AE202" s="23">
        <v>0</v>
      </c>
      <c r="AF202" s="23">
        <v>0</v>
      </c>
      <c r="AG202" s="23">
        <v>0</v>
      </c>
      <c r="AH202" s="23">
        <v>0</v>
      </c>
      <c r="AI202" s="23"/>
      <c r="AJ202" s="23">
        <v>0</v>
      </c>
      <c r="AK202" s="65">
        <v>1401</v>
      </c>
      <c r="AL202" s="65">
        <v>14</v>
      </c>
    </row>
    <row r="203" spans="1:38">
      <c r="A203" s="38">
        <v>1502</v>
      </c>
      <c r="B203" s="16" t="s">
        <v>383</v>
      </c>
      <c r="C203" s="16" t="s">
        <v>657</v>
      </c>
      <c r="D203" s="38">
        <v>14052</v>
      </c>
      <c r="E203" s="16" t="s">
        <v>662</v>
      </c>
      <c r="F203" s="16"/>
      <c r="G203" s="23">
        <v>0</v>
      </c>
      <c r="H203" s="23">
        <v>11</v>
      </c>
      <c r="I203" s="23">
        <v>16</v>
      </c>
      <c r="J203" s="23">
        <v>63.9</v>
      </c>
      <c r="K203" s="23">
        <v>0</v>
      </c>
      <c r="L203" s="23">
        <v>0</v>
      </c>
      <c r="M203" s="23">
        <v>0</v>
      </c>
      <c r="N203" s="23">
        <v>0</v>
      </c>
      <c r="O203" s="23">
        <v>36</v>
      </c>
      <c r="P203" s="23">
        <v>0.1</v>
      </c>
      <c r="Q203" s="23">
        <f t="shared" ref="Q203" si="11">100-J203-K203-L203-M203-N203-O203</f>
        <v>0.10000000000000142</v>
      </c>
      <c r="R203" s="23">
        <v>250</v>
      </c>
      <c r="S203" s="23">
        <f t="shared" si="10"/>
        <v>252.4</v>
      </c>
      <c r="T203" s="23">
        <v>0</v>
      </c>
      <c r="U203" s="23">
        <v>0.02</v>
      </c>
      <c r="V203" s="23">
        <v>0</v>
      </c>
      <c r="W203" s="23">
        <v>0.02</v>
      </c>
      <c r="X203" s="23"/>
      <c r="Y203" s="23"/>
      <c r="Z203" s="23">
        <v>0.02</v>
      </c>
      <c r="AA203" s="23">
        <v>0</v>
      </c>
      <c r="AB203" s="23">
        <v>0</v>
      </c>
      <c r="AC203" s="23">
        <v>8.0000000000000002E-3</v>
      </c>
      <c r="AD203" s="23">
        <v>1E-3</v>
      </c>
      <c r="AE203" s="23">
        <v>0</v>
      </c>
      <c r="AF203" s="23">
        <v>0</v>
      </c>
      <c r="AG203" s="23">
        <v>0</v>
      </c>
      <c r="AH203" s="23">
        <v>0</v>
      </c>
      <c r="AI203" s="23"/>
      <c r="AJ203" s="23">
        <v>0</v>
      </c>
      <c r="AK203" s="65">
        <v>1401</v>
      </c>
      <c r="AL203" s="65">
        <v>14</v>
      </c>
    </row>
    <row r="204" spans="1:38">
      <c r="A204" s="38">
        <v>1503</v>
      </c>
      <c r="B204" s="16" t="s">
        <v>384</v>
      </c>
      <c r="C204" s="16" t="s">
        <v>657</v>
      </c>
      <c r="D204" s="38">
        <v>14037</v>
      </c>
      <c r="E204" s="16" t="s">
        <v>663</v>
      </c>
      <c r="F204" s="16"/>
      <c r="G204" s="23">
        <v>0</v>
      </c>
      <c r="H204" s="23">
        <v>11</v>
      </c>
      <c r="I204" s="23">
        <v>16</v>
      </c>
      <c r="J204" s="23">
        <v>66.599999999999994</v>
      </c>
      <c r="K204" s="23">
        <v>0.01</v>
      </c>
      <c r="L204" s="23">
        <v>0</v>
      </c>
      <c r="M204" s="23">
        <v>0</v>
      </c>
      <c r="N204" s="23">
        <v>0</v>
      </c>
      <c r="O204" s="23">
        <v>33.4</v>
      </c>
      <c r="P204" s="23">
        <v>0</v>
      </c>
      <c r="Q204" s="23">
        <v>0</v>
      </c>
      <c r="R204" s="23">
        <v>231</v>
      </c>
      <c r="S204" s="23">
        <f t="shared" si="10"/>
        <v>233.79999999999998</v>
      </c>
      <c r="T204" s="23">
        <v>0</v>
      </c>
      <c r="U204" s="23">
        <v>0.04</v>
      </c>
      <c r="V204" s="23">
        <v>0</v>
      </c>
      <c r="W204" s="23">
        <v>0.04</v>
      </c>
      <c r="X204" s="23"/>
      <c r="Y204" s="23"/>
      <c r="Z204" s="23">
        <v>0.04</v>
      </c>
      <c r="AA204" s="23">
        <v>0</v>
      </c>
      <c r="AB204" s="23">
        <v>0</v>
      </c>
      <c r="AC204" s="23">
        <v>6.0000000000000001E-3</v>
      </c>
      <c r="AD204" s="23">
        <v>4.0000000000000001E-3</v>
      </c>
      <c r="AE204" s="23">
        <v>0</v>
      </c>
      <c r="AF204" s="23">
        <v>0</v>
      </c>
      <c r="AG204" s="23">
        <v>0</v>
      </c>
      <c r="AH204" s="23">
        <v>0</v>
      </c>
      <c r="AI204" s="23"/>
      <c r="AJ204" s="23">
        <v>0</v>
      </c>
      <c r="AK204" s="65">
        <v>1401</v>
      </c>
      <c r="AL204" s="65">
        <v>14</v>
      </c>
    </row>
    <row r="205" spans="1:38">
      <c r="A205" s="38">
        <v>1504</v>
      </c>
      <c r="B205" s="16" t="s">
        <v>385</v>
      </c>
      <c r="C205" s="16" t="s">
        <v>607</v>
      </c>
      <c r="D205" s="38">
        <v>14037</v>
      </c>
      <c r="E205" s="16" t="s">
        <v>663</v>
      </c>
      <c r="F205" s="16"/>
      <c r="G205" s="23">
        <v>0</v>
      </c>
      <c r="H205" s="23">
        <v>11</v>
      </c>
      <c r="I205" s="23">
        <v>16</v>
      </c>
      <c r="J205" s="23">
        <v>66.599999999999994</v>
      </c>
      <c r="K205" s="23">
        <v>0.01</v>
      </c>
      <c r="L205" s="23">
        <v>0</v>
      </c>
      <c r="M205" s="23">
        <v>0</v>
      </c>
      <c r="N205" s="23">
        <v>0</v>
      </c>
      <c r="O205" s="23">
        <v>33.4</v>
      </c>
      <c r="P205" s="23">
        <v>0</v>
      </c>
      <c r="Q205" s="23">
        <v>0</v>
      </c>
      <c r="R205" s="23">
        <v>231</v>
      </c>
      <c r="S205" s="23">
        <f t="shared" si="10"/>
        <v>233.79999999999998</v>
      </c>
      <c r="T205" s="23">
        <v>0</v>
      </c>
      <c r="U205" s="23">
        <v>0.04</v>
      </c>
      <c r="V205" s="23">
        <v>0</v>
      </c>
      <c r="W205" s="23">
        <v>0.04</v>
      </c>
      <c r="X205" s="23"/>
      <c r="Y205" s="23"/>
      <c r="Z205" s="23">
        <v>0</v>
      </c>
      <c r="AA205" s="23">
        <v>6.0000000000000001E-3</v>
      </c>
      <c r="AB205" s="23">
        <v>4.0000000000000001E-3</v>
      </c>
      <c r="AC205" s="23">
        <v>0</v>
      </c>
      <c r="AD205" s="23">
        <v>0</v>
      </c>
      <c r="AE205" s="23">
        <v>0</v>
      </c>
      <c r="AF205" s="23">
        <v>0</v>
      </c>
      <c r="AG205" s="23">
        <v>0</v>
      </c>
      <c r="AH205" s="23">
        <v>0</v>
      </c>
      <c r="AI205" s="23"/>
      <c r="AJ205" s="23">
        <v>0</v>
      </c>
      <c r="AK205" s="65">
        <v>1401</v>
      </c>
      <c r="AL205" s="65">
        <v>14</v>
      </c>
    </row>
    <row r="206" spans="1:38">
      <c r="A206" s="38">
        <v>1505</v>
      </c>
      <c r="B206" s="16" t="s">
        <v>386</v>
      </c>
      <c r="C206" s="16" t="s">
        <v>553</v>
      </c>
      <c r="D206" s="38"/>
      <c r="E206" s="16"/>
      <c r="F206" s="16"/>
      <c r="G206" s="23">
        <v>0</v>
      </c>
      <c r="H206" s="23">
        <v>11</v>
      </c>
      <c r="I206" s="23">
        <v>16</v>
      </c>
      <c r="J206" s="23">
        <v>92.5</v>
      </c>
      <c r="K206" s="23">
        <v>0.25</v>
      </c>
      <c r="L206" s="23">
        <v>0.6</v>
      </c>
      <c r="M206" s="23">
        <v>0</v>
      </c>
      <c r="N206" s="23">
        <v>0.1</v>
      </c>
      <c r="O206" s="23">
        <v>0</v>
      </c>
      <c r="P206" s="23"/>
      <c r="Q206" s="23">
        <v>6.5500000000000007</v>
      </c>
      <c r="R206" s="23">
        <v>37</v>
      </c>
      <c r="S206" s="23">
        <f t="shared" si="10"/>
        <v>28.800000000000004</v>
      </c>
      <c r="T206" s="23">
        <v>8</v>
      </c>
      <c r="U206" s="23">
        <v>0.2</v>
      </c>
      <c r="V206" s="23">
        <v>0</v>
      </c>
      <c r="W206" s="23">
        <v>0.2</v>
      </c>
      <c r="X206" s="23"/>
      <c r="Y206" s="23"/>
      <c r="Z206" s="23">
        <v>0.14000000000000001</v>
      </c>
      <c r="AA206" s="23">
        <v>0</v>
      </c>
      <c r="AB206" s="23">
        <v>0</v>
      </c>
      <c r="AC206" s="23">
        <v>0.02</v>
      </c>
      <c r="AD206" s="23">
        <v>0.04</v>
      </c>
      <c r="AE206" s="23">
        <v>0</v>
      </c>
      <c r="AF206" s="23">
        <v>0</v>
      </c>
      <c r="AG206" s="23">
        <v>0</v>
      </c>
      <c r="AH206" s="23">
        <v>0</v>
      </c>
      <c r="AI206" s="23"/>
      <c r="AJ206" s="23">
        <v>0</v>
      </c>
      <c r="AK206" s="65">
        <v>1401</v>
      </c>
      <c r="AL206" s="65">
        <v>14</v>
      </c>
    </row>
    <row r="207" spans="1:38">
      <c r="A207" s="38">
        <v>1506</v>
      </c>
      <c r="B207" s="16" t="s">
        <v>387</v>
      </c>
      <c r="C207" s="16" t="s">
        <v>669</v>
      </c>
      <c r="D207" s="38"/>
      <c r="E207" s="16"/>
      <c r="F207" s="16"/>
      <c r="G207" s="23">
        <v>0</v>
      </c>
      <c r="H207" s="23">
        <v>11</v>
      </c>
      <c r="I207" s="23">
        <v>16</v>
      </c>
      <c r="J207" s="23">
        <v>71.239999999999995</v>
      </c>
      <c r="K207" s="23">
        <v>5.6000000000000008E-2</v>
      </c>
      <c r="L207" s="23">
        <v>0.12</v>
      </c>
      <c r="M207" s="23">
        <v>0</v>
      </c>
      <c r="N207" s="23">
        <v>0.02</v>
      </c>
      <c r="O207" s="23">
        <v>27.240000000000002</v>
      </c>
      <c r="P207" s="23"/>
      <c r="Q207" s="23">
        <v>6.5500000000000007</v>
      </c>
      <c r="R207" s="23">
        <v>196</v>
      </c>
      <c r="S207" s="23">
        <f t="shared" si="10"/>
        <v>217.40000000000003</v>
      </c>
      <c r="T207" s="23">
        <v>1.6</v>
      </c>
      <c r="U207" s="23">
        <v>6.2000000000000013E-2</v>
      </c>
      <c r="V207" s="23">
        <v>0</v>
      </c>
      <c r="W207" s="23">
        <v>6.2000000000000013E-2</v>
      </c>
      <c r="X207" s="23"/>
      <c r="Y207" s="23"/>
      <c r="Z207" s="23">
        <v>0.04</v>
      </c>
      <c r="AA207" s="23">
        <v>1.2000000000000001E-3</v>
      </c>
      <c r="AB207" s="23">
        <v>8.0000000000000004E-4</v>
      </c>
      <c r="AC207" s="23">
        <v>7.8000000000000014E-3</v>
      </c>
      <c r="AD207" s="23">
        <v>1.0400000000000001E-2</v>
      </c>
      <c r="AE207" s="23">
        <v>0</v>
      </c>
      <c r="AF207" s="23">
        <v>0</v>
      </c>
      <c r="AG207" s="23">
        <v>0</v>
      </c>
      <c r="AH207" s="23">
        <v>0</v>
      </c>
      <c r="AI207" s="23"/>
      <c r="AJ207" s="23">
        <v>0</v>
      </c>
      <c r="AK207" s="65">
        <v>1401</v>
      </c>
      <c r="AL207" s="65">
        <v>14</v>
      </c>
    </row>
    <row r="208" spans="1:38">
      <c r="A208" s="38">
        <v>1601</v>
      </c>
      <c r="B208" s="16" t="s">
        <v>388</v>
      </c>
      <c r="C208" s="16" t="s">
        <v>657</v>
      </c>
      <c r="D208" s="38">
        <v>14084</v>
      </c>
      <c r="E208" s="16" t="s">
        <v>672</v>
      </c>
      <c r="F208" s="16"/>
      <c r="G208" s="23">
        <v>0</v>
      </c>
      <c r="H208" s="23">
        <v>11</v>
      </c>
      <c r="I208" s="23">
        <v>16</v>
      </c>
      <c r="J208" s="23">
        <v>86.58</v>
      </c>
      <c r="K208" s="23">
        <v>0.24</v>
      </c>
      <c r="L208" s="23">
        <v>7.0000000000000007E-2</v>
      </c>
      <c r="M208" s="23">
        <v>0</v>
      </c>
      <c r="N208" s="23">
        <v>0</v>
      </c>
      <c r="O208" s="23">
        <v>10.4</v>
      </c>
      <c r="P208" s="23">
        <v>2.72</v>
      </c>
      <c r="Q208" s="23">
        <f t="shared" ref="Q208:Q213" si="12">100-J208-K208-L208-M208-N208-O208</f>
        <v>2.7100000000000009</v>
      </c>
      <c r="R208" s="23">
        <v>83</v>
      </c>
      <c r="S208" s="23">
        <f t="shared" si="10"/>
        <v>83.92</v>
      </c>
      <c r="T208" s="23">
        <v>8</v>
      </c>
      <c r="U208" s="23">
        <v>0.37</v>
      </c>
      <c r="V208" s="23">
        <v>0</v>
      </c>
      <c r="W208" s="23">
        <v>0.37</v>
      </c>
      <c r="X208" s="23"/>
      <c r="Y208" s="23"/>
      <c r="Z208" s="23">
        <v>0.13</v>
      </c>
      <c r="AA208" s="23">
        <v>1</v>
      </c>
      <c r="AB208" s="23">
        <v>0</v>
      </c>
      <c r="AC208" s="23">
        <v>5.0000000000000001E-3</v>
      </c>
      <c r="AD208" s="23">
        <v>2.3E-2</v>
      </c>
      <c r="AE208" s="23">
        <v>0</v>
      </c>
      <c r="AF208" s="23">
        <v>0</v>
      </c>
      <c r="AG208" s="23">
        <v>0</v>
      </c>
      <c r="AH208" s="23">
        <v>0</v>
      </c>
      <c r="AI208" s="23"/>
      <c r="AJ208" s="23">
        <v>0</v>
      </c>
      <c r="AK208" s="65">
        <v>1401</v>
      </c>
      <c r="AL208" s="65">
        <v>14</v>
      </c>
    </row>
    <row r="209" spans="1:38">
      <c r="A209" s="38">
        <v>1602</v>
      </c>
      <c r="B209" s="16" t="s">
        <v>389</v>
      </c>
      <c r="C209" s="16" t="s">
        <v>657</v>
      </c>
      <c r="D209" s="38">
        <v>14536</v>
      </c>
      <c r="E209" s="16" t="s">
        <v>671</v>
      </c>
      <c r="F209" s="16"/>
      <c r="G209" s="23">
        <v>0</v>
      </c>
      <c r="H209" s="23">
        <v>11</v>
      </c>
      <c r="I209" s="23">
        <v>16</v>
      </c>
      <c r="J209" s="23">
        <v>72.53</v>
      </c>
      <c r="K209" s="23">
        <v>0.3</v>
      </c>
      <c r="L209" s="23">
        <v>0.2</v>
      </c>
      <c r="M209" s="23">
        <v>0</v>
      </c>
      <c r="N209" s="23">
        <v>0</v>
      </c>
      <c r="O209" s="23">
        <v>15.3</v>
      </c>
      <c r="P209" s="23">
        <v>11.67</v>
      </c>
      <c r="Q209" s="23">
        <f t="shared" si="12"/>
        <v>11.669999999999998</v>
      </c>
      <c r="R209" s="23">
        <v>152</v>
      </c>
      <c r="S209" s="23">
        <f t="shared" si="10"/>
        <v>154.57999999999998</v>
      </c>
      <c r="T209" s="23">
        <v>8</v>
      </c>
      <c r="U209" s="23">
        <v>0.24</v>
      </c>
      <c r="V209" s="23">
        <v>0</v>
      </c>
      <c r="W209" s="23">
        <v>0.24</v>
      </c>
      <c r="X209" s="23"/>
      <c r="Y209" s="23"/>
      <c r="Z209" s="23">
        <v>7.0000000000000007E-2</v>
      </c>
      <c r="AA209" s="23">
        <v>0</v>
      </c>
      <c r="AB209" s="23">
        <v>0</v>
      </c>
      <c r="AC209" s="23">
        <v>1.7999999999999999E-2</v>
      </c>
      <c r="AD209" s="23">
        <v>1.7999999999999999E-2</v>
      </c>
      <c r="AE209" s="23">
        <v>0</v>
      </c>
      <c r="AF209" s="23">
        <v>0</v>
      </c>
      <c r="AG209" s="23">
        <v>0</v>
      </c>
      <c r="AH209" s="23">
        <v>0</v>
      </c>
      <c r="AI209" s="23"/>
      <c r="AJ209" s="23">
        <v>0</v>
      </c>
      <c r="AK209" s="65">
        <v>1401</v>
      </c>
      <c r="AL209" s="65">
        <v>14</v>
      </c>
    </row>
    <row r="210" spans="1:38">
      <c r="A210" s="38">
        <v>1603</v>
      </c>
      <c r="B210" s="16" t="s">
        <v>390</v>
      </c>
      <c r="C210" s="16" t="s">
        <v>657</v>
      </c>
      <c r="D210" s="38">
        <v>14084</v>
      </c>
      <c r="E210" s="16" t="s">
        <v>672</v>
      </c>
      <c r="F210" s="16"/>
      <c r="G210" s="23">
        <v>0</v>
      </c>
      <c r="H210" s="23">
        <v>11</v>
      </c>
      <c r="I210" s="23">
        <v>16</v>
      </c>
      <c r="J210" s="23">
        <v>86.58</v>
      </c>
      <c r="K210" s="23">
        <v>0.24</v>
      </c>
      <c r="L210" s="23">
        <v>7.0000000000000007E-2</v>
      </c>
      <c r="M210" s="23">
        <v>0</v>
      </c>
      <c r="N210" s="23">
        <v>0</v>
      </c>
      <c r="O210" s="23">
        <v>10.4</v>
      </c>
      <c r="P210" s="23">
        <v>2.72</v>
      </c>
      <c r="Q210" s="23">
        <f t="shared" si="12"/>
        <v>2.7100000000000009</v>
      </c>
      <c r="R210" s="23">
        <v>83</v>
      </c>
      <c r="S210" s="23">
        <f t="shared" si="10"/>
        <v>83.92</v>
      </c>
      <c r="T210" s="23">
        <v>8</v>
      </c>
      <c r="U210" s="23">
        <v>0.37</v>
      </c>
      <c r="V210" s="23">
        <v>0</v>
      </c>
      <c r="W210" s="23">
        <v>0.37</v>
      </c>
      <c r="X210" s="23"/>
      <c r="Y210" s="23"/>
      <c r="Z210" s="23">
        <v>0</v>
      </c>
      <c r="AA210" s="23">
        <v>5.0000000000000001E-3</v>
      </c>
      <c r="AB210" s="23">
        <v>2.3E-2</v>
      </c>
      <c r="AC210" s="23">
        <v>0</v>
      </c>
      <c r="AD210" s="23">
        <v>0</v>
      </c>
      <c r="AE210" s="23">
        <v>0</v>
      </c>
      <c r="AF210" s="23">
        <v>0</v>
      </c>
      <c r="AG210" s="23">
        <v>0</v>
      </c>
      <c r="AH210" s="23">
        <v>0</v>
      </c>
      <c r="AI210" s="23"/>
      <c r="AJ210" s="23">
        <v>0</v>
      </c>
      <c r="AK210" s="65">
        <v>1401</v>
      </c>
      <c r="AL210" s="65">
        <v>14</v>
      </c>
    </row>
    <row r="211" spans="1:38">
      <c r="A211" s="38">
        <v>1701</v>
      </c>
      <c r="B211" s="16" t="s">
        <v>391</v>
      </c>
      <c r="C211" s="16" t="s">
        <v>657</v>
      </c>
      <c r="D211" s="38">
        <v>14003</v>
      </c>
      <c r="E211" s="16" t="s">
        <v>673</v>
      </c>
      <c r="F211" s="16"/>
      <c r="G211" s="23">
        <v>0</v>
      </c>
      <c r="H211" s="23">
        <v>11</v>
      </c>
      <c r="I211" s="23">
        <v>16</v>
      </c>
      <c r="J211" s="23">
        <v>91.96</v>
      </c>
      <c r="K211" s="23">
        <v>0.16</v>
      </c>
      <c r="L211" s="23">
        <v>0.46</v>
      </c>
      <c r="M211" s="23">
        <v>0</v>
      </c>
      <c r="N211" s="23">
        <v>0</v>
      </c>
      <c r="O211" s="23">
        <v>3.9</v>
      </c>
      <c r="P211" s="23">
        <v>3.55</v>
      </c>
      <c r="Q211" s="23">
        <f t="shared" si="12"/>
        <v>3.5200000000000062</v>
      </c>
      <c r="R211" s="23">
        <v>43</v>
      </c>
      <c r="S211" s="23">
        <f t="shared" si="10"/>
        <v>43.220000000000027</v>
      </c>
      <c r="T211" s="23">
        <v>4</v>
      </c>
      <c r="U211" s="23">
        <v>0.02</v>
      </c>
      <c r="V211" s="23">
        <v>0</v>
      </c>
      <c r="W211" s="23">
        <v>0.02</v>
      </c>
      <c r="X211" s="23"/>
      <c r="Y211" s="23"/>
      <c r="Z211" s="23">
        <v>0.01</v>
      </c>
      <c r="AA211" s="23">
        <v>6</v>
      </c>
      <c r="AB211" s="23">
        <v>0</v>
      </c>
      <c r="AC211" s="23">
        <v>5.0000000000000001E-3</v>
      </c>
      <c r="AD211" s="23">
        <v>2.5000000000000001E-2</v>
      </c>
      <c r="AE211" s="23">
        <v>0</v>
      </c>
      <c r="AF211" s="23">
        <v>0</v>
      </c>
      <c r="AG211" s="23">
        <v>0</v>
      </c>
      <c r="AH211" s="23">
        <v>0</v>
      </c>
      <c r="AI211" s="23"/>
      <c r="AJ211" s="23">
        <v>0.02</v>
      </c>
      <c r="AK211" s="65">
        <v>1401</v>
      </c>
      <c r="AL211" s="65">
        <v>14</v>
      </c>
    </row>
    <row r="212" spans="1:38">
      <c r="A212" s="38">
        <v>1702</v>
      </c>
      <c r="B212" s="16" t="s">
        <v>392</v>
      </c>
      <c r="C212" s="16" t="s">
        <v>561</v>
      </c>
      <c r="D212" s="38">
        <v>452</v>
      </c>
      <c r="E212" s="16" t="s">
        <v>674</v>
      </c>
      <c r="F212" s="16"/>
      <c r="G212" s="23">
        <v>0</v>
      </c>
      <c r="H212" s="23">
        <v>11</v>
      </c>
      <c r="I212" s="23">
        <v>16</v>
      </c>
      <c r="J212" s="23"/>
      <c r="K212" s="23"/>
      <c r="L212" s="23">
        <v>0.3</v>
      </c>
      <c r="M212" s="23">
        <v>0</v>
      </c>
      <c r="N212" s="23">
        <v>0.2</v>
      </c>
      <c r="O212" s="23">
        <v>0</v>
      </c>
      <c r="P212" s="23">
        <v>3.7</v>
      </c>
      <c r="Q212" s="23">
        <f>+P212-N212</f>
        <v>3.5</v>
      </c>
      <c r="R212" s="23">
        <v>41</v>
      </c>
      <c r="S212" s="23">
        <f t="shared" si="10"/>
        <v>15.6</v>
      </c>
      <c r="T212" s="23">
        <v>5</v>
      </c>
      <c r="U212" s="23">
        <v>0</v>
      </c>
      <c r="V212" s="23">
        <v>0</v>
      </c>
      <c r="W212" s="23">
        <v>0</v>
      </c>
      <c r="X212" s="23"/>
      <c r="Y212" s="23"/>
      <c r="Z212" s="23">
        <v>0</v>
      </c>
      <c r="AA212" s="23">
        <v>6</v>
      </c>
      <c r="AB212" s="23">
        <v>0</v>
      </c>
      <c r="AC212" s="23">
        <v>0</v>
      </c>
      <c r="AD212" s="23">
        <v>0</v>
      </c>
      <c r="AE212" s="23">
        <v>0</v>
      </c>
      <c r="AF212" s="23">
        <v>0</v>
      </c>
      <c r="AG212" s="23">
        <v>0</v>
      </c>
      <c r="AH212" s="23">
        <v>0</v>
      </c>
      <c r="AI212" s="23"/>
      <c r="AJ212" s="23">
        <v>0</v>
      </c>
      <c r="AK212" s="65">
        <v>1401</v>
      </c>
      <c r="AL212" s="65">
        <v>14</v>
      </c>
    </row>
    <row r="213" spans="1:38">
      <c r="A213" s="38">
        <v>1703</v>
      </c>
      <c r="B213" s="16" t="s">
        <v>393</v>
      </c>
      <c r="C213" s="16" t="s">
        <v>670</v>
      </c>
      <c r="D213" s="38"/>
      <c r="E213" s="16"/>
      <c r="F213" s="16"/>
      <c r="G213" s="23">
        <v>0</v>
      </c>
      <c r="H213" s="23">
        <v>11</v>
      </c>
      <c r="I213" s="23">
        <v>16</v>
      </c>
      <c r="J213" s="23">
        <v>91.96</v>
      </c>
      <c r="K213" s="23">
        <v>0.16</v>
      </c>
      <c r="L213" s="23">
        <v>0.38</v>
      </c>
      <c r="M213" s="23">
        <v>0</v>
      </c>
      <c r="N213" s="23">
        <v>0.1</v>
      </c>
      <c r="O213" s="23">
        <v>1.95</v>
      </c>
      <c r="P213" s="23"/>
      <c r="Q213" s="23">
        <f t="shared" si="12"/>
        <v>5.4500000000000064</v>
      </c>
      <c r="R213" s="23">
        <v>42</v>
      </c>
      <c r="S213" s="23">
        <f t="shared" si="10"/>
        <v>37.17000000000003</v>
      </c>
      <c r="T213" s="23">
        <v>4.5</v>
      </c>
      <c r="U213" s="23">
        <v>0.01</v>
      </c>
      <c r="V213" s="23">
        <v>0</v>
      </c>
      <c r="W213" s="23">
        <v>0.01</v>
      </c>
      <c r="X213" s="23"/>
      <c r="Y213" s="23"/>
      <c r="Z213" s="23">
        <v>5.0000000000000001E-3</v>
      </c>
      <c r="AA213" s="23">
        <v>6</v>
      </c>
      <c r="AB213" s="23">
        <v>0</v>
      </c>
      <c r="AC213" s="23">
        <v>2.5000000000000001E-3</v>
      </c>
      <c r="AD213" s="23">
        <v>1.2500000000000001E-2</v>
      </c>
      <c r="AE213" s="23">
        <v>0</v>
      </c>
      <c r="AF213" s="23">
        <v>0</v>
      </c>
      <c r="AG213" s="23">
        <v>0</v>
      </c>
      <c r="AH213" s="23">
        <v>0</v>
      </c>
      <c r="AI213" s="23"/>
      <c r="AJ213" s="23">
        <v>0.01</v>
      </c>
      <c r="AK213" s="65">
        <v>1401</v>
      </c>
      <c r="AL213" s="65">
        <v>14</v>
      </c>
    </row>
  </sheetData>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11"/>
  <sheetViews>
    <sheetView topLeftCell="T1" workbookViewId="0">
      <selection activeCell="AJ8" sqref="AJ8"/>
    </sheetView>
  </sheetViews>
  <sheetFormatPr baseColWidth="10" defaultColWidth="8.83203125" defaultRowHeight="15"/>
  <cols>
    <col min="1" max="1" width="14" style="1" bestFit="1" customWidth="1"/>
    <col min="2" max="2" width="16.1640625" style="1" customWidth="1"/>
    <col min="3" max="3" width="10" style="1" customWidth="1"/>
    <col min="4" max="8" width="8.83203125" style="1"/>
    <col min="9" max="9" width="11.6640625" style="1" customWidth="1"/>
    <col min="10" max="15" width="8.83203125" style="1"/>
    <col min="16" max="16" width="12" style="1" customWidth="1"/>
    <col min="17" max="23" width="8.83203125" style="1"/>
    <col min="24" max="25" width="8.83203125" style="1" customWidth="1"/>
    <col min="26" max="16384" width="8.83203125" style="1"/>
  </cols>
  <sheetData>
    <row r="1" spans="1:38" ht="116.25" customHeight="1">
      <c r="A1" s="17" t="s">
        <v>17</v>
      </c>
      <c r="B1" s="17" t="s">
        <v>18</v>
      </c>
      <c r="C1" s="2" t="s">
        <v>21</v>
      </c>
      <c r="D1" s="2" t="s">
        <v>2</v>
      </c>
      <c r="E1" s="2" t="s">
        <v>3</v>
      </c>
      <c r="F1" s="2" t="s">
        <v>22</v>
      </c>
      <c r="G1" s="17" t="s">
        <v>19</v>
      </c>
      <c r="H1" s="17" t="s">
        <v>20</v>
      </c>
      <c r="I1" s="17" t="s">
        <v>163</v>
      </c>
      <c r="J1" s="2" t="s">
        <v>23</v>
      </c>
      <c r="K1" s="2" t="s">
        <v>24</v>
      </c>
      <c r="L1" s="17" t="s">
        <v>25</v>
      </c>
      <c r="M1" s="17" t="s">
        <v>26</v>
      </c>
      <c r="N1" s="17" t="s">
        <v>27</v>
      </c>
      <c r="O1" s="17" t="s">
        <v>28</v>
      </c>
      <c r="P1" s="2" t="s">
        <v>29</v>
      </c>
      <c r="Q1" s="2" t="s">
        <v>30</v>
      </c>
      <c r="R1" s="2" t="s">
        <v>31</v>
      </c>
      <c r="S1" s="20" t="s">
        <v>32</v>
      </c>
      <c r="T1" s="17" t="s">
        <v>33</v>
      </c>
      <c r="U1" s="17" t="s">
        <v>34</v>
      </c>
      <c r="V1" s="20" t="s">
        <v>35</v>
      </c>
      <c r="W1" s="20" t="s">
        <v>36</v>
      </c>
      <c r="X1" s="40" t="s">
        <v>144</v>
      </c>
      <c r="Y1" s="40" t="s">
        <v>145</v>
      </c>
      <c r="Z1" s="40" t="s">
        <v>143</v>
      </c>
      <c r="AA1" s="20" t="s">
        <v>146</v>
      </c>
      <c r="AB1" s="17" t="s">
        <v>37</v>
      </c>
      <c r="AC1" s="17" t="s">
        <v>38</v>
      </c>
      <c r="AD1" s="17" t="s">
        <v>39</v>
      </c>
      <c r="AE1" s="17" t="s">
        <v>40</v>
      </c>
      <c r="AF1" s="17" t="s">
        <v>41</v>
      </c>
      <c r="AG1" s="17" t="s">
        <v>564</v>
      </c>
      <c r="AH1" s="17" t="s">
        <v>565</v>
      </c>
      <c r="AI1" s="17" t="s">
        <v>42</v>
      </c>
      <c r="AJ1" s="17" t="s">
        <v>43</v>
      </c>
      <c r="AK1" s="40" t="s">
        <v>974</v>
      </c>
      <c r="AL1" s="40" t="s">
        <v>975</v>
      </c>
    </row>
    <row r="2" spans="1:38">
      <c r="A2" s="38">
        <v>101</v>
      </c>
      <c r="B2" s="16" t="s">
        <v>185</v>
      </c>
      <c r="C2" s="16" t="s">
        <v>553</v>
      </c>
      <c r="D2" s="38"/>
      <c r="E2" s="16"/>
      <c r="F2" s="16"/>
      <c r="G2" s="23">
        <v>0</v>
      </c>
      <c r="H2" s="23">
        <v>1</v>
      </c>
      <c r="I2" s="23">
        <v>1</v>
      </c>
      <c r="J2" s="23">
        <v>12.1</v>
      </c>
      <c r="K2" s="23">
        <v>0.5</v>
      </c>
      <c r="L2" s="23">
        <v>7.3</v>
      </c>
      <c r="M2" s="23">
        <v>0.75</v>
      </c>
      <c r="N2" s="23">
        <v>2.2000000000000002</v>
      </c>
      <c r="O2" s="23">
        <v>0</v>
      </c>
      <c r="P2" s="23"/>
      <c r="Q2" s="23">
        <v>77.150000000000006</v>
      </c>
      <c r="R2" s="23">
        <v>349</v>
      </c>
      <c r="S2" s="23">
        <v>348.95000000000005</v>
      </c>
      <c r="T2" s="23">
        <v>15</v>
      </c>
      <c r="U2" s="23">
        <v>1.3</v>
      </c>
      <c r="V2" s="23">
        <v>0</v>
      </c>
      <c r="W2" s="23">
        <v>1.3</v>
      </c>
      <c r="X2" s="23"/>
      <c r="Y2" s="23"/>
      <c r="Z2" s="23">
        <v>1.19</v>
      </c>
      <c r="AA2" s="23">
        <v>9.5</v>
      </c>
      <c r="AB2" s="23">
        <v>0</v>
      </c>
      <c r="AC2" s="23">
        <v>0.16</v>
      </c>
      <c r="AD2" s="23">
        <v>6.5000000000000002E-2</v>
      </c>
      <c r="AE2" s="23">
        <v>0</v>
      </c>
      <c r="AF2" s="23">
        <v>0</v>
      </c>
      <c r="AG2" s="23">
        <v>0</v>
      </c>
      <c r="AH2" s="23">
        <v>0</v>
      </c>
      <c r="AI2" s="23"/>
      <c r="AJ2" s="23">
        <v>0</v>
      </c>
      <c r="AK2" s="38">
        <v>101</v>
      </c>
      <c r="AL2" s="38">
        <v>1</v>
      </c>
    </row>
    <row r="3" spans="1:38">
      <c r="A3" s="38">
        <v>102</v>
      </c>
      <c r="B3" s="16" t="s">
        <v>186</v>
      </c>
      <c r="C3" s="16" t="s">
        <v>554</v>
      </c>
      <c r="D3" s="38"/>
      <c r="E3" s="16"/>
      <c r="F3" s="16"/>
      <c r="G3" s="23">
        <v>0</v>
      </c>
      <c r="H3" s="23">
        <v>1</v>
      </c>
      <c r="I3" s="23">
        <v>1</v>
      </c>
      <c r="J3" s="23">
        <v>12.1</v>
      </c>
      <c r="K3" s="23">
        <v>0.5</v>
      </c>
      <c r="L3" s="23">
        <v>7.3</v>
      </c>
      <c r="M3" s="23">
        <v>0.75</v>
      </c>
      <c r="N3" s="23">
        <v>2.2000000000000002</v>
      </c>
      <c r="O3" s="23">
        <v>0</v>
      </c>
      <c r="P3" s="23"/>
      <c r="Q3" s="23">
        <v>77.150000000000006</v>
      </c>
      <c r="R3" s="23">
        <v>349</v>
      </c>
      <c r="S3" s="23">
        <v>348.95000000000005</v>
      </c>
      <c r="T3" s="23">
        <v>15</v>
      </c>
      <c r="U3" s="23">
        <v>1.3</v>
      </c>
      <c r="V3" s="23">
        <v>0</v>
      </c>
      <c r="W3" s="23">
        <v>1.3</v>
      </c>
      <c r="X3" s="23"/>
      <c r="Y3" s="23"/>
      <c r="Z3" s="23">
        <v>1.19</v>
      </c>
      <c r="AA3" s="23">
        <v>9.5</v>
      </c>
      <c r="AB3" s="23">
        <v>0</v>
      </c>
      <c r="AC3" s="23">
        <v>0.16</v>
      </c>
      <c r="AD3" s="23">
        <v>6.5000000000000002E-2</v>
      </c>
      <c r="AE3" s="23">
        <v>0</v>
      </c>
      <c r="AF3" s="23">
        <v>0</v>
      </c>
      <c r="AG3" s="23">
        <v>0</v>
      </c>
      <c r="AH3" s="23">
        <v>0</v>
      </c>
      <c r="AI3" s="23"/>
      <c r="AJ3" s="23">
        <v>0</v>
      </c>
      <c r="AK3" s="38">
        <v>101</v>
      </c>
      <c r="AL3" s="38">
        <v>1</v>
      </c>
    </row>
    <row r="4" spans="1:38">
      <c r="A4" s="38">
        <v>103</v>
      </c>
      <c r="B4" s="16" t="s">
        <v>187</v>
      </c>
      <c r="C4" s="16" t="s">
        <v>554</v>
      </c>
      <c r="D4" s="38"/>
      <c r="E4" s="16"/>
      <c r="F4" s="16"/>
      <c r="G4" s="23">
        <v>0</v>
      </c>
      <c r="H4" s="23">
        <v>1</v>
      </c>
      <c r="I4" s="23">
        <v>1</v>
      </c>
      <c r="J4" s="23">
        <v>12.1</v>
      </c>
      <c r="K4" s="23">
        <v>0.5</v>
      </c>
      <c r="L4" s="23">
        <v>7.3</v>
      </c>
      <c r="M4" s="23">
        <v>0.75</v>
      </c>
      <c r="N4" s="23">
        <v>2.2000000000000002</v>
      </c>
      <c r="O4" s="23">
        <v>0</v>
      </c>
      <c r="P4" s="23"/>
      <c r="Q4" s="23">
        <v>77.150000000000006</v>
      </c>
      <c r="R4" s="23">
        <v>349</v>
      </c>
      <c r="S4" s="23">
        <v>348.95000000000005</v>
      </c>
      <c r="T4" s="23">
        <v>15</v>
      </c>
      <c r="U4" s="23">
        <v>1.3</v>
      </c>
      <c r="V4" s="23">
        <v>0</v>
      </c>
      <c r="W4" s="23">
        <v>1.3</v>
      </c>
      <c r="X4" s="23"/>
      <c r="Y4" s="23"/>
      <c r="Z4" s="23">
        <v>1.19</v>
      </c>
      <c r="AA4" s="23">
        <v>9.5</v>
      </c>
      <c r="AB4" s="23">
        <v>0</v>
      </c>
      <c r="AC4" s="23">
        <v>0.16</v>
      </c>
      <c r="AD4" s="23">
        <v>6.5000000000000002E-2</v>
      </c>
      <c r="AE4" s="23">
        <v>0</v>
      </c>
      <c r="AF4" s="23">
        <v>0</v>
      </c>
      <c r="AG4" s="23">
        <v>0</v>
      </c>
      <c r="AH4" s="23">
        <v>0</v>
      </c>
      <c r="AI4" s="23"/>
      <c r="AJ4" s="23">
        <v>0</v>
      </c>
      <c r="AK4" s="38">
        <v>101</v>
      </c>
      <c r="AL4" s="38">
        <v>1</v>
      </c>
    </row>
    <row r="5" spans="1:38">
      <c r="A5" s="38">
        <v>104</v>
      </c>
      <c r="B5" s="16" t="s">
        <v>188</v>
      </c>
      <c r="C5" s="16" t="s">
        <v>611</v>
      </c>
      <c r="D5" s="38" t="s">
        <v>613</v>
      </c>
      <c r="E5" s="16" t="s">
        <v>612</v>
      </c>
      <c r="F5" s="16"/>
      <c r="G5" s="23">
        <v>0</v>
      </c>
      <c r="H5" s="23">
        <v>1</v>
      </c>
      <c r="I5" s="23">
        <v>1</v>
      </c>
      <c r="J5" s="23">
        <v>11.9</v>
      </c>
      <c r="K5" s="23">
        <v>1.3</v>
      </c>
      <c r="L5" s="23">
        <v>7.8</v>
      </c>
      <c r="M5" s="23">
        <v>2.2000000000000002</v>
      </c>
      <c r="N5" s="23">
        <v>3</v>
      </c>
      <c r="O5" s="23">
        <v>0</v>
      </c>
      <c r="P5" s="23"/>
      <c r="Q5" s="23">
        <v>73.8</v>
      </c>
      <c r="R5" s="23">
        <v>352</v>
      </c>
      <c r="S5" s="23">
        <v>352.2</v>
      </c>
      <c r="T5" s="23">
        <v>22</v>
      </c>
      <c r="U5" s="23">
        <v>1.9</v>
      </c>
      <c r="V5" s="23">
        <v>0</v>
      </c>
      <c r="W5" s="23">
        <v>1.9</v>
      </c>
      <c r="X5" s="23"/>
      <c r="Y5" s="23"/>
      <c r="Z5" s="23">
        <v>2.02</v>
      </c>
      <c r="AA5" s="23">
        <v>40</v>
      </c>
      <c r="AB5" s="23">
        <v>0</v>
      </c>
      <c r="AC5" s="23">
        <v>0.38</v>
      </c>
      <c r="AD5" s="23">
        <v>7.0000000000000007E-2</v>
      </c>
      <c r="AE5" s="23">
        <v>0</v>
      </c>
      <c r="AF5" s="23">
        <v>0</v>
      </c>
      <c r="AG5" s="23">
        <v>0</v>
      </c>
      <c r="AH5" s="23">
        <v>0</v>
      </c>
      <c r="AI5" s="23"/>
      <c r="AJ5" s="23">
        <v>0</v>
      </c>
      <c r="AK5" s="38">
        <v>101</v>
      </c>
      <c r="AL5" s="38">
        <v>1</v>
      </c>
    </row>
    <row r="6" spans="1:38">
      <c r="A6" s="38">
        <v>105</v>
      </c>
      <c r="B6" s="16" t="s">
        <v>189</v>
      </c>
      <c r="C6" s="16" t="s">
        <v>553</v>
      </c>
      <c r="D6" s="38"/>
      <c r="E6" s="16"/>
      <c r="F6" s="16"/>
      <c r="G6" s="23">
        <v>0</v>
      </c>
      <c r="H6" s="23">
        <v>1</v>
      </c>
      <c r="I6" s="23">
        <v>1</v>
      </c>
      <c r="J6" s="23">
        <v>13.149999999999999</v>
      </c>
      <c r="K6" s="23">
        <v>1.1000000000000001</v>
      </c>
      <c r="L6" s="23">
        <v>8.120000000000001</v>
      </c>
      <c r="M6" s="23">
        <v>4.0999999999999996</v>
      </c>
      <c r="N6" s="23">
        <v>10.65</v>
      </c>
      <c r="O6" s="23">
        <v>0</v>
      </c>
      <c r="P6" s="23"/>
      <c r="Q6" s="23">
        <v>62.88</v>
      </c>
      <c r="R6" s="23">
        <v>342.5</v>
      </c>
      <c r="S6" s="23">
        <v>342.2</v>
      </c>
      <c r="T6" s="23">
        <v>15.5</v>
      </c>
      <c r="U6" s="23">
        <v>3.25</v>
      </c>
      <c r="V6" s="23">
        <v>0</v>
      </c>
      <c r="W6" s="23">
        <v>3.25</v>
      </c>
      <c r="X6" s="23"/>
      <c r="Y6" s="23"/>
      <c r="Z6" s="23">
        <v>2.09</v>
      </c>
      <c r="AA6" s="23">
        <v>52</v>
      </c>
      <c r="AB6" s="23">
        <v>0</v>
      </c>
      <c r="AC6" s="23">
        <v>0.375</v>
      </c>
      <c r="AD6" s="23">
        <v>0.11</v>
      </c>
      <c r="AE6" s="23">
        <v>0</v>
      </c>
      <c r="AF6" s="23">
        <v>120.5</v>
      </c>
      <c r="AG6" s="23">
        <v>10.041666666666666</v>
      </c>
      <c r="AH6" s="23">
        <v>20.083333333333332</v>
      </c>
      <c r="AI6" s="23"/>
      <c r="AJ6" s="23">
        <v>0</v>
      </c>
      <c r="AK6" s="65">
        <v>102</v>
      </c>
      <c r="AL6" s="38">
        <v>1</v>
      </c>
    </row>
    <row r="7" spans="1:38">
      <c r="A7" s="38">
        <v>106</v>
      </c>
      <c r="B7" s="16" t="s">
        <v>190</v>
      </c>
      <c r="C7" s="16" t="s">
        <v>555</v>
      </c>
      <c r="D7" s="38">
        <v>1023</v>
      </c>
      <c r="E7" s="16" t="s">
        <v>398</v>
      </c>
      <c r="F7" s="16"/>
      <c r="G7" s="23">
        <v>31.999999999999996</v>
      </c>
      <c r="H7" s="23">
        <v>1</v>
      </c>
      <c r="I7" s="23">
        <v>1</v>
      </c>
      <c r="J7" s="23">
        <v>55.1</v>
      </c>
      <c r="K7" s="23">
        <v>0.8</v>
      </c>
      <c r="L7" s="23">
        <v>4.0999999999999996</v>
      </c>
      <c r="M7" s="23">
        <v>2.5</v>
      </c>
      <c r="N7" s="23">
        <v>16.100000000000001</v>
      </c>
      <c r="O7" s="23">
        <v>0</v>
      </c>
      <c r="P7" s="23"/>
      <c r="Q7" s="23">
        <v>21.4</v>
      </c>
      <c r="R7" s="23">
        <v>157</v>
      </c>
      <c r="S7" s="23">
        <v>156.69999999999999</v>
      </c>
      <c r="T7" s="23">
        <v>18</v>
      </c>
      <c r="U7" s="23">
        <v>1.2</v>
      </c>
      <c r="V7" s="23">
        <v>0</v>
      </c>
      <c r="W7" s="23">
        <v>1.2</v>
      </c>
      <c r="X7" s="23"/>
      <c r="Y7" s="23"/>
      <c r="Z7" s="23">
        <v>1.95</v>
      </c>
      <c r="AA7" s="23">
        <v>78</v>
      </c>
      <c r="AB7" s="23">
        <v>0.9</v>
      </c>
      <c r="AC7" s="23">
        <v>0.18</v>
      </c>
      <c r="AD7" s="23">
        <v>0.1</v>
      </c>
      <c r="AE7" s="23">
        <v>0</v>
      </c>
      <c r="AF7" s="23">
        <v>98</v>
      </c>
      <c r="AG7" s="23">
        <v>8</v>
      </c>
      <c r="AH7" s="23">
        <v>16</v>
      </c>
      <c r="AI7" s="23"/>
      <c r="AJ7" s="23">
        <v>0</v>
      </c>
      <c r="AK7" s="65">
        <v>102</v>
      </c>
      <c r="AL7" s="38">
        <v>1</v>
      </c>
    </row>
    <row r="8" spans="1:38">
      <c r="A8" s="38">
        <v>107</v>
      </c>
      <c r="B8" s="16" t="s">
        <v>191</v>
      </c>
      <c r="C8" s="16" t="s">
        <v>556</v>
      </c>
      <c r="D8" s="38"/>
      <c r="E8" s="16"/>
      <c r="F8" s="16"/>
      <c r="G8" s="23">
        <v>0</v>
      </c>
      <c r="H8" s="23">
        <v>1</v>
      </c>
      <c r="I8" s="23">
        <v>1</v>
      </c>
      <c r="J8" s="23">
        <v>55.1</v>
      </c>
      <c r="K8" s="23">
        <v>0.8</v>
      </c>
      <c r="L8" s="23">
        <v>4.0999999999999996</v>
      </c>
      <c r="M8" s="23">
        <v>2.5</v>
      </c>
      <c r="N8" s="23">
        <v>16.100000000000001</v>
      </c>
      <c r="O8" s="23">
        <v>0</v>
      </c>
      <c r="P8" s="23">
        <v>0</v>
      </c>
      <c r="Q8" s="23">
        <v>21.4</v>
      </c>
      <c r="R8" s="23">
        <v>157</v>
      </c>
      <c r="S8" s="23">
        <v>156.69999999999999</v>
      </c>
      <c r="T8" s="23">
        <v>18</v>
      </c>
      <c r="U8" s="23">
        <v>1.2</v>
      </c>
      <c r="V8" s="23">
        <v>0</v>
      </c>
      <c r="W8" s="23">
        <v>1.2</v>
      </c>
      <c r="X8" s="23"/>
      <c r="Y8" s="23"/>
      <c r="Z8" s="23">
        <v>1.95</v>
      </c>
      <c r="AA8" s="23">
        <v>78</v>
      </c>
      <c r="AB8" s="23">
        <v>0.9</v>
      </c>
      <c r="AC8" s="23">
        <v>0.18</v>
      </c>
      <c r="AD8" s="23">
        <v>0.1</v>
      </c>
      <c r="AE8" s="23">
        <v>0</v>
      </c>
      <c r="AF8" s="23">
        <v>98</v>
      </c>
      <c r="AG8" s="23">
        <v>8</v>
      </c>
      <c r="AH8" s="23">
        <v>16</v>
      </c>
      <c r="AI8" s="23"/>
      <c r="AJ8" s="23">
        <v>0</v>
      </c>
      <c r="AK8" s="65">
        <v>102</v>
      </c>
      <c r="AL8" s="38">
        <v>1</v>
      </c>
    </row>
    <row r="9" spans="1:38">
      <c r="A9" s="38">
        <v>108</v>
      </c>
      <c r="B9" s="16" t="s">
        <v>192</v>
      </c>
      <c r="C9" s="16" t="s">
        <v>555</v>
      </c>
      <c r="D9" s="38">
        <v>1022</v>
      </c>
      <c r="E9" s="16" t="s">
        <v>559</v>
      </c>
      <c r="F9" s="16"/>
      <c r="G9" s="23">
        <v>0</v>
      </c>
      <c r="H9" s="23">
        <v>1</v>
      </c>
      <c r="I9" s="23">
        <v>1</v>
      </c>
      <c r="J9" s="23">
        <v>13.6</v>
      </c>
      <c r="K9" s="23">
        <v>1.2</v>
      </c>
      <c r="L9" s="23">
        <v>7.9</v>
      </c>
      <c r="M9" s="23">
        <v>4.5</v>
      </c>
      <c r="N9" s="23">
        <v>9.4</v>
      </c>
      <c r="O9" s="23">
        <v>0</v>
      </c>
      <c r="P9" s="23"/>
      <c r="Q9" s="23">
        <v>63.4</v>
      </c>
      <c r="R9" s="23">
        <v>345</v>
      </c>
      <c r="S9" s="23">
        <v>344.5</v>
      </c>
      <c r="T9" s="23">
        <v>9</v>
      </c>
      <c r="U9" s="23">
        <v>2.6</v>
      </c>
      <c r="V9" s="23">
        <v>0</v>
      </c>
      <c r="W9" s="23">
        <v>2.6</v>
      </c>
      <c r="X9" s="23"/>
      <c r="Y9" s="23"/>
      <c r="Z9" s="23">
        <v>1.88</v>
      </c>
      <c r="AA9" s="23">
        <v>71</v>
      </c>
      <c r="AB9" s="23">
        <v>0</v>
      </c>
      <c r="AC9" s="23">
        <v>0.25</v>
      </c>
      <c r="AD9" s="23">
        <v>0.1</v>
      </c>
      <c r="AE9" s="23">
        <v>0</v>
      </c>
      <c r="AF9" s="23">
        <v>0</v>
      </c>
      <c r="AG9" s="23">
        <v>0</v>
      </c>
      <c r="AH9" s="23">
        <v>0</v>
      </c>
      <c r="AI9" s="23"/>
      <c r="AJ9" s="23">
        <v>0</v>
      </c>
      <c r="AK9" s="65">
        <v>102</v>
      </c>
      <c r="AL9" s="38">
        <v>1</v>
      </c>
    </row>
    <row r="10" spans="1:38">
      <c r="A10" s="38">
        <v>109</v>
      </c>
      <c r="B10" s="16" t="s">
        <v>193</v>
      </c>
      <c r="C10" s="16" t="s">
        <v>558</v>
      </c>
      <c r="D10" s="38">
        <v>19034</v>
      </c>
      <c r="E10" s="16" t="s">
        <v>557</v>
      </c>
      <c r="F10" s="16"/>
      <c r="G10" s="23">
        <v>0</v>
      </c>
      <c r="H10" s="23">
        <v>1</v>
      </c>
      <c r="I10" s="23">
        <v>1</v>
      </c>
      <c r="J10" s="23">
        <v>3.32</v>
      </c>
      <c r="K10" s="23">
        <v>1.42</v>
      </c>
      <c r="L10" s="23">
        <v>12.94</v>
      </c>
      <c r="M10" s="23">
        <v>4.54</v>
      </c>
      <c r="N10" s="23">
        <v>14.5</v>
      </c>
      <c r="O10" s="23">
        <v>0</v>
      </c>
      <c r="P10" s="23">
        <v>77.78</v>
      </c>
      <c r="Q10" s="23">
        <v>63.28</v>
      </c>
      <c r="R10" s="23">
        <v>387</v>
      </c>
      <c r="S10" s="23">
        <v>374.74</v>
      </c>
      <c r="T10" s="23">
        <v>7</v>
      </c>
      <c r="U10" s="23">
        <v>3.19</v>
      </c>
      <c r="V10" s="23">
        <v>0</v>
      </c>
      <c r="W10" s="23">
        <v>3.19</v>
      </c>
      <c r="X10" s="23"/>
      <c r="Y10" s="23"/>
      <c r="Z10" s="23">
        <v>3.08</v>
      </c>
      <c r="AA10" s="23">
        <v>31</v>
      </c>
      <c r="AB10" s="23">
        <v>0</v>
      </c>
      <c r="AC10" s="23">
        <v>0.104</v>
      </c>
      <c r="AD10" s="23">
        <v>8.3000000000000004E-2</v>
      </c>
      <c r="AE10" s="23">
        <v>0</v>
      </c>
      <c r="AF10" s="23">
        <v>118</v>
      </c>
      <c r="AG10" s="23">
        <v>9.8333333333333339</v>
      </c>
      <c r="AH10" s="23">
        <v>19.666666666666668</v>
      </c>
      <c r="AI10" s="23"/>
      <c r="AJ10" s="23">
        <v>0</v>
      </c>
      <c r="AK10" s="65">
        <v>102</v>
      </c>
      <c r="AL10" s="38">
        <v>1</v>
      </c>
    </row>
    <row r="11" spans="1:38">
      <c r="A11" s="38">
        <v>110</v>
      </c>
      <c r="B11" s="16" t="s">
        <v>194</v>
      </c>
      <c r="C11" s="16" t="s">
        <v>555</v>
      </c>
      <c r="D11" s="38">
        <v>1020</v>
      </c>
      <c r="E11" s="16" t="s">
        <v>414</v>
      </c>
      <c r="F11" s="16"/>
      <c r="G11" s="23">
        <v>0</v>
      </c>
      <c r="H11" s="23">
        <v>1</v>
      </c>
      <c r="I11" s="23">
        <v>1</v>
      </c>
      <c r="J11" s="23">
        <v>12.7</v>
      </c>
      <c r="K11" s="23">
        <v>0.7</v>
      </c>
      <c r="L11" s="23">
        <v>6.8</v>
      </c>
      <c r="M11" s="23">
        <v>3</v>
      </c>
      <c r="N11" s="23">
        <v>4.5</v>
      </c>
      <c r="O11" s="23">
        <v>0</v>
      </c>
      <c r="P11" s="23"/>
      <c r="Q11" s="23">
        <v>72.3</v>
      </c>
      <c r="R11" s="23">
        <v>352</v>
      </c>
      <c r="S11" s="23">
        <v>352.4</v>
      </c>
      <c r="T11" s="23">
        <v>20</v>
      </c>
      <c r="U11" s="23">
        <v>3.6</v>
      </c>
      <c r="V11" s="23">
        <v>0</v>
      </c>
      <c r="W11" s="23">
        <v>3.6</v>
      </c>
      <c r="X11" s="23"/>
      <c r="Y11" s="23"/>
      <c r="Z11" s="23">
        <v>4.3600000000000003</v>
      </c>
      <c r="AA11" s="23">
        <v>523</v>
      </c>
      <c r="AB11" s="23">
        <v>0</v>
      </c>
      <c r="AC11" s="23">
        <v>0.5</v>
      </c>
      <c r="AD11" s="23">
        <v>0.31</v>
      </c>
      <c r="AE11" s="23">
        <v>71.400000000000006</v>
      </c>
      <c r="AF11" s="23">
        <v>0</v>
      </c>
      <c r="AG11" s="23">
        <v>71</v>
      </c>
      <c r="AH11" s="23">
        <v>71</v>
      </c>
      <c r="AI11" s="23"/>
      <c r="AJ11" s="23">
        <v>0</v>
      </c>
      <c r="AK11" s="65">
        <v>102</v>
      </c>
      <c r="AL11" s="38">
        <v>1</v>
      </c>
    </row>
    <row r="12" spans="1:38">
      <c r="A12" s="38">
        <v>111</v>
      </c>
      <c r="B12" s="16" t="s">
        <v>195</v>
      </c>
      <c r="C12" s="16" t="s">
        <v>555</v>
      </c>
      <c r="D12" s="38">
        <v>1020</v>
      </c>
      <c r="E12" s="16" t="s">
        <v>414</v>
      </c>
      <c r="F12" s="16"/>
      <c r="G12" s="23">
        <v>0</v>
      </c>
      <c r="H12" s="23">
        <v>1</v>
      </c>
      <c r="I12" s="23">
        <v>1</v>
      </c>
      <c r="J12" s="23">
        <v>12.7</v>
      </c>
      <c r="K12" s="23">
        <v>0.7</v>
      </c>
      <c r="L12" s="23">
        <v>6.8</v>
      </c>
      <c r="M12" s="23">
        <v>3</v>
      </c>
      <c r="N12" s="23">
        <v>4.5</v>
      </c>
      <c r="O12" s="23">
        <v>0</v>
      </c>
      <c r="P12" s="23"/>
      <c r="Q12" s="23">
        <v>72.3</v>
      </c>
      <c r="R12" s="23">
        <v>352</v>
      </c>
      <c r="S12" s="23">
        <v>352.4</v>
      </c>
      <c r="T12" s="23">
        <v>20</v>
      </c>
      <c r="U12" s="23">
        <v>3.6</v>
      </c>
      <c r="V12" s="23">
        <v>0</v>
      </c>
      <c r="W12" s="23">
        <v>3.6</v>
      </c>
      <c r="X12" s="23"/>
      <c r="Y12" s="23"/>
      <c r="Z12" s="23">
        <v>4.3600000000000003</v>
      </c>
      <c r="AA12" s="23">
        <v>523</v>
      </c>
      <c r="AB12" s="23">
        <v>0</v>
      </c>
      <c r="AC12" s="23">
        <v>0.5</v>
      </c>
      <c r="AD12" s="23">
        <v>0.31</v>
      </c>
      <c r="AE12" s="23">
        <v>71.400000000000006</v>
      </c>
      <c r="AF12" s="23">
        <v>0</v>
      </c>
      <c r="AG12" s="23">
        <v>71</v>
      </c>
      <c r="AH12" s="23">
        <v>71</v>
      </c>
      <c r="AI12" s="23"/>
      <c r="AJ12" s="23">
        <v>0</v>
      </c>
      <c r="AK12" s="65">
        <v>102</v>
      </c>
      <c r="AL12" s="38">
        <v>1</v>
      </c>
    </row>
    <row r="13" spans="1:38">
      <c r="A13" s="38">
        <v>113</v>
      </c>
      <c r="B13" s="16" t="s">
        <v>196</v>
      </c>
      <c r="C13" s="16" t="s">
        <v>555</v>
      </c>
      <c r="D13" s="38">
        <v>1045</v>
      </c>
      <c r="E13" s="16" t="s">
        <v>399</v>
      </c>
      <c r="F13" s="16"/>
      <c r="G13" s="23">
        <v>0</v>
      </c>
      <c r="H13" s="23">
        <v>1</v>
      </c>
      <c r="I13" s="23">
        <v>1</v>
      </c>
      <c r="J13" s="23">
        <v>12.5</v>
      </c>
      <c r="K13" s="23">
        <v>1.7</v>
      </c>
      <c r="L13" s="23">
        <v>11.6</v>
      </c>
      <c r="M13" s="23">
        <v>2.5</v>
      </c>
      <c r="N13" s="23">
        <v>14</v>
      </c>
      <c r="O13" s="23">
        <v>0</v>
      </c>
      <c r="P13" s="23"/>
      <c r="Q13" s="23">
        <v>57.8</v>
      </c>
      <c r="R13" s="23">
        <v>328</v>
      </c>
      <c r="S13" s="23">
        <v>328.1</v>
      </c>
      <c r="T13" s="23">
        <v>39</v>
      </c>
      <c r="U13" s="23">
        <v>4.9000000000000004</v>
      </c>
      <c r="V13" s="23">
        <v>0</v>
      </c>
      <c r="W13" s="23">
        <v>4.9000000000000004</v>
      </c>
      <c r="X13" s="23"/>
      <c r="Y13" s="23"/>
      <c r="Z13" s="23">
        <v>3</v>
      </c>
      <c r="AA13" s="23">
        <v>57</v>
      </c>
      <c r="AB13" s="23">
        <v>0</v>
      </c>
      <c r="AC13" s="23">
        <v>0.39</v>
      </c>
      <c r="AD13" s="23">
        <v>0.13</v>
      </c>
      <c r="AE13" s="23">
        <v>0</v>
      </c>
      <c r="AF13" s="23">
        <v>5</v>
      </c>
      <c r="AG13" s="23">
        <v>0</v>
      </c>
      <c r="AH13" s="23">
        <v>1</v>
      </c>
      <c r="AI13" s="23"/>
      <c r="AJ13" s="23">
        <v>0</v>
      </c>
      <c r="AK13" s="65">
        <v>103</v>
      </c>
      <c r="AL13" s="38">
        <v>1</v>
      </c>
    </row>
    <row r="14" spans="1:38">
      <c r="A14" s="38">
        <v>114</v>
      </c>
      <c r="B14" s="16" t="s">
        <v>197</v>
      </c>
      <c r="C14" s="16" t="s">
        <v>555</v>
      </c>
      <c r="D14" s="38">
        <v>1042</v>
      </c>
      <c r="E14" s="16" t="s">
        <v>400</v>
      </c>
      <c r="F14" s="16"/>
      <c r="G14" s="23">
        <v>0</v>
      </c>
      <c r="H14" s="23">
        <v>1</v>
      </c>
      <c r="I14" s="23">
        <v>1</v>
      </c>
      <c r="J14" s="23">
        <v>11.7</v>
      </c>
      <c r="K14" s="23">
        <v>1.4</v>
      </c>
      <c r="L14" s="23">
        <v>11.4</v>
      </c>
      <c r="M14" s="23">
        <v>1.8</v>
      </c>
      <c r="N14" s="23">
        <v>11.3</v>
      </c>
      <c r="O14" s="23">
        <v>0</v>
      </c>
      <c r="P14" s="23"/>
      <c r="Q14" s="23">
        <v>62.4</v>
      </c>
      <c r="R14" s="23">
        <v>334</v>
      </c>
      <c r="S14" s="23">
        <v>334</v>
      </c>
      <c r="T14" s="23">
        <v>34</v>
      </c>
      <c r="U14" s="23">
        <v>3.8</v>
      </c>
      <c r="V14" s="23">
        <v>0</v>
      </c>
      <c r="W14" s="23">
        <v>3.8</v>
      </c>
      <c r="X14" s="23"/>
      <c r="Y14" s="23"/>
      <c r="Z14" s="23">
        <v>2.33</v>
      </c>
      <c r="AA14" s="23">
        <v>80</v>
      </c>
      <c r="AB14" s="23">
        <v>0</v>
      </c>
      <c r="AC14" s="23">
        <v>0.5</v>
      </c>
      <c r="AD14" s="23">
        <v>0.14000000000000001</v>
      </c>
      <c r="AE14" s="23">
        <v>0</v>
      </c>
      <c r="AF14" s="23">
        <v>2</v>
      </c>
      <c r="AG14" s="23">
        <v>0</v>
      </c>
      <c r="AH14" s="23">
        <v>0</v>
      </c>
      <c r="AI14" s="23"/>
      <c r="AJ14" s="23">
        <v>0</v>
      </c>
      <c r="AK14" s="65">
        <v>103</v>
      </c>
      <c r="AL14" s="38">
        <v>1</v>
      </c>
    </row>
    <row r="15" spans="1:38">
      <c r="A15" s="38">
        <v>115</v>
      </c>
      <c r="B15" s="16" t="s">
        <v>198</v>
      </c>
      <c r="C15" s="16" t="s">
        <v>555</v>
      </c>
      <c r="D15" s="38">
        <v>1044</v>
      </c>
      <c r="E15" s="16" t="s">
        <v>401</v>
      </c>
      <c r="F15" s="16"/>
      <c r="G15" s="23">
        <v>0</v>
      </c>
      <c r="H15" s="23">
        <v>1</v>
      </c>
      <c r="I15" s="23">
        <v>1</v>
      </c>
      <c r="J15" s="23">
        <v>12.5</v>
      </c>
      <c r="K15" s="23">
        <v>1.7</v>
      </c>
      <c r="L15" s="23">
        <v>11.3</v>
      </c>
      <c r="M15" s="23">
        <v>2.5</v>
      </c>
      <c r="N15" s="23">
        <v>14</v>
      </c>
      <c r="O15" s="23">
        <v>0</v>
      </c>
      <c r="P15" s="23"/>
      <c r="Q15" s="23">
        <v>58</v>
      </c>
      <c r="R15" s="23">
        <v>328</v>
      </c>
      <c r="S15" s="23">
        <v>327.7</v>
      </c>
      <c r="T15" s="23">
        <v>39</v>
      </c>
      <c r="U15" s="23">
        <v>4</v>
      </c>
      <c r="V15" s="23">
        <v>0</v>
      </c>
      <c r="W15" s="23">
        <v>4</v>
      </c>
      <c r="X15" s="23"/>
      <c r="Y15" s="23"/>
      <c r="Z15" s="23">
        <v>3</v>
      </c>
      <c r="AA15" s="23">
        <v>0</v>
      </c>
      <c r="AB15" s="23">
        <v>0</v>
      </c>
      <c r="AC15" s="23">
        <v>0.43</v>
      </c>
      <c r="AD15" s="23">
        <v>0.14000000000000001</v>
      </c>
      <c r="AE15" s="23">
        <v>0</v>
      </c>
      <c r="AF15" s="23">
        <v>3</v>
      </c>
      <c r="AG15" s="23">
        <v>0</v>
      </c>
      <c r="AH15" s="23">
        <v>1</v>
      </c>
      <c r="AI15" s="23"/>
      <c r="AJ15" s="23">
        <v>0</v>
      </c>
      <c r="AK15" s="65">
        <v>103</v>
      </c>
      <c r="AL15" s="38">
        <v>1</v>
      </c>
    </row>
    <row r="16" spans="1:38">
      <c r="A16" s="38">
        <v>116</v>
      </c>
      <c r="B16" s="16" t="s">
        <v>199</v>
      </c>
      <c r="C16" s="16" t="s">
        <v>555</v>
      </c>
      <c r="D16" s="38">
        <v>1043</v>
      </c>
      <c r="E16" s="16" t="s">
        <v>413</v>
      </c>
      <c r="F16" s="16"/>
      <c r="G16" s="23">
        <v>0</v>
      </c>
      <c r="H16" s="23">
        <v>1</v>
      </c>
      <c r="I16" s="23">
        <v>1</v>
      </c>
      <c r="J16" s="23">
        <v>12.2</v>
      </c>
      <c r="K16" s="23">
        <v>0.7</v>
      </c>
      <c r="L16" s="23">
        <v>11.2</v>
      </c>
      <c r="M16" s="23">
        <v>1.6</v>
      </c>
      <c r="N16" s="23">
        <v>3.6</v>
      </c>
      <c r="O16" s="23">
        <v>0</v>
      </c>
      <c r="P16" s="23"/>
      <c r="Q16" s="23">
        <v>70.7</v>
      </c>
      <c r="R16" s="23">
        <v>349</v>
      </c>
      <c r="S16" s="23">
        <v>349.2</v>
      </c>
      <c r="T16" s="23">
        <v>35</v>
      </c>
      <c r="U16" s="23">
        <v>5.6</v>
      </c>
      <c r="V16" s="23">
        <v>0</v>
      </c>
      <c r="W16" s="23">
        <v>5.6</v>
      </c>
      <c r="X16" s="23"/>
      <c r="Y16" s="23"/>
      <c r="Z16" s="23">
        <v>0.87</v>
      </c>
      <c r="AA16" s="23">
        <v>577</v>
      </c>
      <c r="AB16" s="23">
        <v>0</v>
      </c>
      <c r="AC16" s="23">
        <v>0.91</v>
      </c>
      <c r="AD16" s="23">
        <v>0.56999999999999995</v>
      </c>
      <c r="AE16" s="23">
        <v>93</v>
      </c>
      <c r="AF16" s="23">
        <v>2</v>
      </c>
      <c r="AG16" s="23">
        <v>93</v>
      </c>
      <c r="AH16" s="23">
        <v>93</v>
      </c>
      <c r="AI16" s="23"/>
      <c r="AJ16" s="23">
        <v>0.7</v>
      </c>
      <c r="AK16" s="65">
        <v>103</v>
      </c>
      <c r="AL16" s="38">
        <v>1</v>
      </c>
    </row>
    <row r="17" spans="1:38">
      <c r="A17" s="38">
        <v>117</v>
      </c>
      <c r="B17" s="16" t="s">
        <v>200</v>
      </c>
      <c r="C17" s="16" t="s">
        <v>705</v>
      </c>
      <c r="D17" s="38">
        <v>1025</v>
      </c>
      <c r="E17" s="16" t="s">
        <v>402</v>
      </c>
      <c r="F17" s="16"/>
      <c r="G17" s="23">
        <v>0</v>
      </c>
      <c r="H17" s="23">
        <v>1</v>
      </c>
      <c r="I17" s="23">
        <v>1</v>
      </c>
      <c r="J17" s="23">
        <v>11</v>
      </c>
      <c r="K17" s="23">
        <v>2.7</v>
      </c>
      <c r="L17" s="23">
        <v>9.8000000000000007</v>
      </c>
      <c r="M17" s="23">
        <v>5.3</v>
      </c>
      <c r="N17" s="23">
        <v>8.8000000000000007</v>
      </c>
      <c r="O17" s="23">
        <v>0</v>
      </c>
      <c r="P17" s="23"/>
      <c r="Q17" s="23">
        <v>62.5</v>
      </c>
      <c r="R17" s="23">
        <v>354</v>
      </c>
      <c r="S17" s="23">
        <v>354.5</v>
      </c>
      <c r="T17" s="23">
        <v>32</v>
      </c>
      <c r="U17" s="23">
        <v>6.3</v>
      </c>
      <c r="V17" s="23">
        <v>0</v>
      </c>
      <c r="W17" s="23">
        <v>6.3</v>
      </c>
      <c r="X17" s="23"/>
      <c r="Y17" s="23"/>
      <c r="Z17" s="23">
        <v>4.1399999999999997</v>
      </c>
      <c r="AA17" s="23">
        <v>162</v>
      </c>
      <c r="AB17" s="23">
        <v>3</v>
      </c>
      <c r="AC17" s="23">
        <v>0.27</v>
      </c>
      <c r="AD17" s="23">
        <v>0.17</v>
      </c>
      <c r="AE17" s="23">
        <v>0</v>
      </c>
      <c r="AF17" s="23">
        <v>28</v>
      </c>
      <c r="AG17" s="23">
        <v>2</v>
      </c>
      <c r="AH17" s="23">
        <v>5</v>
      </c>
      <c r="AI17" s="23"/>
      <c r="AJ17" s="23">
        <v>0</v>
      </c>
      <c r="AK17" s="65">
        <v>105</v>
      </c>
      <c r="AL17" s="38">
        <v>1</v>
      </c>
    </row>
    <row r="18" spans="1:38">
      <c r="A18" s="38">
        <v>118</v>
      </c>
      <c r="B18" s="16" t="s">
        <v>201</v>
      </c>
      <c r="C18" s="16" t="s">
        <v>553</v>
      </c>
      <c r="D18" s="38"/>
      <c r="E18" s="16"/>
      <c r="F18" s="16"/>
      <c r="G18" s="23">
        <v>0</v>
      </c>
      <c r="H18" s="23">
        <v>1</v>
      </c>
      <c r="I18" s="23">
        <v>1</v>
      </c>
      <c r="J18" s="23">
        <v>11.15</v>
      </c>
      <c r="K18" s="23">
        <v>3.1</v>
      </c>
      <c r="L18" s="23">
        <v>8.9499999999999993</v>
      </c>
      <c r="M18" s="23">
        <v>3.65</v>
      </c>
      <c r="N18" s="23">
        <v>15.700000000000001</v>
      </c>
      <c r="O18" s="23">
        <v>0</v>
      </c>
      <c r="P18" s="23"/>
      <c r="Q18" s="23">
        <v>57.449999999999989</v>
      </c>
      <c r="R18" s="23">
        <v>330</v>
      </c>
      <c r="S18" s="23">
        <v>329.84999999999997</v>
      </c>
      <c r="T18" s="23">
        <v>188</v>
      </c>
      <c r="U18" s="23">
        <v>25.45</v>
      </c>
      <c r="V18" s="23">
        <v>0</v>
      </c>
      <c r="W18" s="23">
        <v>25.45</v>
      </c>
      <c r="X18" s="23"/>
      <c r="Y18" s="23"/>
      <c r="Z18" s="23">
        <v>2.92</v>
      </c>
      <c r="AA18" s="23">
        <v>127.5</v>
      </c>
      <c r="AB18" s="23">
        <v>1.5</v>
      </c>
      <c r="AC18" s="23">
        <v>0.23</v>
      </c>
      <c r="AD18" s="23">
        <v>0.10500000000000001</v>
      </c>
      <c r="AE18" s="23">
        <v>0</v>
      </c>
      <c r="AF18" s="23">
        <v>1</v>
      </c>
      <c r="AG18" s="23">
        <v>8.3333333333333329E-2</v>
      </c>
      <c r="AH18" s="23">
        <v>0.16666666666666666</v>
      </c>
      <c r="AI18" s="23"/>
      <c r="AJ18" s="23">
        <v>0</v>
      </c>
      <c r="AK18" s="65">
        <v>105</v>
      </c>
      <c r="AL18" s="38">
        <v>1</v>
      </c>
    </row>
    <row r="19" spans="1:38">
      <c r="A19" s="38">
        <v>119</v>
      </c>
      <c r="B19" s="16" t="s">
        <v>202</v>
      </c>
      <c r="C19" s="16" t="s">
        <v>561</v>
      </c>
      <c r="D19" s="38">
        <v>359</v>
      </c>
      <c r="E19" s="16" t="s">
        <v>560</v>
      </c>
      <c r="F19" s="16"/>
      <c r="G19" s="23">
        <v>0</v>
      </c>
      <c r="H19" s="23">
        <v>2</v>
      </c>
      <c r="I19" s="23">
        <v>2</v>
      </c>
      <c r="J19" s="23"/>
      <c r="K19" s="23"/>
      <c r="L19" s="23">
        <v>2.6</v>
      </c>
      <c r="M19" s="23">
        <v>0.7</v>
      </c>
      <c r="N19" s="23">
        <v>3.6</v>
      </c>
      <c r="O19" s="23">
        <v>0</v>
      </c>
      <c r="P19" s="23">
        <v>76.599999999999994</v>
      </c>
      <c r="Q19" s="23">
        <v>73</v>
      </c>
      <c r="R19" s="23">
        <v>314</v>
      </c>
      <c r="S19" s="23">
        <v>315.89999999999998</v>
      </c>
      <c r="T19" s="23">
        <v>46</v>
      </c>
      <c r="U19" s="23">
        <v>1.9</v>
      </c>
      <c r="V19" s="23">
        <v>0</v>
      </c>
      <c r="W19" s="23">
        <v>1.9</v>
      </c>
      <c r="X19" s="23"/>
      <c r="Y19" s="23"/>
      <c r="Z19" s="23">
        <v>0.7</v>
      </c>
      <c r="AA19" s="23">
        <v>0</v>
      </c>
      <c r="AB19" s="23">
        <v>72</v>
      </c>
      <c r="AC19" s="23">
        <v>0.3</v>
      </c>
      <c r="AD19" s="23">
        <v>0.1</v>
      </c>
      <c r="AE19" s="23">
        <v>0</v>
      </c>
      <c r="AF19" s="23">
        <v>168</v>
      </c>
      <c r="AG19" s="23">
        <v>14</v>
      </c>
      <c r="AH19" s="23">
        <v>28</v>
      </c>
      <c r="AI19" s="23"/>
      <c r="AJ19" s="23">
        <v>0</v>
      </c>
      <c r="AK19" s="65">
        <v>202</v>
      </c>
      <c r="AL19" s="65">
        <v>2</v>
      </c>
    </row>
    <row r="20" spans="1:38">
      <c r="A20" s="38">
        <v>120</v>
      </c>
      <c r="B20" s="16" t="s">
        <v>203</v>
      </c>
      <c r="C20" s="16" t="s">
        <v>553</v>
      </c>
      <c r="D20" s="38"/>
      <c r="E20" s="16"/>
      <c r="F20" s="16"/>
      <c r="G20" s="23">
        <v>0</v>
      </c>
      <c r="H20" s="23">
        <v>1</v>
      </c>
      <c r="I20" s="23">
        <v>1</v>
      </c>
      <c r="J20" s="23">
        <v>11.7</v>
      </c>
      <c r="K20" s="23">
        <v>1.65</v>
      </c>
      <c r="L20" s="23">
        <v>10.050000000000001</v>
      </c>
      <c r="M20" s="23">
        <v>3.5</v>
      </c>
      <c r="N20" s="23">
        <v>12.95</v>
      </c>
      <c r="O20" s="23">
        <v>0</v>
      </c>
      <c r="P20" s="23"/>
      <c r="Q20" s="23">
        <v>60.149999999999991</v>
      </c>
      <c r="R20" s="23">
        <v>338.5</v>
      </c>
      <c r="S20" s="23">
        <v>338.19999999999993</v>
      </c>
      <c r="T20" s="23">
        <v>14</v>
      </c>
      <c r="U20" s="23">
        <v>4.7</v>
      </c>
      <c r="V20" s="23">
        <v>0</v>
      </c>
      <c r="W20" s="23">
        <v>4.7</v>
      </c>
      <c r="X20" s="23"/>
      <c r="Y20" s="23"/>
      <c r="Z20" s="23">
        <v>1.83</v>
      </c>
      <c r="AA20" s="23">
        <v>64</v>
      </c>
      <c r="AB20" s="23">
        <v>0</v>
      </c>
      <c r="AC20" s="23">
        <v>0.24</v>
      </c>
      <c r="AD20" s="23">
        <v>0.11</v>
      </c>
      <c r="AE20" s="23">
        <v>0</v>
      </c>
      <c r="AF20" s="23">
        <v>10.5</v>
      </c>
      <c r="AG20" s="23">
        <v>0.875</v>
      </c>
      <c r="AH20" s="23">
        <v>1.75</v>
      </c>
      <c r="AI20" s="23"/>
      <c r="AJ20" s="23">
        <v>0</v>
      </c>
      <c r="AK20" s="65">
        <v>104</v>
      </c>
      <c r="AL20" s="38">
        <v>1</v>
      </c>
    </row>
    <row r="21" spans="1:38">
      <c r="A21" s="38">
        <v>121</v>
      </c>
      <c r="B21" s="16" t="s">
        <v>204</v>
      </c>
      <c r="C21" s="16" t="s">
        <v>553</v>
      </c>
      <c r="D21" s="38"/>
      <c r="E21" s="16"/>
      <c r="F21" s="16"/>
      <c r="G21" s="23">
        <v>0</v>
      </c>
      <c r="H21" s="23">
        <v>1</v>
      </c>
      <c r="I21" s="23">
        <v>1</v>
      </c>
      <c r="J21" s="23">
        <v>11.7</v>
      </c>
      <c r="K21" s="23">
        <v>1.65</v>
      </c>
      <c r="L21" s="23">
        <v>10.050000000000001</v>
      </c>
      <c r="M21" s="23">
        <v>3.5</v>
      </c>
      <c r="N21" s="23">
        <v>12.95</v>
      </c>
      <c r="O21" s="23">
        <v>0</v>
      </c>
      <c r="P21" s="23"/>
      <c r="Q21" s="23">
        <v>60.149999999999991</v>
      </c>
      <c r="R21" s="23">
        <v>338.5</v>
      </c>
      <c r="S21" s="23">
        <v>338.19999999999993</v>
      </c>
      <c r="T21" s="23">
        <v>14</v>
      </c>
      <c r="U21" s="23">
        <v>4.7</v>
      </c>
      <c r="V21" s="23">
        <v>0</v>
      </c>
      <c r="W21" s="23">
        <v>4.7</v>
      </c>
      <c r="X21" s="23"/>
      <c r="Y21" s="23"/>
      <c r="Z21" s="23">
        <v>1.83</v>
      </c>
      <c r="AA21" s="23">
        <v>25</v>
      </c>
      <c r="AB21" s="23">
        <v>0</v>
      </c>
      <c r="AC21" s="23">
        <v>0.24</v>
      </c>
      <c r="AD21" s="23">
        <v>0.11</v>
      </c>
      <c r="AE21" s="23">
        <v>0</v>
      </c>
      <c r="AF21" s="23">
        <v>4.1449999999999996</v>
      </c>
      <c r="AG21" s="23">
        <v>0.34541666666666665</v>
      </c>
      <c r="AH21" s="23">
        <v>0.6908333333333333</v>
      </c>
      <c r="AI21" s="23"/>
      <c r="AJ21" s="23">
        <v>0</v>
      </c>
      <c r="AK21" s="65">
        <v>104</v>
      </c>
      <c r="AL21" s="38">
        <v>1</v>
      </c>
    </row>
    <row r="22" spans="1:38">
      <c r="A22" s="38">
        <v>122</v>
      </c>
      <c r="B22" s="16" t="s">
        <v>205</v>
      </c>
      <c r="C22" s="16" t="s">
        <v>566</v>
      </c>
      <c r="D22" s="38">
        <v>10014</v>
      </c>
      <c r="E22" s="16" t="s">
        <v>567</v>
      </c>
      <c r="F22" s="16"/>
      <c r="G22" s="23">
        <v>0</v>
      </c>
      <c r="H22" s="23">
        <v>6</v>
      </c>
      <c r="I22" s="23">
        <v>12</v>
      </c>
      <c r="J22" s="23">
        <v>4.9000000000000004</v>
      </c>
      <c r="K22" s="23">
        <v>5</v>
      </c>
      <c r="L22" s="23">
        <v>15.3</v>
      </c>
      <c r="M22" s="23">
        <v>54.1</v>
      </c>
      <c r="N22" s="23">
        <v>14.3</v>
      </c>
      <c r="O22" s="23">
        <v>0</v>
      </c>
      <c r="P22" s="23"/>
      <c r="Q22" s="23">
        <v>6.4</v>
      </c>
      <c r="R22" s="23">
        <v>602</v>
      </c>
      <c r="S22" s="23">
        <v>602.30000000000007</v>
      </c>
      <c r="T22" s="23">
        <v>1430</v>
      </c>
      <c r="U22" s="23">
        <v>9.6999999999999993</v>
      </c>
      <c r="V22" s="23">
        <v>0</v>
      </c>
      <c r="W22" s="23">
        <v>9.6999999999999993</v>
      </c>
      <c r="X22" s="23"/>
      <c r="Y22" s="23"/>
      <c r="Z22" s="23">
        <v>1.72</v>
      </c>
      <c r="AA22" s="23">
        <v>103</v>
      </c>
      <c r="AB22" s="23">
        <v>0</v>
      </c>
      <c r="AC22" s="23">
        <v>1.01</v>
      </c>
      <c r="AD22" s="23">
        <v>0.34</v>
      </c>
      <c r="AE22" s="23">
        <v>0</v>
      </c>
      <c r="AF22" s="23">
        <v>5</v>
      </c>
      <c r="AG22" s="23">
        <v>0</v>
      </c>
      <c r="AH22" s="23">
        <v>1</v>
      </c>
      <c r="AI22" s="23"/>
      <c r="AJ22" s="23">
        <v>0</v>
      </c>
      <c r="AK22" s="65">
        <v>303</v>
      </c>
      <c r="AL22" s="65">
        <v>3</v>
      </c>
    </row>
    <row r="23" spans="1:38">
      <c r="A23" s="38">
        <v>123</v>
      </c>
      <c r="B23" s="16" t="s">
        <v>206</v>
      </c>
      <c r="C23" s="16" t="s">
        <v>553</v>
      </c>
      <c r="D23" s="38"/>
      <c r="E23" s="16"/>
      <c r="F23" s="16"/>
      <c r="G23" s="23">
        <v>0</v>
      </c>
      <c r="H23" s="23">
        <v>1</v>
      </c>
      <c r="I23" s="23">
        <v>1</v>
      </c>
      <c r="J23" s="23">
        <v>88.85</v>
      </c>
      <c r="K23" s="23">
        <v>0.35</v>
      </c>
      <c r="L23" s="23">
        <v>0.9</v>
      </c>
      <c r="M23" s="23">
        <v>0.5</v>
      </c>
      <c r="N23" s="23">
        <v>1.1499999999999999</v>
      </c>
      <c r="O23" s="23">
        <v>0</v>
      </c>
      <c r="P23" s="23"/>
      <c r="Q23" s="23">
        <v>8.2500000000000053</v>
      </c>
      <c r="R23" s="23">
        <v>43.5</v>
      </c>
      <c r="S23" s="23">
        <v>43.40000000000002</v>
      </c>
      <c r="T23" s="23">
        <v>25.5</v>
      </c>
      <c r="U23" s="23">
        <v>0.45</v>
      </c>
      <c r="V23" s="23">
        <v>0</v>
      </c>
      <c r="W23" s="23">
        <v>0.45</v>
      </c>
      <c r="X23" s="23"/>
      <c r="Y23" s="23"/>
      <c r="Z23" s="23">
        <v>0.19500000000000001</v>
      </c>
      <c r="AA23" s="23">
        <v>4.5</v>
      </c>
      <c r="AB23" s="23">
        <v>0.05</v>
      </c>
      <c r="AC23" s="23">
        <v>1.4999999999999999E-2</v>
      </c>
      <c r="AD23" s="23">
        <v>3.0000000000000002E-2</v>
      </c>
      <c r="AE23" s="23">
        <v>3.5</v>
      </c>
      <c r="AF23" s="23">
        <v>2</v>
      </c>
      <c r="AG23" s="23">
        <v>3.6666666666666665</v>
      </c>
      <c r="AH23" s="23">
        <v>3.8333333333333335</v>
      </c>
      <c r="AI23" s="23"/>
      <c r="AJ23" s="23">
        <v>4.4999999999999998E-2</v>
      </c>
      <c r="AK23" s="65">
        <v>106</v>
      </c>
      <c r="AL23" s="38">
        <v>1</v>
      </c>
    </row>
    <row r="24" spans="1:38">
      <c r="A24" s="38">
        <v>124</v>
      </c>
      <c r="B24" s="16" t="s">
        <v>207</v>
      </c>
      <c r="C24" s="16" t="s">
        <v>553</v>
      </c>
      <c r="D24" s="38"/>
      <c r="E24" s="16"/>
      <c r="F24" s="16"/>
      <c r="G24" s="23">
        <v>0</v>
      </c>
      <c r="H24" s="23">
        <v>1</v>
      </c>
      <c r="I24" s="23">
        <v>1</v>
      </c>
      <c r="J24" s="23">
        <v>12.45</v>
      </c>
      <c r="K24" s="23">
        <v>0.7</v>
      </c>
      <c r="L24" s="23">
        <v>9</v>
      </c>
      <c r="M24" s="23">
        <v>2.2999999999999998</v>
      </c>
      <c r="N24" s="23">
        <v>4.05</v>
      </c>
      <c r="O24" s="23">
        <v>0</v>
      </c>
      <c r="P24" s="23"/>
      <c r="Q24" s="23">
        <v>71.5</v>
      </c>
      <c r="R24" s="23">
        <v>350.5</v>
      </c>
      <c r="S24" s="23">
        <v>350.8</v>
      </c>
      <c r="T24" s="23">
        <v>27.5</v>
      </c>
      <c r="U24" s="23">
        <v>4.5999999999999996</v>
      </c>
      <c r="V24" s="23">
        <v>0</v>
      </c>
      <c r="W24" s="23">
        <v>4.5999999999999996</v>
      </c>
      <c r="X24" s="23"/>
      <c r="Y24" s="23"/>
      <c r="Z24" s="23">
        <v>2.6150000000000002</v>
      </c>
      <c r="AA24" s="23">
        <v>550</v>
      </c>
      <c r="AB24" s="23">
        <v>0</v>
      </c>
      <c r="AC24" s="23">
        <v>0.70500000000000007</v>
      </c>
      <c r="AD24" s="23">
        <v>0.43999999999999995</v>
      </c>
      <c r="AE24" s="23">
        <v>82.2</v>
      </c>
      <c r="AF24" s="23">
        <v>1</v>
      </c>
      <c r="AG24" s="23">
        <v>82.283333333333331</v>
      </c>
      <c r="AH24" s="23">
        <v>82.366666666666674</v>
      </c>
      <c r="AI24" s="23"/>
      <c r="AJ24" s="23">
        <v>0.35</v>
      </c>
      <c r="AK24" s="65">
        <v>106</v>
      </c>
      <c r="AL24" s="38">
        <v>1</v>
      </c>
    </row>
    <row r="25" spans="1:38">
      <c r="A25" s="38">
        <v>125</v>
      </c>
      <c r="B25" s="16" t="s">
        <v>208</v>
      </c>
      <c r="C25" s="16" t="s">
        <v>553</v>
      </c>
      <c r="D25" s="38"/>
      <c r="E25" s="16"/>
      <c r="F25" s="16"/>
      <c r="G25" s="23">
        <v>0</v>
      </c>
      <c r="H25" s="23">
        <v>6</v>
      </c>
      <c r="I25" s="23">
        <v>12</v>
      </c>
      <c r="J25" s="23">
        <v>7</v>
      </c>
      <c r="K25" s="23">
        <v>5.1349999999999998</v>
      </c>
      <c r="L25" s="23">
        <v>41</v>
      </c>
      <c r="M25" s="23">
        <v>14.44</v>
      </c>
      <c r="N25" s="23">
        <v>12.504999999999999</v>
      </c>
      <c r="O25" s="23">
        <v>0</v>
      </c>
      <c r="P25" s="23"/>
      <c r="Q25" s="23">
        <v>19.919999999999998</v>
      </c>
      <c r="R25" s="23">
        <v>399</v>
      </c>
      <c r="S25" s="23">
        <v>398.65000000000003</v>
      </c>
      <c r="T25" s="23">
        <v>220</v>
      </c>
      <c r="U25" s="23">
        <v>7.6749999999999998</v>
      </c>
      <c r="V25" s="23">
        <v>0</v>
      </c>
      <c r="W25" s="23">
        <v>7.6749999999999998</v>
      </c>
      <c r="X25" s="23"/>
      <c r="Y25" s="23"/>
      <c r="Z25" s="23">
        <v>3.92</v>
      </c>
      <c r="AA25" s="23">
        <v>310</v>
      </c>
      <c r="AB25" s="23">
        <v>0</v>
      </c>
      <c r="AC25" s="23">
        <v>0.8</v>
      </c>
      <c r="AD25" s="23">
        <v>0.35</v>
      </c>
      <c r="AE25" s="23">
        <v>0</v>
      </c>
      <c r="AF25" s="23">
        <v>47</v>
      </c>
      <c r="AG25" s="23">
        <v>3.9166666666666665</v>
      </c>
      <c r="AH25" s="23">
        <v>7.833333333333333</v>
      </c>
      <c r="AI25" s="23"/>
      <c r="AJ25" s="23">
        <v>0</v>
      </c>
      <c r="AK25" s="65">
        <v>302</v>
      </c>
      <c r="AL25" s="65">
        <v>3</v>
      </c>
    </row>
    <row r="26" spans="1:38">
      <c r="A26" s="38">
        <v>126</v>
      </c>
      <c r="B26" s="16" t="s">
        <v>209</v>
      </c>
      <c r="C26" s="16" t="s">
        <v>566</v>
      </c>
      <c r="D26" s="38">
        <v>1</v>
      </c>
      <c r="E26" s="16" t="s">
        <v>719</v>
      </c>
      <c r="F26" s="16"/>
      <c r="G26" s="23">
        <v>0</v>
      </c>
      <c r="H26" s="23">
        <v>1</v>
      </c>
      <c r="I26" s="23">
        <v>1</v>
      </c>
      <c r="J26" s="23">
        <v>10</v>
      </c>
      <c r="K26" s="23">
        <v>3.1</v>
      </c>
      <c r="L26" s="23">
        <v>14.7</v>
      </c>
      <c r="M26" s="23">
        <v>5.6</v>
      </c>
      <c r="N26" s="23">
        <v>7.5</v>
      </c>
      <c r="O26" s="23">
        <v>0</v>
      </c>
      <c r="P26" s="23"/>
      <c r="Q26" s="23">
        <v>59.2</v>
      </c>
      <c r="R26" s="23">
        <v>360</v>
      </c>
      <c r="S26" s="23">
        <v>361</v>
      </c>
      <c r="T26" s="23">
        <v>162</v>
      </c>
      <c r="U26" s="23">
        <v>9.5</v>
      </c>
      <c r="V26" s="23">
        <v>0</v>
      </c>
      <c r="W26" s="23">
        <v>9.5</v>
      </c>
      <c r="X26" s="23"/>
      <c r="Y26" s="23"/>
      <c r="Z26" s="23">
        <v>2.5</v>
      </c>
      <c r="AA26" s="23">
        <v>82</v>
      </c>
      <c r="AB26" s="23">
        <v>1</v>
      </c>
      <c r="AC26" s="23">
        <v>7.0000000000000007E-2</v>
      </c>
      <c r="AD26" s="23">
        <v>0.21</v>
      </c>
      <c r="AE26" s="23">
        <v>0</v>
      </c>
      <c r="AF26" s="23">
        <v>0</v>
      </c>
      <c r="AG26" s="23">
        <v>0</v>
      </c>
      <c r="AH26" s="23">
        <v>0</v>
      </c>
      <c r="AI26" s="23"/>
      <c r="AJ26" s="23">
        <v>0</v>
      </c>
      <c r="AK26" s="65">
        <v>106</v>
      </c>
      <c r="AL26" s="38">
        <v>1</v>
      </c>
    </row>
    <row r="27" spans="1:38">
      <c r="A27" s="38">
        <v>127</v>
      </c>
      <c r="B27" s="16" t="s">
        <v>210</v>
      </c>
      <c r="C27" s="16" t="s">
        <v>607</v>
      </c>
      <c r="D27" s="38">
        <v>20005</v>
      </c>
      <c r="E27" s="16" t="s">
        <v>610</v>
      </c>
      <c r="F27" s="16"/>
      <c r="G27" s="23">
        <v>0</v>
      </c>
      <c r="H27" s="23">
        <v>1</v>
      </c>
      <c r="I27" s="23">
        <v>1</v>
      </c>
      <c r="J27" s="23">
        <v>10.09</v>
      </c>
      <c r="K27" s="23">
        <v>1.1100000000000001</v>
      </c>
      <c r="L27" s="23">
        <v>9.91</v>
      </c>
      <c r="M27" s="23">
        <v>1.1599999999999999</v>
      </c>
      <c r="N27" s="23">
        <v>15.6</v>
      </c>
      <c r="O27" s="23">
        <v>0</v>
      </c>
      <c r="P27" s="23">
        <v>77.72</v>
      </c>
      <c r="Q27" s="23">
        <v>62.13</v>
      </c>
      <c r="R27" s="23">
        <v>352</v>
      </c>
      <c r="S27" s="23">
        <v>329.8</v>
      </c>
      <c r="T27" s="23">
        <v>29</v>
      </c>
      <c r="U27" s="23">
        <v>2.5</v>
      </c>
      <c r="V27" s="23">
        <v>0</v>
      </c>
      <c r="W27" s="23">
        <v>2.5</v>
      </c>
      <c r="X27" s="23"/>
      <c r="Y27" s="23"/>
      <c r="Z27" s="23">
        <v>2.13</v>
      </c>
      <c r="AA27" s="23">
        <v>23</v>
      </c>
      <c r="AB27" s="23">
        <v>0</v>
      </c>
      <c r="AC27" s="23">
        <v>0.191</v>
      </c>
      <c r="AD27" s="23">
        <v>0.114</v>
      </c>
      <c r="AE27" s="23">
        <v>0</v>
      </c>
      <c r="AF27" s="23">
        <v>13</v>
      </c>
      <c r="AG27" s="23">
        <v>1.0833333333333333</v>
      </c>
      <c r="AH27" s="23">
        <v>2.1666666666666665</v>
      </c>
      <c r="AI27" s="23"/>
      <c r="AJ27" s="23">
        <v>0</v>
      </c>
      <c r="AK27" s="65">
        <v>106</v>
      </c>
      <c r="AL27" s="38">
        <v>1</v>
      </c>
    </row>
    <row r="28" spans="1:38">
      <c r="A28" s="38">
        <v>128</v>
      </c>
      <c r="B28" s="16" t="s">
        <v>211</v>
      </c>
      <c r="C28" s="16" t="s">
        <v>553</v>
      </c>
      <c r="D28" s="38"/>
      <c r="E28" s="16"/>
      <c r="F28" s="16"/>
      <c r="G28" s="23">
        <v>0</v>
      </c>
      <c r="H28" s="23">
        <v>1</v>
      </c>
      <c r="I28" s="23">
        <v>1</v>
      </c>
      <c r="J28" s="23">
        <v>3.6</v>
      </c>
      <c r="K28" s="23">
        <v>2.5666666666666664</v>
      </c>
      <c r="L28" s="23">
        <v>8.8333333333333339</v>
      </c>
      <c r="M28" s="23">
        <v>1.0999999999999999</v>
      </c>
      <c r="N28" s="23">
        <v>5.15</v>
      </c>
      <c r="O28" s="23">
        <v>0</v>
      </c>
      <c r="P28" s="23"/>
      <c r="Q28" s="23">
        <v>78.750000000000014</v>
      </c>
      <c r="R28" s="23">
        <v>370.33333333333331</v>
      </c>
      <c r="S28" s="23">
        <v>370.53333333333342</v>
      </c>
      <c r="T28" s="23">
        <v>12.066666666666668</v>
      </c>
      <c r="U28" s="23">
        <v>6.0666666666666664</v>
      </c>
      <c r="V28" s="23">
        <v>0</v>
      </c>
      <c r="W28" s="23">
        <v>6.0666666666666664</v>
      </c>
      <c r="X28" s="23"/>
      <c r="Y28" s="23"/>
      <c r="Z28" s="23">
        <v>0.79999999999999993</v>
      </c>
      <c r="AA28" s="23">
        <v>159.66666666666666</v>
      </c>
      <c r="AB28" s="23">
        <v>0</v>
      </c>
      <c r="AC28" s="23">
        <v>0.66666666666666663</v>
      </c>
      <c r="AD28" s="23">
        <v>0.94000000000000006</v>
      </c>
      <c r="AE28" s="23">
        <v>0</v>
      </c>
      <c r="AF28" s="23">
        <v>84.333333333333329</v>
      </c>
      <c r="AG28" s="23">
        <v>7.0277777777777777</v>
      </c>
      <c r="AH28" s="23">
        <v>14.055555555555555</v>
      </c>
      <c r="AI28" s="23"/>
      <c r="AJ28" s="23">
        <v>0</v>
      </c>
      <c r="AK28" s="65">
        <v>106</v>
      </c>
      <c r="AL28" s="38">
        <v>1</v>
      </c>
    </row>
    <row r="29" spans="1:38">
      <c r="A29" s="38">
        <v>129</v>
      </c>
      <c r="B29" s="16" t="s">
        <v>212</v>
      </c>
      <c r="C29" s="16" t="s">
        <v>553</v>
      </c>
      <c r="D29" s="38"/>
      <c r="E29" s="16"/>
      <c r="F29" s="16"/>
      <c r="G29" s="23">
        <v>0</v>
      </c>
      <c r="H29" s="23">
        <v>4</v>
      </c>
      <c r="I29" s="23">
        <v>12</v>
      </c>
      <c r="J29" s="23">
        <v>12.200000000000001</v>
      </c>
      <c r="K29" s="23">
        <v>3.7966666666666669</v>
      </c>
      <c r="L29" s="23">
        <v>22.866666666666664</v>
      </c>
      <c r="M29" s="23">
        <v>1.72</v>
      </c>
      <c r="N29" s="23">
        <v>20.766666666666666</v>
      </c>
      <c r="O29" s="23">
        <v>0</v>
      </c>
      <c r="P29" s="23"/>
      <c r="Q29" s="23">
        <v>38.650000000000006</v>
      </c>
      <c r="R29" s="23">
        <v>303</v>
      </c>
      <c r="S29" s="23">
        <v>303.08000000000004</v>
      </c>
      <c r="T29" s="23">
        <v>88.666666666666671</v>
      </c>
      <c r="U29" s="23">
        <v>7.163333333333334</v>
      </c>
      <c r="V29" s="23">
        <v>0</v>
      </c>
      <c r="W29" s="23">
        <v>7.163333333333334</v>
      </c>
      <c r="X29" s="23"/>
      <c r="Y29" s="23"/>
      <c r="Z29" s="23">
        <v>2.9766666666666666</v>
      </c>
      <c r="AA29" s="23">
        <v>301</v>
      </c>
      <c r="AB29" s="23">
        <v>0.9</v>
      </c>
      <c r="AC29" s="23">
        <v>0.48</v>
      </c>
      <c r="AD29" s="23">
        <v>0.22333333333333336</v>
      </c>
      <c r="AE29" s="23">
        <v>0</v>
      </c>
      <c r="AF29" s="23">
        <v>11.666666666666666</v>
      </c>
      <c r="AG29" s="23">
        <v>0.97222222222222221</v>
      </c>
      <c r="AH29" s="23">
        <v>1.9444444444444444</v>
      </c>
      <c r="AI29" s="23"/>
      <c r="AJ29" s="23">
        <v>0</v>
      </c>
      <c r="AK29" s="65">
        <v>301</v>
      </c>
      <c r="AL29" s="65">
        <v>3</v>
      </c>
    </row>
    <row r="30" spans="1:38">
      <c r="A30" s="38">
        <v>130</v>
      </c>
      <c r="B30" s="16" t="s">
        <v>213</v>
      </c>
      <c r="C30" s="16" t="s">
        <v>566</v>
      </c>
      <c r="D30" s="38">
        <v>3019</v>
      </c>
      <c r="E30" s="16" t="s">
        <v>424</v>
      </c>
      <c r="F30" s="16"/>
      <c r="G30" s="23">
        <v>0</v>
      </c>
      <c r="H30" s="23">
        <v>4</v>
      </c>
      <c r="I30" s="23">
        <v>12</v>
      </c>
      <c r="J30" s="23">
        <v>11.6</v>
      </c>
      <c r="K30" s="23">
        <v>4.4000000000000004</v>
      </c>
      <c r="L30" s="23">
        <v>27.2</v>
      </c>
      <c r="M30" s="23">
        <v>1.7</v>
      </c>
      <c r="N30" s="23">
        <v>16.7</v>
      </c>
      <c r="O30" s="23">
        <v>0</v>
      </c>
      <c r="P30" s="23"/>
      <c r="Q30" s="23">
        <v>38.4</v>
      </c>
      <c r="R30" s="23">
        <v>311</v>
      </c>
      <c r="S30" s="23">
        <v>311.10000000000002</v>
      </c>
      <c r="T30" s="23">
        <v>151</v>
      </c>
      <c r="U30" s="23">
        <v>7.6</v>
      </c>
      <c r="V30" s="23">
        <v>0</v>
      </c>
      <c r="W30" s="23">
        <v>7.6</v>
      </c>
      <c r="X30" s="23"/>
      <c r="Y30" s="23"/>
      <c r="Z30" s="23">
        <v>2.62</v>
      </c>
      <c r="AA30" s="23">
        <v>607</v>
      </c>
      <c r="AB30" s="23">
        <v>3</v>
      </c>
      <c r="AC30" s="23">
        <v>0.52</v>
      </c>
      <c r="AD30" s="23">
        <v>0.2</v>
      </c>
      <c r="AE30" s="23">
        <v>0</v>
      </c>
      <c r="AF30" s="23">
        <v>111</v>
      </c>
      <c r="AG30" s="23">
        <v>9</v>
      </c>
      <c r="AH30" s="23">
        <v>18</v>
      </c>
      <c r="AI30" s="23"/>
      <c r="AJ30" s="23">
        <v>0</v>
      </c>
      <c r="AK30" s="65">
        <v>301</v>
      </c>
      <c r="AL30" s="65">
        <v>3</v>
      </c>
    </row>
    <row r="31" spans="1:38">
      <c r="A31" s="38">
        <v>131</v>
      </c>
      <c r="B31" s="16" t="s">
        <v>214</v>
      </c>
      <c r="C31" s="16" t="s">
        <v>566</v>
      </c>
      <c r="D31" s="38">
        <v>3017</v>
      </c>
      <c r="E31" s="16" t="s">
        <v>425</v>
      </c>
      <c r="F31" s="16"/>
      <c r="G31" s="23">
        <v>0</v>
      </c>
      <c r="H31" s="23">
        <v>4</v>
      </c>
      <c r="I31" s="23">
        <v>12</v>
      </c>
      <c r="J31" s="23">
        <v>11.4</v>
      </c>
      <c r="K31" s="23">
        <v>3.51</v>
      </c>
      <c r="L31" s="23">
        <v>24.6</v>
      </c>
      <c r="M31" s="23">
        <v>1.7</v>
      </c>
      <c r="N31" s="23">
        <v>16.3</v>
      </c>
      <c r="O31" s="23">
        <v>0</v>
      </c>
      <c r="P31" s="23"/>
      <c r="Q31" s="23">
        <v>42.5</v>
      </c>
      <c r="R31" s="23">
        <v>316</v>
      </c>
      <c r="S31" s="23">
        <v>316.3</v>
      </c>
      <c r="T31" s="23">
        <v>84</v>
      </c>
      <c r="U31" s="23">
        <v>6</v>
      </c>
      <c r="V31" s="23">
        <v>0</v>
      </c>
      <c r="W31" s="23">
        <v>6</v>
      </c>
      <c r="X31" s="23"/>
      <c r="Y31" s="23"/>
      <c r="Z31" s="23">
        <v>2.33</v>
      </c>
      <c r="AA31" s="23">
        <v>346</v>
      </c>
      <c r="AB31" s="23">
        <v>3</v>
      </c>
      <c r="AC31" s="23">
        <v>0.31</v>
      </c>
      <c r="AD31" s="23">
        <v>0.11</v>
      </c>
      <c r="AE31" s="23">
        <v>0</v>
      </c>
      <c r="AF31" s="23">
        <v>140</v>
      </c>
      <c r="AG31" s="23">
        <v>12</v>
      </c>
      <c r="AH31" s="23">
        <v>23</v>
      </c>
      <c r="AI31" s="23"/>
      <c r="AJ31" s="23">
        <v>0</v>
      </c>
      <c r="AK31" s="65">
        <v>301</v>
      </c>
      <c r="AL31" s="65">
        <v>3</v>
      </c>
    </row>
    <row r="32" spans="1:38">
      <c r="A32" s="38">
        <v>132</v>
      </c>
      <c r="B32" s="16" t="s">
        <v>215</v>
      </c>
      <c r="C32" s="16" t="s">
        <v>601</v>
      </c>
      <c r="D32" s="38"/>
      <c r="E32" s="16"/>
      <c r="F32" s="16"/>
      <c r="G32" s="23">
        <v>0</v>
      </c>
      <c r="H32" s="23">
        <v>4</v>
      </c>
      <c r="I32" s="23">
        <v>12</v>
      </c>
      <c r="J32" s="23">
        <v>11.5</v>
      </c>
      <c r="K32" s="23">
        <v>3.9550000000000001</v>
      </c>
      <c r="L32" s="23">
        <v>25.9</v>
      </c>
      <c r="M32" s="23">
        <v>1.7</v>
      </c>
      <c r="N32" s="23">
        <v>16.5</v>
      </c>
      <c r="O32" s="23">
        <v>0</v>
      </c>
      <c r="P32" s="23"/>
      <c r="Q32" s="23">
        <v>40.450000000000003</v>
      </c>
      <c r="R32" s="23">
        <v>313.5</v>
      </c>
      <c r="S32" s="23">
        <v>313.7</v>
      </c>
      <c r="T32" s="23">
        <v>117.5</v>
      </c>
      <c r="U32" s="23">
        <v>6.8</v>
      </c>
      <c r="V32" s="23">
        <v>0</v>
      </c>
      <c r="W32" s="23">
        <v>6.8</v>
      </c>
      <c r="X32" s="23"/>
      <c r="Y32" s="23"/>
      <c r="Z32" s="23">
        <v>2.4750000000000001</v>
      </c>
      <c r="AA32" s="23">
        <v>476.5</v>
      </c>
      <c r="AB32" s="23">
        <v>3</v>
      </c>
      <c r="AC32" s="23">
        <v>0.41500000000000004</v>
      </c>
      <c r="AD32" s="23">
        <v>0.155</v>
      </c>
      <c r="AE32" s="23">
        <v>0</v>
      </c>
      <c r="AF32" s="23">
        <v>125.5</v>
      </c>
      <c r="AG32" s="23">
        <v>10.5</v>
      </c>
      <c r="AH32" s="23">
        <v>20.5</v>
      </c>
      <c r="AI32" s="23"/>
      <c r="AJ32" s="23">
        <v>0</v>
      </c>
      <c r="AK32" s="65">
        <v>301</v>
      </c>
      <c r="AL32" s="65">
        <v>3</v>
      </c>
    </row>
    <row r="33" spans="1:38">
      <c r="A33" s="38">
        <v>133</v>
      </c>
      <c r="B33" s="16" t="s">
        <v>216</v>
      </c>
      <c r="C33" s="16" t="s">
        <v>566</v>
      </c>
      <c r="D33" s="38">
        <v>3021</v>
      </c>
      <c r="E33" s="16" t="s">
        <v>427</v>
      </c>
      <c r="F33" s="16"/>
      <c r="G33" s="23">
        <v>0</v>
      </c>
      <c r="H33" s="23">
        <v>4</v>
      </c>
      <c r="I33" s="23">
        <v>12</v>
      </c>
      <c r="J33" s="23">
        <v>12.1</v>
      </c>
      <c r="K33" s="23">
        <v>3.8</v>
      </c>
      <c r="L33" s="23">
        <v>20.9</v>
      </c>
      <c r="M33" s="23">
        <v>2.1</v>
      </c>
      <c r="N33" s="23">
        <v>22.1</v>
      </c>
      <c r="O33" s="23">
        <v>0</v>
      </c>
      <c r="P33" s="23"/>
      <c r="Q33" s="23">
        <v>38.9</v>
      </c>
      <c r="R33" s="23">
        <v>303</v>
      </c>
      <c r="S33" s="23">
        <v>302.29999999999995</v>
      </c>
      <c r="T33" s="23">
        <v>172</v>
      </c>
      <c r="U33" s="23">
        <v>5.4</v>
      </c>
      <c r="V33" s="23">
        <v>0</v>
      </c>
      <c r="W33" s="23">
        <v>5.4</v>
      </c>
      <c r="X33" s="23"/>
      <c r="Y33" s="23"/>
      <c r="Z33" s="23">
        <v>2.9</v>
      </c>
      <c r="AA33" s="23">
        <v>340</v>
      </c>
      <c r="AB33" s="23">
        <v>1.5</v>
      </c>
      <c r="AC33" s="23">
        <v>0.72</v>
      </c>
      <c r="AD33" s="23">
        <v>0.14000000000000001</v>
      </c>
      <c r="AE33" s="23">
        <v>0</v>
      </c>
      <c r="AF33" s="23">
        <v>230</v>
      </c>
      <c r="AG33" s="23">
        <v>19</v>
      </c>
      <c r="AH33" s="23">
        <v>38</v>
      </c>
      <c r="AI33" s="23"/>
      <c r="AJ33" s="23">
        <v>0</v>
      </c>
      <c r="AK33" s="65">
        <v>301</v>
      </c>
      <c r="AL33" s="65">
        <v>3</v>
      </c>
    </row>
    <row r="34" spans="1:38">
      <c r="A34" s="38">
        <v>134</v>
      </c>
      <c r="B34" s="16" t="s">
        <v>217</v>
      </c>
      <c r="C34" s="16" t="s">
        <v>566</v>
      </c>
      <c r="D34" s="38">
        <v>10009</v>
      </c>
      <c r="E34" s="16" t="s">
        <v>568</v>
      </c>
      <c r="F34" s="16"/>
      <c r="G34" s="23">
        <v>0</v>
      </c>
      <c r="H34" s="23">
        <v>5</v>
      </c>
      <c r="I34" s="23">
        <v>12</v>
      </c>
      <c r="J34" s="23">
        <v>5.9</v>
      </c>
      <c r="K34" s="23">
        <v>2.2999999999999998</v>
      </c>
      <c r="L34" s="23">
        <v>20.100000000000001</v>
      </c>
      <c r="M34" s="23">
        <v>48.4</v>
      </c>
      <c r="N34" s="23">
        <v>8.3000000000000007</v>
      </c>
      <c r="O34" s="23">
        <v>0</v>
      </c>
      <c r="P34" s="23"/>
      <c r="Q34" s="23">
        <v>15</v>
      </c>
      <c r="R34" s="23">
        <v>593</v>
      </c>
      <c r="S34" s="23">
        <v>592.6</v>
      </c>
      <c r="T34" s="23">
        <v>117</v>
      </c>
      <c r="U34" s="23">
        <v>5.5</v>
      </c>
      <c r="V34" s="23">
        <v>0</v>
      </c>
      <c r="W34" s="23">
        <v>5.5</v>
      </c>
      <c r="X34" s="23"/>
      <c r="Y34" s="23"/>
      <c r="Z34" s="23">
        <v>2.2400000000000002</v>
      </c>
      <c r="AA34" s="23">
        <v>110</v>
      </c>
      <c r="AB34" s="23">
        <v>0</v>
      </c>
      <c r="AC34" s="23">
        <v>0.85</v>
      </c>
      <c r="AD34" s="23">
        <v>0.14000000000000001</v>
      </c>
      <c r="AE34" s="23">
        <v>0</v>
      </c>
      <c r="AF34" s="23">
        <v>4</v>
      </c>
      <c r="AG34" s="23">
        <v>0</v>
      </c>
      <c r="AH34" s="23">
        <v>1</v>
      </c>
      <c r="AI34" s="23"/>
      <c r="AJ34" s="23">
        <v>0</v>
      </c>
      <c r="AK34" s="65">
        <v>303</v>
      </c>
      <c r="AL34" s="65">
        <v>3</v>
      </c>
    </row>
    <row r="35" spans="1:38">
      <c r="A35" s="38">
        <v>135</v>
      </c>
      <c r="B35" s="16" t="s">
        <v>218</v>
      </c>
      <c r="C35" s="16" t="s">
        <v>566</v>
      </c>
      <c r="D35" s="38">
        <v>10010</v>
      </c>
      <c r="E35" s="16" t="s">
        <v>569</v>
      </c>
      <c r="F35" s="16"/>
      <c r="G35" s="23">
        <v>73</v>
      </c>
      <c r="H35" s="23">
        <v>5</v>
      </c>
      <c r="I35" s="23">
        <v>12</v>
      </c>
      <c r="J35" s="23">
        <v>7.7</v>
      </c>
      <c r="K35" s="23">
        <v>1.4</v>
      </c>
      <c r="L35" s="23">
        <v>6.8</v>
      </c>
      <c r="M35" s="23">
        <v>70.900000000000006</v>
      </c>
      <c r="N35" s="23">
        <v>11.2</v>
      </c>
      <c r="O35" s="23">
        <v>0</v>
      </c>
      <c r="P35" s="23"/>
      <c r="Q35" s="23">
        <v>2</v>
      </c>
      <c r="R35" s="23">
        <v>696</v>
      </c>
      <c r="S35" s="23">
        <v>695.7</v>
      </c>
      <c r="T35" s="23">
        <v>44</v>
      </c>
      <c r="U35" s="23">
        <v>2.2000000000000002</v>
      </c>
      <c r="V35" s="23">
        <v>0</v>
      </c>
      <c r="W35" s="23">
        <v>2.2000000000000002</v>
      </c>
      <c r="X35" s="23"/>
      <c r="Y35" s="23"/>
      <c r="Z35" s="23">
        <v>1.3</v>
      </c>
      <c r="AA35" s="23">
        <v>114</v>
      </c>
      <c r="AB35" s="23">
        <v>4.5999999999999996</v>
      </c>
      <c r="AC35" s="23">
        <v>0.27</v>
      </c>
      <c r="AD35" s="23">
        <v>0.1</v>
      </c>
      <c r="AE35" s="23">
        <v>0</v>
      </c>
      <c r="AF35" s="23">
        <v>0</v>
      </c>
      <c r="AG35" s="23">
        <v>0</v>
      </c>
      <c r="AH35" s="23">
        <v>0</v>
      </c>
      <c r="AI35" s="23"/>
      <c r="AJ35" s="23">
        <v>0</v>
      </c>
      <c r="AK35" s="65">
        <v>303</v>
      </c>
      <c r="AL35" s="65">
        <v>3</v>
      </c>
    </row>
    <row r="36" spans="1:38">
      <c r="A36" s="38">
        <v>136</v>
      </c>
      <c r="B36" s="16" t="s">
        <v>219</v>
      </c>
      <c r="C36" s="16" t="s">
        <v>566</v>
      </c>
      <c r="D36" s="38">
        <v>10008</v>
      </c>
      <c r="E36" s="16" t="s">
        <v>570</v>
      </c>
      <c r="F36" s="16"/>
      <c r="G36" s="23">
        <v>0</v>
      </c>
      <c r="H36" s="23">
        <v>5</v>
      </c>
      <c r="I36" s="23">
        <v>12</v>
      </c>
      <c r="J36" s="23">
        <v>5.9</v>
      </c>
      <c r="K36" s="23">
        <v>2.2999999999999998</v>
      </c>
      <c r="L36" s="23">
        <v>16.5</v>
      </c>
      <c r="M36" s="23">
        <v>48</v>
      </c>
      <c r="N36" s="23">
        <v>5.8</v>
      </c>
      <c r="O36" s="23">
        <v>0</v>
      </c>
      <c r="P36" s="23"/>
      <c r="Q36" s="23">
        <v>21.5</v>
      </c>
      <c r="R36" s="23">
        <v>595</v>
      </c>
      <c r="S36" s="23">
        <v>595.6</v>
      </c>
      <c r="T36" s="23">
        <v>33</v>
      </c>
      <c r="U36" s="23">
        <v>4.9000000000000004</v>
      </c>
      <c r="V36" s="23">
        <v>0</v>
      </c>
      <c r="W36" s="23">
        <v>4.9000000000000004</v>
      </c>
      <c r="X36" s="23"/>
      <c r="Y36" s="23"/>
      <c r="Z36" s="23">
        <v>5.36</v>
      </c>
      <c r="AA36" s="23">
        <v>24</v>
      </c>
      <c r="AB36" s="23">
        <v>0</v>
      </c>
      <c r="AC36" s="23">
        <v>0.65</v>
      </c>
      <c r="AD36" s="23">
        <v>0.25</v>
      </c>
      <c r="AE36" s="23">
        <v>0</v>
      </c>
      <c r="AF36" s="23">
        <v>6</v>
      </c>
      <c r="AG36" s="23">
        <v>0.5</v>
      </c>
      <c r="AH36" s="23">
        <v>1</v>
      </c>
      <c r="AI36" s="23"/>
      <c r="AJ36" s="23">
        <v>0</v>
      </c>
      <c r="AK36" s="65">
        <v>303</v>
      </c>
      <c r="AL36" s="65">
        <v>3</v>
      </c>
    </row>
    <row r="37" spans="1:38">
      <c r="A37" s="38">
        <v>137</v>
      </c>
      <c r="B37" s="16" t="s">
        <v>220</v>
      </c>
      <c r="C37" s="16" t="s">
        <v>566</v>
      </c>
      <c r="D37" s="38">
        <v>3011</v>
      </c>
      <c r="E37" s="16" t="s">
        <v>428</v>
      </c>
      <c r="F37" s="16"/>
      <c r="G37" s="23">
        <v>0</v>
      </c>
      <c r="H37" s="23">
        <v>4</v>
      </c>
      <c r="I37" s="23">
        <v>12</v>
      </c>
      <c r="J37" s="23">
        <v>12.4</v>
      </c>
      <c r="K37" s="23">
        <v>3.6</v>
      </c>
      <c r="L37" s="23">
        <v>25.3</v>
      </c>
      <c r="M37" s="23">
        <v>1.1000000000000001</v>
      </c>
      <c r="N37" s="23">
        <v>14.3</v>
      </c>
      <c r="O37" s="23">
        <v>0</v>
      </c>
      <c r="P37" s="23"/>
      <c r="Q37" s="23">
        <v>43.3</v>
      </c>
      <c r="R37" s="23">
        <v>313</v>
      </c>
      <c r="S37" s="23">
        <v>312.89999999999998</v>
      </c>
      <c r="T37" s="23">
        <v>112</v>
      </c>
      <c r="U37" s="23">
        <v>5.97</v>
      </c>
      <c r="V37" s="23">
        <v>0</v>
      </c>
      <c r="W37" s="23">
        <v>5.97</v>
      </c>
      <c r="X37" s="23"/>
      <c r="Y37" s="23"/>
      <c r="Z37" s="23">
        <v>3.37</v>
      </c>
      <c r="AA37" s="23">
        <v>439</v>
      </c>
      <c r="AB37" s="23">
        <v>1.5</v>
      </c>
      <c r="AC37" s="23">
        <v>0.9</v>
      </c>
      <c r="AD37" s="23">
        <v>0.15</v>
      </c>
      <c r="AE37" s="23">
        <v>0</v>
      </c>
      <c r="AF37" s="23">
        <v>19</v>
      </c>
      <c r="AG37" s="23">
        <v>2</v>
      </c>
      <c r="AH37" s="23">
        <v>3</v>
      </c>
      <c r="AI37" s="23"/>
      <c r="AJ37" s="23">
        <v>0</v>
      </c>
      <c r="AK37" s="65">
        <v>301</v>
      </c>
      <c r="AL37" s="65">
        <v>3</v>
      </c>
    </row>
    <row r="38" spans="1:38">
      <c r="A38" s="38">
        <v>138</v>
      </c>
      <c r="B38" s="16" t="s">
        <v>221</v>
      </c>
      <c r="C38" s="16" t="s">
        <v>566</v>
      </c>
      <c r="D38" s="38">
        <v>3010</v>
      </c>
      <c r="E38" s="16" t="s">
        <v>429</v>
      </c>
      <c r="F38" s="16"/>
      <c r="G38" s="23">
        <v>0</v>
      </c>
      <c r="H38" s="23">
        <v>4</v>
      </c>
      <c r="I38" s="23">
        <v>12</v>
      </c>
      <c r="J38" s="23">
        <v>9.9</v>
      </c>
      <c r="K38" s="23">
        <v>3.1</v>
      </c>
      <c r="L38" s="23">
        <v>22.3</v>
      </c>
      <c r="M38" s="23">
        <v>5.0999999999999996</v>
      </c>
      <c r="N38" s="23">
        <v>25.2</v>
      </c>
      <c r="O38" s="23">
        <v>0</v>
      </c>
      <c r="P38" s="23"/>
      <c r="Q38" s="23">
        <v>34.299999999999997</v>
      </c>
      <c r="R38" s="23">
        <v>323</v>
      </c>
      <c r="S38" s="23">
        <v>322.7</v>
      </c>
      <c r="T38" s="23">
        <v>235</v>
      </c>
      <c r="U38" s="23">
        <v>6.8</v>
      </c>
      <c r="V38" s="23">
        <v>0</v>
      </c>
      <c r="W38" s="23">
        <v>6.8</v>
      </c>
      <c r="X38" s="23"/>
      <c r="Y38" s="23"/>
      <c r="Z38" s="23">
        <v>3.37</v>
      </c>
      <c r="AA38" s="23">
        <v>400</v>
      </c>
      <c r="AB38" s="23">
        <v>8</v>
      </c>
      <c r="AC38" s="23">
        <v>0.48</v>
      </c>
      <c r="AD38" s="23">
        <v>0.16</v>
      </c>
      <c r="AE38" s="23">
        <v>0</v>
      </c>
      <c r="AF38" s="23">
        <v>175</v>
      </c>
      <c r="AG38" s="23">
        <v>15</v>
      </c>
      <c r="AH38" s="23">
        <v>29</v>
      </c>
      <c r="AI38" s="23"/>
      <c r="AJ38" s="23">
        <v>0</v>
      </c>
      <c r="AK38" s="65">
        <v>301</v>
      </c>
      <c r="AL38" s="65">
        <v>3</v>
      </c>
    </row>
    <row r="39" spans="1:38">
      <c r="A39" s="38">
        <v>139</v>
      </c>
      <c r="B39" s="16" t="s">
        <v>222</v>
      </c>
      <c r="C39" s="16" t="s">
        <v>566</v>
      </c>
      <c r="D39" s="38">
        <v>3007</v>
      </c>
      <c r="E39" s="16" t="s">
        <v>430</v>
      </c>
      <c r="F39" s="16"/>
      <c r="G39" s="23">
        <v>0</v>
      </c>
      <c r="H39" s="23">
        <v>4</v>
      </c>
      <c r="I39" s="23">
        <v>12</v>
      </c>
      <c r="J39" s="23">
        <v>90.7</v>
      </c>
      <c r="K39" s="23">
        <v>1.2</v>
      </c>
      <c r="L39" s="23">
        <v>1.8</v>
      </c>
      <c r="M39" s="23">
        <v>0.2</v>
      </c>
      <c r="N39" s="23">
        <v>3.4</v>
      </c>
      <c r="O39" s="23">
        <v>0</v>
      </c>
      <c r="P39" s="23"/>
      <c r="Q39" s="23">
        <v>2.8</v>
      </c>
      <c r="R39" s="23">
        <v>27</v>
      </c>
      <c r="S39" s="23">
        <v>27</v>
      </c>
      <c r="T39" s="23">
        <v>29</v>
      </c>
      <c r="U39" s="23">
        <v>1</v>
      </c>
      <c r="V39" s="23">
        <v>0</v>
      </c>
      <c r="W39" s="23">
        <v>1</v>
      </c>
      <c r="X39" s="23"/>
      <c r="Y39" s="23"/>
      <c r="Z39" s="23">
        <v>0.27</v>
      </c>
      <c r="AA39" s="23">
        <v>18</v>
      </c>
      <c r="AB39" s="23">
        <v>3.1</v>
      </c>
      <c r="AC39" s="23">
        <v>0.03</v>
      </c>
      <c r="AD39" s="23">
        <v>0.05</v>
      </c>
      <c r="AE39" s="23">
        <v>0</v>
      </c>
      <c r="AF39" s="23">
        <v>137</v>
      </c>
      <c r="AG39" s="23">
        <v>11</v>
      </c>
      <c r="AH39" s="23">
        <v>23</v>
      </c>
      <c r="AI39" s="23"/>
      <c r="AJ39" s="23">
        <v>0</v>
      </c>
      <c r="AK39" s="65">
        <v>301</v>
      </c>
      <c r="AL39" s="65">
        <v>3</v>
      </c>
    </row>
    <row r="40" spans="1:38">
      <c r="A40" s="38">
        <v>140</v>
      </c>
      <c r="B40" s="16" t="s">
        <v>223</v>
      </c>
      <c r="C40" s="16" t="s">
        <v>553</v>
      </c>
      <c r="D40" s="38"/>
      <c r="E40" s="16"/>
      <c r="F40" s="16"/>
      <c r="G40" s="23">
        <v>0</v>
      </c>
      <c r="H40" s="23">
        <v>1</v>
      </c>
      <c r="I40" s="23">
        <v>12</v>
      </c>
      <c r="J40" s="23">
        <v>4.794999999999999</v>
      </c>
      <c r="K40" s="23">
        <v>2.7683333333333331</v>
      </c>
      <c r="L40" s="23">
        <v>8.8116666666666674</v>
      </c>
      <c r="M40" s="23">
        <v>5.246666666666667</v>
      </c>
      <c r="N40" s="23">
        <v>5.8500000000000005</v>
      </c>
      <c r="O40" s="23">
        <v>0</v>
      </c>
      <c r="P40" s="23"/>
      <c r="Q40" s="23">
        <v>72.528333333333336</v>
      </c>
      <c r="R40" s="23">
        <v>395.33333333333331</v>
      </c>
      <c r="S40" s="23">
        <v>384.28000000000003</v>
      </c>
      <c r="T40" s="23">
        <v>719.66666666666663</v>
      </c>
      <c r="U40" s="23">
        <v>45.486666666666672</v>
      </c>
      <c r="V40" s="23">
        <v>0</v>
      </c>
      <c r="W40" s="23">
        <v>45.486666666666672</v>
      </c>
      <c r="X40" s="23"/>
      <c r="Y40" s="23"/>
      <c r="Z40" s="23">
        <v>8.01</v>
      </c>
      <c r="AA40" s="23">
        <v>241.83333333333334</v>
      </c>
      <c r="AB40" s="23">
        <v>19.833333333333332</v>
      </c>
      <c r="AC40" s="23">
        <v>1.1299999999999999</v>
      </c>
      <c r="AD40" s="23">
        <v>1.1580000000000001</v>
      </c>
      <c r="AE40" s="23">
        <v>0</v>
      </c>
      <c r="AF40" s="23">
        <v>0</v>
      </c>
      <c r="AG40" s="23">
        <v>0</v>
      </c>
      <c r="AH40" s="23">
        <v>0</v>
      </c>
      <c r="AI40" s="23"/>
      <c r="AJ40" s="23">
        <v>3.7433333333333336</v>
      </c>
      <c r="AK40" s="65">
        <v>1501</v>
      </c>
      <c r="AL40" s="65">
        <v>15</v>
      </c>
    </row>
    <row r="41" spans="1:38">
      <c r="A41" s="38">
        <v>141</v>
      </c>
      <c r="B41" s="16" t="s">
        <v>224</v>
      </c>
      <c r="C41" s="16" t="s">
        <v>566</v>
      </c>
      <c r="D41" s="38">
        <v>3007</v>
      </c>
      <c r="E41" s="16" t="s">
        <v>430</v>
      </c>
      <c r="F41" s="16"/>
      <c r="G41" s="23">
        <v>0</v>
      </c>
      <c r="H41" s="23">
        <v>4</v>
      </c>
      <c r="I41" s="23">
        <v>12</v>
      </c>
      <c r="J41" s="23">
        <v>90.7</v>
      </c>
      <c r="K41" s="23">
        <v>1.2</v>
      </c>
      <c r="L41" s="23">
        <v>1.8</v>
      </c>
      <c r="M41" s="23">
        <v>0.2</v>
      </c>
      <c r="N41" s="23">
        <v>3.4</v>
      </c>
      <c r="O41" s="23">
        <v>0</v>
      </c>
      <c r="P41" s="23"/>
      <c r="Q41" s="23">
        <v>2.8</v>
      </c>
      <c r="R41" s="23">
        <v>27</v>
      </c>
      <c r="S41" s="23">
        <v>27</v>
      </c>
      <c r="T41" s="23">
        <v>29</v>
      </c>
      <c r="U41" s="23">
        <v>1</v>
      </c>
      <c r="V41" s="23">
        <v>0</v>
      </c>
      <c r="W41" s="23">
        <v>1</v>
      </c>
      <c r="X41" s="23"/>
      <c r="Y41" s="23"/>
      <c r="Z41" s="23">
        <v>0.27</v>
      </c>
      <c r="AA41" s="23">
        <v>18</v>
      </c>
      <c r="AB41" s="23">
        <v>3.1</v>
      </c>
      <c r="AC41" s="23">
        <v>0.03</v>
      </c>
      <c r="AD41" s="23">
        <v>0.05</v>
      </c>
      <c r="AE41" s="23">
        <v>0</v>
      </c>
      <c r="AF41" s="23">
        <v>137</v>
      </c>
      <c r="AG41" s="23">
        <v>11</v>
      </c>
      <c r="AH41" s="23">
        <v>23</v>
      </c>
      <c r="AI41" s="23"/>
      <c r="AJ41" s="23">
        <v>0</v>
      </c>
      <c r="AK41" s="65">
        <v>301</v>
      </c>
      <c r="AL41" s="65">
        <v>3</v>
      </c>
    </row>
    <row r="42" spans="1:38">
      <c r="A42" s="38">
        <v>142</v>
      </c>
      <c r="B42" s="16" t="s">
        <v>225</v>
      </c>
      <c r="C42" s="16" t="s">
        <v>553</v>
      </c>
      <c r="D42" s="38"/>
      <c r="E42" s="16"/>
      <c r="F42" s="16"/>
      <c r="G42" s="23">
        <v>0</v>
      </c>
      <c r="H42" s="23">
        <v>4</v>
      </c>
      <c r="I42" s="23">
        <v>12</v>
      </c>
      <c r="J42" s="23">
        <v>10.125</v>
      </c>
      <c r="K42" s="23">
        <v>3.2</v>
      </c>
      <c r="L42" s="23">
        <v>25.75</v>
      </c>
      <c r="M42" s="23">
        <v>1</v>
      </c>
      <c r="N42" s="23">
        <v>16.600000000000001</v>
      </c>
      <c r="O42" s="23">
        <v>0</v>
      </c>
      <c r="P42" s="23"/>
      <c r="Q42" s="23">
        <v>43.324999999999996</v>
      </c>
      <c r="R42" s="23">
        <v>318.5</v>
      </c>
      <c r="S42" s="23">
        <v>318.5</v>
      </c>
      <c r="T42" s="23">
        <v>71</v>
      </c>
      <c r="U42" s="23">
        <v>7.2650000000000006</v>
      </c>
      <c r="V42" s="23">
        <v>0</v>
      </c>
      <c r="W42" s="23">
        <v>7.2650000000000006</v>
      </c>
      <c r="X42" s="23"/>
      <c r="Y42" s="23"/>
      <c r="Z42" s="23">
        <v>3.2450000000000001</v>
      </c>
      <c r="AA42" s="23">
        <v>77.5</v>
      </c>
      <c r="AB42" s="23">
        <v>3.4</v>
      </c>
      <c r="AC42" s="23">
        <v>0.495</v>
      </c>
      <c r="AD42" s="23">
        <v>0.18</v>
      </c>
      <c r="AE42" s="23">
        <v>0</v>
      </c>
      <c r="AF42" s="23">
        <v>7.5</v>
      </c>
      <c r="AG42" s="23">
        <v>0.625</v>
      </c>
      <c r="AH42" s="23">
        <v>1.25</v>
      </c>
      <c r="AI42" s="23"/>
      <c r="AJ42" s="23">
        <v>0</v>
      </c>
      <c r="AK42" s="65">
        <v>301</v>
      </c>
      <c r="AL42" s="65">
        <v>3</v>
      </c>
    </row>
    <row r="43" spans="1:38">
      <c r="A43" s="38">
        <v>143</v>
      </c>
      <c r="B43" s="16" t="s">
        <v>226</v>
      </c>
      <c r="C43" s="16" t="s">
        <v>553</v>
      </c>
      <c r="D43" s="38"/>
      <c r="E43" s="16"/>
      <c r="F43" s="16"/>
      <c r="G43" s="23">
        <v>0</v>
      </c>
      <c r="H43" s="23">
        <v>19</v>
      </c>
      <c r="I43" s="23">
        <v>15</v>
      </c>
      <c r="J43" s="23">
        <v>21.32</v>
      </c>
      <c r="K43" s="23">
        <v>1.7</v>
      </c>
      <c r="L43" s="23">
        <v>8.120000000000001</v>
      </c>
      <c r="M43" s="23">
        <v>15.479999999999999</v>
      </c>
      <c r="N43" s="23">
        <v>1.5200000000000002</v>
      </c>
      <c r="O43" s="23">
        <v>0</v>
      </c>
      <c r="P43" s="23"/>
      <c r="Q43" s="23">
        <v>51.86</v>
      </c>
      <c r="R43" s="23">
        <v>382.4</v>
      </c>
      <c r="S43" s="23">
        <v>382.28</v>
      </c>
      <c r="T43" s="23">
        <v>78.599999999999994</v>
      </c>
      <c r="U43" s="23">
        <v>1.58</v>
      </c>
      <c r="V43" s="23">
        <v>0</v>
      </c>
      <c r="W43" s="23">
        <v>1.58</v>
      </c>
      <c r="X43" s="23"/>
      <c r="Y43" s="23"/>
      <c r="Z43" s="23">
        <v>0.55999999999999994</v>
      </c>
      <c r="AA43" s="23">
        <v>8.1999999999999993</v>
      </c>
      <c r="AB43" s="23">
        <v>0</v>
      </c>
      <c r="AC43" s="23">
        <v>6.6000000000000017E-2</v>
      </c>
      <c r="AD43" s="23">
        <v>0.22400000000000003</v>
      </c>
      <c r="AE43" s="23">
        <v>86.6</v>
      </c>
      <c r="AF43" s="23">
        <v>51.3</v>
      </c>
      <c r="AG43" s="23">
        <v>90.875</v>
      </c>
      <c r="AH43" s="23">
        <v>95.149999999999991</v>
      </c>
      <c r="AI43" s="23"/>
      <c r="AJ43" s="23">
        <v>0.6100000000000001</v>
      </c>
      <c r="AK43" s="65">
        <v>1201</v>
      </c>
      <c r="AL43" s="65">
        <v>12</v>
      </c>
    </row>
    <row r="44" spans="1:38">
      <c r="A44" s="38">
        <v>144</v>
      </c>
      <c r="B44" s="16" t="s">
        <v>227</v>
      </c>
      <c r="C44" s="16" t="s">
        <v>553</v>
      </c>
      <c r="D44" s="38"/>
      <c r="E44" s="16"/>
      <c r="F44" s="16"/>
      <c r="G44" s="23">
        <v>0</v>
      </c>
      <c r="H44" s="23">
        <v>19</v>
      </c>
      <c r="I44" s="23">
        <v>15</v>
      </c>
      <c r="J44" s="23">
        <v>4.4000000000000004</v>
      </c>
      <c r="K44" s="23">
        <v>1.5</v>
      </c>
      <c r="L44" s="23">
        <v>6.35</v>
      </c>
      <c r="M44" s="23">
        <v>21.049999999999997</v>
      </c>
      <c r="N44" s="23">
        <v>2.7</v>
      </c>
      <c r="O44" s="23">
        <v>0</v>
      </c>
      <c r="P44" s="23"/>
      <c r="Q44" s="23">
        <v>64</v>
      </c>
      <c r="R44" s="23">
        <v>476</v>
      </c>
      <c r="S44" s="23">
        <v>476.25</v>
      </c>
      <c r="T44" s="23">
        <v>41.5</v>
      </c>
      <c r="U44" s="23">
        <v>1.4</v>
      </c>
      <c r="V44" s="23">
        <v>0</v>
      </c>
      <c r="W44" s="23">
        <v>1.4</v>
      </c>
      <c r="X44" s="23"/>
      <c r="Y44" s="23"/>
      <c r="Z44" s="23">
        <v>0.71499999999999997</v>
      </c>
      <c r="AA44" s="23">
        <v>22</v>
      </c>
      <c r="AB44" s="23">
        <v>5</v>
      </c>
      <c r="AC44" s="23">
        <v>0.125</v>
      </c>
      <c r="AD44" s="23">
        <v>4.4999999999999998E-2</v>
      </c>
      <c r="AE44" s="23">
        <v>22.75</v>
      </c>
      <c r="AF44" s="23">
        <v>17.5</v>
      </c>
      <c r="AG44" s="23">
        <v>24.208333333333332</v>
      </c>
      <c r="AH44" s="23">
        <v>25.666666666666668</v>
      </c>
      <c r="AI44" s="23"/>
      <c r="AJ44" s="23">
        <v>0.05</v>
      </c>
      <c r="AK44" s="65">
        <v>1201</v>
      </c>
      <c r="AL44" s="65">
        <v>12</v>
      </c>
    </row>
    <row r="45" spans="1:38">
      <c r="A45" s="38">
        <v>145</v>
      </c>
      <c r="B45" s="16" t="s">
        <v>228</v>
      </c>
      <c r="C45" s="16" t="s">
        <v>566</v>
      </c>
      <c r="D45" s="38">
        <v>1007</v>
      </c>
      <c r="E45" s="16" t="s">
        <v>571</v>
      </c>
      <c r="F45" s="16"/>
      <c r="G45" s="23">
        <v>0</v>
      </c>
      <c r="H45" s="23">
        <v>1</v>
      </c>
      <c r="I45" s="23">
        <v>1</v>
      </c>
      <c r="J45" s="23">
        <v>36.9</v>
      </c>
      <c r="K45" s="23">
        <v>1.7</v>
      </c>
      <c r="L45" s="23">
        <v>7.7</v>
      </c>
      <c r="M45" s="23">
        <v>1.9</v>
      </c>
      <c r="N45" s="23">
        <v>3.1</v>
      </c>
      <c r="O45" s="23">
        <v>0</v>
      </c>
      <c r="P45" s="23"/>
      <c r="Q45" s="23">
        <v>48.8</v>
      </c>
      <c r="R45" s="23">
        <v>249</v>
      </c>
      <c r="S45" s="23">
        <v>249.29999999999998</v>
      </c>
      <c r="T45" s="23">
        <v>37</v>
      </c>
      <c r="U45" s="23">
        <v>1.7</v>
      </c>
      <c r="V45" s="23">
        <v>0</v>
      </c>
      <c r="W45" s="23">
        <v>1.7</v>
      </c>
      <c r="X45" s="23"/>
      <c r="Y45" s="23"/>
      <c r="Z45" s="23">
        <v>0.8</v>
      </c>
      <c r="AA45" s="23">
        <v>28</v>
      </c>
      <c r="AB45" s="23">
        <v>0</v>
      </c>
      <c r="AC45" s="23">
        <v>0.16</v>
      </c>
      <c r="AD45" s="23">
        <v>0.06</v>
      </c>
      <c r="AE45" s="23">
        <v>0</v>
      </c>
      <c r="AF45" s="23">
        <v>0</v>
      </c>
      <c r="AG45" s="23">
        <v>0</v>
      </c>
      <c r="AH45" s="23">
        <v>0</v>
      </c>
      <c r="AI45" s="23"/>
      <c r="AJ45" s="23">
        <v>7.0000000000000007E-2</v>
      </c>
      <c r="AK45" s="65">
        <v>103</v>
      </c>
      <c r="AL45" s="38">
        <v>1</v>
      </c>
    </row>
    <row r="46" spans="1:38">
      <c r="A46" s="38">
        <v>146</v>
      </c>
      <c r="B46" s="16" t="s">
        <v>229</v>
      </c>
      <c r="C46" s="16" t="s">
        <v>566</v>
      </c>
      <c r="D46" s="38">
        <v>1005</v>
      </c>
      <c r="E46" s="16" t="s">
        <v>572</v>
      </c>
      <c r="F46" s="16"/>
      <c r="G46" s="23">
        <v>0</v>
      </c>
      <c r="H46" s="23">
        <v>1</v>
      </c>
      <c r="I46" s="23">
        <v>1</v>
      </c>
      <c r="J46" s="23">
        <v>36</v>
      </c>
      <c r="K46" s="23">
        <v>1.7</v>
      </c>
      <c r="L46" s="23">
        <v>8</v>
      </c>
      <c r="M46" s="23">
        <v>1.5</v>
      </c>
      <c r="N46" s="23">
        <v>5.9</v>
      </c>
      <c r="O46" s="23">
        <v>0</v>
      </c>
      <c r="P46" s="23"/>
      <c r="Q46" s="23">
        <v>46.9</v>
      </c>
      <c r="R46" s="23">
        <v>245</v>
      </c>
      <c r="S46" s="23">
        <v>244.89999999999998</v>
      </c>
      <c r="T46" s="23">
        <v>56</v>
      </c>
      <c r="U46" s="23">
        <v>2.6</v>
      </c>
      <c r="V46" s="23">
        <v>0</v>
      </c>
      <c r="W46" s="23">
        <v>2.6</v>
      </c>
      <c r="X46" s="23"/>
      <c r="Y46" s="23"/>
      <c r="Z46" s="23">
        <v>1.3</v>
      </c>
      <c r="AA46" s="23">
        <v>37</v>
      </c>
      <c r="AB46" s="23">
        <v>0</v>
      </c>
      <c r="AC46" s="23">
        <v>0.22</v>
      </c>
      <c r="AD46" s="23">
        <v>0.01</v>
      </c>
      <c r="AE46" s="23">
        <v>0</v>
      </c>
      <c r="AF46" s="23">
        <v>0</v>
      </c>
      <c r="AG46" s="23">
        <v>0</v>
      </c>
      <c r="AH46" s="23">
        <v>0</v>
      </c>
      <c r="AI46" s="23"/>
      <c r="AJ46" s="23">
        <v>0.05</v>
      </c>
      <c r="AK46" s="65">
        <v>103</v>
      </c>
      <c r="AL46" s="38">
        <v>1</v>
      </c>
    </row>
    <row r="47" spans="1:38">
      <c r="A47" s="38">
        <v>147</v>
      </c>
      <c r="B47" s="16" t="s">
        <v>230</v>
      </c>
      <c r="C47" s="16" t="s">
        <v>566</v>
      </c>
      <c r="D47" s="38">
        <v>1006</v>
      </c>
      <c r="E47" s="16" t="s">
        <v>439</v>
      </c>
      <c r="F47" s="16"/>
      <c r="G47" s="23">
        <v>0</v>
      </c>
      <c r="H47" s="23">
        <v>19</v>
      </c>
      <c r="I47" s="23">
        <v>1</v>
      </c>
      <c r="J47" s="23">
        <v>23.5</v>
      </c>
      <c r="K47" s="23">
        <v>1.8</v>
      </c>
      <c r="L47" s="23">
        <v>8.3000000000000007</v>
      </c>
      <c r="M47" s="23">
        <v>14.4</v>
      </c>
      <c r="N47" s="23">
        <v>1.5</v>
      </c>
      <c r="O47" s="23">
        <v>0</v>
      </c>
      <c r="P47" s="23"/>
      <c r="Q47" s="23">
        <v>50.6</v>
      </c>
      <c r="R47" s="23">
        <v>368</v>
      </c>
      <c r="S47" s="23">
        <v>368.20000000000005</v>
      </c>
      <c r="T47" s="23">
        <v>80</v>
      </c>
      <c r="U47" s="23">
        <v>1.9</v>
      </c>
      <c r="V47" s="23">
        <v>0</v>
      </c>
      <c r="W47" s="23">
        <v>1.9</v>
      </c>
      <c r="X47" s="23"/>
      <c r="Y47" s="23"/>
      <c r="Z47" s="23">
        <v>0.8</v>
      </c>
      <c r="AA47" s="23">
        <v>33</v>
      </c>
      <c r="AB47" s="23">
        <v>0.6</v>
      </c>
      <c r="AC47" s="23">
        <v>0.2</v>
      </c>
      <c r="AD47" s="23">
        <v>0.16</v>
      </c>
      <c r="AE47" s="23">
        <v>70</v>
      </c>
      <c r="AF47" s="23">
        <v>43</v>
      </c>
      <c r="AG47" s="23">
        <v>74</v>
      </c>
      <c r="AH47" s="23">
        <v>77</v>
      </c>
      <c r="AI47" s="23"/>
      <c r="AJ47" s="23">
        <v>0.23</v>
      </c>
      <c r="AK47" s="65">
        <v>103</v>
      </c>
      <c r="AL47" s="38">
        <v>1</v>
      </c>
    </row>
    <row r="48" spans="1:38">
      <c r="A48" s="38">
        <v>148</v>
      </c>
      <c r="B48" s="16" t="s">
        <v>231</v>
      </c>
      <c r="C48" s="16" t="s">
        <v>553</v>
      </c>
      <c r="D48" s="38"/>
      <c r="E48" s="16"/>
      <c r="F48" s="16"/>
      <c r="G48" s="23">
        <v>0</v>
      </c>
      <c r="H48" s="23">
        <v>1</v>
      </c>
      <c r="I48" s="23">
        <v>1</v>
      </c>
      <c r="J48" s="23">
        <v>25</v>
      </c>
      <c r="K48" s="23">
        <v>2.25</v>
      </c>
      <c r="L48" s="23">
        <v>7.25</v>
      </c>
      <c r="M48" s="23">
        <v>10.9</v>
      </c>
      <c r="N48" s="23">
        <v>2.5</v>
      </c>
      <c r="O48" s="23">
        <v>0</v>
      </c>
      <c r="P48" s="23"/>
      <c r="Q48" s="23">
        <v>52.1</v>
      </c>
      <c r="R48" s="23">
        <v>340.5</v>
      </c>
      <c r="S48" s="23">
        <v>340.5</v>
      </c>
      <c r="T48" s="23">
        <v>73</v>
      </c>
      <c r="U48" s="23">
        <v>2</v>
      </c>
      <c r="V48" s="23">
        <v>0</v>
      </c>
      <c r="W48" s="23">
        <v>2</v>
      </c>
      <c r="X48" s="23"/>
      <c r="Y48" s="23"/>
      <c r="Z48" s="23">
        <v>0.64999999999999991</v>
      </c>
      <c r="AA48" s="23">
        <v>15.5</v>
      </c>
      <c r="AB48" s="23">
        <v>0</v>
      </c>
      <c r="AC48" s="23">
        <v>0.14500000000000002</v>
      </c>
      <c r="AD48" s="23">
        <v>6.5000000000000002E-2</v>
      </c>
      <c r="AE48" s="23">
        <v>43.5</v>
      </c>
      <c r="AF48" s="23">
        <v>45.5</v>
      </c>
      <c r="AG48" s="23">
        <v>47.291666666666664</v>
      </c>
      <c r="AH48" s="23">
        <v>51.083333333333336</v>
      </c>
      <c r="AI48" s="23"/>
      <c r="AJ48" s="23">
        <v>0.2</v>
      </c>
      <c r="AK48" s="65">
        <v>103</v>
      </c>
      <c r="AL48" s="38">
        <v>1</v>
      </c>
    </row>
    <row r="49" spans="1:38">
      <c r="A49" s="38">
        <v>149</v>
      </c>
      <c r="B49" s="16" t="s">
        <v>232</v>
      </c>
      <c r="C49" s="16" t="s">
        <v>553</v>
      </c>
      <c r="D49" s="38"/>
      <c r="E49" s="16"/>
      <c r="F49" s="16"/>
      <c r="G49" s="23">
        <v>0</v>
      </c>
      <c r="H49" s="23">
        <v>1</v>
      </c>
      <c r="I49" s="23">
        <v>1</v>
      </c>
      <c r="J49" s="23">
        <v>8.85</v>
      </c>
      <c r="K49" s="23">
        <v>0.9</v>
      </c>
      <c r="L49" s="23">
        <v>13.2</v>
      </c>
      <c r="M49" s="23">
        <v>1.45</v>
      </c>
      <c r="N49" s="23">
        <v>3.25</v>
      </c>
      <c r="O49" s="23">
        <v>0</v>
      </c>
      <c r="P49" s="23"/>
      <c r="Q49" s="23">
        <v>72.349999999999994</v>
      </c>
      <c r="R49" s="23">
        <v>362</v>
      </c>
      <c r="S49" s="23">
        <v>361.75</v>
      </c>
      <c r="T49" s="23">
        <v>19.5</v>
      </c>
      <c r="U49" s="23">
        <v>1.45</v>
      </c>
      <c r="V49" s="23">
        <v>0</v>
      </c>
      <c r="W49" s="23">
        <v>1.45</v>
      </c>
      <c r="X49" s="23"/>
      <c r="Y49" s="23"/>
      <c r="Z49" s="23">
        <v>0.6</v>
      </c>
      <c r="AA49" s="23">
        <v>16.5</v>
      </c>
      <c r="AB49" s="23">
        <v>0</v>
      </c>
      <c r="AC49" s="23">
        <v>7.0000000000000007E-2</v>
      </c>
      <c r="AD49" s="23">
        <v>4.4999999999999998E-2</v>
      </c>
      <c r="AE49" s="23">
        <v>0</v>
      </c>
      <c r="AF49" s="23">
        <v>0</v>
      </c>
      <c r="AG49" s="23">
        <v>0</v>
      </c>
      <c r="AH49" s="23">
        <v>0</v>
      </c>
      <c r="AI49" s="23"/>
      <c r="AJ49" s="23">
        <v>0</v>
      </c>
      <c r="AK49" s="65">
        <v>103</v>
      </c>
      <c r="AL49" s="38">
        <v>1</v>
      </c>
    </row>
    <row r="50" spans="1:38">
      <c r="A50" s="38">
        <v>201</v>
      </c>
      <c r="B50" s="16" t="s">
        <v>233</v>
      </c>
      <c r="C50" s="16" t="s">
        <v>553</v>
      </c>
      <c r="D50" s="38"/>
      <c r="E50" s="16"/>
      <c r="F50" s="16"/>
      <c r="G50" s="24">
        <v>31.666666666666664</v>
      </c>
      <c r="H50" s="23">
        <v>12</v>
      </c>
      <c r="I50" s="23">
        <v>9</v>
      </c>
      <c r="J50" s="23">
        <v>68.033333333333346</v>
      </c>
      <c r="K50" s="23">
        <v>1.0333333333333334</v>
      </c>
      <c r="L50" s="23">
        <v>19.633333333333336</v>
      </c>
      <c r="M50" s="23">
        <v>11.200000000000001</v>
      </c>
      <c r="N50" s="23">
        <v>0</v>
      </c>
      <c r="O50" s="23">
        <v>0</v>
      </c>
      <c r="P50" s="23"/>
      <c r="Q50" s="23">
        <v>9.9999999999981881E-2</v>
      </c>
      <c r="R50" s="23">
        <v>179.66666666666666</v>
      </c>
      <c r="S50" s="23">
        <v>179.73333333333329</v>
      </c>
      <c r="T50" s="23">
        <v>8.3333333333333339</v>
      </c>
      <c r="U50" s="23">
        <v>5.6333333333333329</v>
      </c>
      <c r="V50" s="23">
        <v>5.6333333333333329</v>
      </c>
      <c r="W50" s="23">
        <v>0</v>
      </c>
      <c r="X50" s="23"/>
      <c r="Y50" s="23"/>
      <c r="Z50" s="23">
        <v>3.69</v>
      </c>
      <c r="AA50" s="23">
        <v>1.3333333333333333</v>
      </c>
      <c r="AB50" s="23">
        <v>0.53333333333333333</v>
      </c>
      <c r="AC50" s="23">
        <v>0</v>
      </c>
      <c r="AD50" s="23">
        <v>0.20666666666666667</v>
      </c>
      <c r="AE50" s="23">
        <v>14.666666666666666</v>
      </c>
      <c r="AF50" s="23">
        <v>9.3333333333333339</v>
      </c>
      <c r="AG50" s="23">
        <v>15.444444444444445</v>
      </c>
      <c r="AH50" s="23">
        <v>16.222222222222221</v>
      </c>
      <c r="AI50" s="23"/>
      <c r="AJ50" s="23">
        <v>1.9833333333333332</v>
      </c>
      <c r="AK50" s="65">
        <v>702</v>
      </c>
      <c r="AL50" s="65">
        <v>7</v>
      </c>
    </row>
    <row r="51" spans="1:38">
      <c r="A51" s="38">
        <v>202</v>
      </c>
      <c r="B51" s="16" t="s">
        <v>234</v>
      </c>
      <c r="C51" s="16" t="s">
        <v>603</v>
      </c>
      <c r="D51" s="38"/>
      <c r="E51" s="16"/>
      <c r="F51" s="16"/>
      <c r="G51" s="23">
        <v>11.666666666666666</v>
      </c>
      <c r="H51" s="23">
        <v>12</v>
      </c>
      <c r="I51" s="23">
        <v>9</v>
      </c>
      <c r="J51" s="23">
        <v>68.033333333333346</v>
      </c>
      <c r="K51" s="23">
        <v>1.0333333333333334</v>
      </c>
      <c r="L51" s="23">
        <v>19.633333333333336</v>
      </c>
      <c r="M51" s="23">
        <v>11.200000000000001</v>
      </c>
      <c r="N51" s="23">
        <v>0</v>
      </c>
      <c r="O51" s="23">
        <v>0</v>
      </c>
      <c r="P51" s="23">
        <v>0</v>
      </c>
      <c r="Q51" s="23">
        <v>9.9999999999981881E-2</v>
      </c>
      <c r="R51" s="23">
        <v>179.66666666666666</v>
      </c>
      <c r="S51" s="23">
        <v>179.73333333333329</v>
      </c>
      <c r="T51" s="23">
        <v>8.3333333333333339</v>
      </c>
      <c r="U51" s="23">
        <v>5.6333333333333329</v>
      </c>
      <c r="V51" s="23">
        <v>5.6333333333333329</v>
      </c>
      <c r="W51" s="23">
        <v>0</v>
      </c>
      <c r="X51" s="23"/>
      <c r="Y51" s="23"/>
      <c r="Z51" s="23">
        <v>3.69</v>
      </c>
      <c r="AA51" s="23">
        <v>1.3333333333333333</v>
      </c>
      <c r="AB51" s="23">
        <v>0.53333333333333333</v>
      </c>
      <c r="AC51" s="23">
        <v>0</v>
      </c>
      <c r="AD51" s="23">
        <v>0.20666666666666667</v>
      </c>
      <c r="AE51" s="23">
        <v>14.666666666666666</v>
      </c>
      <c r="AF51" s="23">
        <v>9.3333333333333339</v>
      </c>
      <c r="AG51" s="23">
        <v>15.444444444444445</v>
      </c>
      <c r="AH51" s="23">
        <v>16.222222222222221</v>
      </c>
      <c r="AI51" s="23"/>
      <c r="AJ51" s="23">
        <v>1.9833333333333332</v>
      </c>
      <c r="AK51" s="65">
        <v>702</v>
      </c>
      <c r="AL51" s="65">
        <v>7</v>
      </c>
    </row>
    <row r="52" spans="1:38">
      <c r="A52" s="38">
        <v>203</v>
      </c>
      <c r="B52" s="16" t="s">
        <v>235</v>
      </c>
      <c r="C52" s="16" t="s">
        <v>604</v>
      </c>
      <c r="D52" s="38"/>
      <c r="E52" s="16"/>
      <c r="F52" s="16"/>
      <c r="G52" s="23">
        <v>0</v>
      </c>
      <c r="H52" s="23">
        <v>12</v>
      </c>
      <c r="I52" s="23">
        <v>9</v>
      </c>
      <c r="J52" s="23">
        <v>68.033333333333346</v>
      </c>
      <c r="K52" s="23">
        <v>1.0333333333333334</v>
      </c>
      <c r="L52" s="23">
        <v>19.633333333333336</v>
      </c>
      <c r="M52" s="23">
        <v>11.200000000000001</v>
      </c>
      <c r="N52" s="23">
        <v>0</v>
      </c>
      <c r="O52" s="23">
        <v>0</v>
      </c>
      <c r="P52" s="23">
        <v>0</v>
      </c>
      <c r="Q52" s="23">
        <v>9.9999999999981881E-2</v>
      </c>
      <c r="R52" s="23">
        <v>179.66666666666666</v>
      </c>
      <c r="S52" s="23">
        <v>179.73333333333329</v>
      </c>
      <c r="T52" s="23">
        <v>8.3333333333333339</v>
      </c>
      <c r="U52" s="23">
        <v>5.6333333333333329</v>
      </c>
      <c r="V52" s="23">
        <v>5.6333333333333329</v>
      </c>
      <c r="W52" s="23">
        <v>0</v>
      </c>
      <c r="X52" s="23"/>
      <c r="Y52" s="23"/>
      <c r="Z52" s="23">
        <v>3.69</v>
      </c>
      <c r="AA52" s="23">
        <v>1.3333333333333333</v>
      </c>
      <c r="AB52" s="23">
        <v>0.53333333333333333</v>
      </c>
      <c r="AC52" s="23">
        <v>0</v>
      </c>
      <c r="AD52" s="23">
        <v>0.20666666666666667</v>
      </c>
      <c r="AE52" s="23">
        <v>14.666666666666666</v>
      </c>
      <c r="AF52" s="23">
        <v>9.3333333333333339</v>
      </c>
      <c r="AG52" s="23">
        <v>15.444444444444445</v>
      </c>
      <c r="AH52" s="23">
        <v>16.222222222222221</v>
      </c>
      <c r="AI52" s="23"/>
      <c r="AJ52" s="23">
        <v>1.9833333333333332</v>
      </c>
      <c r="AK52" s="65">
        <v>702</v>
      </c>
      <c r="AL52" s="65">
        <v>7</v>
      </c>
    </row>
    <row r="53" spans="1:38">
      <c r="A53" s="38">
        <v>204</v>
      </c>
      <c r="B53" s="16" t="s">
        <v>236</v>
      </c>
      <c r="C53" s="16" t="s">
        <v>566</v>
      </c>
      <c r="D53" s="38">
        <v>7020</v>
      </c>
      <c r="E53" s="16" t="s">
        <v>449</v>
      </c>
      <c r="F53" s="16"/>
      <c r="G53" s="23">
        <v>0</v>
      </c>
      <c r="H53" s="23">
        <v>12</v>
      </c>
      <c r="I53" s="23">
        <v>9</v>
      </c>
      <c r="J53" s="23">
        <v>57.2</v>
      </c>
      <c r="K53" s="23">
        <v>0.7</v>
      </c>
      <c r="L53" s="23">
        <v>18.899999999999999</v>
      </c>
      <c r="M53" s="23">
        <v>23.5</v>
      </c>
      <c r="N53" s="23">
        <v>0</v>
      </c>
      <c r="O53" s="23">
        <v>0</v>
      </c>
      <c r="P53" s="23"/>
      <c r="Q53" s="23">
        <v>0</v>
      </c>
      <c r="R53" s="23">
        <v>286</v>
      </c>
      <c r="S53" s="23">
        <v>287.10000000000002</v>
      </c>
      <c r="T53" s="23">
        <v>25</v>
      </c>
      <c r="U53" s="23">
        <v>1.1000000000000001</v>
      </c>
      <c r="V53" s="23">
        <v>1.1000000000000001</v>
      </c>
      <c r="W53" s="23">
        <v>0</v>
      </c>
      <c r="X53" s="23"/>
      <c r="Y53" s="23"/>
      <c r="Z53" s="23">
        <v>1.59</v>
      </c>
      <c r="AA53" s="23">
        <v>4</v>
      </c>
      <c r="AB53" s="23">
        <v>0</v>
      </c>
      <c r="AC53" s="23">
        <v>0.63</v>
      </c>
      <c r="AD53" s="23">
        <v>0.17</v>
      </c>
      <c r="AE53" s="23">
        <v>0</v>
      </c>
      <c r="AF53" s="23">
        <v>0</v>
      </c>
      <c r="AG53" s="23">
        <v>0</v>
      </c>
      <c r="AH53" s="23">
        <v>0</v>
      </c>
      <c r="AI53" s="23"/>
      <c r="AJ53" s="23">
        <v>0.6</v>
      </c>
      <c r="AK53" s="65">
        <v>702</v>
      </c>
      <c r="AL53" s="65">
        <v>7</v>
      </c>
    </row>
    <row r="54" spans="1:38">
      <c r="A54" s="38">
        <v>205</v>
      </c>
      <c r="B54" s="16" t="s">
        <v>237</v>
      </c>
      <c r="C54" s="16" t="s">
        <v>553</v>
      </c>
      <c r="D54" s="38"/>
      <c r="E54" s="16"/>
      <c r="F54" s="16"/>
      <c r="G54" s="23">
        <v>18.333333333333332</v>
      </c>
      <c r="H54" s="23">
        <v>12</v>
      </c>
      <c r="I54" s="23">
        <v>9</v>
      </c>
      <c r="J54" s="23">
        <v>67.600000000000009</v>
      </c>
      <c r="K54" s="23">
        <v>1</v>
      </c>
      <c r="L54" s="23">
        <v>18.366666666666667</v>
      </c>
      <c r="M54" s="23">
        <v>11.866666666666665</v>
      </c>
      <c r="N54" s="23">
        <v>0</v>
      </c>
      <c r="O54" s="23">
        <v>0</v>
      </c>
      <c r="P54" s="23"/>
      <c r="Q54" s="23">
        <v>1.166666666666659</v>
      </c>
      <c r="R54" s="23">
        <v>184.66666666666666</v>
      </c>
      <c r="S54" s="23">
        <v>184.93333333333328</v>
      </c>
      <c r="T54" s="23">
        <v>10.666666666666666</v>
      </c>
      <c r="U54" s="23">
        <v>3.5999999999999996</v>
      </c>
      <c r="V54" s="23">
        <v>3.5999999999999996</v>
      </c>
      <c r="W54" s="23">
        <v>0</v>
      </c>
      <c r="X54" s="23"/>
      <c r="Y54" s="23"/>
      <c r="Z54" s="23">
        <v>3.4166666666666665</v>
      </c>
      <c r="AA54" s="23">
        <v>7</v>
      </c>
      <c r="AB54" s="23">
        <v>0.40000000000000008</v>
      </c>
      <c r="AC54" s="23">
        <v>0.15</v>
      </c>
      <c r="AD54" s="23">
        <v>0.21333333333333335</v>
      </c>
      <c r="AE54" s="23">
        <v>8.3333333333333339</v>
      </c>
      <c r="AF54" s="23">
        <v>0</v>
      </c>
      <c r="AG54" s="23">
        <v>8.3333333333333339</v>
      </c>
      <c r="AH54" s="23">
        <v>8.3333333333333339</v>
      </c>
      <c r="AI54" s="23"/>
      <c r="AJ54" s="23">
        <v>2.6066666666666669</v>
      </c>
      <c r="AK54" s="65">
        <v>702</v>
      </c>
      <c r="AL54" s="65">
        <v>7</v>
      </c>
    </row>
    <row r="55" spans="1:38">
      <c r="A55" s="38">
        <v>206</v>
      </c>
      <c r="B55" s="16" t="s">
        <v>238</v>
      </c>
      <c r="C55" s="16" t="s">
        <v>566</v>
      </c>
      <c r="D55" s="38">
        <v>7006</v>
      </c>
      <c r="E55" s="16" t="s">
        <v>573</v>
      </c>
      <c r="F55" s="16"/>
      <c r="G55" s="23">
        <v>0</v>
      </c>
      <c r="H55" s="23">
        <v>12</v>
      </c>
      <c r="I55" s="23">
        <v>9</v>
      </c>
      <c r="J55" s="23">
        <v>60.5</v>
      </c>
      <c r="K55" s="23">
        <v>1.4</v>
      </c>
      <c r="L55" s="23">
        <v>18.600000000000001</v>
      </c>
      <c r="M55" s="23">
        <v>8.9</v>
      </c>
      <c r="N55" s="23">
        <v>0</v>
      </c>
      <c r="O55" s="23">
        <v>0</v>
      </c>
      <c r="P55" s="23"/>
      <c r="Q55" s="23">
        <v>10.8</v>
      </c>
      <c r="R55" s="23">
        <v>197</v>
      </c>
      <c r="S55" s="23">
        <v>197.7</v>
      </c>
      <c r="T55" s="23">
        <v>4</v>
      </c>
      <c r="U55" s="23">
        <v>3.8</v>
      </c>
      <c r="V55" s="23">
        <v>3.8</v>
      </c>
      <c r="W55" s="23">
        <v>0</v>
      </c>
      <c r="X55" s="23"/>
      <c r="Y55" s="23"/>
      <c r="Z55" s="23">
        <v>1.93</v>
      </c>
      <c r="AA55" s="23">
        <v>8</v>
      </c>
      <c r="AB55" s="23">
        <v>0</v>
      </c>
      <c r="AC55" s="23">
        <v>0.04</v>
      </c>
      <c r="AD55" s="23">
        <v>0.2</v>
      </c>
      <c r="AE55" s="23">
        <v>0</v>
      </c>
      <c r="AF55" s="23">
        <v>10</v>
      </c>
      <c r="AG55" s="23">
        <v>1</v>
      </c>
      <c r="AH55" s="23">
        <v>2</v>
      </c>
      <c r="AI55" s="23"/>
      <c r="AJ55" s="23">
        <v>1.7</v>
      </c>
      <c r="AK55" s="65">
        <v>702</v>
      </c>
      <c r="AL55" s="65">
        <v>7</v>
      </c>
    </row>
    <row r="56" spans="1:38">
      <c r="A56" s="38">
        <v>207</v>
      </c>
      <c r="B56" s="16" t="s">
        <v>239</v>
      </c>
      <c r="C56" s="16" t="s">
        <v>566</v>
      </c>
      <c r="D56" s="38">
        <v>7009</v>
      </c>
      <c r="E56" s="16" t="s">
        <v>454</v>
      </c>
      <c r="F56" s="16"/>
      <c r="G56" s="23">
        <v>35</v>
      </c>
      <c r="H56" s="23">
        <v>12</v>
      </c>
      <c r="I56" s="23">
        <v>9</v>
      </c>
      <c r="J56" s="23">
        <v>63.6</v>
      </c>
      <c r="K56" s="23">
        <v>0.9</v>
      </c>
      <c r="L56" s="23">
        <v>18.7</v>
      </c>
      <c r="M56" s="23">
        <v>13</v>
      </c>
      <c r="N56" s="23">
        <v>0</v>
      </c>
      <c r="O56" s="23">
        <v>0</v>
      </c>
      <c r="P56" s="23"/>
      <c r="Q56" s="23">
        <v>3.8</v>
      </c>
      <c r="R56" s="23">
        <v>207</v>
      </c>
      <c r="S56" s="23">
        <v>207</v>
      </c>
      <c r="T56" s="23">
        <v>13</v>
      </c>
      <c r="U56" s="23">
        <v>2.5</v>
      </c>
      <c r="V56" s="23">
        <v>2.5</v>
      </c>
      <c r="W56" s="23">
        <v>0</v>
      </c>
      <c r="X56" s="23"/>
      <c r="Y56" s="23"/>
      <c r="Z56" s="23">
        <v>0.89</v>
      </c>
      <c r="AA56" s="23">
        <v>11</v>
      </c>
      <c r="AB56" s="23">
        <v>1.2</v>
      </c>
      <c r="AC56" s="23">
        <v>0.14000000000000001</v>
      </c>
      <c r="AD56" s="23">
        <v>0.12</v>
      </c>
      <c r="AE56" s="23">
        <v>75</v>
      </c>
      <c r="AF56" s="23">
        <v>0</v>
      </c>
      <c r="AG56" s="23">
        <v>75</v>
      </c>
      <c r="AH56" s="23">
        <v>75</v>
      </c>
      <c r="AI56" s="23"/>
      <c r="AJ56" s="23">
        <v>0.63</v>
      </c>
      <c r="AK56" s="65">
        <v>703</v>
      </c>
      <c r="AL56" s="65">
        <v>7</v>
      </c>
    </row>
    <row r="57" spans="1:38">
      <c r="A57" s="38">
        <v>208</v>
      </c>
      <c r="B57" s="16" t="s">
        <v>240</v>
      </c>
      <c r="C57" s="16" t="s">
        <v>566</v>
      </c>
      <c r="D57" s="38">
        <v>7021</v>
      </c>
      <c r="E57" s="16" t="s">
        <v>455</v>
      </c>
      <c r="F57" s="16"/>
      <c r="G57" s="23">
        <v>0</v>
      </c>
      <c r="H57" s="23">
        <v>12</v>
      </c>
      <c r="I57" s="23">
        <v>9</v>
      </c>
      <c r="J57" s="23">
        <v>67</v>
      </c>
      <c r="K57" s="23">
        <v>1.3</v>
      </c>
      <c r="L57" s="23">
        <v>24.4</v>
      </c>
      <c r="M57" s="23">
        <v>4.8</v>
      </c>
      <c r="N57" s="23">
        <v>0</v>
      </c>
      <c r="O57" s="23">
        <v>0</v>
      </c>
      <c r="P57" s="23"/>
      <c r="Q57" s="23">
        <v>2.5</v>
      </c>
      <c r="R57" s="23">
        <v>151</v>
      </c>
      <c r="S57" s="23">
        <v>150.79999999999998</v>
      </c>
      <c r="T57" s="23">
        <v>12</v>
      </c>
      <c r="U57" s="23">
        <v>1</v>
      </c>
      <c r="V57" s="23">
        <v>1</v>
      </c>
      <c r="W57" s="23">
        <v>0</v>
      </c>
      <c r="X57" s="23"/>
      <c r="Y57" s="23"/>
      <c r="Z57" s="23">
        <v>1.6</v>
      </c>
      <c r="AA57" s="23">
        <v>11</v>
      </c>
      <c r="AB57" s="23">
        <v>0</v>
      </c>
      <c r="AC57" s="23">
        <v>0.46</v>
      </c>
      <c r="AD57" s="23">
        <v>0.06</v>
      </c>
      <c r="AE57" s="23">
        <v>10</v>
      </c>
      <c r="AF57" s="23">
        <v>0</v>
      </c>
      <c r="AG57" s="23">
        <v>10</v>
      </c>
      <c r="AH57" s="23">
        <v>10</v>
      </c>
      <c r="AI57" s="23"/>
      <c r="AJ57" s="23">
        <v>5.3</v>
      </c>
      <c r="AK57" s="65">
        <v>702</v>
      </c>
      <c r="AL57" s="65">
        <v>7</v>
      </c>
    </row>
    <row r="58" spans="1:38">
      <c r="A58" s="38">
        <v>209</v>
      </c>
      <c r="B58" s="16" t="s">
        <v>241</v>
      </c>
      <c r="C58" s="16" t="s">
        <v>553</v>
      </c>
      <c r="D58" s="38"/>
      <c r="E58" s="16"/>
      <c r="F58" s="16"/>
      <c r="G58" s="23">
        <v>0</v>
      </c>
      <c r="H58" s="23">
        <v>19</v>
      </c>
      <c r="I58" s="23">
        <v>9</v>
      </c>
      <c r="J58" s="23">
        <v>85.504999999999995</v>
      </c>
      <c r="K58" s="23">
        <v>1.7550000000000001</v>
      </c>
      <c r="L58" s="23">
        <v>2.9</v>
      </c>
      <c r="M58" s="23">
        <v>1.7849999999999999</v>
      </c>
      <c r="N58" s="23">
        <v>1.9500000000000002</v>
      </c>
      <c r="O58" s="23">
        <v>0</v>
      </c>
      <c r="P58" s="23">
        <v>8.06</v>
      </c>
      <c r="Q58" s="23">
        <v>6.1050000000000031</v>
      </c>
      <c r="R58" s="23">
        <v>83.55</v>
      </c>
      <c r="S58" s="23">
        <v>55.985000000000014</v>
      </c>
      <c r="T58" s="23">
        <v>26.5</v>
      </c>
      <c r="U58" s="23">
        <v>0.69500000000000006</v>
      </c>
      <c r="V58" s="23">
        <v>0.69500000000000006</v>
      </c>
      <c r="W58" s="23">
        <v>0</v>
      </c>
      <c r="X58" s="23"/>
      <c r="Y58" s="23"/>
      <c r="Z58" s="23">
        <v>0.39250000000000002</v>
      </c>
      <c r="AA58" s="23">
        <v>18</v>
      </c>
      <c r="AB58" s="23">
        <v>0.625</v>
      </c>
      <c r="AC58" s="23">
        <v>4.1500000000000002E-2</v>
      </c>
      <c r="AD58" s="23">
        <v>3.2000000000000001E-2</v>
      </c>
      <c r="AE58" s="23">
        <v>0.25</v>
      </c>
      <c r="AF58" s="23">
        <v>483.875</v>
      </c>
      <c r="AG58" s="23">
        <v>40.572916666666664</v>
      </c>
      <c r="AH58" s="23">
        <v>80.895833333333329</v>
      </c>
      <c r="AI58" s="23"/>
      <c r="AJ58" s="23">
        <v>2.5000000000000001E-2</v>
      </c>
      <c r="AK58" s="65">
        <v>1811</v>
      </c>
      <c r="AL58" s="65">
        <v>18</v>
      </c>
    </row>
    <row r="59" spans="1:38">
      <c r="A59" s="38">
        <v>210</v>
      </c>
      <c r="B59" s="16" t="s">
        <v>242</v>
      </c>
      <c r="C59" s="16" t="s">
        <v>553</v>
      </c>
      <c r="D59" s="38"/>
      <c r="E59" s="16"/>
      <c r="F59" s="16"/>
      <c r="G59" s="23">
        <v>4.5</v>
      </c>
      <c r="H59" s="23">
        <v>12</v>
      </c>
      <c r="I59" s="23">
        <v>8</v>
      </c>
      <c r="J59" s="23">
        <v>74.995000000000005</v>
      </c>
      <c r="K59" s="23">
        <v>1.3483333333333334</v>
      </c>
      <c r="L59" s="23">
        <v>18.799999999999997</v>
      </c>
      <c r="M59" s="23">
        <v>4.1449999999999996</v>
      </c>
      <c r="N59" s="23">
        <v>0</v>
      </c>
      <c r="O59" s="23">
        <v>0</v>
      </c>
      <c r="P59" s="23"/>
      <c r="Q59" s="23">
        <v>0.711666666666666</v>
      </c>
      <c r="R59" s="23">
        <v>115.5</v>
      </c>
      <c r="S59" s="23">
        <v>115.35166666666665</v>
      </c>
      <c r="T59" s="23">
        <v>11.166666666666666</v>
      </c>
      <c r="U59" s="23">
        <v>6.4666666666666659</v>
      </c>
      <c r="V59" s="23">
        <v>6.4666666666666659</v>
      </c>
      <c r="W59" s="23">
        <v>0</v>
      </c>
      <c r="X59" s="23"/>
      <c r="Y59" s="23"/>
      <c r="Z59" s="23">
        <v>2.9299999999999997</v>
      </c>
      <c r="AA59" s="23">
        <v>249.83333333333331</v>
      </c>
      <c r="AB59" s="23">
        <v>12.7</v>
      </c>
      <c r="AC59" s="23">
        <v>0.30016666666666664</v>
      </c>
      <c r="AD59" s="23">
        <v>2.2949999999999999</v>
      </c>
      <c r="AE59" s="23">
        <v>11303.833333333332</v>
      </c>
      <c r="AF59" s="23">
        <v>142.83333333333331</v>
      </c>
      <c r="AG59" s="23">
        <v>11315.736111111109</v>
      </c>
      <c r="AH59" s="23">
        <v>11327.638888888887</v>
      </c>
      <c r="AI59" s="23"/>
      <c r="AJ59" s="23">
        <v>58.223333333333329</v>
      </c>
      <c r="AK59" s="65">
        <v>701</v>
      </c>
      <c r="AL59" s="65">
        <v>7</v>
      </c>
    </row>
    <row r="60" spans="1:38">
      <c r="A60" s="38">
        <v>211</v>
      </c>
      <c r="B60" s="16" t="s">
        <v>605</v>
      </c>
      <c r="C60" s="16" t="s">
        <v>607</v>
      </c>
      <c r="D60" s="38">
        <v>13341</v>
      </c>
      <c r="E60" s="16" t="s">
        <v>679</v>
      </c>
      <c r="F60" s="16"/>
      <c r="G60" s="23">
        <v>0</v>
      </c>
      <c r="H60" s="23">
        <v>12</v>
      </c>
      <c r="I60" s="23">
        <v>8</v>
      </c>
      <c r="J60" s="23">
        <v>84.16</v>
      </c>
      <c r="K60" s="23">
        <v>0.55000000000000004</v>
      </c>
      <c r="L60" s="23">
        <v>12.07</v>
      </c>
      <c r="M60" s="23">
        <v>3.69</v>
      </c>
      <c r="N60" s="23">
        <v>0</v>
      </c>
      <c r="O60" s="23">
        <v>0</v>
      </c>
      <c r="P60" s="23">
        <v>0</v>
      </c>
      <c r="Q60" s="23">
        <v>0</v>
      </c>
      <c r="R60" s="23">
        <v>85</v>
      </c>
      <c r="S60" s="23">
        <v>81.490000000000009</v>
      </c>
      <c r="T60" s="23">
        <v>69</v>
      </c>
      <c r="U60" s="23">
        <v>0.59</v>
      </c>
      <c r="V60" s="23">
        <v>0.59</v>
      </c>
      <c r="W60" s="23">
        <v>0</v>
      </c>
      <c r="X60" s="23"/>
      <c r="Y60" s="23"/>
      <c r="Z60" s="23">
        <v>1.42</v>
      </c>
      <c r="AA60" s="23">
        <v>5</v>
      </c>
      <c r="AB60" s="23">
        <v>0</v>
      </c>
      <c r="AC60" s="23">
        <v>0</v>
      </c>
      <c r="AD60" s="23">
        <v>6.4000000000000001E-2</v>
      </c>
      <c r="AE60" s="23">
        <v>0</v>
      </c>
      <c r="AF60" s="23">
        <v>0</v>
      </c>
      <c r="AG60" s="23">
        <v>0</v>
      </c>
      <c r="AH60" s="23">
        <v>0</v>
      </c>
      <c r="AI60" s="23"/>
      <c r="AJ60" s="23">
        <v>1.39</v>
      </c>
      <c r="AK60" s="65">
        <v>701</v>
      </c>
      <c r="AL60" s="65">
        <v>7</v>
      </c>
    </row>
    <row r="61" spans="1:38">
      <c r="A61" s="38">
        <v>212</v>
      </c>
      <c r="B61" s="16" t="s">
        <v>243</v>
      </c>
      <c r="C61" s="16" t="s">
        <v>553</v>
      </c>
      <c r="D61" s="38"/>
      <c r="E61" s="16"/>
      <c r="F61" s="16"/>
      <c r="G61" s="23">
        <v>0</v>
      </c>
      <c r="H61" s="23">
        <v>12</v>
      </c>
      <c r="I61" s="23">
        <v>9</v>
      </c>
      <c r="J61" s="23">
        <v>56.166666666666664</v>
      </c>
      <c r="K61" s="23">
        <v>2.2333333333333329</v>
      </c>
      <c r="L61" s="23">
        <v>11.166666666666666</v>
      </c>
      <c r="M61" s="23">
        <v>24.433333333333334</v>
      </c>
      <c r="N61" s="23">
        <v>1.6666666666666667</v>
      </c>
      <c r="O61" s="23">
        <v>0</v>
      </c>
      <c r="P61" s="23"/>
      <c r="Q61" s="23">
        <v>4.3333333333333366</v>
      </c>
      <c r="R61" s="23">
        <v>285</v>
      </c>
      <c r="S61" s="23">
        <v>285.23333333333335</v>
      </c>
      <c r="T61" s="23">
        <v>48.333333333333336</v>
      </c>
      <c r="U61" s="23">
        <v>1.2</v>
      </c>
      <c r="V61" s="23">
        <v>1.2</v>
      </c>
      <c r="W61" s="23">
        <v>0</v>
      </c>
      <c r="X61" s="23"/>
      <c r="Y61" s="23"/>
      <c r="Z61" s="23">
        <v>2.4733333333333332</v>
      </c>
      <c r="AA61" s="23">
        <v>11</v>
      </c>
      <c r="AB61" s="23">
        <v>0</v>
      </c>
      <c r="AC61" s="23">
        <v>3.6666666666666674E-2</v>
      </c>
      <c r="AD61" s="23">
        <v>9.9999999999999992E-2</v>
      </c>
      <c r="AE61" s="23">
        <v>52.333333333333336</v>
      </c>
      <c r="AF61" s="23">
        <v>30.333333333333332</v>
      </c>
      <c r="AG61" s="23">
        <v>54.861111111111114</v>
      </c>
      <c r="AH61" s="23">
        <v>57.388888888888893</v>
      </c>
      <c r="AI61" s="23"/>
      <c r="AJ61" s="23">
        <v>1.04</v>
      </c>
      <c r="AK61" s="65">
        <v>702</v>
      </c>
      <c r="AL61" s="65">
        <v>7</v>
      </c>
    </row>
    <row r="62" spans="1:38">
      <c r="A62" s="38">
        <v>213</v>
      </c>
      <c r="B62" s="16" t="s">
        <v>244</v>
      </c>
      <c r="C62" s="16" t="s">
        <v>632</v>
      </c>
      <c r="D62" s="38" t="s">
        <v>633</v>
      </c>
      <c r="E62" s="16" t="s">
        <v>634</v>
      </c>
      <c r="F62" s="16"/>
      <c r="G62" s="23">
        <v>0</v>
      </c>
      <c r="H62" s="23">
        <v>12</v>
      </c>
      <c r="I62" s="23">
        <v>9</v>
      </c>
      <c r="J62" s="23">
        <v>57.7</v>
      </c>
      <c r="K62" s="23">
        <v>2.9</v>
      </c>
      <c r="L62" s="23">
        <v>27.1</v>
      </c>
      <c r="M62" s="23">
        <v>14.9</v>
      </c>
      <c r="N62" s="23">
        <v>0</v>
      </c>
      <c r="O62" s="23">
        <v>0</v>
      </c>
      <c r="P62" s="23"/>
      <c r="Q62" s="23">
        <v>0</v>
      </c>
      <c r="R62" s="23">
        <v>243</v>
      </c>
      <c r="S62" s="23">
        <v>242.5</v>
      </c>
      <c r="T62" s="23">
        <v>12</v>
      </c>
      <c r="U62" s="23">
        <v>2.1</v>
      </c>
      <c r="V62" s="23">
        <v>2.1</v>
      </c>
      <c r="W62" s="23">
        <v>0</v>
      </c>
      <c r="X62" s="23"/>
      <c r="Y62" s="23"/>
      <c r="Z62" s="23">
        <v>3.57</v>
      </c>
      <c r="AA62" s="23">
        <v>9</v>
      </c>
      <c r="AB62" s="23">
        <v>0</v>
      </c>
      <c r="AC62" s="23">
        <v>0.02</v>
      </c>
      <c r="AD62" s="23">
        <v>0.15</v>
      </c>
      <c r="AE62" s="23">
        <v>0</v>
      </c>
      <c r="AF62" s="23">
        <v>0</v>
      </c>
      <c r="AG62" s="23">
        <v>0</v>
      </c>
      <c r="AH62" s="23">
        <v>0</v>
      </c>
      <c r="AI62" s="23"/>
      <c r="AJ62" s="23">
        <v>1.6</v>
      </c>
      <c r="AK62" s="65">
        <v>702</v>
      </c>
      <c r="AL62" s="65">
        <v>7</v>
      </c>
    </row>
    <row r="63" spans="1:38">
      <c r="A63" s="38">
        <v>214</v>
      </c>
      <c r="B63" s="16" t="s">
        <v>245</v>
      </c>
      <c r="C63" s="16" t="s">
        <v>607</v>
      </c>
      <c r="D63" s="38">
        <v>10123</v>
      </c>
      <c r="E63" s="16" t="s">
        <v>720</v>
      </c>
      <c r="F63" s="16"/>
      <c r="G63" s="23">
        <v>0</v>
      </c>
      <c r="H63" s="23">
        <v>12</v>
      </c>
      <c r="I63" s="23">
        <v>9</v>
      </c>
      <c r="J63" s="23">
        <v>46.74</v>
      </c>
      <c r="K63" s="23">
        <v>2.59</v>
      </c>
      <c r="L63" s="23">
        <v>13.66</v>
      </c>
      <c r="M63" s="23">
        <v>37.130000000000003</v>
      </c>
      <c r="N63" s="23">
        <v>0</v>
      </c>
      <c r="O63" s="23">
        <v>0</v>
      </c>
      <c r="P63" s="23">
        <v>0</v>
      </c>
      <c r="Q63" s="23">
        <v>0</v>
      </c>
      <c r="R63" s="23">
        <v>393</v>
      </c>
      <c r="S63" s="23">
        <v>388.81</v>
      </c>
      <c r="T63" s="23">
        <v>6</v>
      </c>
      <c r="U63" s="23">
        <v>0.38</v>
      </c>
      <c r="V63" s="23">
        <v>0.38</v>
      </c>
      <c r="W63" s="23">
        <v>0</v>
      </c>
      <c r="X63" s="23"/>
      <c r="Y63" s="23"/>
      <c r="Z63" s="23">
        <v>1.1399999999999999</v>
      </c>
      <c r="AA63" s="23">
        <v>0</v>
      </c>
      <c r="AB63" s="23">
        <v>0</v>
      </c>
      <c r="AC63" s="23">
        <v>0.27600000000000002</v>
      </c>
      <c r="AD63" s="23">
        <v>8.1000000000000003E-2</v>
      </c>
      <c r="AE63" s="23">
        <v>11</v>
      </c>
      <c r="AF63" s="23">
        <v>0</v>
      </c>
      <c r="AG63" s="23">
        <v>11</v>
      </c>
      <c r="AH63" s="23">
        <v>11</v>
      </c>
      <c r="AI63" s="23"/>
      <c r="AJ63" s="23">
        <v>0.5</v>
      </c>
      <c r="AK63" s="65">
        <v>702</v>
      </c>
      <c r="AL63" s="65">
        <v>7</v>
      </c>
    </row>
    <row r="64" spans="1:38">
      <c r="A64" s="38">
        <v>215</v>
      </c>
      <c r="B64" s="16" t="s">
        <v>246</v>
      </c>
      <c r="C64" s="16"/>
      <c r="D64" s="38"/>
      <c r="E64" s="16"/>
      <c r="F64" s="16"/>
      <c r="G64" s="23">
        <v>0</v>
      </c>
      <c r="H64" s="23">
        <v>12</v>
      </c>
      <c r="I64" s="23">
        <v>9</v>
      </c>
      <c r="J64" s="23">
        <v>40.33</v>
      </c>
      <c r="K64" s="23">
        <v>3.4249999999999998</v>
      </c>
      <c r="L64" s="23">
        <v>15.31</v>
      </c>
      <c r="M64" s="23">
        <v>38.734999999999999</v>
      </c>
      <c r="N64" s="23">
        <v>0</v>
      </c>
      <c r="O64" s="23">
        <v>0</v>
      </c>
      <c r="P64" s="23"/>
      <c r="Q64" s="23">
        <v>2.2000000000000028</v>
      </c>
      <c r="R64" s="23">
        <v>421.5</v>
      </c>
      <c r="S64" s="23">
        <v>418.65500000000003</v>
      </c>
      <c r="T64" s="23">
        <v>10.5</v>
      </c>
      <c r="U64" s="23">
        <v>1.0449999999999999</v>
      </c>
      <c r="V64" s="23">
        <v>1.0449999999999999</v>
      </c>
      <c r="W64" s="23">
        <v>0</v>
      </c>
      <c r="X64" s="23"/>
      <c r="Y64" s="23"/>
      <c r="Z64" s="23">
        <v>2.0350000000000001</v>
      </c>
      <c r="AA64" s="23">
        <v>2</v>
      </c>
      <c r="AB64" s="23">
        <v>0</v>
      </c>
      <c r="AC64" s="23">
        <v>0.32250000000000001</v>
      </c>
      <c r="AD64" s="23">
        <v>0.22649999999999998</v>
      </c>
      <c r="AE64" s="23">
        <v>6</v>
      </c>
      <c r="AF64" s="23">
        <v>0</v>
      </c>
      <c r="AG64" s="23">
        <v>6</v>
      </c>
      <c r="AH64" s="23">
        <v>6</v>
      </c>
      <c r="AI64" s="23"/>
      <c r="AJ64" s="23">
        <v>0.91500000000000004</v>
      </c>
      <c r="AK64" s="65">
        <v>702</v>
      </c>
      <c r="AL64" s="65">
        <v>7</v>
      </c>
    </row>
    <row r="65" spans="1:38">
      <c r="A65" s="38">
        <v>216</v>
      </c>
      <c r="B65" s="16" t="s">
        <v>247</v>
      </c>
      <c r="C65" s="16" t="s">
        <v>607</v>
      </c>
      <c r="D65" s="38">
        <v>23572</v>
      </c>
      <c r="E65" s="16" t="s">
        <v>681</v>
      </c>
      <c r="F65" s="16"/>
      <c r="G65" s="23">
        <v>0</v>
      </c>
      <c r="H65" s="23">
        <v>12</v>
      </c>
      <c r="I65" s="23">
        <v>9</v>
      </c>
      <c r="J65" s="23">
        <v>61.87</v>
      </c>
      <c r="K65" s="23">
        <v>0.84</v>
      </c>
      <c r="L65" s="23">
        <v>17.170000000000002</v>
      </c>
      <c r="M65" s="23">
        <v>20</v>
      </c>
      <c r="N65" s="23">
        <v>0</v>
      </c>
      <c r="O65" s="23">
        <v>0</v>
      </c>
      <c r="P65" s="23">
        <v>0</v>
      </c>
      <c r="Q65" s="23">
        <v>0.11999999999999744</v>
      </c>
      <c r="R65" s="23">
        <v>254</v>
      </c>
      <c r="S65" s="23">
        <v>249.16</v>
      </c>
      <c r="T65" s="23">
        <v>18</v>
      </c>
      <c r="U65" s="23">
        <v>1.94</v>
      </c>
      <c r="V65" s="23">
        <v>1.94</v>
      </c>
      <c r="W65" s="23">
        <v>0</v>
      </c>
      <c r="X65" s="23"/>
      <c r="Y65" s="23"/>
      <c r="Z65" s="23">
        <v>4.18</v>
      </c>
      <c r="AA65" s="23">
        <v>7</v>
      </c>
      <c r="AB65" s="23">
        <v>0</v>
      </c>
      <c r="AC65" s="23">
        <v>4.2999999999999997E-2</v>
      </c>
      <c r="AD65" s="23">
        <v>0.151</v>
      </c>
      <c r="AE65" s="23">
        <v>4</v>
      </c>
      <c r="AF65" s="23">
        <v>0</v>
      </c>
      <c r="AG65" s="23">
        <v>4</v>
      </c>
      <c r="AH65" s="23">
        <v>4</v>
      </c>
      <c r="AI65" s="23"/>
      <c r="AJ65" s="23">
        <v>2.14</v>
      </c>
      <c r="AK65" s="65">
        <v>702</v>
      </c>
      <c r="AL65" s="65">
        <v>7</v>
      </c>
    </row>
    <row r="66" spans="1:38">
      <c r="A66" s="38">
        <v>217</v>
      </c>
      <c r="B66" s="16" t="s">
        <v>248</v>
      </c>
      <c r="C66" s="16" t="s">
        <v>553</v>
      </c>
      <c r="D66" s="38"/>
      <c r="E66" s="16"/>
      <c r="F66" s="16"/>
      <c r="G66" s="23">
        <v>15.333</v>
      </c>
      <c r="H66" s="23">
        <v>12</v>
      </c>
      <c r="I66" s="23">
        <v>9</v>
      </c>
      <c r="J66" s="23">
        <v>69.033333333333346</v>
      </c>
      <c r="K66" s="23">
        <v>1</v>
      </c>
      <c r="L66" s="23">
        <v>19.133333333333333</v>
      </c>
      <c r="M66" s="23">
        <v>11.966666666666667</v>
      </c>
      <c r="N66" s="23">
        <v>0</v>
      </c>
      <c r="O66" s="23">
        <v>0</v>
      </c>
      <c r="P66" s="23"/>
      <c r="Q66" s="23">
        <v>0</v>
      </c>
      <c r="R66" s="23">
        <v>180</v>
      </c>
      <c r="S66" s="23">
        <v>184.23333333333335</v>
      </c>
      <c r="T66" s="23">
        <v>15.333333333333334</v>
      </c>
      <c r="U66" s="23">
        <v>2.2333333333333329</v>
      </c>
      <c r="V66" s="23">
        <v>2.2333333333333329</v>
      </c>
      <c r="W66" s="23">
        <v>0</v>
      </c>
      <c r="X66" s="23"/>
      <c r="Y66" s="23"/>
      <c r="Z66" s="23">
        <v>1.5366666666666668</v>
      </c>
      <c r="AA66" s="23">
        <v>4</v>
      </c>
      <c r="AB66" s="23">
        <v>2.3333333333333335</v>
      </c>
      <c r="AC66" s="23">
        <v>0.18000000000000002</v>
      </c>
      <c r="AD66" s="23">
        <v>0.34</v>
      </c>
      <c r="AE66" s="23">
        <v>29.333333333333332</v>
      </c>
      <c r="AF66" s="23">
        <v>0</v>
      </c>
      <c r="AG66" s="23">
        <v>29.333333333333332</v>
      </c>
      <c r="AH66" s="23">
        <v>29.333333333333332</v>
      </c>
      <c r="AI66" s="23"/>
      <c r="AJ66" s="23">
        <v>0.56333333333333335</v>
      </c>
      <c r="AK66" s="65">
        <v>702</v>
      </c>
      <c r="AL66" s="65">
        <v>7</v>
      </c>
    </row>
    <row r="67" spans="1:38">
      <c r="A67" s="38">
        <v>301</v>
      </c>
      <c r="B67" s="16" t="s">
        <v>249</v>
      </c>
      <c r="C67" s="16" t="s">
        <v>553</v>
      </c>
      <c r="D67" s="38"/>
      <c r="E67" s="16"/>
      <c r="F67" s="16"/>
      <c r="G67" s="23">
        <v>41.875</v>
      </c>
      <c r="H67" s="23">
        <v>14</v>
      </c>
      <c r="I67" s="23">
        <v>11</v>
      </c>
      <c r="J67" s="23">
        <v>74.412499999999994</v>
      </c>
      <c r="K67" s="23">
        <v>1.5262499999999997</v>
      </c>
      <c r="L67" s="23">
        <v>19.175000000000001</v>
      </c>
      <c r="M67" s="23">
        <v>3.9125000000000001</v>
      </c>
      <c r="N67" s="23">
        <v>0</v>
      </c>
      <c r="O67" s="23">
        <v>0</v>
      </c>
      <c r="P67" s="23"/>
      <c r="Q67" s="23">
        <v>0.97375000000000389</v>
      </c>
      <c r="R67" s="23">
        <v>111.875</v>
      </c>
      <c r="S67" s="23">
        <v>115.8075</v>
      </c>
      <c r="T67" s="23">
        <v>45</v>
      </c>
      <c r="U67" s="23">
        <v>0.93500000000000005</v>
      </c>
      <c r="V67" s="23">
        <v>0.93500000000000005</v>
      </c>
      <c r="W67" s="23">
        <v>0</v>
      </c>
      <c r="X67" s="23"/>
      <c r="Y67" s="23"/>
      <c r="Z67" s="23">
        <v>0.88875000000000004</v>
      </c>
      <c r="AA67" s="23">
        <v>9.625</v>
      </c>
      <c r="AB67" s="23">
        <v>0.3125</v>
      </c>
      <c r="AC67" s="23">
        <v>7.2500000000000009E-2</v>
      </c>
      <c r="AD67" s="23">
        <v>0.15000000000000002</v>
      </c>
      <c r="AE67" s="23">
        <v>140.76249999999999</v>
      </c>
      <c r="AF67" s="23">
        <v>0</v>
      </c>
      <c r="AG67" s="23">
        <v>140.76249999999999</v>
      </c>
      <c r="AH67" s="23">
        <v>140.76249999999999</v>
      </c>
      <c r="AI67" s="23"/>
      <c r="AJ67" s="23">
        <v>3.5625000000000004</v>
      </c>
      <c r="AK67" s="65">
        <v>606</v>
      </c>
      <c r="AL67" s="65">
        <v>6</v>
      </c>
    </row>
    <row r="68" spans="1:38">
      <c r="A68" s="38">
        <v>302</v>
      </c>
      <c r="B68" s="16" t="s">
        <v>250</v>
      </c>
      <c r="C68" s="16" t="s">
        <v>553</v>
      </c>
      <c r="D68" s="38"/>
      <c r="E68" s="16"/>
      <c r="F68" s="16"/>
      <c r="G68" s="23">
        <v>0</v>
      </c>
      <c r="H68" s="23">
        <v>14</v>
      </c>
      <c r="I68" s="23">
        <v>11</v>
      </c>
      <c r="J68" s="23">
        <v>80.133333333333326</v>
      </c>
      <c r="K68" s="23">
        <v>1.1666666666666667</v>
      </c>
      <c r="L68" s="23">
        <v>16.900000000000002</v>
      </c>
      <c r="M68" s="23">
        <v>1.7</v>
      </c>
      <c r="N68" s="23">
        <v>0</v>
      </c>
      <c r="O68" s="23">
        <v>0</v>
      </c>
      <c r="P68" s="23"/>
      <c r="Q68" s="23">
        <v>0.10000000000000431</v>
      </c>
      <c r="R68" s="23">
        <v>82.666666666666671</v>
      </c>
      <c r="S68" s="23">
        <v>83.300000000000026</v>
      </c>
      <c r="T68" s="23">
        <v>72.666666666666671</v>
      </c>
      <c r="U68" s="23">
        <v>1.1000000000000001</v>
      </c>
      <c r="V68" s="23">
        <v>1.1000000000000001</v>
      </c>
      <c r="W68" s="23">
        <v>0</v>
      </c>
      <c r="X68" s="23"/>
      <c r="Y68" s="23"/>
      <c r="Z68" s="23">
        <v>0.8533333333333335</v>
      </c>
      <c r="AA68" s="23">
        <v>8.3333333333333339</v>
      </c>
      <c r="AB68" s="23">
        <v>0.23333333333333331</v>
      </c>
      <c r="AC68" s="23">
        <v>4.3333333333333335E-2</v>
      </c>
      <c r="AD68" s="23">
        <v>0.12666666666666668</v>
      </c>
      <c r="AE68" s="23">
        <v>6.666666666666667</v>
      </c>
      <c r="AF68" s="23">
        <v>0</v>
      </c>
      <c r="AG68" s="23">
        <v>6.666666666666667</v>
      </c>
      <c r="AH68" s="23">
        <v>6.666666666666667</v>
      </c>
      <c r="AI68" s="23"/>
      <c r="AJ68" s="23">
        <v>2.23</v>
      </c>
      <c r="AK68" s="65">
        <v>606</v>
      </c>
      <c r="AL68" s="65">
        <v>6</v>
      </c>
    </row>
    <row r="69" spans="1:38">
      <c r="A69" s="38">
        <v>303</v>
      </c>
      <c r="B69" s="16" t="s">
        <v>251</v>
      </c>
      <c r="C69" s="16" t="s">
        <v>566</v>
      </c>
      <c r="D69" s="38">
        <v>8008</v>
      </c>
      <c r="E69" s="16" t="s">
        <v>471</v>
      </c>
      <c r="F69" s="16"/>
      <c r="G69" s="23">
        <v>0</v>
      </c>
      <c r="H69" s="23">
        <v>14</v>
      </c>
      <c r="I69" s="23">
        <v>11</v>
      </c>
      <c r="J69" s="23">
        <v>12.2</v>
      </c>
      <c r="K69" s="23">
        <v>4.2</v>
      </c>
      <c r="L69" s="23">
        <v>71.8</v>
      </c>
      <c r="M69" s="23">
        <v>10.7</v>
      </c>
      <c r="N69" s="23">
        <v>0</v>
      </c>
      <c r="O69" s="23">
        <v>0</v>
      </c>
      <c r="P69" s="23"/>
      <c r="Q69" s="23">
        <v>1.2</v>
      </c>
      <c r="R69" s="23">
        <v>388</v>
      </c>
      <c r="S69" s="23">
        <v>388.3</v>
      </c>
      <c r="T69" s="23">
        <v>516</v>
      </c>
      <c r="U69" s="23">
        <v>4</v>
      </c>
      <c r="V69" s="23">
        <v>4</v>
      </c>
      <c r="W69" s="23">
        <v>0</v>
      </c>
      <c r="X69" s="23"/>
      <c r="Y69" s="23"/>
      <c r="Z69" s="23">
        <v>2</v>
      </c>
      <c r="AA69" s="23">
        <v>28</v>
      </c>
      <c r="AB69" s="23">
        <v>0</v>
      </c>
      <c r="AC69" s="23">
        <v>0</v>
      </c>
      <c r="AD69" s="23">
        <v>0</v>
      </c>
      <c r="AE69" s="23">
        <v>186</v>
      </c>
      <c r="AF69" s="23">
        <v>0</v>
      </c>
      <c r="AG69" s="23">
        <v>186</v>
      </c>
      <c r="AH69" s="23">
        <v>186</v>
      </c>
      <c r="AI69" s="23"/>
      <c r="AJ69" s="23">
        <v>5</v>
      </c>
      <c r="AK69" s="65">
        <v>607</v>
      </c>
      <c r="AL69" s="65">
        <v>6</v>
      </c>
    </row>
    <row r="70" spans="1:38">
      <c r="A70" s="38">
        <v>304</v>
      </c>
      <c r="B70" s="16" t="s">
        <v>252</v>
      </c>
      <c r="C70" s="16" t="s">
        <v>566</v>
      </c>
      <c r="D70" s="38">
        <v>8002</v>
      </c>
      <c r="E70" s="16" t="s">
        <v>462</v>
      </c>
      <c r="F70" s="16"/>
      <c r="G70" s="23">
        <v>0</v>
      </c>
      <c r="H70" s="23">
        <v>14</v>
      </c>
      <c r="I70" s="23">
        <v>11</v>
      </c>
      <c r="J70" s="23">
        <v>11.2</v>
      </c>
      <c r="K70" s="23">
        <v>10</v>
      </c>
      <c r="L70" s="23">
        <v>59.5</v>
      </c>
      <c r="M70" s="23">
        <v>10.6</v>
      </c>
      <c r="N70" s="23">
        <v>0</v>
      </c>
      <c r="O70" s="23">
        <v>0</v>
      </c>
      <c r="P70" s="23"/>
      <c r="Q70" s="23">
        <v>0</v>
      </c>
      <c r="R70" s="23">
        <v>333</v>
      </c>
      <c r="S70" s="23">
        <v>333.4</v>
      </c>
      <c r="T70" s="23">
        <v>2790</v>
      </c>
      <c r="U70" s="23">
        <v>6.9</v>
      </c>
      <c r="V70" s="23">
        <v>6.9</v>
      </c>
      <c r="W70" s="23">
        <v>0</v>
      </c>
      <c r="X70" s="23"/>
      <c r="Y70" s="23"/>
      <c r="Z70" s="23">
        <v>16</v>
      </c>
      <c r="AA70" s="23">
        <v>46</v>
      </c>
      <c r="AB70" s="23">
        <v>0</v>
      </c>
      <c r="AC70" s="23">
        <v>0.34</v>
      </c>
      <c r="AD70" s="23">
        <v>0.52</v>
      </c>
      <c r="AE70" s="23">
        <v>141</v>
      </c>
      <c r="AF70" s="23">
        <v>0</v>
      </c>
      <c r="AG70" s="23">
        <v>141</v>
      </c>
      <c r="AH70" s="23">
        <v>141</v>
      </c>
      <c r="AI70" s="23"/>
      <c r="AJ70" s="23">
        <v>60</v>
      </c>
      <c r="AK70" s="65">
        <v>601</v>
      </c>
      <c r="AL70" s="65">
        <v>6</v>
      </c>
    </row>
    <row r="71" spans="1:38">
      <c r="A71" s="38">
        <v>305</v>
      </c>
      <c r="B71" s="16" t="s">
        <v>253</v>
      </c>
      <c r="C71" s="16" t="s">
        <v>566</v>
      </c>
      <c r="D71" s="38">
        <v>8011</v>
      </c>
      <c r="E71" s="16" t="s">
        <v>472</v>
      </c>
      <c r="F71" s="16"/>
      <c r="G71" s="23">
        <v>49</v>
      </c>
      <c r="H71" s="23">
        <v>14</v>
      </c>
      <c r="I71" s="23">
        <v>11</v>
      </c>
      <c r="J71" s="23">
        <v>75.099999999999994</v>
      </c>
      <c r="K71" s="23">
        <v>1.6</v>
      </c>
      <c r="L71" s="23">
        <v>18.399999999999999</v>
      </c>
      <c r="M71" s="23">
        <v>1.1000000000000001</v>
      </c>
      <c r="N71" s="23">
        <v>0</v>
      </c>
      <c r="O71" s="23">
        <v>0</v>
      </c>
      <c r="P71" s="23"/>
      <c r="Q71" s="23">
        <v>3.9</v>
      </c>
      <c r="R71" s="23">
        <v>99</v>
      </c>
      <c r="S71" s="23">
        <v>99.1</v>
      </c>
      <c r="T71" s="23">
        <v>59</v>
      </c>
      <c r="U71" s="23">
        <v>1.5</v>
      </c>
      <c r="V71" s="23">
        <v>1.5</v>
      </c>
      <c r="W71" s="23">
        <v>0</v>
      </c>
      <c r="X71" s="23"/>
      <c r="Y71" s="23"/>
      <c r="Z71" s="23">
        <v>1.43</v>
      </c>
      <c r="AA71" s="23">
        <v>14</v>
      </c>
      <c r="AB71" s="23">
        <v>0.3</v>
      </c>
      <c r="AC71" s="23">
        <v>0.04</v>
      </c>
      <c r="AD71" s="23">
        <v>0.08</v>
      </c>
      <c r="AE71" s="23">
        <v>11</v>
      </c>
      <c r="AF71" s="23">
        <v>56</v>
      </c>
      <c r="AG71" s="23">
        <v>16</v>
      </c>
      <c r="AH71" s="23">
        <v>20</v>
      </c>
      <c r="AI71" s="23"/>
      <c r="AJ71" s="23">
        <v>2.14</v>
      </c>
      <c r="AK71" s="65">
        <v>606</v>
      </c>
      <c r="AL71" s="65">
        <v>6</v>
      </c>
    </row>
    <row r="72" spans="1:38">
      <c r="A72" s="38">
        <v>306</v>
      </c>
      <c r="B72" s="16" t="s">
        <v>254</v>
      </c>
      <c r="C72" s="16" t="s">
        <v>553</v>
      </c>
      <c r="D72" s="38"/>
      <c r="E72" s="16"/>
      <c r="F72" s="16"/>
      <c r="G72" s="23">
        <v>0</v>
      </c>
      <c r="H72" s="23">
        <v>14</v>
      </c>
      <c r="I72" s="23">
        <v>11</v>
      </c>
      <c r="J72" s="23">
        <v>54.099999999999994</v>
      </c>
      <c r="K72" s="23">
        <v>7.3</v>
      </c>
      <c r="L72" s="23">
        <v>26.799999999999997</v>
      </c>
      <c r="M72" s="23">
        <v>11.6</v>
      </c>
      <c r="N72" s="23">
        <v>0</v>
      </c>
      <c r="O72" s="23">
        <v>0</v>
      </c>
      <c r="P72" s="23">
        <v>0</v>
      </c>
      <c r="Q72" s="23">
        <v>0.20000000000001172</v>
      </c>
      <c r="R72" s="23">
        <v>211.5</v>
      </c>
      <c r="S72" s="23">
        <v>212.4</v>
      </c>
      <c r="T72" s="23">
        <v>307</v>
      </c>
      <c r="U72" s="23">
        <v>3.75</v>
      </c>
      <c r="V72" s="23">
        <v>3.75</v>
      </c>
      <c r="W72" s="23">
        <v>0</v>
      </c>
      <c r="X72" s="23"/>
      <c r="Y72" s="23"/>
      <c r="Z72" s="23">
        <v>1.875</v>
      </c>
      <c r="AA72" s="23">
        <v>11.5</v>
      </c>
      <c r="AB72" s="23">
        <v>0</v>
      </c>
      <c r="AC72" s="23">
        <v>0.08</v>
      </c>
      <c r="AD72" s="23">
        <v>0.29499999999999998</v>
      </c>
      <c r="AE72" s="23">
        <v>22</v>
      </c>
      <c r="AF72" s="23">
        <v>0</v>
      </c>
      <c r="AG72" s="23">
        <v>22</v>
      </c>
      <c r="AH72" s="23">
        <v>22</v>
      </c>
      <c r="AI72" s="23"/>
      <c r="AJ72" s="23">
        <v>4.9000000000000004</v>
      </c>
      <c r="AK72" s="65">
        <v>606</v>
      </c>
      <c r="AL72" s="65">
        <v>6</v>
      </c>
    </row>
    <row r="73" spans="1:38">
      <c r="A73" s="38">
        <v>307</v>
      </c>
      <c r="B73" s="16" t="s">
        <v>255</v>
      </c>
      <c r="C73" s="16" t="s">
        <v>553</v>
      </c>
      <c r="D73" s="38"/>
      <c r="E73" s="16"/>
      <c r="F73" s="16"/>
      <c r="G73" s="23">
        <v>0</v>
      </c>
      <c r="H73" s="23">
        <v>14</v>
      </c>
      <c r="I73" s="23">
        <v>11</v>
      </c>
      <c r="J73" s="23">
        <v>42.960499999999996</v>
      </c>
      <c r="K73" s="23">
        <v>0.96292500000000003</v>
      </c>
      <c r="L73" s="23">
        <v>12.57025</v>
      </c>
      <c r="M73" s="23">
        <v>2.9212499999999997</v>
      </c>
      <c r="N73" s="23">
        <v>0</v>
      </c>
      <c r="O73" s="23">
        <v>0</v>
      </c>
      <c r="P73" s="23"/>
      <c r="Q73" s="23">
        <v>1.085075000000006</v>
      </c>
      <c r="R73" s="23">
        <v>76.585000000000008</v>
      </c>
      <c r="S73" s="23">
        <v>80.912550000000024</v>
      </c>
      <c r="T73" s="23">
        <v>13.79</v>
      </c>
      <c r="U73" s="23">
        <v>0.41764999999999997</v>
      </c>
      <c r="V73" s="23">
        <v>0.41764999999999997</v>
      </c>
      <c r="W73" s="23">
        <v>0</v>
      </c>
      <c r="X73" s="23"/>
      <c r="Y73" s="23"/>
      <c r="Z73" s="23">
        <v>0.51635000000000009</v>
      </c>
      <c r="AA73" s="23">
        <v>4.45</v>
      </c>
      <c r="AB73" s="23">
        <v>0.30150000000000005</v>
      </c>
      <c r="AC73" s="23">
        <v>6.7975000000000008E-2</v>
      </c>
      <c r="AD73" s="23">
        <v>0.11582499999999998</v>
      </c>
      <c r="AE73" s="23">
        <v>181.37174999999996</v>
      </c>
      <c r="AF73" s="23">
        <v>0</v>
      </c>
      <c r="AG73" s="23">
        <v>181.37174999999996</v>
      </c>
      <c r="AH73" s="23">
        <v>181.37174999999996</v>
      </c>
      <c r="AI73" s="23"/>
      <c r="AJ73" s="23">
        <v>2.9465750000000002</v>
      </c>
      <c r="AK73" s="65">
        <v>606</v>
      </c>
      <c r="AL73" s="65">
        <v>6</v>
      </c>
    </row>
    <row r="74" spans="1:38">
      <c r="A74" s="38">
        <v>401</v>
      </c>
      <c r="B74" s="16" t="s">
        <v>256</v>
      </c>
      <c r="C74" s="16" t="s">
        <v>566</v>
      </c>
      <c r="D74" s="38">
        <v>6022</v>
      </c>
      <c r="E74" s="16" t="s">
        <v>474</v>
      </c>
      <c r="F74" s="16"/>
      <c r="G74" s="23">
        <v>0</v>
      </c>
      <c r="H74" s="23">
        <v>15</v>
      </c>
      <c r="I74" s="23">
        <v>13</v>
      </c>
      <c r="J74" s="23">
        <v>86.3</v>
      </c>
      <c r="K74" s="23">
        <v>0.7</v>
      </c>
      <c r="L74" s="23">
        <v>3.3</v>
      </c>
      <c r="M74" s="23">
        <v>3.5</v>
      </c>
      <c r="N74" s="23">
        <v>0</v>
      </c>
      <c r="O74" s="23">
        <v>0</v>
      </c>
      <c r="P74" s="23"/>
      <c r="Q74" s="23">
        <v>6.1</v>
      </c>
      <c r="R74" s="23">
        <v>70</v>
      </c>
      <c r="S74" s="23">
        <v>69.099999999999994</v>
      </c>
      <c r="T74" s="23">
        <v>119</v>
      </c>
      <c r="U74" s="23">
        <v>0.1</v>
      </c>
      <c r="V74" s="23">
        <v>0.1</v>
      </c>
      <c r="W74" s="23">
        <v>0</v>
      </c>
      <c r="X74" s="23"/>
      <c r="Y74" s="23"/>
      <c r="Z74" s="23">
        <v>0.63</v>
      </c>
      <c r="AA74" s="23">
        <v>8</v>
      </c>
      <c r="AB74" s="23">
        <v>0</v>
      </c>
      <c r="AC74" s="23">
        <v>0</v>
      </c>
      <c r="AD74" s="23">
        <v>0.27</v>
      </c>
      <c r="AE74" s="23">
        <v>40</v>
      </c>
      <c r="AF74" s="23">
        <v>18</v>
      </c>
      <c r="AG74" s="23">
        <v>41</v>
      </c>
      <c r="AH74" s="23">
        <v>43</v>
      </c>
      <c r="AI74" s="23"/>
      <c r="AJ74" s="23">
        <v>0.59</v>
      </c>
      <c r="AK74" s="65">
        <v>401</v>
      </c>
      <c r="AL74" s="65">
        <v>4</v>
      </c>
    </row>
    <row r="75" spans="1:38">
      <c r="A75" s="38">
        <v>402</v>
      </c>
      <c r="B75" s="16" t="s">
        <v>257</v>
      </c>
      <c r="C75" s="16" t="s">
        <v>553</v>
      </c>
      <c r="D75" s="38"/>
      <c r="E75" s="16"/>
      <c r="F75" s="16"/>
      <c r="G75" s="23">
        <v>0</v>
      </c>
      <c r="H75" s="23">
        <v>15</v>
      </c>
      <c r="I75" s="23">
        <v>13</v>
      </c>
      <c r="J75" s="23">
        <v>87.174999999999997</v>
      </c>
      <c r="K75" s="23">
        <v>0.72499999999999987</v>
      </c>
      <c r="L75" s="23">
        <v>3.3499999999999996</v>
      </c>
      <c r="M75" s="23">
        <v>2.65</v>
      </c>
      <c r="N75" s="23">
        <v>0</v>
      </c>
      <c r="O75" s="23">
        <v>0</v>
      </c>
      <c r="P75" s="23"/>
      <c r="Q75" s="23">
        <v>6.1000000000000032</v>
      </c>
      <c r="R75" s="23">
        <v>62</v>
      </c>
      <c r="S75" s="23">
        <v>61.650000000000013</v>
      </c>
      <c r="T75" s="23">
        <v>121.75</v>
      </c>
      <c r="U75" s="23">
        <v>0.1</v>
      </c>
      <c r="V75" s="23">
        <v>0.1</v>
      </c>
      <c r="W75" s="23">
        <v>0</v>
      </c>
      <c r="X75" s="23"/>
      <c r="Y75" s="23"/>
      <c r="Z75" s="23">
        <v>0.55249999999999999</v>
      </c>
      <c r="AA75" s="23">
        <v>7.5</v>
      </c>
      <c r="AB75" s="23">
        <v>0.25</v>
      </c>
      <c r="AC75" s="23">
        <v>7.4999999999999997E-3</v>
      </c>
      <c r="AD75" s="23">
        <v>0.2475</v>
      </c>
      <c r="AE75" s="23">
        <v>30</v>
      </c>
      <c r="AF75" s="23">
        <v>13.75</v>
      </c>
      <c r="AG75" s="23">
        <v>31.145833333333332</v>
      </c>
      <c r="AH75" s="23">
        <v>32.291666666666664</v>
      </c>
      <c r="AI75" s="23"/>
      <c r="AJ75" s="23">
        <v>0.54249999999999998</v>
      </c>
      <c r="AK75" s="65">
        <v>401</v>
      </c>
      <c r="AL75" s="65">
        <v>4</v>
      </c>
    </row>
    <row r="76" spans="1:38">
      <c r="A76" s="38">
        <v>403</v>
      </c>
      <c r="B76" s="16" t="s">
        <v>258</v>
      </c>
      <c r="C76" s="16" t="s">
        <v>607</v>
      </c>
      <c r="D76" s="38">
        <v>14177</v>
      </c>
      <c r="E76" s="16" t="s">
        <v>606</v>
      </c>
      <c r="F76" s="16"/>
      <c r="G76" s="23">
        <v>0</v>
      </c>
      <c r="H76" s="23">
        <v>15</v>
      </c>
      <c r="I76" s="23">
        <v>13</v>
      </c>
      <c r="J76" s="23">
        <v>80.790000000000006</v>
      </c>
      <c r="K76" s="23">
        <v>0.78</v>
      </c>
      <c r="L76" s="23">
        <v>3.23</v>
      </c>
      <c r="M76" s="23">
        <v>3.24</v>
      </c>
      <c r="N76" s="23">
        <v>0.4</v>
      </c>
      <c r="O76" s="23">
        <v>0</v>
      </c>
      <c r="P76" s="23">
        <v>11.96</v>
      </c>
      <c r="Q76" s="23">
        <v>11.559999999999992</v>
      </c>
      <c r="R76" s="23">
        <v>85</v>
      </c>
      <c r="S76" s="23">
        <v>89.119999999999976</v>
      </c>
      <c r="T76" s="23">
        <v>95</v>
      </c>
      <c r="U76" s="23">
        <v>0.3</v>
      </c>
      <c r="V76" s="23">
        <v>0.3</v>
      </c>
      <c r="W76" s="23">
        <v>0</v>
      </c>
      <c r="X76" s="23"/>
      <c r="Y76" s="23"/>
      <c r="Z76" s="23">
        <v>0.48</v>
      </c>
      <c r="AA76" s="23">
        <v>5</v>
      </c>
      <c r="AB76" s="23">
        <v>0.1</v>
      </c>
      <c r="AC76" s="23">
        <v>4.2999999999999997E-2</v>
      </c>
      <c r="AD76" s="23">
        <v>0.18</v>
      </c>
      <c r="AE76" s="23">
        <v>26</v>
      </c>
      <c r="AF76" s="23">
        <v>5</v>
      </c>
      <c r="AG76" s="23">
        <v>26.416666666666668</v>
      </c>
      <c r="AH76" s="23">
        <v>26.833333333333332</v>
      </c>
      <c r="AI76" s="23"/>
      <c r="AJ76" s="23">
        <v>0.4</v>
      </c>
      <c r="AK76" s="65">
        <v>401</v>
      </c>
      <c r="AL76" s="65">
        <v>4</v>
      </c>
    </row>
    <row r="77" spans="1:38">
      <c r="A77" s="38">
        <v>404</v>
      </c>
      <c r="B77" s="16" t="s">
        <v>259</v>
      </c>
      <c r="C77" s="16" t="s">
        <v>608</v>
      </c>
      <c r="D77" s="38"/>
      <c r="E77" s="16"/>
      <c r="F77" s="16"/>
      <c r="G77" s="23">
        <v>0</v>
      </c>
      <c r="H77" s="23">
        <v>15</v>
      </c>
      <c r="I77" s="23">
        <v>13</v>
      </c>
      <c r="J77" s="23">
        <v>87.174999999999997</v>
      </c>
      <c r="K77" s="23">
        <v>0.72499999999999987</v>
      </c>
      <c r="L77" s="23">
        <v>3.3499999999999996</v>
      </c>
      <c r="M77" s="23">
        <v>2.65</v>
      </c>
      <c r="N77" s="23">
        <v>0</v>
      </c>
      <c r="O77" s="23">
        <v>0</v>
      </c>
      <c r="P77" s="23">
        <v>0</v>
      </c>
      <c r="Q77" s="23">
        <v>6.1000000000000032</v>
      </c>
      <c r="R77" s="23">
        <v>62</v>
      </c>
      <c r="S77" s="23">
        <v>61.650000000000013</v>
      </c>
      <c r="T77" s="23">
        <v>121.75</v>
      </c>
      <c r="U77" s="23">
        <v>0.1</v>
      </c>
      <c r="V77" s="23">
        <v>0.1</v>
      </c>
      <c r="W77" s="23">
        <v>0</v>
      </c>
      <c r="X77" s="23"/>
      <c r="Y77" s="23"/>
      <c r="Z77" s="23">
        <v>0.55249999999999999</v>
      </c>
      <c r="AA77" s="23">
        <v>7.5</v>
      </c>
      <c r="AB77" s="23">
        <v>0.25</v>
      </c>
      <c r="AC77" s="23">
        <v>7.4999999999999997E-3</v>
      </c>
      <c r="AD77" s="23">
        <v>0.2475</v>
      </c>
      <c r="AE77" s="23">
        <v>30</v>
      </c>
      <c r="AF77" s="23">
        <v>13.75</v>
      </c>
      <c r="AG77" s="23">
        <v>31.145833333333332</v>
      </c>
      <c r="AH77" s="23">
        <v>32.291666666666664</v>
      </c>
      <c r="AI77" s="23"/>
      <c r="AJ77" s="23">
        <v>0.54249999999999998</v>
      </c>
      <c r="AK77" s="65">
        <v>401</v>
      </c>
      <c r="AL77" s="65">
        <v>4</v>
      </c>
    </row>
    <row r="78" spans="1:38">
      <c r="A78" s="38">
        <v>405</v>
      </c>
      <c r="B78" s="16" t="s">
        <v>260</v>
      </c>
      <c r="C78" s="16" t="s">
        <v>566</v>
      </c>
      <c r="D78" s="38">
        <v>6023</v>
      </c>
      <c r="E78" s="16" t="s">
        <v>477</v>
      </c>
      <c r="F78" s="16"/>
      <c r="G78" s="23">
        <v>0</v>
      </c>
      <c r="H78" s="23">
        <v>15</v>
      </c>
      <c r="I78" s="23">
        <v>13</v>
      </c>
      <c r="J78" s="23">
        <v>85.3</v>
      </c>
      <c r="K78" s="23">
        <v>0.9</v>
      </c>
      <c r="L78" s="23">
        <v>3.5</v>
      </c>
      <c r="M78" s="23">
        <v>4.5</v>
      </c>
      <c r="N78" s="23">
        <v>0</v>
      </c>
      <c r="O78" s="23">
        <v>0</v>
      </c>
      <c r="P78" s="23"/>
      <c r="Q78" s="23">
        <v>5.8</v>
      </c>
      <c r="R78" s="23">
        <v>78</v>
      </c>
      <c r="S78" s="23">
        <v>77.7</v>
      </c>
      <c r="T78" s="23">
        <v>180</v>
      </c>
      <c r="U78" s="23">
        <v>0.1</v>
      </c>
      <c r="V78" s="23">
        <v>0.1</v>
      </c>
      <c r="W78" s="23">
        <v>0</v>
      </c>
      <c r="X78" s="23"/>
      <c r="Y78" s="23"/>
      <c r="Z78" s="23">
        <v>0.35</v>
      </c>
      <c r="AA78" s="23">
        <v>1</v>
      </c>
      <c r="AB78" s="23">
        <v>0.5</v>
      </c>
      <c r="AC78" s="23">
        <v>0.05</v>
      </c>
      <c r="AD78" s="23">
        <v>0.19</v>
      </c>
      <c r="AE78" s="23">
        <v>32</v>
      </c>
      <c r="AF78" s="23">
        <v>0</v>
      </c>
      <c r="AG78" s="23">
        <v>32</v>
      </c>
      <c r="AH78" s="23">
        <v>32</v>
      </c>
      <c r="AI78" s="23"/>
      <c r="AJ78" s="23">
        <v>0.35</v>
      </c>
      <c r="AK78" s="65">
        <v>401</v>
      </c>
      <c r="AL78" s="65">
        <v>4</v>
      </c>
    </row>
    <row r="79" spans="1:38">
      <c r="A79" s="38">
        <v>406</v>
      </c>
      <c r="B79" s="16" t="s">
        <v>261</v>
      </c>
      <c r="C79" s="16" t="s">
        <v>566</v>
      </c>
      <c r="D79" s="38">
        <v>6014</v>
      </c>
      <c r="E79" s="16" t="s">
        <v>478</v>
      </c>
      <c r="F79" s="16"/>
      <c r="G79" s="23">
        <v>0</v>
      </c>
      <c r="H79" s="23">
        <v>15</v>
      </c>
      <c r="I79" s="23">
        <v>13</v>
      </c>
      <c r="J79" s="23">
        <v>89.8</v>
      </c>
      <c r="K79" s="23">
        <v>0.7</v>
      </c>
      <c r="L79" s="23">
        <v>2.2000000000000002</v>
      </c>
      <c r="M79" s="23">
        <v>2.8</v>
      </c>
      <c r="N79" s="23">
        <v>0</v>
      </c>
      <c r="O79" s="23">
        <v>0</v>
      </c>
      <c r="P79" s="23"/>
      <c r="Q79" s="23">
        <v>4.5</v>
      </c>
      <c r="R79" s="23">
        <v>52</v>
      </c>
      <c r="S79" s="23">
        <v>52</v>
      </c>
      <c r="T79" s="23">
        <v>56</v>
      </c>
      <c r="U79" s="23">
        <v>1.5</v>
      </c>
      <c r="V79" s="23">
        <v>1.5</v>
      </c>
      <c r="W79" s="23">
        <v>0</v>
      </c>
      <c r="X79" s="23"/>
      <c r="Y79" s="23"/>
      <c r="Z79" s="23">
        <v>0.35</v>
      </c>
      <c r="AA79" s="23">
        <v>8</v>
      </c>
      <c r="AB79" s="23">
        <v>0</v>
      </c>
      <c r="AC79" s="23">
        <v>0.61</v>
      </c>
      <c r="AD79" s="23">
        <v>0.08</v>
      </c>
      <c r="AE79" s="23">
        <v>13</v>
      </c>
      <c r="AF79" s="23">
        <v>18</v>
      </c>
      <c r="AG79" s="23">
        <v>15</v>
      </c>
      <c r="AH79" s="23">
        <v>16</v>
      </c>
      <c r="AI79" s="23"/>
      <c r="AJ79" s="23">
        <v>0.6</v>
      </c>
      <c r="AK79" s="65">
        <v>401</v>
      </c>
      <c r="AL79" s="65">
        <v>4</v>
      </c>
    </row>
    <row r="80" spans="1:38">
      <c r="A80" s="38">
        <v>407</v>
      </c>
      <c r="B80" s="16" t="s">
        <v>262</v>
      </c>
      <c r="C80" s="16" t="s">
        <v>553</v>
      </c>
      <c r="D80" s="38"/>
      <c r="E80" s="16"/>
      <c r="F80" s="16"/>
      <c r="G80" s="23">
        <v>0</v>
      </c>
      <c r="H80" s="23">
        <v>15</v>
      </c>
      <c r="I80" s="23">
        <v>13</v>
      </c>
      <c r="J80" s="23">
        <v>15.025</v>
      </c>
      <c r="K80" s="23">
        <v>4.2249999999999996</v>
      </c>
      <c r="L80" s="23">
        <v>20.375</v>
      </c>
      <c r="M80" s="23">
        <v>9.1749999999999989</v>
      </c>
      <c r="N80" s="23">
        <v>0</v>
      </c>
      <c r="O80" s="23">
        <v>0</v>
      </c>
      <c r="P80" s="23"/>
      <c r="Q80" s="23">
        <v>51.2</v>
      </c>
      <c r="R80" s="23">
        <v>368.75</v>
      </c>
      <c r="S80" s="23">
        <v>368.875</v>
      </c>
      <c r="T80" s="23">
        <v>725.75</v>
      </c>
      <c r="U80" s="23">
        <v>0.35</v>
      </c>
      <c r="V80" s="23">
        <v>0.35</v>
      </c>
      <c r="W80" s="23">
        <v>0</v>
      </c>
      <c r="X80" s="23"/>
      <c r="Y80" s="23"/>
      <c r="Z80" s="23">
        <v>2.1875</v>
      </c>
      <c r="AA80" s="23">
        <v>27</v>
      </c>
      <c r="AB80" s="23">
        <v>2</v>
      </c>
      <c r="AC80" s="23">
        <v>0.2475</v>
      </c>
      <c r="AD80" s="23">
        <v>1.0150000000000001</v>
      </c>
      <c r="AE80" s="23">
        <v>114.25</v>
      </c>
      <c r="AF80" s="23">
        <v>51</v>
      </c>
      <c r="AG80" s="23">
        <v>118.5</v>
      </c>
      <c r="AH80" s="23">
        <v>122.75</v>
      </c>
      <c r="AI80" s="23"/>
      <c r="AJ80" s="23">
        <v>2</v>
      </c>
      <c r="AK80" s="65">
        <v>401</v>
      </c>
      <c r="AL80" s="65">
        <v>4</v>
      </c>
    </row>
    <row r="81" spans="1:38">
      <c r="A81" s="38">
        <v>408</v>
      </c>
      <c r="B81" s="16" t="s">
        <v>263</v>
      </c>
      <c r="C81" s="16" t="s">
        <v>561</v>
      </c>
      <c r="D81" s="38">
        <v>252</v>
      </c>
      <c r="E81" s="16" t="s">
        <v>642</v>
      </c>
      <c r="F81" s="16"/>
      <c r="G81" s="23">
        <v>0</v>
      </c>
      <c r="H81" s="23">
        <v>15</v>
      </c>
      <c r="I81" s="23">
        <v>13</v>
      </c>
      <c r="J81" s="23"/>
      <c r="K81" s="23"/>
      <c r="L81" s="23">
        <v>21.6</v>
      </c>
      <c r="M81" s="23">
        <v>19</v>
      </c>
      <c r="N81" s="23">
        <v>0</v>
      </c>
      <c r="O81" s="23">
        <v>0</v>
      </c>
      <c r="P81" s="23">
        <v>51.6</v>
      </c>
      <c r="Q81" s="23">
        <v>51.6</v>
      </c>
      <c r="R81" s="23">
        <v>464</v>
      </c>
      <c r="S81" s="23">
        <v>463.79999999999995</v>
      </c>
      <c r="T81" s="23">
        <v>770</v>
      </c>
      <c r="U81" s="23">
        <v>8</v>
      </c>
      <c r="V81" s="23">
        <v>8</v>
      </c>
      <c r="W81" s="23">
        <v>0</v>
      </c>
      <c r="X81" s="23"/>
      <c r="Y81" s="23"/>
      <c r="Z81" s="23">
        <v>3.5</v>
      </c>
      <c r="AA81" s="23">
        <v>42</v>
      </c>
      <c r="AB81" s="23">
        <v>37</v>
      </c>
      <c r="AC81" s="23">
        <v>0.3</v>
      </c>
      <c r="AD81" s="23">
        <v>0.6</v>
      </c>
      <c r="AE81" s="23">
        <v>420</v>
      </c>
      <c r="AF81" s="23">
        <v>0</v>
      </c>
      <c r="AG81" s="23">
        <v>420</v>
      </c>
      <c r="AH81" s="23">
        <v>420</v>
      </c>
      <c r="AI81" s="23"/>
      <c r="AJ81" s="23">
        <v>1</v>
      </c>
      <c r="AK81" s="65">
        <v>1501</v>
      </c>
      <c r="AL81" s="65">
        <v>15</v>
      </c>
    </row>
    <row r="82" spans="1:38">
      <c r="A82" s="38">
        <v>409</v>
      </c>
      <c r="B82" s="16" t="s">
        <v>264</v>
      </c>
      <c r="C82" s="16" t="s">
        <v>607</v>
      </c>
      <c r="D82" s="38">
        <v>1178</v>
      </c>
      <c r="E82" s="16" t="s">
        <v>643</v>
      </c>
      <c r="F82" s="16"/>
      <c r="G82" s="23">
        <v>0</v>
      </c>
      <c r="H82" s="23">
        <v>15</v>
      </c>
      <c r="I82" s="23">
        <v>13</v>
      </c>
      <c r="J82" s="23">
        <v>71</v>
      </c>
      <c r="K82" s="23">
        <v>0.9</v>
      </c>
      <c r="L82" s="23">
        <v>7</v>
      </c>
      <c r="M82" s="23">
        <v>14.1</v>
      </c>
      <c r="N82" s="23">
        <v>0</v>
      </c>
      <c r="O82" s="23">
        <v>0</v>
      </c>
      <c r="P82" s="23">
        <v>7</v>
      </c>
      <c r="Q82" s="23">
        <v>7.0000000000000018</v>
      </c>
      <c r="R82" s="23">
        <v>181</v>
      </c>
      <c r="S82" s="23">
        <v>182.89999999999998</v>
      </c>
      <c r="T82" s="23">
        <v>141</v>
      </c>
      <c r="U82" s="23">
        <v>0.06</v>
      </c>
      <c r="V82" s="23">
        <v>0.06</v>
      </c>
      <c r="W82" s="23">
        <v>0</v>
      </c>
      <c r="X82" s="23"/>
      <c r="Y82" s="23"/>
      <c r="Z82" s="23">
        <v>0.27</v>
      </c>
      <c r="AA82" s="23">
        <v>11</v>
      </c>
      <c r="AB82" s="23">
        <v>0.9</v>
      </c>
      <c r="AC82" s="23">
        <v>0.04</v>
      </c>
      <c r="AD82" s="23">
        <v>0.24</v>
      </c>
      <c r="AE82" s="23">
        <v>117</v>
      </c>
      <c r="AF82" s="23">
        <v>27</v>
      </c>
      <c r="AG82" s="23">
        <v>119.25</v>
      </c>
      <c r="AH82" s="23">
        <v>121.5</v>
      </c>
      <c r="AI82" s="23"/>
      <c r="AJ82" s="23">
        <v>0.3</v>
      </c>
      <c r="AK82" s="65">
        <v>402</v>
      </c>
      <c r="AL82" s="65">
        <v>4</v>
      </c>
    </row>
    <row r="83" spans="1:38">
      <c r="A83" s="38">
        <v>410</v>
      </c>
      <c r="B83" s="16" t="s">
        <v>265</v>
      </c>
      <c r="C83" s="16" t="s">
        <v>607</v>
      </c>
      <c r="D83" s="38">
        <v>1056</v>
      </c>
      <c r="E83" s="16" t="s">
        <v>644</v>
      </c>
      <c r="F83" s="16"/>
      <c r="G83" s="23">
        <v>0</v>
      </c>
      <c r="H83" s="23">
        <v>15</v>
      </c>
      <c r="I83" s="23">
        <v>13</v>
      </c>
      <c r="J83" s="23">
        <v>73.069999999999993</v>
      </c>
      <c r="K83" s="23">
        <v>0.51</v>
      </c>
      <c r="L83" s="23">
        <v>2.44</v>
      </c>
      <c r="M83" s="23">
        <v>19.350000000000001</v>
      </c>
      <c r="N83" s="23">
        <v>0</v>
      </c>
      <c r="O83" s="23">
        <v>0</v>
      </c>
      <c r="P83" s="23">
        <v>4.63</v>
      </c>
      <c r="Q83" s="23">
        <v>4.6300000000000026</v>
      </c>
      <c r="R83" s="23">
        <v>198</v>
      </c>
      <c r="S83" s="23">
        <v>202.43</v>
      </c>
      <c r="T83" s="23">
        <v>101</v>
      </c>
      <c r="U83" s="23">
        <v>7.0000000000000007E-2</v>
      </c>
      <c r="V83" s="23">
        <v>7.0000000000000007E-2</v>
      </c>
      <c r="W83" s="23">
        <v>0</v>
      </c>
      <c r="X83" s="23"/>
      <c r="Y83" s="23"/>
      <c r="Z83" s="23">
        <v>0.33</v>
      </c>
      <c r="AA83" s="23">
        <v>6</v>
      </c>
      <c r="AB83" s="23">
        <v>0.9</v>
      </c>
      <c r="AC83" s="23">
        <v>0.02</v>
      </c>
      <c r="AD83" s="23">
        <v>0.16800000000000001</v>
      </c>
      <c r="AE83" s="23">
        <v>121</v>
      </c>
      <c r="AF83" s="23">
        <v>25.5</v>
      </c>
      <c r="AG83" s="23">
        <v>123.125</v>
      </c>
      <c r="AH83" s="23">
        <v>125.25</v>
      </c>
      <c r="AI83" s="23"/>
      <c r="AJ83" s="23">
        <v>0.21</v>
      </c>
      <c r="AK83" s="65">
        <v>402</v>
      </c>
      <c r="AL83" s="65">
        <v>4</v>
      </c>
    </row>
    <row r="84" spans="1:38">
      <c r="A84" s="38">
        <v>411</v>
      </c>
      <c r="B84" s="16" t="s">
        <v>266</v>
      </c>
      <c r="C84" s="16" t="s">
        <v>566</v>
      </c>
      <c r="D84" s="38">
        <v>6026</v>
      </c>
      <c r="E84" s="16" t="s">
        <v>574</v>
      </c>
      <c r="F84" s="16"/>
      <c r="G84" s="23">
        <v>0</v>
      </c>
      <c r="H84" s="23">
        <v>15</v>
      </c>
      <c r="I84" s="23">
        <v>13</v>
      </c>
      <c r="J84" s="23">
        <v>82</v>
      </c>
      <c r="K84" s="23">
        <v>0.7</v>
      </c>
      <c r="L84" s="23">
        <v>2.9</v>
      </c>
      <c r="M84" s="23">
        <v>3.1</v>
      </c>
      <c r="N84" s="23">
        <v>0</v>
      </c>
      <c r="O84" s="23">
        <v>0</v>
      </c>
      <c r="P84" s="23"/>
      <c r="Q84" s="23">
        <v>11.3</v>
      </c>
      <c r="R84" s="23">
        <v>85</v>
      </c>
      <c r="S84" s="23">
        <v>84.7</v>
      </c>
      <c r="T84" s="23">
        <v>149</v>
      </c>
      <c r="U84" s="23">
        <v>0.2</v>
      </c>
      <c r="V84" s="23">
        <v>0.2</v>
      </c>
      <c r="W84" s="23">
        <v>0</v>
      </c>
      <c r="X84" s="23"/>
      <c r="Y84" s="23"/>
      <c r="Z84" s="23">
        <v>0.34</v>
      </c>
      <c r="AA84" s="23">
        <v>0</v>
      </c>
      <c r="AB84" s="23">
        <v>0</v>
      </c>
      <c r="AC84" s="23">
        <v>0.1</v>
      </c>
      <c r="AD84" s="23">
        <v>0.2</v>
      </c>
      <c r="AE84" s="23">
        <v>32</v>
      </c>
      <c r="AF84" s="23">
        <v>23</v>
      </c>
      <c r="AG84" s="23">
        <v>34</v>
      </c>
      <c r="AH84" s="23">
        <v>36</v>
      </c>
      <c r="AI84" s="23"/>
      <c r="AJ84" s="23">
        <v>0.2</v>
      </c>
      <c r="AK84" s="65">
        <v>402</v>
      </c>
      <c r="AL84" s="65">
        <v>4</v>
      </c>
    </row>
    <row r="85" spans="1:38">
      <c r="A85" s="38">
        <v>412</v>
      </c>
      <c r="B85" s="16" t="s">
        <v>267</v>
      </c>
      <c r="C85" s="16" t="s">
        <v>553</v>
      </c>
      <c r="D85" s="38"/>
      <c r="E85" s="16"/>
      <c r="F85" s="16"/>
      <c r="G85" s="23">
        <v>0</v>
      </c>
      <c r="H85" s="23">
        <v>15</v>
      </c>
      <c r="I85" s="23">
        <v>13</v>
      </c>
      <c r="J85" s="23">
        <v>66.25</v>
      </c>
      <c r="K85" s="23">
        <v>1.9749999999999999</v>
      </c>
      <c r="L85" s="23">
        <v>17.099999999999998</v>
      </c>
      <c r="M85" s="23">
        <v>11.324999999999999</v>
      </c>
      <c r="N85" s="23">
        <v>0</v>
      </c>
      <c r="O85" s="23">
        <v>0</v>
      </c>
      <c r="P85" s="23"/>
      <c r="Q85" s="23">
        <v>3.3500000000000014</v>
      </c>
      <c r="R85" s="23">
        <v>183.75</v>
      </c>
      <c r="S85" s="23">
        <v>183.72499999999999</v>
      </c>
      <c r="T85" s="23">
        <v>265.25</v>
      </c>
      <c r="U85" s="23">
        <v>0.3</v>
      </c>
      <c r="V85" s="23">
        <v>0.3</v>
      </c>
      <c r="W85" s="23">
        <v>0</v>
      </c>
      <c r="X85" s="23"/>
      <c r="Y85" s="23"/>
      <c r="Z85" s="23">
        <v>1.1075000000000002</v>
      </c>
      <c r="AA85" s="23">
        <v>17.5</v>
      </c>
      <c r="AB85" s="23">
        <v>0.25</v>
      </c>
      <c r="AC85" s="23">
        <v>4.2500000000000003E-2</v>
      </c>
      <c r="AD85" s="23">
        <v>0.315</v>
      </c>
      <c r="AE85" s="23">
        <v>64</v>
      </c>
      <c r="AF85" s="23">
        <v>46.75</v>
      </c>
      <c r="AG85" s="23">
        <v>67.895833333333329</v>
      </c>
      <c r="AH85" s="23">
        <v>71.791666666666671</v>
      </c>
      <c r="AI85" s="23"/>
      <c r="AJ85" s="23">
        <v>0.88250000000000006</v>
      </c>
      <c r="AK85" s="65">
        <v>404</v>
      </c>
      <c r="AL85" s="65">
        <v>4</v>
      </c>
    </row>
    <row r="86" spans="1:38">
      <c r="A86" s="38">
        <v>413</v>
      </c>
      <c r="B86" s="16" t="s">
        <v>268</v>
      </c>
      <c r="C86" s="16" t="s">
        <v>566</v>
      </c>
      <c r="D86" s="38">
        <v>7011</v>
      </c>
      <c r="E86" s="16" t="s">
        <v>485</v>
      </c>
      <c r="F86" s="16"/>
      <c r="G86" s="23">
        <v>13</v>
      </c>
      <c r="H86" s="23">
        <v>13</v>
      </c>
      <c r="I86" s="23">
        <v>10</v>
      </c>
      <c r="J86" s="23">
        <v>75.900000000000006</v>
      </c>
      <c r="K86" s="23">
        <v>0.9</v>
      </c>
      <c r="L86" s="23">
        <v>12.7</v>
      </c>
      <c r="M86" s="23">
        <v>8.1</v>
      </c>
      <c r="N86" s="23">
        <v>0</v>
      </c>
      <c r="O86" s="23">
        <v>0</v>
      </c>
      <c r="P86" s="23"/>
      <c r="Q86" s="23">
        <v>2.4</v>
      </c>
      <c r="R86" s="23">
        <v>134</v>
      </c>
      <c r="S86" s="23">
        <v>133.29999999999998</v>
      </c>
      <c r="T86" s="23">
        <v>54</v>
      </c>
      <c r="U86" s="23">
        <v>1.7</v>
      </c>
      <c r="V86" s="23">
        <v>1.7</v>
      </c>
      <c r="W86" s="23">
        <v>0</v>
      </c>
      <c r="X86" s="23"/>
      <c r="Y86" s="23"/>
      <c r="Z86" s="23">
        <v>1.1299999999999999</v>
      </c>
      <c r="AA86" s="23">
        <v>83</v>
      </c>
      <c r="AB86" s="23">
        <v>0</v>
      </c>
      <c r="AC86" s="23">
        <v>0.12</v>
      </c>
      <c r="AD86" s="23">
        <v>0.51</v>
      </c>
      <c r="AE86" s="23">
        <v>186</v>
      </c>
      <c r="AF86" s="23">
        <v>0</v>
      </c>
      <c r="AG86" s="23">
        <v>186</v>
      </c>
      <c r="AH86" s="23">
        <v>186</v>
      </c>
      <c r="AI86" s="23"/>
      <c r="AJ86" s="23">
        <v>1.7</v>
      </c>
      <c r="AK86" s="65">
        <v>501</v>
      </c>
      <c r="AL86" s="65">
        <v>5</v>
      </c>
    </row>
    <row r="87" spans="1:38">
      <c r="A87" s="38">
        <v>414</v>
      </c>
      <c r="B87" s="16" t="s">
        <v>269</v>
      </c>
      <c r="C87" s="16" t="s">
        <v>683</v>
      </c>
      <c r="D87" s="38"/>
      <c r="E87" s="16"/>
      <c r="F87" s="16"/>
      <c r="G87" s="23">
        <v>0</v>
      </c>
      <c r="H87" s="23">
        <v>15</v>
      </c>
      <c r="I87" s="23">
        <v>13</v>
      </c>
      <c r="J87" s="23">
        <v>83.098749999999995</v>
      </c>
      <c r="K87" s="23">
        <v>0.9006249999999999</v>
      </c>
      <c r="L87" s="23">
        <v>4.8662499999999991</v>
      </c>
      <c r="M87" s="23">
        <v>4.2206250000000001</v>
      </c>
      <c r="N87" s="23">
        <v>0.05</v>
      </c>
      <c r="O87" s="23">
        <v>0</v>
      </c>
      <c r="P87" s="23"/>
      <c r="Q87" s="23">
        <v>6.863750000000004</v>
      </c>
      <c r="R87" s="23">
        <v>84.71875</v>
      </c>
      <c r="S87" s="23">
        <v>85.005625000000009</v>
      </c>
      <c r="T87" s="23">
        <v>138.46875</v>
      </c>
      <c r="U87" s="23">
        <v>0.33750000000000002</v>
      </c>
      <c r="V87" s="23">
        <v>0.33750000000000002</v>
      </c>
      <c r="W87" s="23">
        <v>0</v>
      </c>
      <c r="X87" s="23"/>
      <c r="Y87" s="23"/>
      <c r="Z87" s="23">
        <v>0.54531249999999998</v>
      </c>
      <c r="AA87" s="23">
        <v>6.8125</v>
      </c>
      <c r="AB87" s="23">
        <v>0.16875000000000001</v>
      </c>
      <c r="AC87" s="23">
        <v>0.10756249999999999</v>
      </c>
      <c r="AD87" s="23">
        <v>0.21625</v>
      </c>
      <c r="AE87" s="23">
        <v>33.375</v>
      </c>
      <c r="AF87" s="23">
        <v>17.28125</v>
      </c>
      <c r="AG87" s="23">
        <v>34.815104166666664</v>
      </c>
      <c r="AH87" s="23">
        <v>39.177517361111114</v>
      </c>
      <c r="AI87" s="23"/>
      <c r="AJ87" s="23">
        <v>0.51343749999999999</v>
      </c>
      <c r="AK87" s="65">
        <v>403</v>
      </c>
      <c r="AL87" s="65">
        <v>4</v>
      </c>
    </row>
    <row r="88" spans="1:38">
      <c r="A88" s="38">
        <v>501</v>
      </c>
      <c r="B88" s="16" t="s">
        <v>270</v>
      </c>
      <c r="C88" s="16" t="s">
        <v>566</v>
      </c>
      <c r="D88" s="38">
        <v>6002</v>
      </c>
      <c r="E88" s="16" t="s">
        <v>486</v>
      </c>
      <c r="F88" s="16"/>
      <c r="G88" s="23">
        <v>0</v>
      </c>
      <c r="H88" s="23">
        <v>17</v>
      </c>
      <c r="I88" s="23">
        <v>14</v>
      </c>
      <c r="J88" s="23">
        <v>15.3</v>
      </c>
      <c r="K88" s="23">
        <v>1.7</v>
      </c>
      <c r="L88" s="23">
        <v>1.1000000000000001</v>
      </c>
      <c r="M88" s="23">
        <v>81.3</v>
      </c>
      <c r="N88" s="23">
        <v>0</v>
      </c>
      <c r="O88" s="23">
        <v>0</v>
      </c>
      <c r="P88" s="23"/>
      <c r="Q88" s="23">
        <v>0.6</v>
      </c>
      <c r="R88" s="23">
        <v>739</v>
      </c>
      <c r="S88" s="23">
        <v>738.49999999999989</v>
      </c>
      <c r="T88" s="23">
        <v>17</v>
      </c>
      <c r="U88" s="23">
        <v>0.01</v>
      </c>
      <c r="V88" s="23">
        <v>0</v>
      </c>
      <c r="W88" s="23">
        <v>0.01</v>
      </c>
      <c r="X88" s="23"/>
      <c r="Y88" s="23"/>
      <c r="Z88" s="23">
        <v>0.06</v>
      </c>
      <c r="AA88" s="23">
        <v>6</v>
      </c>
      <c r="AB88" s="23">
        <v>0</v>
      </c>
      <c r="AC88" s="23">
        <v>0</v>
      </c>
      <c r="AD88" s="23">
        <v>0.05</v>
      </c>
      <c r="AE88" s="23">
        <v>832</v>
      </c>
      <c r="AF88" s="23">
        <v>153</v>
      </c>
      <c r="AG88" s="23">
        <v>845</v>
      </c>
      <c r="AH88" s="23">
        <v>858</v>
      </c>
      <c r="AI88" s="23"/>
      <c r="AJ88" s="23">
        <v>0</v>
      </c>
      <c r="AK88" s="65">
        <v>1103</v>
      </c>
      <c r="AL88" s="65">
        <v>11</v>
      </c>
    </row>
    <row r="89" spans="1:38">
      <c r="A89" s="38">
        <v>502</v>
      </c>
      <c r="B89" s="16" t="s">
        <v>271</v>
      </c>
      <c r="C89" s="16" t="s">
        <v>566</v>
      </c>
      <c r="D89" s="38">
        <v>6008</v>
      </c>
      <c r="E89" s="16" t="s">
        <v>575</v>
      </c>
      <c r="F89" s="16"/>
      <c r="G89" s="23">
        <v>0</v>
      </c>
      <c r="H89" s="23">
        <v>17</v>
      </c>
      <c r="I89" s="23">
        <v>14</v>
      </c>
      <c r="J89" s="23">
        <v>0</v>
      </c>
      <c r="K89" s="23">
        <v>0.5</v>
      </c>
      <c r="L89" s="23">
        <v>0.3</v>
      </c>
      <c r="M89" s="23">
        <v>99.9</v>
      </c>
      <c r="N89" s="23">
        <v>0</v>
      </c>
      <c r="O89" s="23">
        <v>0</v>
      </c>
      <c r="P89" s="23"/>
      <c r="Q89" s="23">
        <v>0</v>
      </c>
      <c r="R89" s="23">
        <v>898</v>
      </c>
      <c r="S89" s="23">
        <v>900.30000000000007</v>
      </c>
      <c r="T89" s="23">
        <v>2</v>
      </c>
      <c r="U89" s="23">
        <v>0.2</v>
      </c>
      <c r="V89" s="23">
        <v>0</v>
      </c>
      <c r="W89" s="23">
        <v>0.2</v>
      </c>
      <c r="X89" s="23"/>
      <c r="Y89" s="23"/>
      <c r="Z89" s="23">
        <v>0.01</v>
      </c>
      <c r="AA89" s="23">
        <v>0</v>
      </c>
      <c r="AB89" s="23">
        <v>0</v>
      </c>
      <c r="AC89" s="23">
        <v>0</v>
      </c>
      <c r="AD89" s="23">
        <v>0.01</v>
      </c>
      <c r="AE89" s="23">
        <v>860</v>
      </c>
      <c r="AF89" s="23">
        <v>480</v>
      </c>
      <c r="AG89" s="23">
        <v>900</v>
      </c>
      <c r="AH89" s="23">
        <v>940</v>
      </c>
      <c r="AI89" s="23"/>
      <c r="AJ89" s="23">
        <v>0</v>
      </c>
      <c r="AK89" s="65">
        <v>1103</v>
      </c>
      <c r="AL89" s="65">
        <v>11</v>
      </c>
    </row>
    <row r="90" spans="1:38">
      <c r="A90" s="38">
        <v>503</v>
      </c>
      <c r="B90" s="16" t="s">
        <v>272</v>
      </c>
      <c r="C90" s="16" t="s">
        <v>553</v>
      </c>
      <c r="D90" s="38"/>
      <c r="E90" s="16"/>
      <c r="F90" s="16"/>
      <c r="G90" s="23">
        <v>0</v>
      </c>
      <c r="H90" s="23">
        <v>16</v>
      </c>
      <c r="I90" s="23">
        <v>14</v>
      </c>
      <c r="J90" s="23">
        <v>43.833333333333336</v>
      </c>
      <c r="K90" s="23">
        <v>1.6333333333333335</v>
      </c>
      <c r="L90" s="23">
        <v>0.13333333333333333</v>
      </c>
      <c r="M90" s="23">
        <v>54.1</v>
      </c>
      <c r="N90" s="23">
        <v>0</v>
      </c>
      <c r="O90" s="23">
        <v>0</v>
      </c>
      <c r="P90" s="23"/>
      <c r="Q90" s="23">
        <v>0.29999999999999716</v>
      </c>
      <c r="R90" s="23">
        <v>488.66666666666669</v>
      </c>
      <c r="S90" s="23">
        <v>488.63333333333338</v>
      </c>
      <c r="T90" s="23">
        <v>10.333333333333334</v>
      </c>
      <c r="U90" s="23">
        <v>0</v>
      </c>
      <c r="V90" s="23">
        <v>0</v>
      </c>
      <c r="W90" s="23">
        <v>0</v>
      </c>
      <c r="X90" s="23"/>
      <c r="Y90" s="23"/>
      <c r="Z90" s="23">
        <v>0</v>
      </c>
      <c r="AA90" s="23">
        <v>0.66666666666666663</v>
      </c>
      <c r="AB90" s="23">
        <v>8.3333333333333329E-2</v>
      </c>
      <c r="AC90" s="23">
        <v>3.3333333333333335E-3</v>
      </c>
      <c r="AD90" s="23">
        <v>0.01</v>
      </c>
      <c r="AE90" s="23">
        <v>768</v>
      </c>
      <c r="AF90" s="23">
        <v>610</v>
      </c>
      <c r="AG90" s="23">
        <v>818.83333333333337</v>
      </c>
      <c r="AH90" s="23">
        <v>869.66666666666663</v>
      </c>
      <c r="AI90" s="23"/>
      <c r="AJ90" s="23">
        <v>1.2366666666666666</v>
      </c>
      <c r="AK90" s="65">
        <v>1101</v>
      </c>
      <c r="AL90" s="65">
        <v>11</v>
      </c>
    </row>
    <row r="91" spans="1:38">
      <c r="A91" s="38">
        <v>504</v>
      </c>
      <c r="B91" s="16" t="s">
        <v>273</v>
      </c>
      <c r="C91" s="16" t="s">
        <v>611</v>
      </c>
      <c r="D91" s="38" t="s">
        <v>685</v>
      </c>
      <c r="E91" s="16" t="s">
        <v>684</v>
      </c>
      <c r="F91" s="16"/>
      <c r="G91" s="23">
        <v>0</v>
      </c>
      <c r="H91" s="23">
        <v>16</v>
      </c>
      <c r="I91" s="23">
        <v>14</v>
      </c>
      <c r="J91" s="23">
        <v>16.5</v>
      </c>
      <c r="K91" s="23">
        <v>1.9</v>
      </c>
      <c r="L91" s="23">
        <v>0.2</v>
      </c>
      <c r="M91" s="23">
        <v>80.7</v>
      </c>
      <c r="N91" s="23">
        <v>0</v>
      </c>
      <c r="O91" s="23">
        <v>0</v>
      </c>
      <c r="P91" s="23"/>
      <c r="Q91" s="23">
        <v>0.7</v>
      </c>
      <c r="R91" s="23">
        <v>730</v>
      </c>
      <c r="S91" s="23">
        <v>729.9</v>
      </c>
      <c r="T91" s="23">
        <v>3</v>
      </c>
      <c r="U91" s="23">
        <v>0.1</v>
      </c>
      <c r="V91" s="23">
        <v>0</v>
      </c>
      <c r="W91" s="23">
        <v>0.1</v>
      </c>
      <c r="X91" s="23"/>
      <c r="Y91" s="23"/>
      <c r="Z91" s="23">
        <v>0</v>
      </c>
      <c r="AA91" s="23">
        <v>1</v>
      </c>
      <c r="AB91" s="23">
        <v>0.2</v>
      </c>
      <c r="AC91" s="23">
        <v>0.01</v>
      </c>
      <c r="AD91" s="23">
        <v>0.04</v>
      </c>
      <c r="AE91" s="23">
        <v>768</v>
      </c>
      <c r="AF91" s="23">
        <v>610</v>
      </c>
      <c r="AG91" s="23">
        <v>818.83333333333337</v>
      </c>
      <c r="AH91" s="23">
        <v>869.66666666666663</v>
      </c>
      <c r="AI91" s="23"/>
      <c r="AJ91" s="23">
        <v>0.1</v>
      </c>
      <c r="AK91" s="65">
        <v>1101</v>
      </c>
      <c r="AL91" s="65">
        <v>11</v>
      </c>
    </row>
    <row r="92" spans="1:38">
      <c r="A92" s="38">
        <v>505</v>
      </c>
      <c r="B92" s="16" t="s">
        <v>274</v>
      </c>
      <c r="C92" s="16" t="s">
        <v>566</v>
      </c>
      <c r="D92" s="38">
        <v>10012</v>
      </c>
      <c r="E92" s="16" t="s">
        <v>576</v>
      </c>
      <c r="F92" s="16"/>
      <c r="G92" s="23">
        <v>0</v>
      </c>
      <c r="H92" s="23">
        <v>16</v>
      </c>
      <c r="I92" s="23">
        <v>14</v>
      </c>
      <c r="J92" s="23">
        <v>5.9</v>
      </c>
      <c r="K92" s="23">
        <v>2.2999999999999998</v>
      </c>
      <c r="L92" s="23">
        <v>20.100000000000001</v>
      </c>
      <c r="M92" s="23">
        <v>48.4</v>
      </c>
      <c r="N92" s="23">
        <v>8.3000000000000007</v>
      </c>
      <c r="O92" s="23">
        <v>0</v>
      </c>
      <c r="P92" s="23"/>
      <c r="Q92" s="23">
        <v>15</v>
      </c>
      <c r="R92" s="23">
        <v>593</v>
      </c>
      <c r="S92" s="23">
        <v>592.6</v>
      </c>
      <c r="T92" s="23">
        <v>117</v>
      </c>
      <c r="U92" s="23">
        <v>5.5</v>
      </c>
      <c r="V92" s="23">
        <v>0</v>
      </c>
      <c r="W92" s="23">
        <v>5.5</v>
      </c>
      <c r="X92" s="23"/>
      <c r="Y92" s="23"/>
      <c r="Z92" s="23">
        <v>2.2400000000000002</v>
      </c>
      <c r="AA92" s="23">
        <v>110</v>
      </c>
      <c r="AB92" s="23">
        <v>0</v>
      </c>
      <c r="AC92" s="23">
        <v>0.85</v>
      </c>
      <c r="AD92" s="23">
        <v>0.14000000000000001</v>
      </c>
      <c r="AE92" s="23">
        <v>0</v>
      </c>
      <c r="AF92" s="23">
        <v>4</v>
      </c>
      <c r="AG92" s="23">
        <v>0</v>
      </c>
      <c r="AH92" s="23">
        <v>1</v>
      </c>
      <c r="AI92" s="23"/>
      <c r="AJ92" s="23">
        <v>0</v>
      </c>
      <c r="AK92" s="65">
        <v>303</v>
      </c>
      <c r="AL92" s="65">
        <v>3</v>
      </c>
    </row>
    <row r="93" spans="1:38">
      <c r="A93" s="38">
        <v>506</v>
      </c>
      <c r="B93" s="16" t="s">
        <v>275</v>
      </c>
      <c r="C93" s="16" t="s">
        <v>553</v>
      </c>
      <c r="D93" s="38"/>
      <c r="E93" s="16"/>
      <c r="F93" s="16"/>
      <c r="G93" s="23">
        <v>0</v>
      </c>
      <c r="H93" s="23">
        <v>16</v>
      </c>
      <c r="I93" s="23">
        <v>14</v>
      </c>
      <c r="J93" s="23">
        <v>0</v>
      </c>
      <c r="K93" s="23">
        <v>0</v>
      </c>
      <c r="L93" s="23">
        <v>2.5000000000000001E-2</v>
      </c>
      <c r="M93" s="23">
        <v>99.974999999999994</v>
      </c>
      <c r="N93" s="23">
        <v>0</v>
      </c>
      <c r="O93" s="23">
        <v>0</v>
      </c>
      <c r="P93" s="23"/>
      <c r="Q93" s="23">
        <v>0</v>
      </c>
      <c r="R93" s="23">
        <v>900</v>
      </c>
      <c r="S93" s="23">
        <v>899.875</v>
      </c>
      <c r="T93" s="23">
        <v>0.25</v>
      </c>
      <c r="U93" s="23">
        <v>2.5000000000000001E-2</v>
      </c>
      <c r="V93" s="23">
        <v>0</v>
      </c>
      <c r="W93" s="23">
        <v>2.5000000000000001E-2</v>
      </c>
      <c r="X93" s="23"/>
      <c r="Y93" s="23"/>
      <c r="Z93" s="23">
        <v>3.5000000000000003E-2</v>
      </c>
      <c r="AA93" s="23">
        <v>0</v>
      </c>
      <c r="AB93" s="23">
        <v>0</v>
      </c>
      <c r="AC93" s="23">
        <v>0</v>
      </c>
      <c r="AD93" s="23">
        <v>0</v>
      </c>
      <c r="AE93" s="23">
        <v>1.595</v>
      </c>
      <c r="AF93" s="23">
        <v>0</v>
      </c>
      <c r="AG93" s="23">
        <v>1.595</v>
      </c>
      <c r="AH93" s="23">
        <v>1.595</v>
      </c>
      <c r="AI93" s="23"/>
      <c r="AJ93" s="23">
        <v>0</v>
      </c>
      <c r="AK93" s="65">
        <v>1103</v>
      </c>
      <c r="AL93" s="65">
        <v>11</v>
      </c>
    </row>
    <row r="94" spans="1:38">
      <c r="A94" s="38">
        <v>507</v>
      </c>
      <c r="B94" s="16" t="s">
        <v>276</v>
      </c>
      <c r="C94" s="16" t="s">
        <v>553</v>
      </c>
      <c r="D94" s="38"/>
      <c r="E94" s="16"/>
      <c r="F94" s="16"/>
      <c r="G94" s="23">
        <v>0</v>
      </c>
      <c r="H94" s="23">
        <v>16</v>
      </c>
      <c r="I94" s="23">
        <v>14</v>
      </c>
      <c r="J94" s="23">
        <v>0</v>
      </c>
      <c r="K94" s="23">
        <v>0</v>
      </c>
      <c r="L94" s="23">
        <v>0</v>
      </c>
      <c r="M94" s="23">
        <v>99.974999999999994</v>
      </c>
      <c r="N94" s="23">
        <v>0</v>
      </c>
      <c r="O94" s="23">
        <v>0</v>
      </c>
      <c r="P94" s="23"/>
      <c r="Q94" s="23">
        <v>2.5000000000005684E-2</v>
      </c>
      <c r="R94" s="23">
        <v>900</v>
      </c>
      <c r="S94" s="23">
        <v>899.875</v>
      </c>
      <c r="T94" s="23">
        <v>0</v>
      </c>
      <c r="U94" s="23">
        <v>2.5000000000000001E-2</v>
      </c>
      <c r="V94" s="23">
        <v>0</v>
      </c>
      <c r="W94" s="23">
        <v>2.5000000000000001E-2</v>
      </c>
      <c r="X94" s="23"/>
      <c r="Y94" s="23"/>
      <c r="Z94" s="23">
        <v>3.2500000000000001E-2</v>
      </c>
      <c r="AA94" s="23">
        <v>0</v>
      </c>
      <c r="AB94" s="23">
        <v>0</v>
      </c>
      <c r="AC94" s="23">
        <v>0</v>
      </c>
      <c r="AD94" s="23">
        <v>0</v>
      </c>
      <c r="AE94" s="23">
        <v>1.595</v>
      </c>
      <c r="AF94" s="23">
        <v>2.75</v>
      </c>
      <c r="AG94" s="23">
        <v>1.8241666666666667</v>
      </c>
      <c r="AH94" s="23">
        <v>2.0533333333333332</v>
      </c>
      <c r="AI94" s="23"/>
      <c r="AJ94" s="23">
        <v>0</v>
      </c>
      <c r="AK94" s="65">
        <v>1101</v>
      </c>
      <c r="AL94" s="65">
        <v>11</v>
      </c>
    </row>
    <row r="95" spans="1:38">
      <c r="A95" s="38">
        <v>508</v>
      </c>
      <c r="B95" s="16" t="s">
        <v>277</v>
      </c>
      <c r="C95" s="16" t="s">
        <v>686</v>
      </c>
      <c r="D95" s="38"/>
      <c r="E95" s="16"/>
      <c r="F95" s="16"/>
      <c r="G95" s="23">
        <v>0</v>
      </c>
      <c r="H95" s="23">
        <v>16</v>
      </c>
      <c r="I95" s="23">
        <v>14</v>
      </c>
      <c r="J95" s="23">
        <v>16.5</v>
      </c>
      <c r="K95" s="23">
        <v>1.9</v>
      </c>
      <c r="L95" s="23">
        <v>0.2</v>
      </c>
      <c r="M95" s="23">
        <v>80.7</v>
      </c>
      <c r="N95" s="23">
        <v>0</v>
      </c>
      <c r="O95" s="23">
        <v>0</v>
      </c>
      <c r="P95" s="23"/>
      <c r="Q95" s="23">
        <v>0.7</v>
      </c>
      <c r="R95" s="23">
        <v>730</v>
      </c>
      <c r="S95" s="23">
        <v>729.9</v>
      </c>
      <c r="T95" s="23">
        <v>3</v>
      </c>
      <c r="U95" s="23">
        <v>0.1</v>
      </c>
      <c r="V95" s="23">
        <v>0</v>
      </c>
      <c r="W95" s="23">
        <v>0.1</v>
      </c>
      <c r="X95" s="23"/>
      <c r="Y95" s="23"/>
      <c r="Z95" s="23">
        <v>0</v>
      </c>
      <c r="AA95" s="23">
        <v>1</v>
      </c>
      <c r="AB95" s="23">
        <v>0.2</v>
      </c>
      <c r="AC95" s="23">
        <v>0.01</v>
      </c>
      <c r="AD95" s="23">
        <v>0.04</v>
      </c>
      <c r="AE95" s="23">
        <v>768</v>
      </c>
      <c r="AF95" s="23">
        <v>610</v>
      </c>
      <c r="AG95" s="23">
        <v>818.83333333333337</v>
      </c>
      <c r="AH95" s="23">
        <v>869.66666666666663</v>
      </c>
      <c r="AI95" s="23"/>
      <c r="AJ95" s="23">
        <v>0.1</v>
      </c>
      <c r="AK95" s="65">
        <v>1103</v>
      </c>
      <c r="AL95" s="65">
        <v>11</v>
      </c>
    </row>
    <row r="96" spans="1:38">
      <c r="A96" s="38">
        <v>509</v>
      </c>
      <c r="B96" s="16" t="s">
        <v>278</v>
      </c>
      <c r="C96" s="16" t="s">
        <v>566</v>
      </c>
      <c r="D96" s="38">
        <v>9001</v>
      </c>
      <c r="E96" s="16" t="s">
        <v>577</v>
      </c>
      <c r="F96" s="16"/>
      <c r="G96" s="23">
        <v>0</v>
      </c>
      <c r="H96" s="23">
        <v>17</v>
      </c>
      <c r="I96" s="23">
        <v>14</v>
      </c>
      <c r="J96" s="23">
        <v>1</v>
      </c>
      <c r="K96" s="23">
        <v>0.3</v>
      </c>
      <c r="L96" s="23">
        <v>0</v>
      </c>
      <c r="M96" s="23">
        <v>99</v>
      </c>
      <c r="N96" s="23">
        <v>0</v>
      </c>
      <c r="O96" s="23">
        <v>0</v>
      </c>
      <c r="P96" s="23"/>
      <c r="Q96" s="23">
        <v>0</v>
      </c>
      <c r="R96" s="23">
        <v>890</v>
      </c>
      <c r="S96" s="23">
        <v>891</v>
      </c>
      <c r="T96" s="23">
        <v>1</v>
      </c>
      <c r="U96" s="23">
        <v>0.1</v>
      </c>
      <c r="V96" s="23">
        <v>0</v>
      </c>
      <c r="W96" s="23">
        <v>0.1</v>
      </c>
      <c r="X96" s="23"/>
      <c r="Y96" s="23"/>
      <c r="Z96" s="23">
        <v>0.11</v>
      </c>
      <c r="AA96" s="23">
        <v>0</v>
      </c>
      <c r="AB96" s="23">
        <v>0</v>
      </c>
      <c r="AC96" s="23">
        <v>0</v>
      </c>
      <c r="AD96" s="23">
        <v>0</v>
      </c>
      <c r="AE96" s="23">
        <v>0</v>
      </c>
      <c r="AF96" s="23">
        <v>0</v>
      </c>
      <c r="AG96" s="23">
        <v>0</v>
      </c>
      <c r="AH96" s="23">
        <v>0</v>
      </c>
      <c r="AI96" s="23"/>
      <c r="AJ96" s="23">
        <v>0</v>
      </c>
      <c r="AK96" s="65">
        <v>1103</v>
      </c>
      <c r="AL96" s="65">
        <v>11</v>
      </c>
    </row>
    <row r="97" spans="1:38">
      <c r="A97" s="38">
        <v>510</v>
      </c>
      <c r="B97" s="16" t="s">
        <v>279</v>
      </c>
      <c r="C97" s="16" t="s">
        <v>553</v>
      </c>
      <c r="D97" s="38"/>
      <c r="E97" s="16"/>
      <c r="F97" s="16"/>
      <c r="G97" s="23">
        <v>0</v>
      </c>
      <c r="H97" s="23">
        <v>16</v>
      </c>
      <c r="I97" s="23">
        <v>14</v>
      </c>
      <c r="J97" s="23">
        <v>0</v>
      </c>
      <c r="K97" s="23">
        <v>0</v>
      </c>
      <c r="L97" s="23">
        <v>0</v>
      </c>
      <c r="M97" s="23">
        <v>100</v>
      </c>
      <c r="N97" s="23">
        <v>0</v>
      </c>
      <c r="O97" s="23">
        <v>0</v>
      </c>
      <c r="P97" s="23"/>
      <c r="Q97" s="23">
        <v>0</v>
      </c>
      <c r="R97" s="23">
        <v>900</v>
      </c>
      <c r="S97" s="23">
        <v>900</v>
      </c>
      <c r="T97" s="23">
        <v>0</v>
      </c>
      <c r="U97" s="23">
        <v>0</v>
      </c>
      <c r="V97" s="23">
        <v>0</v>
      </c>
      <c r="W97" s="23">
        <v>0</v>
      </c>
      <c r="X97" s="23"/>
      <c r="Y97" s="23"/>
      <c r="Z97" s="23">
        <v>0</v>
      </c>
      <c r="AA97" s="23">
        <v>0</v>
      </c>
      <c r="AB97" s="23">
        <v>0</v>
      </c>
      <c r="AC97" s="23">
        <v>0</v>
      </c>
      <c r="AD97" s="23">
        <v>0</v>
      </c>
      <c r="AE97" s="23">
        <v>0</v>
      </c>
      <c r="AF97" s="23">
        <v>0</v>
      </c>
      <c r="AG97" s="23">
        <v>0</v>
      </c>
      <c r="AH97" s="23">
        <v>0</v>
      </c>
      <c r="AI97" s="23"/>
      <c r="AJ97" s="23">
        <v>0</v>
      </c>
      <c r="AK97" s="65">
        <v>1101</v>
      </c>
      <c r="AL97" s="65">
        <v>11</v>
      </c>
    </row>
    <row r="98" spans="1:38">
      <c r="A98" s="38">
        <v>601</v>
      </c>
      <c r="B98" s="16" t="s">
        <v>280</v>
      </c>
      <c r="C98" s="16" t="s">
        <v>566</v>
      </c>
      <c r="D98" s="38">
        <v>5004</v>
      </c>
      <c r="E98" s="16" t="s">
        <v>578</v>
      </c>
      <c r="F98" s="16"/>
      <c r="G98" s="23">
        <v>38</v>
      </c>
      <c r="H98" s="23">
        <v>8</v>
      </c>
      <c r="I98" s="23">
        <v>7</v>
      </c>
      <c r="J98" s="23">
        <v>74.400000000000006</v>
      </c>
      <c r="K98" s="23">
        <v>0.9</v>
      </c>
      <c r="L98" s="23">
        <v>1.08</v>
      </c>
      <c r="M98" s="23">
        <v>0.3</v>
      </c>
      <c r="N98" s="23">
        <v>2.75</v>
      </c>
      <c r="O98" s="23">
        <v>0</v>
      </c>
      <c r="P98" s="23"/>
      <c r="Q98" s="23">
        <v>20.6</v>
      </c>
      <c r="R98" s="23">
        <v>95</v>
      </c>
      <c r="S98" s="23">
        <v>94.92</v>
      </c>
      <c r="T98" s="23">
        <v>10</v>
      </c>
      <c r="U98" s="23">
        <v>0.3</v>
      </c>
      <c r="V98" s="23">
        <v>0</v>
      </c>
      <c r="W98" s="23">
        <v>0.3</v>
      </c>
      <c r="X98" s="23"/>
      <c r="Y98" s="23"/>
      <c r="Z98" s="23">
        <v>0.36</v>
      </c>
      <c r="AA98" s="23">
        <v>22</v>
      </c>
      <c r="AB98" s="23">
        <v>4</v>
      </c>
      <c r="AC98" s="23">
        <v>0.05</v>
      </c>
      <c r="AD98" s="23">
        <v>0.05</v>
      </c>
      <c r="AE98" s="23">
        <v>0</v>
      </c>
      <c r="AF98" s="23">
        <v>56</v>
      </c>
      <c r="AG98" s="23">
        <v>5</v>
      </c>
      <c r="AH98" s="23">
        <v>9</v>
      </c>
      <c r="AI98" s="23"/>
      <c r="AJ98" s="23">
        <v>0</v>
      </c>
      <c r="AK98" s="65">
        <v>1002</v>
      </c>
      <c r="AL98" s="65">
        <v>10</v>
      </c>
    </row>
    <row r="99" spans="1:38">
      <c r="A99" s="38">
        <v>602</v>
      </c>
      <c r="B99" s="16" t="s">
        <v>281</v>
      </c>
      <c r="C99" s="16" t="s">
        <v>566</v>
      </c>
      <c r="D99" s="38">
        <v>5023</v>
      </c>
      <c r="E99" s="16" t="s">
        <v>497</v>
      </c>
      <c r="F99" s="16"/>
      <c r="G99" s="23">
        <v>25</v>
      </c>
      <c r="H99" s="23">
        <v>8</v>
      </c>
      <c r="I99" s="23">
        <v>7</v>
      </c>
      <c r="J99" s="23">
        <v>87.6</v>
      </c>
      <c r="K99" s="23">
        <v>0.7</v>
      </c>
      <c r="L99" s="23">
        <v>0.9</v>
      </c>
      <c r="M99" s="23">
        <v>0.2</v>
      </c>
      <c r="N99" s="23">
        <v>3.1</v>
      </c>
      <c r="O99" s="23">
        <v>0</v>
      </c>
      <c r="P99" s="23"/>
      <c r="Q99" s="23">
        <v>7.5</v>
      </c>
      <c r="R99" s="23">
        <v>42</v>
      </c>
      <c r="S99" s="23">
        <v>41.6</v>
      </c>
      <c r="T99" s="23">
        <v>23</v>
      </c>
      <c r="U99" s="23">
        <v>0.2</v>
      </c>
      <c r="V99" s="23">
        <v>0</v>
      </c>
      <c r="W99" s="23">
        <v>0.2</v>
      </c>
      <c r="X99" s="23"/>
      <c r="Y99" s="23"/>
      <c r="Z99" s="23">
        <v>0.05</v>
      </c>
      <c r="AA99" s="23">
        <v>52</v>
      </c>
      <c r="AB99" s="23">
        <v>45</v>
      </c>
      <c r="AC99" s="23">
        <v>0.04</v>
      </c>
      <c r="AD99" s="23">
        <v>0.03</v>
      </c>
      <c r="AE99" s="23">
        <v>0</v>
      </c>
      <c r="AF99" s="23">
        <v>57</v>
      </c>
      <c r="AG99" s="23">
        <v>5</v>
      </c>
      <c r="AH99" s="23">
        <v>9</v>
      </c>
      <c r="AI99" s="23"/>
      <c r="AJ99" s="23">
        <v>0</v>
      </c>
      <c r="AK99" s="65">
        <v>1002</v>
      </c>
      <c r="AL99" s="65">
        <v>10</v>
      </c>
    </row>
    <row r="100" spans="1:38">
      <c r="A100" s="38">
        <v>603</v>
      </c>
      <c r="B100" s="16" t="s">
        <v>282</v>
      </c>
      <c r="C100" s="16" t="s">
        <v>566</v>
      </c>
      <c r="D100" s="38">
        <v>5024</v>
      </c>
      <c r="E100" s="16" t="s">
        <v>579</v>
      </c>
      <c r="F100" s="16"/>
      <c r="G100" s="23">
        <v>24</v>
      </c>
      <c r="H100" s="23">
        <v>8</v>
      </c>
      <c r="I100" s="23">
        <v>7</v>
      </c>
      <c r="J100" s="23">
        <v>89.8</v>
      </c>
      <c r="K100" s="23">
        <v>0.5</v>
      </c>
      <c r="L100" s="23">
        <v>0.6</v>
      </c>
      <c r="M100" s="23">
        <v>0.3</v>
      </c>
      <c r="N100" s="23">
        <v>2.1</v>
      </c>
      <c r="O100" s="23">
        <v>0</v>
      </c>
      <c r="P100" s="23"/>
      <c r="Q100" s="23">
        <v>6.8</v>
      </c>
      <c r="R100" s="23">
        <v>36</v>
      </c>
      <c r="S100" s="23">
        <v>36.5</v>
      </c>
      <c r="T100" s="23">
        <v>21</v>
      </c>
      <c r="U100" s="23">
        <v>0.6</v>
      </c>
      <c r="V100" s="23">
        <v>0</v>
      </c>
      <c r="W100" s="23">
        <v>0.6</v>
      </c>
      <c r="X100" s="23"/>
      <c r="Y100" s="23"/>
      <c r="Z100" s="23">
        <v>0.2</v>
      </c>
      <c r="AA100" s="23">
        <v>37</v>
      </c>
      <c r="AB100" s="23">
        <v>51</v>
      </c>
      <c r="AC100" s="23">
        <v>0.04</v>
      </c>
      <c r="AD100" s="23">
        <v>0.03</v>
      </c>
      <c r="AE100" s="23">
        <v>0</v>
      </c>
      <c r="AF100" s="23">
        <v>1018</v>
      </c>
      <c r="AG100" s="23">
        <v>85</v>
      </c>
      <c r="AH100" s="23">
        <v>170</v>
      </c>
      <c r="AI100" s="23"/>
      <c r="AJ100" s="23">
        <v>0</v>
      </c>
      <c r="AK100" s="65">
        <v>1001</v>
      </c>
      <c r="AL100" s="65">
        <v>10</v>
      </c>
    </row>
    <row r="101" spans="1:38">
      <c r="A101" s="38">
        <v>604</v>
      </c>
      <c r="B101" s="16" t="s">
        <v>283</v>
      </c>
      <c r="C101" s="16" t="s">
        <v>566</v>
      </c>
      <c r="D101" s="38">
        <v>5003</v>
      </c>
      <c r="E101" s="16" t="s">
        <v>580</v>
      </c>
      <c r="F101" s="16"/>
      <c r="G101" s="23">
        <v>29.000000000000004</v>
      </c>
      <c r="H101" s="23">
        <v>7</v>
      </c>
      <c r="I101" s="23">
        <v>7</v>
      </c>
      <c r="J101" s="23">
        <v>74</v>
      </c>
      <c r="K101" s="23">
        <v>1.9</v>
      </c>
      <c r="L101" s="23">
        <v>1.6</v>
      </c>
      <c r="M101" s="23">
        <v>19.600000000000001</v>
      </c>
      <c r="N101" s="23">
        <v>4</v>
      </c>
      <c r="O101" s="23">
        <v>0</v>
      </c>
      <c r="P101" s="23"/>
      <c r="Q101" s="23">
        <v>0</v>
      </c>
      <c r="R101" s="23">
        <v>185</v>
      </c>
      <c r="S101" s="23">
        <v>190.8</v>
      </c>
      <c r="T101" s="23">
        <v>19</v>
      </c>
      <c r="U101" s="23">
        <v>1</v>
      </c>
      <c r="V101" s="23">
        <v>0</v>
      </c>
      <c r="W101" s="23">
        <v>1</v>
      </c>
      <c r="X101" s="23"/>
      <c r="Y101" s="23"/>
      <c r="Z101" s="23">
        <v>0.39</v>
      </c>
      <c r="AA101" s="23">
        <v>67</v>
      </c>
      <c r="AB101" s="23">
        <v>14</v>
      </c>
      <c r="AC101" s="23">
        <v>7.0000000000000007E-2</v>
      </c>
      <c r="AD101" s="23">
        <v>0.15</v>
      </c>
      <c r="AE101" s="23">
        <v>0</v>
      </c>
      <c r="AF101" s="23">
        <v>27</v>
      </c>
      <c r="AG101" s="23">
        <v>2</v>
      </c>
      <c r="AH101" s="23">
        <v>5</v>
      </c>
      <c r="AI101" s="23"/>
      <c r="AJ101" s="23">
        <v>0</v>
      </c>
      <c r="AK101" s="65">
        <v>1002</v>
      </c>
      <c r="AL101" s="65">
        <v>10</v>
      </c>
    </row>
    <row r="102" spans="1:38">
      <c r="A102" s="38">
        <v>605</v>
      </c>
      <c r="B102" s="16" t="s">
        <v>284</v>
      </c>
      <c r="C102" s="16" t="s">
        <v>566</v>
      </c>
      <c r="D102" s="38">
        <v>5019</v>
      </c>
      <c r="E102" s="16" t="s">
        <v>581</v>
      </c>
      <c r="F102" s="16"/>
      <c r="G102" s="23">
        <v>28.000000000000004</v>
      </c>
      <c r="H102" s="23">
        <v>8</v>
      </c>
      <c r="I102" s="23">
        <v>6</v>
      </c>
      <c r="J102" s="23">
        <v>83</v>
      </c>
      <c r="K102" s="23">
        <v>0.5</v>
      </c>
      <c r="L102" s="23">
        <v>0.6</v>
      </c>
      <c r="M102" s="23">
        <v>0.3</v>
      </c>
      <c r="N102" s="23">
        <v>1.6</v>
      </c>
      <c r="O102" s="23">
        <v>0</v>
      </c>
      <c r="P102" s="23"/>
      <c r="Q102" s="23">
        <v>14</v>
      </c>
      <c r="R102" s="23">
        <v>64</v>
      </c>
      <c r="S102" s="23">
        <v>64.3</v>
      </c>
      <c r="T102" s="23">
        <v>14</v>
      </c>
      <c r="U102" s="23">
        <v>0.2</v>
      </c>
      <c r="V102" s="23">
        <v>0</v>
      </c>
      <c r="W102" s="23">
        <v>0.2</v>
      </c>
      <c r="X102" s="23"/>
      <c r="Y102" s="23"/>
      <c r="Z102" s="23">
        <v>0.14000000000000001</v>
      </c>
      <c r="AA102" s="23">
        <v>54</v>
      </c>
      <c r="AB102" s="23">
        <v>35</v>
      </c>
      <c r="AC102" s="23">
        <v>0.03</v>
      </c>
      <c r="AD102" s="23">
        <v>0.04</v>
      </c>
      <c r="AE102" s="23">
        <v>0</v>
      </c>
      <c r="AF102" s="23">
        <v>1105</v>
      </c>
      <c r="AG102" s="23">
        <v>92</v>
      </c>
      <c r="AH102" s="23">
        <v>184</v>
      </c>
      <c r="AI102" s="23"/>
      <c r="AJ102" s="23">
        <v>0</v>
      </c>
      <c r="AK102" s="65">
        <v>1001</v>
      </c>
      <c r="AL102" s="65">
        <v>10</v>
      </c>
    </row>
    <row r="103" spans="1:38">
      <c r="A103" s="38">
        <v>606</v>
      </c>
      <c r="B103" s="16" t="s">
        <v>285</v>
      </c>
      <c r="C103" s="16" t="s">
        <v>566</v>
      </c>
      <c r="D103" s="38">
        <v>5030</v>
      </c>
      <c r="E103" s="16" t="s">
        <v>582</v>
      </c>
      <c r="F103" s="16"/>
      <c r="G103" s="23">
        <v>31.999999999999996</v>
      </c>
      <c r="H103" s="23">
        <v>8</v>
      </c>
      <c r="I103" s="23">
        <v>7</v>
      </c>
      <c r="J103" s="23">
        <v>88.6</v>
      </c>
      <c r="K103" s="23">
        <v>0.3</v>
      </c>
      <c r="L103" s="23">
        <v>0.48</v>
      </c>
      <c r="M103" s="23">
        <v>0.2</v>
      </c>
      <c r="N103" s="23">
        <v>2.2999999999999998</v>
      </c>
      <c r="O103" s="23">
        <v>0</v>
      </c>
      <c r="P103" s="23"/>
      <c r="Q103" s="23">
        <v>8.1</v>
      </c>
      <c r="R103" s="23">
        <v>41</v>
      </c>
      <c r="S103" s="23">
        <v>40.72</v>
      </c>
      <c r="T103" s="23">
        <v>16</v>
      </c>
      <c r="U103" s="23">
        <v>0.4</v>
      </c>
      <c r="V103" s="23">
        <v>0</v>
      </c>
      <c r="W103" s="23">
        <v>0.4</v>
      </c>
      <c r="X103" s="23"/>
      <c r="Y103" s="23"/>
      <c r="Z103" s="23">
        <v>0.37</v>
      </c>
      <c r="AA103" s="23">
        <v>32</v>
      </c>
      <c r="AB103" s="23">
        <v>36.4</v>
      </c>
      <c r="AC103" s="23">
        <v>0.05</v>
      </c>
      <c r="AD103" s="23">
        <v>0.03</v>
      </c>
      <c r="AE103" s="23">
        <v>0</v>
      </c>
      <c r="AF103" s="23">
        <v>31</v>
      </c>
      <c r="AG103" s="23">
        <v>3</v>
      </c>
      <c r="AH103" s="23">
        <v>5</v>
      </c>
      <c r="AI103" s="23"/>
      <c r="AJ103" s="23">
        <v>0</v>
      </c>
      <c r="AK103" s="65">
        <v>1002</v>
      </c>
      <c r="AL103" s="65">
        <v>10</v>
      </c>
    </row>
    <row r="104" spans="1:38">
      <c r="A104" s="38">
        <v>607</v>
      </c>
      <c r="B104" s="16" t="s">
        <v>286</v>
      </c>
      <c r="C104" s="16" t="s">
        <v>566</v>
      </c>
      <c r="D104" s="38">
        <v>5025</v>
      </c>
      <c r="E104" s="16" t="s">
        <v>498</v>
      </c>
      <c r="F104" s="16"/>
      <c r="G104" s="23">
        <v>48</v>
      </c>
      <c r="H104" s="23">
        <v>8</v>
      </c>
      <c r="I104" s="23">
        <v>7</v>
      </c>
      <c r="J104" s="23">
        <v>75.7</v>
      </c>
      <c r="K104" s="23">
        <v>0.8</v>
      </c>
      <c r="L104" s="23">
        <v>2.4</v>
      </c>
      <c r="M104" s="23">
        <v>0.9</v>
      </c>
      <c r="N104" s="23">
        <v>11.7</v>
      </c>
      <c r="O104" s="23">
        <v>0</v>
      </c>
      <c r="P104" s="23"/>
      <c r="Q104" s="23">
        <v>8.6999999999999993</v>
      </c>
      <c r="R104" s="23">
        <v>75</v>
      </c>
      <c r="S104" s="23">
        <v>75.899999999999991</v>
      </c>
      <c r="T104" s="23">
        <v>10</v>
      </c>
      <c r="U104" s="23">
        <v>0.6</v>
      </c>
      <c r="V104" s="23">
        <v>0</v>
      </c>
      <c r="W104" s="23">
        <v>0.6</v>
      </c>
      <c r="X104" s="23"/>
      <c r="Y104" s="23"/>
      <c r="Z104" s="23">
        <v>0.8</v>
      </c>
      <c r="AA104" s="23">
        <v>7</v>
      </c>
      <c r="AB104" s="23">
        <v>29</v>
      </c>
      <c r="AC104" s="23">
        <v>0.03</v>
      </c>
      <c r="AD104" s="23">
        <v>0.14000000000000001</v>
      </c>
      <c r="AE104" s="23">
        <v>0</v>
      </c>
      <c r="AF104" s="23">
        <v>764</v>
      </c>
      <c r="AG104" s="23">
        <v>64</v>
      </c>
      <c r="AH104" s="23">
        <v>127</v>
      </c>
      <c r="AI104" s="23"/>
      <c r="AJ104" s="23">
        <v>0</v>
      </c>
      <c r="AK104" s="65">
        <v>1002</v>
      </c>
      <c r="AL104" s="65">
        <v>10</v>
      </c>
    </row>
    <row r="105" spans="1:38">
      <c r="A105" s="38">
        <v>608</v>
      </c>
      <c r="B105" s="16" t="s">
        <v>287</v>
      </c>
      <c r="C105" s="16" t="s">
        <v>566</v>
      </c>
      <c r="D105" s="38">
        <v>5028</v>
      </c>
      <c r="E105" s="16" t="s">
        <v>583</v>
      </c>
      <c r="F105" s="16"/>
      <c r="G105" s="23">
        <v>15.000000000000002</v>
      </c>
      <c r="H105" s="23">
        <v>8</v>
      </c>
      <c r="I105" s="23">
        <v>7</v>
      </c>
      <c r="J105" s="23">
        <v>86</v>
      </c>
      <c r="K105" s="23">
        <v>0.3</v>
      </c>
      <c r="L105" s="23">
        <v>0.4</v>
      </c>
      <c r="M105" s="23">
        <v>0.2</v>
      </c>
      <c r="N105" s="23">
        <v>4</v>
      </c>
      <c r="O105" s="23">
        <v>0</v>
      </c>
      <c r="P105" s="23"/>
      <c r="Q105" s="23">
        <v>9.1</v>
      </c>
      <c r="R105" s="23">
        <v>48</v>
      </c>
      <c r="S105" s="23">
        <v>47.8</v>
      </c>
      <c r="T105" s="23">
        <v>8</v>
      </c>
      <c r="U105" s="23">
        <v>0.3</v>
      </c>
      <c r="V105" s="23">
        <v>0</v>
      </c>
      <c r="W105" s="23">
        <v>0.3</v>
      </c>
      <c r="X105" s="23"/>
      <c r="Y105" s="23"/>
      <c r="Z105" s="23">
        <v>0.08</v>
      </c>
      <c r="AA105" s="23">
        <v>7</v>
      </c>
      <c r="AB105" s="23">
        <v>4</v>
      </c>
      <c r="AC105" s="23">
        <v>0.03</v>
      </c>
      <c r="AD105" s="23">
        <v>0.03</v>
      </c>
      <c r="AE105" s="23">
        <v>0</v>
      </c>
      <c r="AF105" s="23">
        <v>14</v>
      </c>
      <c r="AG105" s="23">
        <v>1</v>
      </c>
      <c r="AH105" s="23">
        <v>2</v>
      </c>
      <c r="AI105" s="23"/>
      <c r="AJ105" s="23">
        <v>0</v>
      </c>
      <c r="AK105" s="65">
        <v>1002</v>
      </c>
      <c r="AL105" s="65">
        <v>10</v>
      </c>
    </row>
    <row r="106" spans="1:38">
      <c r="A106" s="38">
        <v>609</v>
      </c>
      <c r="B106" s="16" t="s">
        <v>288</v>
      </c>
      <c r="C106" s="16" t="s">
        <v>566</v>
      </c>
      <c r="D106" s="38">
        <v>5027</v>
      </c>
      <c r="E106" s="16" t="s">
        <v>584</v>
      </c>
      <c r="F106" s="16"/>
      <c r="G106" s="23">
        <v>12</v>
      </c>
      <c r="H106" s="23">
        <v>8</v>
      </c>
      <c r="I106" s="23">
        <v>7</v>
      </c>
      <c r="J106" s="23">
        <v>86.7</v>
      </c>
      <c r="K106" s="23">
        <v>0.4</v>
      </c>
      <c r="L106" s="23">
        <v>1</v>
      </c>
      <c r="M106" s="23">
        <v>0.1</v>
      </c>
      <c r="N106" s="23">
        <v>1.9</v>
      </c>
      <c r="O106" s="23">
        <v>0</v>
      </c>
      <c r="P106" s="23"/>
      <c r="Q106" s="23">
        <v>9.9</v>
      </c>
      <c r="R106" s="23">
        <v>48</v>
      </c>
      <c r="S106" s="23">
        <v>48.3</v>
      </c>
      <c r="T106" s="23">
        <v>5</v>
      </c>
      <c r="U106" s="23">
        <v>0.3</v>
      </c>
      <c r="V106" s="23">
        <v>0</v>
      </c>
      <c r="W106" s="23">
        <v>0.3</v>
      </c>
      <c r="X106" s="23"/>
      <c r="Y106" s="23"/>
      <c r="Z106" s="23">
        <v>0.11</v>
      </c>
      <c r="AA106" s="23">
        <v>0</v>
      </c>
      <c r="AB106" s="23">
        <v>8</v>
      </c>
      <c r="AC106" s="23">
        <v>0.01</v>
      </c>
      <c r="AD106" s="23">
        <v>0.03</v>
      </c>
      <c r="AE106" s="23">
        <v>0</v>
      </c>
      <c r="AF106" s="23">
        <v>157</v>
      </c>
      <c r="AG106" s="23">
        <v>13</v>
      </c>
      <c r="AH106" s="23">
        <v>26</v>
      </c>
      <c r="AI106" s="23"/>
      <c r="AJ106" s="23">
        <v>0</v>
      </c>
      <c r="AK106" s="65">
        <v>1002</v>
      </c>
      <c r="AL106" s="65">
        <v>10</v>
      </c>
    </row>
    <row r="107" spans="1:38">
      <c r="A107" s="38">
        <v>610</v>
      </c>
      <c r="B107" s="16" t="s">
        <v>289</v>
      </c>
      <c r="C107" s="16" t="s">
        <v>566</v>
      </c>
      <c r="D107" s="38">
        <v>5031</v>
      </c>
      <c r="E107" s="16" t="s">
        <v>585</v>
      </c>
      <c r="F107" s="16"/>
      <c r="G107" s="23">
        <v>6.9999999999999947</v>
      </c>
      <c r="H107" s="23">
        <v>8</v>
      </c>
      <c r="I107" s="23">
        <v>7</v>
      </c>
      <c r="J107" s="23">
        <v>86.9</v>
      </c>
      <c r="K107" s="23">
        <v>0.4</v>
      </c>
      <c r="L107" s="23">
        <v>0.7</v>
      </c>
      <c r="M107" s="23">
        <v>0.1</v>
      </c>
      <c r="N107" s="23">
        <v>2</v>
      </c>
      <c r="O107" s="23">
        <v>0</v>
      </c>
      <c r="P107" s="23"/>
      <c r="Q107" s="23">
        <v>9.9</v>
      </c>
      <c r="R107" s="23">
        <v>47</v>
      </c>
      <c r="S107" s="23">
        <v>47.3</v>
      </c>
      <c r="T107" s="23">
        <v>10</v>
      </c>
      <c r="U107" s="23">
        <v>0.4</v>
      </c>
      <c r="V107" s="23">
        <v>0</v>
      </c>
      <c r="W107" s="23">
        <v>0.4</v>
      </c>
      <c r="X107" s="23"/>
      <c r="Y107" s="23"/>
      <c r="Z107" s="23">
        <v>0.1</v>
      </c>
      <c r="AA107" s="23">
        <v>1</v>
      </c>
      <c r="AB107" s="23">
        <v>4</v>
      </c>
      <c r="AC107" s="23">
        <v>0.04</v>
      </c>
      <c r="AD107" s="23">
        <v>0.06</v>
      </c>
      <c r="AE107" s="23">
        <v>0</v>
      </c>
      <c r="AF107" s="23">
        <v>74</v>
      </c>
      <c r="AG107" s="23">
        <v>6</v>
      </c>
      <c r="AH107" s="23">
        <v>12</v>
      </c>
      <c r="AI107" s="23"/>
      <c r="AJ107" s="23">
        <v>0</v>
      </c>
      <c r="AK107" s="65">
        <v>1002</v>
      </c>
      <c r="AL107" s="65">
        <v>10</v>
      </c>
    </row>
    <row r="108" spans="1:38">
      <c r="A108" s="38">
        <v>611</v>
      </c>
      <c r="B108" s="16" t="s">
        <v>290</v>
      </c>
      <c r="C108" s="16" t="s">
        <v>553</v>
      </c>
      <c r="D108" s="38"/>
      <c r="E108" s="16"/>
      <c r="F108" s="16"/>
      <c r="G108" s="23">
        <v>9.9999999999999982</v>
      </c>
      <c r="H108" s="23">
        <v>8</v>
      </c>
      <c r="I108" s="23">
        <v>7</v>
      </c>
      <c r="J108" s="23">
        <v>84.8</v>
      </c>
      <c r="K108" s="23">
        <v>0.22500000000000001</v>
      </c>
      <c r="L108" s="23">
        <v>0.3</v>
      </c>
      <c r="M108" s="23">
        <v>0.05</v>
      </c>
      <c r="N108" s="23">
        <v>2.3499999999999996</v>
      </c>
      <c r="O108" s="23">
        <v>0</v>
      </c>
      <c r="P108" s="23"/>
      <c r="Q108" s="23">
        <v>12.275000000000002</v>
      </c>
      <c r="R108" s="23">
        <v>56</v>
      </c>
      <c r="S108" s="23">
        <v>55.45000000000001</v>
      </c>
      <c r="T108" s="23">
        <v>6</v>
      </c>
      <c r="U108" s="23">
        <v>0.35</v>
      </c>
      <c r="V108" s="23">
        <v>0</v>
      </c>
      <c r="W108" s="23">
        <v>0.35</v>
      </c>
      <c r="X108" s="23"/>
      <c r="Y108" s="23"/>
      <c r="Z108" s="23">
        <v>7.0000000000000007E-2</v>
      </c>
      <c r="AA108" s="23">
        <v>2.5</v>
      </c>
      <c r="AB108" s="23">
        <v>4</v>
      </c>
      <c r="AC108" s="23">
        <v>2.2499999999999999E-2</v>
      </c>
      <c r="AD108" s="23">
        <v>0.01</v>
      </c>
      <c r="AE108" s="23">
        <v>0</v>
      </c>
      <c r="AF108" s="23">
        <v>12.5</v>
      </c>
      <c r="AG108" s="23">
        <v>1.0416666666666667</v>
      </c>
      <c r="AH108" s="23">
        <v>2.0833333333333335</v>
      </c>
      <c r="AI108" s="23"/>
      <c r="AJ108" s="23">
        <v>0</v>
      </c>
      <c r="AK108" s="65">
        <v>1002</v>
      </c>
      <c r="AL108" s="65">
        <v>10</v>
      </c>
    </row>
    <row r="109" spans="1:38">
      <c r="A109" s="38">
        <v>612</v>
      </c>
      <c r="B109" s="16" t="s">
        <v>291</v>
      </c>
      <c r="C109" s="16" t="s">
        <v>566</v>
      </c>
      <c r="D109" s="38">
        <v>5015</v>
      </c>
      <c r="E109" s="16" t="s">
        <v>503</v>
      </c>
      <c r="F109" s="16"/>
      <c r="G109" s="23">
        <v>34</v>
      </c>
      <c r="H109" s="23">
        <v>8</v>
      </c>
      <c r="I109" s="23">
        <v>7</v>
      </c>
      <c r="J109" s="23">
        <v>89.5</v>
      </c>
      <c r="K109" s="23">
        <v>0.3</v>
      </c>
      <c r="L109" s="23">
        <v>0.82</v>
      </c>
      <c r="M109" s="23">
        <v>0.2</v>
      </c>
      <c r="N109" s="23">
        <v>2.5</v>
      </c>
      <c r="O109" s="23">
        <v>0</v>
      </c>
      <c r="P109" s="23"/>
      <c r="Q109" s="23">
        <v>6.7</v>
      </c>
      <c r="R109" s="23">
        <v>37</v>
      </c>
      <c r="S109" s="23">
        <v>36.880000000000003</v>
      </c>
      <c r="T109" s="23">
        <v>33</v>
      </c>
      <c r="U109" s="23">
        <v>0.3</v>
      </c>
      <c r="V109" s="23">
        <v>0</v>
      </c>
      <c r="W109" s="23">
        <v>0.3</v>
      </c>
      <c r="X109" s="23"/>
      <c r="Y109" s="23"/>
      <c r="Z109" s="23">
        <v>0.1</v>
      </c>
      <c r="AA109" s="23">
        <v>11</v>
      </c>
      <c r="AB109" s="23">
        <v>44</v>
      </c>
      <c r="AC109" s="23">
        <v>0.03</v>
      </c>
      <c r="AD109" s="23">
        <v>0.02</v>
      </c>
      <c r="AE109" s="23">
        <v>0</v>
      </c>
      <c r="AF109" s="23">
        <v>10</v>
      </c>
      <c r="AG109" s="23">
        <v>1</v>
      </c>
      <c r="AH109" s="23">
        <v>2</v>
      </c>
      <c r="AI109" s="23"/>
      <c r="AJ109" s="23">
        <v>0</v>
      </c>
      <c r="AK109" s="65">
        <v>1002</v>
      </c>
      <c r="AL109" s="65">
        <v>10</v>
      </c>
    </row>
    <row r="110" spans="1:38">
      <c r="A110" s="38">
        <v>613</v>
      </c>
      <c r="B110" s="16" t="s">
        <v>292</v>
      </c>
      <c r="C110" s="16" t="s">
        <v>561</v>
      </c>
      <c r="D110" s="38">
        <v>135</v>
      </c>
      <c r="E110" s="16" t="s">
        <v>645</v>
      </c>
      <c r="F110" s="16"/>
      <c r="G110" s="23">
        <v>50</v>
      </c>
      <c r="H110" s="23">
        <v>8</v>
      </c>
      <c r="I110" s="23">
        <v>7</v>
      </c>
      <c r="J110" s="23"/>
      <c r="K110" s="23"/>
      <c r="L110" s="23">
        <v>0.7</v>
      </c>
      <c r="M110" s="23">
        <v>0.1</v>
      </c>
      <c r="N110" s="23">
        <v>1.1000000000000001</v>
      </c>
      <c r="O110" s="23">
        <v>0</v>
      </c>
      <c r="P110" s="23">
        <v>8.4</v>
      </c>
      <c r="Q110" s="23">
        <v>7.3000000000000007</v>
      </c>
      <c r="R110" s="23">
        <v>33</v>
      </c>
      <c r="S110" s="23">
        <v>35.1</v>
      </c>
      <c r="T110" s="23">
        <v>12</v>
      </c>
      <c r="U110" s="23">
        <v>0.06</v>
      </c>
      <c r="V110" s="23">
        <v>0</v>
      </c>
      <c r="W110" s="23">
        <v>0.06</v>
      </c>
      <c r="X110" s="23"/>
      <c r="Y110" s="23"/>
      <c r="Z110" s="23">
        <v>7.0000000000000007E-2</v>
      </c>
      <c r="AA110" s="23">
        <v>10</v>
      </c>
      <c r="AB110" s="23">
        <v>33.299999999999997</v>
      </c>
      <c r="AC110" s="23">
        <v>0</v>
      </c>
      <c r="AD110" s="23">
        <v>0</v>
      </c>
      <c r="AE110" s="23">
        <v>0</v>
      </c>
      <c r="AF110" s="23">
        <v>24</v>
      </c>
      <c r="AG110" s="23">
        <v>2</v>
      </c>
      <c r="AH110" s="23">
        <v>4</v>
      </c>
      <c r="AI110" s="23"/>
      <c r="AJ110" s="23">
        <v>0</v>
      </c>
      <c r="AK110" s="65">
        <v>1002</v>
      </c>
      <c r="AL110" s="65">
        <v>10</v>
      </c>
    </row>
    <row r="111" spans="1:38">
      <c r="A111" s="38">
        <v>614</v>
      </c>
      <c r="B111" s="16" t="s">
        <v>293</v>
      </c>
      <c r="C111" s="16" t="s">
        <v>566</v>
      </c>
      <c r="D111" s="38">
        <v>5010</v>
      </c>
      <c r="E111" s="16" t="s">
        <v>586</v>
      </c>
      <c r="F111" s="16"/>
      <c r="G111" s="23">
        <v>5.0000000000000044</v>
      </c>
      <c r="H111" s="23">
        <v>8</v>
      </c>
      <c r="I111" s="23">
        <v>7</v>
      </c>
      <c r="J111" s="23">
        <v>80.7</v>
      </c>
      <c r="K111" s="23">
        <v>0.6</v>
      </c>
      <c r="L111" s="23">
        <v>0.6</v>
      </c>
      <c r="M111" s="23">
        <v>0.1</v>
      </c>
      <c r="N111" s="23">
        <v>2</v>
      </c>
      <c r="O111" s="23">
        <v>0</v>
      </c>
      <c r="P111" s="23"/>
      <c r="Q111" s="23">
        <v>16</v>
      </c>
      <c r="R111" s="23">
        <v>71</v>
      </c>
      <c r="S111" s="23">
        <v>71.3</v>
      </c>
      <c r="T111" s="23">
        <v>14</v>
      </c>
      <c r="U111" s="23">
        <v>0.3</v>
      </c>
      <c r="V111" s="23">
        <v>0</v>
      </c>
      <c r="W111" s="23">
        <v>0.3</v>
      </c>
      <c r="X111" s="23"/>
      <c r="Y111" s="23"/>
      <c r="Z111" s="23">
        <v>0.1</v>
      </c>
      <c r="AA111" s="23">
        <v>4</v>
      </c>
      <c r="AB111" s="23">
        <v>14</v>
      </c>
      <c r="AC111" s="23">
        <v>0.03</v>
      </c>
      <c r="AD111" s="23">
        <v>0.03</v>
      </c>
      <c r="AE111" s="23">
        <v>0</v>
      </c>
      <c r="AF111" s="23">
        <v>29</v>
      </c>
      <c r="AG111" s="23">
        <v>2</v>
      </c>
      <c r="AH111" s="23">
        <v>5</v>
      </c>
      <c r="AI111" s="23"/>
      <c r="AJ111" s="23">
        <v>0</v>
      </c>
      <c r="AK111" s="65">
        <v>1002</v>
      </c>
      <c r="AL111" s="65">
        <v>10</v>
      </c>
    </row>
    <row r="112" spans="1:38">
      <c r="A112" s="38">
        <v>615</v>
      </c>
      <c r="B112" s="16" t="s">
        <v>294</v>
      </c>
      <c r="C112" s="16" t="s">
        <v>566</v>
      </c>
      <c r="D112" s="38">
        <v>5034</v>
      </c>
      <c r="E112" s="16" t="s">
        <v>587</v>
      </c>
      <c r="F112" s="16"/>
      <c r="G112" s="23">
        <v>4.0000000000000036</v>
      </c>
      <c r="H112" s="23">
        <v>8</v>
      </c>
      <c r="I112" s="23">
        <v>7</v>
      </c>
      <c r="J112" s="23">
        <v>90</v>
      </c>
      <c r="K112" s="23">
        <v>0.4</v>
      </c>
      <c r="L112" s="23">
        <v>0.7</v>
      </c>
      <c r="M112" s="23">
        <v>0.2</v>
      </c>
      <c r="N112" s="23">
        <v>2.5</v>
      </c>
      <c r="O112" s="23">
        <v>0</v>
      </c>
      <c r="P112" s="23"/>
      <c r="Q112" s="23">
        <v>6.3</v>
      </c>
      <c r="R112" s="23">
        <v>35</v>
      </c>
      <c r="S112" s="23">
        <v>34.799999999999997</v>
      </c>
      <c r="T112" s="23">
        <v>19</v>
      </c>
      <c r="U112" s="23">
        <v>0.6</v>
      </c>
      <c r="V112" s="23">
        <v>0</v>
      </c>
      <c r="W112" s="23">
        <v>0.6</v>
      </c>
      <c r="X112" s="23"/>
      <c r="Y112" s="23"/>
      <c r="Z112" s="23">
        <v>0.18</v>
      </c>
      <c r="AA112" s="23">
        <v>39</v>
      </c>
      <c r="AB112" s="23">
        <v>49</v>
      </c>
      <c r="AC112" s="23">
        <v>0.03</v>
      </c>
      <c r="AD112" s="23">
        <v>0.02</v>
      </c>
      <c r="AE112" s="23">
        <v>0</v>
      </c>
      <c r="AF112" s="23">
        <v>1</v>
      </c>
      <c r="AG112" s="23">
        <v>0</v>
      </c>
      <c r="AH112" s="23">
        <v>0</v>
      </c>
      <c r="AI112" s="23"/>
      <c r="AJ112" s="23">
        <v>0</v>
      </c>
      <c r="AK112" s="65">
        <v>1002</v>
      </c>
      <c r="AL112" s="65">
        <v>10</v>
      </c>
    </row>
    <row r="113" spans="1:38">
      <c r="A113" s="38">
        <v>616</v>
      </c>
      <c r="B113" s="16" t="s">
        <v>295</v>
      </c>
      <c r="C113" s="16" t="s">
        <v>553</v>
      </c>
      <c r="D113" s="38"/>
      <c r="E113" s="16"/>
      <c r="F113" s="16"/>
      <c r="G113" s="23">
        <v>0</v>
      </c>
      <c r="H113" s="23">
        <v>8</v>
      </c>
      <c r="I113" s="23">
        <v>6</v>
      </c>
      <c r="J113" s="23">
        <v>49.054000000000002</v>
      </c>
      <c r="K113" s="23">
        <v>0.26250000000000001</v>
      </c>
      <c r="L113" s="23">
        <v>0.31850000000000001</v>
      </c>
      <c r="M113" s="23">
        <v>0.10700000000000001</v>
      </c>
      <c r="N113" s="23">
        <v>0.3135</v>
      </c>
      <c r="O113" s="23">
        <v>0</v>
      </c>
      <c r="P113" s="23"/>
      <c r="Q113" s="23">
        <v>3.4444999999999975</v>
      </c>
      <c r="R113" s="23">
        <v>16.534999999999997</v>
      </c>
      <c r="S113" s="23">
        <v>16.641999999999989</v>
      </c>
      <c r="T113" s="23">
        <v>5.2750000000000004</v>
      </c>
      <c r="U113" s="23">
        <v>0.13500000000000001</v>
      </c>
      <c r="V113" s="23">
        <v>0</v>
      </c>
      <c r="W113" s="23">
        <v>0.13500000000000001</v>
      </c>
      <c r="X113" s="23"/>
      <c r="Y113" s="23"/>
      <c r="Z113" s="23">
        <v>7.3899999999999993E-2</v>
      </c>
      <c r="AA113" s="23">
        <v>5.2</v>
      </c>
      <c r="AB113" s="23">
        <v>9.7170000000000005</v>
      </c>
      <c r="AC113" s="23">
        <v>1.8599999999999998E-2</v>
      </c>
      <c r="AD113" s="23">
        <v>1.6300000000000002E-2</v>
      </c>
      <c r="AE113" s="23">
        <v>0</v>
      </c>
      <c r="AF113" s="23">
        <v>625.34</v>
      </c>
      <c r="AG113" s="23">
        <v>52.111666666666672</v>
      </c>
      <c r="AH113" s="23">
        <v>104.22333333333334</v>
      </c>
      <c r="AI113" s="23"/>
      <c r="AJ113" s="23">
        <v>0</v>
      </c>
      <c r="AK113" s="65">
        <v>1001</v>
      </c>
      <c r="AL113" s="65">
        <v>10</v>
      </c>
    </row>
    <row r="114" spans="1:38">
      <c r="A114" s="38">
        <v>617</v>
      </c>
      <c r="B114" s="16" t="s">
        <v>296</v>
      </c>
      <c r="C114" s="16" t="s">
        <v>553</v>
      </c>
      <c r="D114" s="38"/>
      <c r="E114" s="16"/>
      <c r="F114" s="16"/>
      <c r="G114" s="23">
        <v>26</v>
      </c>
      <c r="H114" s="23">
        <v>6</v>
      </c>
      <c r="I114" s="23">
        <v>7</v>
      </c>
      <c r="J114" s="23">
        <v>52.55</v>
      </c>
      <c r="K114" s="23">
        <v>0.95</v>
      </c>
      <c r="L114" s="23">
        <v>3.2</v>
      </c>
      <c r="M114" s="23">
        <v>24.9</v>
      </c>
      <c r="N114" s="23">
        <v>5.55</v>
      </c>
      <c r="O114" s="23">
        <v>0</v>
      </c>
      <c r="P114" s="23"/>
      <c r="Q114" s="23">
        <v>12.849999999999998</v>
      </c>
      <c r="R114" s="23">
        <v>299.5</v>
      </c>
      <c r="S114" s="23">
        <v>299.39999999999998</v>
      </c>
      <c r="T114" s="23">
        <v>26.35</v>
      </c>
      <c r="U114" s="23">
        <v>1.75</v>
      </c>
      <c r="V114" s="23">
        <v>0</v>
      </c>
      <c r="W114" s="23">
        <v>1.75</v>
      </c>
      <c r="X114" s="23"/>
      <c r="Y114" s="23"/>
      <c r="Z114" s="23">
        <v>0.57499999999999996</v>
      </c>
      <c r="AA114" s="23">
        <v>17</v>
      </c>
      <c r="AB114" s="23">
        <v>4.2</v>
      </c>
      <c r="AC114" s="23">
        <v>5.5E-2</v>
      </c>
      <c r="AD114" s="23">
        <v>0.33999999999999997</v>
      </c>
      <c r="AE114" s="23">
        <v>0</v>
      </c>
      <c r="AF114" s="23">
        <v>0</v>
      </c>
      <c r="AG114" s="23">
        <v>0</v>
      </c>
      <c r="AH114" s="23">
        <v>0</v>
      </c>
      <c r="AI114" s="23"/>
      <c r="AJ114" s="23">
        <v>0</v>
      </c>
      <c r="AK114" s="65">
        <v>303</v>
      </c>
      <c r="AL114" s="65">
        <v>3</v>
      </c>
    </row>
    <row r="115" spans="1:38">
      <c r="A115" s="38">
        <v>618</v>
      </c>
      <c r="B115" s="16" t="s">
        <v>297</v>
      </c>
      <c r="C115" s="16" t="s">
        <v>566</v>
      </c>
      <c r="D115" s="38">
        <v>5011</v>
      </c>
      <c r="E115" s="16" t="s">
        <v>588</v>
      </c>
      <c r="F115" s="16"/>
      <c r="G115" s="23">
        <v>0</v>
      </c>
      <c r="H115" s="23">
        <v>8</v>
      </c>
      <c r="I115" s="23">
        <v>7</v>
      </c>
      <c r="J115" s="23">
        <v>80.7</v>
      </c>
      <c r="K115" s="23">
        <v>0.8</v>
      </c>
      <c r="L115" s="23">
        <v>1.1000000000000001</v>
      </c>
      <c r="M115" s="23">
        <v>1.1000000000000001</v>
      </c>
      <c r="N115" s="23">
        <v>15.5</v>
      </c>
      <c r="O115" s="23">
        <v>0</v>
      </c>
      <c r="P115" s="23"/>
      <c r="Q115" s="23">
        <v>0.9</v>
      </c>
      <c r="R115" s="23">
        <v>48</v>
      </c>
      <c r="S115" s="23">
        <v>48.9</v>
      </c>
      <c r="T115" s="23">
        <v>20</v>
      </c>
      <c r="U115" s="23">
        <v>0.4</v>
      </c>
      <c r="V115" s="23">
        <v>0</v>
      </c>
      <c r="W115" s="23">
        <v>0.4</v>
      </c>
      <c r="X115" s="23"/>
      <c r="Y115" s="23"/>
      <c r="Z115" s="23">
        <v>0.26</v>
      </c>
      <c r="AA115" s="23">
        <v>16</v>
      </c>
      <c r="AB115" s="23">
        <v>222</v>
      </c>
      <c r="AC115" s="23">
        <v>0.06</v>
      </c>
      <c r="AD115" s="23">
        <v>0.05</v>
      </c>
      <c r="AE115" s="23">
        <v>0</v>
      </c>
      <c r="AF115" s="23">
        <v>267</v>
      </c>
      <c r="AG115" s="23">
        <v>22</v>
      </c>
      <c r="AH115" s="23">
        <v>45</v>
      </c>
      <c r="AI115" s="23"/>
      <c r="AJ115" s="23">
        <v>0</v>
      </c>
      <c r="AK115" s="65">
        <v>1002</v>
      </c>
      <c r="AL115" s="65">
        <v>10</v>
      </c>
    </row>
    <row r="116" spans="1:38">
      <c r="A116" s="38">
        <v>619</v>
      </c>
      <c r="B116" s="16" t="s">
        <v>298</v>
      </c>
      <c r="C116" s="16" t="s">
        <v>566</v>
      </c>
      <c r="D116" s="38">
        <v>5017</v>
      </c>
      <c r="E116" s="16" t="s">
        <v>507</v>
      </c>
      <c r="F116" s="16"/>
      <c r="G116" s="23">
        <v>30.000000000000004</v>
      </c>
      <c r="H116" s="23">
        <v>8</v>
      </c>
      <c r="I116" s="23">
        <v>7</v>
      </c>
      <c r="J116" s="23">
        <v>87.1</v>
      </c>
      <c r="K116" s="23">
        <v>0.6</v>
      </c>
      <c r="L116" s="23">
        <v>0.7</v>
      </c>
      <c r="M116" s="23">
        <v>0.2</v>
      </c>
      <c r="N116" s="23">
        <v>4.0999999999999996</v>
      </c>
      <c r="O116" s="23">
        <v>0</v>
      </c>
      <c r="P116" s="23"/>
      <c r="Q116" s="23">
        <v>7.4</v>
      </c>
      <c r="R116" s="23">
        <v>42</v>
      </c>
      <c r="S116" s="23">
        <v>42.4</v>
      </c>
      <c r="T116" s="23">
        <v>22</v>
      </c>
      <c r="U116" s="23">
        <v>0</v>
      </c>
      <c r="V116" s="23">
        <v>0</v>
      </c>
      <c r="W116" s="23">
        <v>0</v>
      </c>
      <c r="X116" s="23"/>
      <c r="Y116" s="23"/>
      <c r="Z116" s="23">
        <v>0.1</v>
      </c>
      <c r="AA116" s="23">
        <v>8</v>
      </c>
      <c r="AB116" s="23">
        <v>55</v>
      </c>
      <c r="AC116" s="23">
        <v>0.02</v>
      </c>
      <c r="AD116" s="23">
        <v>0.03</v>
      </c>
      <c r="AE116" s="23">
        <v>0</v>
      </c>
      <c r="AF116" s="23">
        <v>31</v>
      </c>
      <c r="AG116" s="23">
        <v>3</v>
      </c>
      <c r="AH116" s="23">
        <v>5</v>
      </c>
      <c r="AI116" s="23"/>
      <c r="AJ116" s="23">
        <v>0</v>
      </c>
      <c r="AK116" s="65">
        <v>1002</v>
      </c>
      <c r="AL116" s="65">
        <v>10</v>
      </c>
    </row>
    <row r="117" spans="1:38">
      <c r="A117" s="38">
        <v>620</v>
      </c>
      <c r="B117" s="16" t="s">
        <v>299</v>
      </c>
      <c r="C117" s="16" t="s">
        <v>566</v>
      </c>
      <c r="D117" s="38">
        <v>5018</v>
      </c>
      <c r="E117" s="16" t="s">
        <v>589</v>
      </c>
      <c r="F117" s="16"/>
      <c r="G117" s="23">
        <v>25</v>
      </c>
      <c r="H117" s="23">
        <v>8</v>
      </c>
      <c r="I117" s="23">
        <v>7</v>
      </c>
      <c r="J117" s="23">
        <v>84.6</v>
      </c>
      <c r="K117" s="23">
        <v>0.7</v>
      </c>
      <c r="L117" s="23">
        <v>0.62</v>
      </c>
      <c r="M117" s="23">
        <v>0.2</v>
      </c>
      <c r="N117" s="23">
        <v>4.51</v>
      </c>
      <c r="O117" s="23">
        <v>0</v>
      </c>
      <c r="P117" s="23"/>
      <c r="Q117" s="23">
        <v>9.5</v>
      </c>
      <c r="R117" s="23">
        <v>51</v>
      </c>
      <c r="S117" s="23">
        <v>51.3</v>
      </c>
      <c r="T117" s="23">
        <v>13</v>
      </c>
      <c r="U117" s="23">
        <v>0.5</v>
      </c>
      <c r="V117" s="23">
        <v>0</v>
      </c>
      <c r="W117" s="23">
        <v>0.5</v>
      </c>
      <c r="X117" s="23"/>
      <c r="Y117" s="23"/>
      <c r="Z117" s="23">
        <v>0.22</v>
      </c>
      <c r="AA117" s="23">
        <v>14</v>
      </c>
      <c r="AB117" s="23">
        <v>4.0999999999999996</v>
      </c>
      <c r="AC117" s="23">
        <v>0.02</v>
      </c>
      <c r="AD117" s="23">
        <v>0.04</v>
      </c>
      <c r="AE117" s="23">
        <v>0</v>
      </c>
      <c r="AF117" s="23">
        <v>537</v>
      </c>
      <c r="AG117" s="23">
        <v>45</v>
      </c>
      <c r="AH117" s="23">
        <v>89</v>
      </c>
      <c r="AI117" s="23"/>
      <c r="AJ117" s="23">
        <v>0</v>
      </c>
      <c r="AK117" s="65">
        <v>1002</v>
      </c>
      <c r="AL117" s="65">
        <v>10</v>
      </c>
    </row>
    <row r="118" spans="1:38">
      <c r="A118" s="38">
        <v>621</v>
      </c>
      <c r="B118" s="16" t="s">
        <v>300</v>
      </c>
      <c r="C118" s="16" t="s">
        <v>566</v>
      </c>
      <c r="D118" s="38">
        <v>5036</v>
      </c>
      <c r="E118" s="16" t="s">
        <v>509</v>
      </c>
      <c r="F118" s="16"/>
      <c r="G118" s="23">
        <v>25</v>
      </c>
      <c r="H118" s="23">
        <v>8</v>
      </c>
      <c r="I118" s="23">
        <v>7</v>
      </c>
      <c r="J118" s="23">
        <v>86.2</v>
      </c>
      <c r="K118" s="23">
        <v>0.4</v>
      </c>
      <c r="L118" s="23">
        <v>0.87</v>
      </c>
      <c r="M118" s="23">
        <v>0.2</v>
      </c>
      <c r="N118" s="23">
        <v>1.5</v>
      </c>
      <c r="O118" s="23">
        <v>0</v>
      </c>
      <c r="P118" s="23"/>
      <c r="Q118" s="23">
        <v>10.8</v>
      </c>
      <c r="R118" s="23">
        <v>52</v>
      </c>
      <c r="S118" s="23">
        <v>51.480000000000004</v>
      </c>
      <c r="T118" s="23">
        <v>26</v>
      </c>
      <c r="U118" s="23">
        <v>0</v>
      </c>
      <c r="V118" s="23">
        <v>0</v>
      </c>
      <c r="W118" s="23">
        <v>0</v>
      </c>
      <c r="X118" s="23"/>
      <c r="Y118" s="23"/>
      <c r="Z118" s="23">
        <v>0.1</v>
      </c>
      <c r="AA118" s="23">
        <v>24</v>
      </c>
      <c r="AB118" s="23">
        <v>36</v>
      </c>
      <c r="AC118" s="23">
        <v>0.08</v>
      </c>
      <c r="AD118" s="23">
        <v>0.05</v>
      </c>
      <c r="AE118" s="23">
        <v>0</v>
      </c>
      <c r="AF118" s="23">
        <v>10</v>
      </c>
      <c r="AG118" s="23">
        <v>1</v>
      </c>
      <c r="AH118" s="23">
        <v>2</v>
      </c>
      <c r="AI118" s="23"/>
      <c r="AJ118" s="23">
        <v>0</v>
      </c>
      <c r="AK118" s="65">
        <v>1002</v>
      </c>
      <c r="AL118" s="65">
        <v>10</v>
      </c>
    </row>
    <row r="119" spans="1:38">
      <c r="A119" s="38">
        <v>622</v>
      </c>
      <c r="B119" s="16" t="s">
        <v>301</v>
      </c>
      <c r="C119" s="16" t="s">
        <v>566</v>
      </c>
      <c r="D119" s="38">
        <v>5037</v>
      </c>
      <c r="E119" s="16" t="s">
        <v>590</v>
      </c>
      <c r="F119" s="16"/>
      <c r="G119" s="23">
        <v>60</v>
      </c>
      <c r="H119" s="23">
        <v>8</v>
      </c>
      <c r="I119" s="23">
        <v>7</v>
      </c>
      <c r="J119" s="23">
        <v>85.6</v>
      </c>
      <c r="K119" s="23">
        <v>0.9</v>
      </c>
      <c r="L119" s="23">
        <v>2.1</v>
      </c>
      <c r="M119" s="23">
        <v>0.3</v>
      </c>
      <c r="N119" s="23">
        <v>6.5</v>
      </c>
      <c r="O119" s="23">
        <v>0</v>
      </c>
      <c r="P119" s="23"/>
      <c r="Q119" s="23">
        <v>4.5999999999999996</v>
      </c>
      <c r="R119" s="23">
        <v>43</v>
      </c>
      <c r="S119" s="23">
        <v>42.5</v>
      </c>
      <c r="T119" s="23">
        <v>56</v>
      </c>
      <c r="U119" s="23">
        <v>1</v>
      </c>
      <c r="V119" s="23">
        <v>0</v>
      </c>
      <c r="W119" s="23">
        <v>1</v>
      </c>
      <c r="X119" s="23"/>
      <c r="Y119" s="23"/>
      <c r="Z119" s="23">
        <v>0.4</v>
      </c>
      <c r="AA119" s="23">
        <v>63</v>
      </c>
      <c r="AB119" s="23">
        <v>12.6</v>
      </c>
      <c r="AC119" s="23">
        <v>0.13</v>
      </c>
      <c r="AD119" s="23">
        <v>0.1</v>
      </c>
      <c r="AE119" s="23">
        <v>0</v>
      </c>
      <c r="AF119" s="23">
        <v>546</v>
      </c>
      <c r="AG119" s="23">
        <v>45</v>
      </c>
      <c r="AH119" s="23">
        <v>91</v>
      </c>
      <c r="AI119" s="23"/>
      <c r="AJ119" s="23">
        <v>0</v>
      </c>
      <c r="AK119" s="65">
        <v>1002</v>
      </c>
      <c r="AL119" s="65">
        <v>10</v>
      </c>
    </row>
    <row r="120" spans="1:38">
      <c r="A120" s="38">
        <v>623</v>
      </c>
      <c r="B120" s="16" t="s">
        <v>302</v>
      </c>
      <c r="C120" s="16" t="s">
        <v>553</v>
      </c>
      <c r="D120" s="38"/>
      <c r="E120" s="16"/>
      <c r="F120" s="16"/>
      <c r="G120" s="23">
        <v>0</v>
      </c>
      <c r="H120" s="23">
        <v>8</v>
      </c>
      <c r="I120" s="23">
        <v>7</v>
      </c>
      <c r="J120" s="23">
        <v>56.488333333333337</v>
      </c>
      <c r="K120" s="23">
        <v>0.6153333333333334</v>
      </c>
      <c r="L120" s="23">
        <v>1.1363333333333332</v>
      </c>
      <c r="M120" s="23">
        <v>0.19133333333333336</v>
      </c>
      <c r="N120" s="23">
        <v>2.8816666666666664</v>
      </c>
      <c r="O120" s="23">
        <v>0</v>
      </c>
      <c r="P120" s="23"/>
      <c r="Q120" s="23">
        <v>11.520333333333326</v>
      </c>
      <c r="R120" s="23">
        <v>58.273333333333333</v>
      </c>
      <c r="S120" s="23">
        <v>58.111999999999966</v>
      </c>
      <c r="T120" s="23">
        <v>24.290000000000003</v>
      </c>
      <c r="U120" s="23">
        <v>0.49833333333333335</v>
      </c>
      <c r="V120" s="23">
        <v>0</v>
      </c>
      <c r="W120" s="23">
        <v>0.49833333333333335</v>
      </c>
      <c r="X120" s="23"/>
      <c r="Y120" s="23"/>
      <c r="Z120" s="23">
        <v>0.18213333333333334</v>
      </c>
      <c r="AA120" s="23">
        <v>23.473333333333333</v>
      </c>
      <c r="AB120" s="23">
        <v>14.301666666666668</v>
      </c>
      <c r="AC120" s="23">
        <v>3.6999999999999998E-2</v>
      </c>
      <c r="AD120" s="23">
        <v>5.2866666666666673E-2</v>
      </c>
      <c r="AE120" s="23">
        <v>0</v>
      </c>
      <c r="AF120" s="23">
        <v>18.001666666666665</v>
      </c>
      <c r="AG120" s="23">
        <v>1.5001388888888887</v>
      </c>
      <c r="AH120" s="23">
        <v>3.0002777777777774</v>
      </c>
      <c r="AI120" s="23"/>
      <c r="AJ120" s="23">
        <v>0</v>
      </c>
      <c r="AK120" s="65">
        <v>1002</v>
      </c>
      <c r="AL120" s="65">
        <v>10</v>
      </c>
    </row>
    <row r="121" spans="1:38">
      <c r="A121" s="38">
        <v>701</v>
      </c>
      <c r="B121" s="16" t="s">
        <v>303</v>
      </c>
      <c r="C121" s="16" t="s">
        <v>566</v>
      </c>
      <c r="D121" s="38">
        <v>4021</v>
      </c>
      <c r="E121" s="16" t="s">
        <v>516</v>
      </c>
      <c r="F121" s="16"/>
      <c r="G121" s="23">
        <v>35</v>
      </c>
      <c r="H121" s="23">
        <v>7</v>
      </c>
      <c r="I121" s="23">
        <v>5</v>
      </c>
      <c r="J121" s="23">
        <v>84.5</v>
      </c>
      <c r="K121" s="23">
        <v>0.8</v>
      </c>
      <c r="L121" s="23">
        <v>1.7</v>
      </c>
      <c r="M121" s="23">
        <v>0.4</v>
      </c>
      <c r="N121" s="23">
        <v>3.1</v>
      </c>
      <c r="O121" s="23">
        <v>0</v>
      </c>
      <c r="P121" s="23"/>
      <c r="Q121" s="23">
        <v>9.5</v>
      </c>
      <c r="R121" s="23">
        <v>54</v>
      </c>
      <c r="S121" s="23">
        <v>54.6</v>
      </c>
      <c r="T121" s="23">
        <v>78</v>
      </c>
      <c r="U121" s="23">
        <v>1.8</v>
      </c>
      <c r="V121" s="23">
        <v>0</v>
      </c>
      <c r="W121" s="23">
        <v>1.8</v>
      </c>
      <c r="X121" s="23"/>
      <c r="Y121" s="23"/>
      <c r="Z121" s="23">
        <v>0.3</v>
      </c>
      <c r="AA121" s="23">
        <v>64</v>
      </c>
      <c r="AB121" s="23">
        <v>21</v>
      </c>
      <c r="AC121" s="23">
        <v>0.14000000000000001</v>
      </c>
      <c r="AD121" s="23">
        <v>0</v>
      </c>
      <c r="AE121" s="23">
        <v>0</v>
      </c>
      <c r="AF121" s="23">
        <v>242</v>
      </c>
      <c r="AG121" s="23">
        <v>20</v>
      </c>
      <c r="AH121" s="23">
        <v>40</v>
      </c>
      <c r="AI121" s="23"/>
      <c r="AJ121" s="23">
        <v>0</v>
      </c>
      <c r="AK121" s="65">
        <v>903</v>
      </c>
      <c r="AL121" s="65">
        <v>9</v>
      </c>
    </row>
    <row r="122" spans="1:38">
      <c r="A122" s="38">
        <v>702</v>
      </c>
      <c r="B122" s="16" t="s">
        <v>304</v>
      </c>
      <c r="C122" s="16" t="s">
        <v>566</v>
      </c>
      <c r="D122" s="38">
        <v>13024</v>
      </c>
      <c r="E122" s="16" t="s">
        <v>517</v>
      </c>
      <c r="F122" s="16"/>
      <c r="G122" s="23">
        <v>21.999999999999996</v>
      </c>
      <c r="H122" s="23">
        <v>7</v>
      </c>
      <c r="I122" s="23">
        <v>5</v>
      </c>
      <c r="J122" s="23">
        <v>90.8</v>
      </c>
      <c r="K122" s="23">
        <v>0.7</v>
      </c>
      <c r="L122" s="23">
        <v>1.8</v>
      </c>
      <c r="M122" s="23">
        <v>0.3</v>
      </c>
      <c r="N122" s="23">
        <v>2.2999999999999998</v>
      </c>
      <c r="O122" s="23">
        <v>0</v>
      </c>
      <c r="P122" s="23"/>
      <c r="Q122" s="23">
        <v>4.0999999999999996</v>
      </c>
      <c r="R122" s="23">
        <v>31</v>
      </c>
      <c r="S122" s="23">
        <v>30.9</v>
      </c>
      <c r="T122" s="23">
        <v>44</v>
      </c>
      <c r="U122" s="23">
        <v>1.3</v>
      </c>
      <c r="V122" s="23">
        <v>0</v>
      </c>
      <c r="W122" s="23">
        <v>1.3</v>
      </c>
      <c r="X122" s="23"/>
      <c r="Y122" s="23"/>
      <c r="Z122" s="23">
        <v>0.3</v>
      </c>
      <c r="AA122" s="23">
        <v>48</v>
      </c>
      <c r="AB122" s="23">
        <v>26</v>
      </c>
      <c r="AC122" s="23">
        <v>0.04</v>
      </c>
      <c r="AD122" s="23">
        <v>0.06</v>
      </c>
      <c r="AE122" s="23">
        <v>0</v>
      </c>
      <c r="AF122" s="23">
        <v>632</v>
      </c>
      <c r="AG122" s="23">
        <v>53</v>
      </c>
      <c r="AH122" s="23">
        <v>105</v>
      </c>
      <c r="AI122" s="23"/>
      <c r="AJ122" s="23">
        <v>0</v>
      </c>
      <c r="AK122" s="65">
        <v>903</v>
      </c>
      <c r="AL122" s="65">
        <v>9</v>
      </c>
    </row>
    <row r="123" spans="1:38">
      <c r="A123" s="38">
        <v>703</v>
      </c>
      <c r="B123" s="16" t="s">
        <v>305</v>
      </c>
      <c r="C123" s="16" t="s">
        <v>553</v>
      </c>
      <c r="D123" s="38"/>
      <c r="E123" s="16"/>
      <c r="F123" s="16"/>
      <c r="G123" s="23">
        <v>15.33</v>
      </c>
      <c r="H123" s="23">
        <v>7</v>
      </c>
      <c r="I123" s="23">
        <v>5</v>
      </c>
      <c r="J123" s="23">
        <v>95.899999999999991</v>
      </c>
      <c r="K123" s="23">
        <v>0.5</v>
      </c>
      <c r="L123" s="23">
        <v>0.96666666666666679</v>
      </c>
      <c r="M123" s="23">
        <v>0.23333333333333331</v>
      </c>
      <c r="N123" s="23">
        <v>1.4666666666666668</v>
      </c>
      <c r="O123" s="23">
        <v>0</v>
      </c>
      <c r="P123" s="23"/>
      <c r="Q123" s="23">
        <v>0.93333333333334156</v>
      </c>
      <c r="R123" s="23">
        <v>12.666666666666666</v>
      </c>
      <c r="S123" s="23">
        <v>12.633333333333367</v>
      </c>
      <c r="T123" s="23">
        <v>39.333333333333336</v>
      </c>
      <c r="U123" s="23">
        <v>1</v>
      </c>
      <c r="V123" s="23">
        <v>0</v>
      </c>
      <c r="W123" s="23">
        <v>1</v>
      </c>
      <c r="X123" s="23"/>
      <c r="Y123" s="23"/>
      <c r="Z123" s="23">
        <v>0.11666666666666665</v>
      </c>
      <c r="AA123" s="23">
        <v>90.666666666666671</v>
      </c>
      <c r="AB123" s="23">
        <v>26</v>
      </c>
      <c r="AC123" s="23">
        <v>0.03</v>
      </c>
      <c r="AD123" s="23">
        <v>3.6666666666666674E-2</v>
      </c>
      <c r="AE123" s="23">
        <v>0</v>
      </c>
      <c r="AF123" s="23">
        <v>121.33333333333333</v>
      </c>
      <c r="AG123" s="23">
        <v>10.111111111111111</v>
      </c>
      <c r="AH123" s="23">
        <v>20.222222222222221</v>
      </c>
      <c r="AI123" s="23"/>
      <c r="AJ123" s="23">
        <v>0</v>
      </c>
      <c r="AK123" s="65">
        <v>903</v>
      </c>
      <c r="AL123" s="65">
        <v>9</v>
      </c>
    </row>
    <row r="124" spans="1:38">
      <c r="A124" s="38">
        <v>704</v>
      </c>
      <c r="B124" s="16" t="s">
        <v>306</v>
      </c>
      <c r="C124" s="16" t="s">
        <v>566</v>
      </c>
      <c r="D124" s="38">
        <v>4011</v>
      </c>
      <c r="E124" s="16" t="s">
        <v>521</v>
      </c>
      <c r="F124" s="16"/>
      <c r="G124" s="23">
        <v>17.000000000000004</v>
      </c>
      <c r="H124" s="23">
        <v>7</v>
      </c>
      <c r="I124" s="23">
        <v>3</v>
      </c>
      <c r="J124" s="23">
        <v>90.6</v>
      </c>
      <c r="K124" s="23">
        <v>0.6</v>
      </c>
      <c r="L124" s="23">
        <v>0.7</v>
      </c>
      <c r="M124" s="23">
        <v>0.2</v>
      </c>
      <c r="N124" s="23">
        <v>3.2</v>
      </c>
      <c r="O124" s="23">
        <v>0</v>
      </c>
      <c r="P124" s="23"/>
      <c r="Q124" s="23">
        <v>4.5</v>
      </c>
      <c r="R124" s="23">
        <v>30</v>
      </c>
      <c r="S124" s="23">
        <v>29</v>
      </c>
      <c r="T124" s="23">
        <v>33</v>
      </c>
      <c r="U124" s="23">
        <v>0.6</v>
      </c>
      <c r="V124" s="23">
        <v>0</v>
      </c>
      <c r="W124" s="23">
        <v>0.6</v>
      </c>
      <c r="X124" s="23"/>
      <c r="Y124" s="23"/>
      <c r="Z124" s="23">
        <v>0.14000000000000001</v>
      </c>
      <c r="AA124" s="23">
        <v>18</v>
      </c>
      <c r="AB124" s="23">
        <v>5.5</v>
      </c>
      <c r="AC124" s="23">
        <v>0.04</v>
      </c>
      <c r="AD124" s="23">
        <v>0.03</v>
      </c>
      <c r="AE124" s="23">
        <v>0</v>
      </c>
      <c r="AF124" s="23">
        <v>7070</v>
      </c>
      <c r="AG124" s="23">
        <v>589</v>
      </c>
      <c r="AH124" s="23">
        <v>1180</v>
      </c>
      <c r="AI124" s="23"/>
      <c r="AJ124" s="23">
        <v>0</v>
      </c>
      <c r="AK124" s="65">
        <v>902</v>
      </c>
      <c r="AL124" s="65">
        <v>9</v>
      </c>
    </row>
    <row r="125" spans="1:38">
      <c r="A125" s="38">
        <v>705</v>
      </c>
      <c r="B125" s="16" t="s">
        <v>307</v>
      </c>
      <c r="C125" s="16" t="s">
        <v>553</v>
      </c>
      <c r="D125" s="38"/>
      <c r="E125" s="16"/>
      <c r="F125" s="16"/>
      <c r="G125" s="23">
        <v>2.0000000000000018</v>
      </c>
      <c r="H125" s="23">
        <v>7</v>
      </c>
      <c r="I125" s="23">
        <v>5</v>
      </c>
      <c r="J125" s="23">
        <v>93.4</v>
      </c>
      <c r="K125" s="23">
        <v>0.55000000000000004</v>
      </c>
      <c r="L125" s="23">
        <v>1.05</v>
      </c>
      <c r="M125" s="23">
        <v>0.2</v>
      </c>
      <c r="N125" s="23">
        <v>1.5</v>
      </c>
      <c r="O125" s="23">
        <v>0</v>
      </c>
      <c r="P125" s="23"/>
      <c r="Q125" s="23">
        <v>3.2999999999999945</v>
      </c>
      <c r="R125" s="23">
        <v>22.5</v>
      </c>
      <c r="S125" s="23">
        <v>22.199999999999978</v>
      </c>
      <c r="T125" s="23">
        <v>8</v>
      </c>
      <c r="U125" s="23">
        <v>0.65</v>
      </c>
      <c r="V125" s="23">
        <v>0</v>
      </c>
      <c r="W125" s="23">
        <v>0.65</v>
      </c>
      <c r="X125" s="23"/>
      <c r="Y125" s="23"/>
      <c r="Z125" s="23">
        <v>0.28500000000000003</v>
      </c>
      <c r="AA125" s="23">
        <v>17</v>
      </c>
      <c r="AB125" s="23">
        <v>20.5</v>
      </c>
      <c r="AC125" s="23">
        <v>0.06</v>
      </c>
      <c r="AD125" s="23">
        <v>7.0000000000000007E-2</v>
      </c>
      <c r="AE125" s="23">
        <v>0</v>
      </c>
      <c r="AF125" s="23">
        <v>174</v>
      </c>
      <c r="AG125" s="23">
        <v>14.5</v>
      </c>
      <c r="AH125" s="23">
        <v>29</v>
      </c>
      <c r="AI125" s="23"/>
      <c r="AJ125" s="23">
        <v>0</v>
      </c>
      <c r="AK125" s="65">
        <v>903</v>
      </c>
      <c r="AL125" s="65">
        <v>9</v>
      </c>
    </row>
    <row r="126" spans="1:38">
      <c r="A126" s="38">
        <v>706</v>
      </c>
      <c r="B126" s="16" t="s">
        <v>308</v>
      </c>
      <c r="C126" s="16" t="s">
        <v>553</v>
      </c>
      <c r="D126" s="38"/>
      <c r="E126" s="16"/>
      <c r="F126" s="16"/>
      <c r="G126" s="23">
        <v>38</v>
      </c>
      <c r="H126" s="23">
        <v>7</v>
      </c>
      <c r="I126" s="23">
        <v>4</v>
      </c>
      <c r="J126" s="23">
        <v>90.05</v>
      </c>
      <c r="K126" s="23">
        <v>1.9</v>
      </c>
      <c r="L126" s="23">
        <v>2.95</v>
      </c>
      <c r="M126" s="23">
        <v>0.30000000000000004</v>
      </c>
      <c r="N126" s="23">
        <v>3.8499999999999996</v>
      </c>
      <c r="O126" s="23">
        <v>0</v>
      </c>
      <c r="P126" s="23"/>
      <c r="Q126" s="23">
        <v>0.95000000000000284</v>
      </c>
      <c r="R126" s="23">
        <v>26</v>
      </c>
      <c r="S126" s="23">
        <v>26.000000000000011</v>
      </c>
      <c r="T126" s="23">
        <v>124</v>
      </c>
      <c r="U126" s="23">
        <v>3.0500000000000003</v>
      </c>
      <c r="V126" s="23">
        <v>0</v>
      </c>
      <c r="W126" s="23">
        <v>3.0500000000000003</v>
      </c>
      <c r="X126" s="23"/>
      <c r="Y126" s="23"/>
      <c r="Z126" s="23">
        <v>0.86499999999999999</v>
      </c>
      <c r="AA126" s="23">
        <v>115.5</v>
      </c>
      <c r="AB126" s="23">
        <v>30.5</v>
      </c>
      <c r="AC126" s="23">
        <v>0.03</v>
      </c>
      <c r="AD126" s="23">
        <v>0.14000000000000001</v>
      </c>
      <c r="AE126" s="23">
        <v>0</v>
      </c>
      <c r="AF126" s="23">
        <v>2270</v>
      </c>
      <c r="AG126" s="23">
        <v>189.16666666666666</v>
      </c>
      <c r="AH126" s="23">
        <v>378.33333333333331</v>
      </c>
      <c r="AI126" s="23"/>
      <c r="AJ126" s="23">
        <v>0</v>
      </c>
      <c r="AK126" s="65">
        <v>901</v>
      </c>
      <c r="AL126" s="65">
        <v>9</v>
      </c>
    </row>
    <row r="127" spans="1:38">
      <c r="A127" s="38">
        <v>707</v>
      </c>
      <c r="B127" s="16" t="s">
        <v>309</v>
      </c>
      <c r="C127" s="16" t="s">
        <v>566</v>
      </c>
      <c r="D127" s="38">
        <v>4020</v>
      </c>
      <c r="E127" s="16" t="s">
        <v>526</v>
      </c>
      <c r="F127" s="16"/>
      <c r="G127" s="23">
        <v>12</v>
      </c>
      <c r="H127" s="23">
        <v>7</v>
      </c>
      <c r="I127" s="23">
        <v>4</v>
      </c>
      <c r="J127" s="23">
        <v>89.2</v>
      </c>
      <c r="K127" s="23">
        <v>1.6</v>
      </c>
      <c r="L127" s="23">
        <v>3</v>
      </c>
      <c r="M127" s="23">
        <v>0.3</v>
      </c>
      <c r="N127" s="23">
        <v>4.7</v>
      </c>
      <c r="O127" s="23">
        <v>0</v>
      </c>
      <c r="P127" s="23"/>
      <c r="Q127" s="23">
        <v>1.2</v>
      </c>
      <c r="R127" s="23">
        <v>29</v>
      </c>
      <c r="S127" s="23">
        <v>28.900000000000002</v>
      </c>
      <c r="T127" s="23">
        <v>402</v>
      </c>
      <c r="U127" s="23">
        <v>2.8</v>
      </c>
      <c r="V127" s="23">
        <v>0</v>
      </c>
      <c r="W127" s="23">
        <v>2.8</v>
      </c>
      <c r="X127" s="23"/>
      <c r="Y127" s="23"/>
      <c r="Z127" s="23">
        <v>0.5</v>
      </c>
      <c r="AA127" s="23">
        <v>62</v>
      </c>
      <c r="AB127" s="23">
        <v>134</v>
      </c>
      <c r="AC127" s="23">
        <v>0.11</v>
      </c>
      <c r="AD127" s="23">
        <v>0.13</v>
      </c>
      <c r="AE127" s="23">
        <v>0</v>
      </c>
      <c r="AF127" s="23">
        <v>2127</v>
      </c>
      <c r="AG127" s="23">
        <v>177</v>
      </c>
      <c r="AH127" s="23">
        <v>355</v>
      </c>
      <c r="AI127" s="23"/>
      <c r="AJ127" s="23">
        <v>0</v>
      </c>
      <c r="AK127" s="65">
        <v>901</v>
      </c>
      <c r="AL127" s="65">
        <v>9</v>
      </c>
    </row>
    <row r="128" spans="1:38">
      <c r="A128" s="38">
        <v>708</v>
      </c>
      <c r="B128" s="16" t="s">
        <v>310</v>
      </c>
      <c r="C128" s="16" t="s">
        <v>566</v>
      </c>
      <c r="D128" s="38">
        <v>4016</v>
      </c>
      <c r="E128" s="16" t="s">
        <v>591</v>
      </c>
      <c r="F128" s="16"/>
      <c r="G128" s="23">
        <v>3.0000000000000027</v>
      </c>
      <c r="H128" s="23">
        <v>7</v>
      </c>
      <c r="I128" s="23">
        <v>5</v>
      </c>
      <c r="J128" s="23">
        <v>96.2</v>
      </c>
      <c r="K128" s="23">
        <v>0.5</v>
      </c>
      <c r="L128" s="23">
        <v>0.6</v>
      </c>
      <c r="M128" s="23">
        <v>0.1</v>
      </c>
      <c r="N128" s="23">
        <v>1.4</v>
      </c>
      <c r="O128" s="23">
        <v>0</v>
      </c>
      <c r="P128" s="23"/>
      <c r="Q128" s="23">
        <v>1.3</v>
      </c>
      <c r="R128" s="23">
        <v>11</v>
      </c>
      <c r="S128" s="23">
        <v>11.3</v>
      </c>
      <c r="T128" s="23">
        <v>20</v>
      </c>
      <c r="U128" s="23">
        <v>0.7</v>
      </c>
      <c r="V128" s="23">
        <v>0</v>
      </c>
      <c r="W128" s="23">
        <v>0.7</v>
      </c>
      <c r="X128" s="23"/>
      <c r="Y128" s="23"/>
      <c r="Z128" s="23">
        <v>0.18</v>
      </c>
      <c r="AA128" s="23">
        <v>7</v>
      </c>
      <c r="AB128" s="23">
        <v>7</v>
      </c>
      <c r="AC128" s="23">
        <v>0.03</v>
      </c>
      <c r="AD128" s="23">
        <v>0.02</v>
      </c>
      <c r="AE128" s="23">
        <v>0</v>
      </c>
      <c r="AF128" s="23">
        <v>5</v>
      </c>
      <c r="AG128" s="23">
        <v>0</v>
      </c>
      <c r="AH128" s="23">
        <v>1</v>
      </c>
      <c r="AI128" s="23"/>
      <c r="AJ128" s="23">
        <v>0</v>
      </c>
      <c r="AK128" s="65">
        <v>903</v>
      </c>
      <c r="AL128" s="65">
        <v>9</v>
      </c>
    </row>
    <row r="129" spans="1:38">
      <c r="A129" s="38">
        <v>709</v>
      </c>
      <c r="B129" s="16" t="s">
        <v>311</v>
      </c>
      <c r="C129" s="16" t="s">
        <v>561</v>
      </c>
      <c r="D129" s="38">
        <v>425</v>
      </c>
      <c r="E129" s="16" t="s">
        <v>620</v>
      </c>
      <c r="F129" s="16"/>
      <c r="G129" s="23">
        <v>8</v>
      </c>
      <c r="H129" s="23">
        <v>7</v>
      </c>
      <c r="I129" s="23">
        <v>5</v>
      </c>
      <c r="J129" s="23"/>
      <c r="K129" s="23"/>
      <c r="L129" s="23">
        <v>1.9</v>
      </c>
      <c r="M129" s="23">
        <v>0.3</v>
      </c>
      <c r="N129" s="23">
        <v>3.2</v>
      </c>
      <c r="O129" s="23">
        <v>0</v>
      </c>
      <c r="P129" s="23">
        <v>7.9</v>
      </c>
      <c r="Q129" s="23">
        <v>4.7</v>
      </c>
      <c r="R129" s="23">
        <v>35</v>
      </c>
      <c r="S129" s="23">
        <v>35.5</v>
      </c>
      <c r="T129" s="23">
        <v>46</v>
      </c>
      <c r="U129" s="23">
        <v>1.3</v>
      </c>
      <c r="V129" s="23">
        <v>0</v>
      </c>
      <c r="W129" s="23">
        <v>1.3</v>
      </c>
      <c r="X129" s="23"/>
      <c r="Y129" s="23"/>
      <c r="Z129" s="23">
        <v>0.4</v>
      </c>
      <c r="AA129" s="23">
        <v>3.3</v>
      </c>
      <c r="AB129" s="23">
        <v>0</v>
      </c>
      <c r="AC129" s="23">
        <v>0.1</v>
      </c>
      <c r="AD129" s="23">
        <v>0.1</v>
      </c>
      <c r="AE129" s="23">
        <v>0</v>
      </c>
      <c r="AF129" s="23">
        <v>804</v>
      </c>
      <c r="AG129" s="23">
        <v>67</v>
      </c>
      <c r="AH129" s="23">
        <v>134</v>
      </c>
      <c r="AI129" s="23"/>
      <c r="AJ129" s="23">
        <v>0</v>
      </c>
      <c r="AK129" s="65">
        <v>903</v>
      </c>
      <c r="AL129" s="65">
        <v>9</v>
      </c>
    </row>
    <row r="130" spans="1:38">
      <c r="A130" s="38">
        <v>710</v>
      </c>
      <c r="B130" s="16" t="s">
        <v>312</v>
      </c>
      <c r="C130" s="16" t="s">
        <v>566</v>
      </c>
      <c r="D130" s="38">
        <v>3002</v>
      </c>
      <c r="E130" s="16" t="s">
        <v>423</v>
      </c>
      <c r="F130" s="16"/>
      <c r="G130" s="23">
        <v>0</v>
      </c>
      <c r="H130" s="23">
        <v>7</v>
      </c>
      <c r="I130" s="23">
        <v>5</v>
      </c>
      <c r="J130" s="23">
        <v>75</v>
      </c>
      <c r="K130" s="23">
        <v>1.3</v>
      </c>
      <c r="L130" s="23">
        <v>7.2</v>
      </c>
      <c r="M130" s="23">
        <v>0.5</v>
      </c>
      <c r="N130" s="23">
        <v>7.1</v>
      </c>
      <c r="O130" s="23">
        <v>0</v>
      </c>
      <c r="P130" s="23"/>
      <c r="Q130" s="23">
        <v>8.6999999999999993</v>
      </c>
      <c r="R130" s="23">
        <v>82</v>
      </c>
      <c r="S130" s="23">
        <v>82.3</v>
      </c>
      <c r="T130" s="23">
        <v>26</v>
      </c>
      <c r="U130" s="23">
        <v>1.6</v>
      </c>
      <c r="V130" s="23">
        <v>0</v>
      </c>
      <c r="W130" s="23">
        <v>1.6</v>
      </c>
      <c r="X130" s="23"/>
      <c r="Y130" s="23"/>
      <c r="Z130" s="23">
        <v>1.1000000000000001</v>
      </c>
      <c r="AA130" s="23">
        <v>284</v>
      </c>
      <c r="AB130" s="23">
        <v>41</v>
      </c>
      <c r="AC130" s="23">
        <v>0.12</v>
      </c>
      <c r="AD130" s="23">
        <v>0.14000000000000001</v>
      </c>
      <c r="AE130" s="23">
        <v>0</v>
      </c>
      <c r="AF130" s="23">
        <v>195</v>
      </c>
      <c r="AG130" s="23">
        <v>16</v>
      </c>
      <c r="AH130" s="23">
        <v>32</v>
      </c>
      <c r="AI130" s="23"/>
      <c r="AJ130" s="23">
        <v>0</v>
      </c>
      <c r="AK130" s="65">
        <v>903</v>
      </c>
      <c r="AL130" s="65">
        <v>9</v>
      </c>
    </row>
    <row r="131" spans="1:38">
      <c r="A131" s="38">
        <v>711</v>
      </c>
      <c r="B131" s="16" t="s">
        <v>313</v>
      </c>
      <c r="C131" s="16" t="s">
        <v>566</v>
      </c>
      <c r="D131" s="38">
        <v>3015</v>
      </c>
      <c r="E131" s="16" t="s">
        <v>426</v>
      </c>
      <c r="F131" s="16"/>
      <c r="G131" s="23">
        <v>59.000000000000007</v>
      </c>
      <c r="H131" s="23">
        <v>7</v>
      </c>
      <c r="I131" s="23">
        <v>5</v>
      </c>
      <c r="J131" s="23">
        <v>72.5</v>
      </c>
      <c r="K131" s="23">
        <v>1</v>
      </c>
      <c r="L131" s="23">
        <v>7.9</v>
      </c>
      <c r="M131" s="23">
        <v>0.7</v>
      </c>
      <c r="N131" s="23">
        <v>8</v>
      </c>
      <c r="O131" s="23">
        <v>0</v>
      </c>
      <c r="P131" s="23"/>
      <c r="Q131" s="23">
        <v>9.8000000000000007</v>
      </c>
      <c r="R131" s="23">
        <v>93</v>
      </c>
      <c r="S131" s="23">
        <v>93.1</v>
      </c>
      <c r="T131" s="23">
        <v>28.2</v>
      </c>
      <c r="U131" s="23">
        <v>2.63</v>
      </c>
      <c r="V131" s="23">
        <v>0</v>
      </c>
      <c r="W131" s="23">
        <v>2.63</v>
      </c>
      <c r="X131" s="23"/>
      <c r="Y131" s="23"/>
      <c r="Z131" s="23">
        <v>4.6500000000000004</v>
      </c>
      <c r="AA131" s="23">
        <v>216</v>
      </c>
      <c r="AB131" s="23">
        <v>38.4</v>
      </c>
      <c r="AC131" s="23">
        <v>0.28999999999999998</v>
      </c>
      <c r="AD131" s="23">
        <v>0.13</v>
      </c>
      <c r="AE131" s="23">
        <v>0</v>
      </c>
      <c r="AF131" s="23">
        <v>363</v>
      </c>
      <c r="AG131" s="23">
        <v>30</v>
      </c>
      <c r="AH131" s="23">
        <v>60</v>
      </c>
      <c r="AI131" s="23"/>
      <c r="AJ131" s="23">
        <v>0</v>
      </c>
      <c r="AK131" s="65">
        <v>903</v>
      </c>
      <c r="AL131" s="65">
        <v>9</v>
      </c>
    </row>
    <row r="132" spans="1:38">
      <c r="A132" s="38">
        <v>712</v>
      </c>
      <c r="B132" s="16" t="s">
        <v>314</v>
      </c>
      <c r="C132" s="16" t="s">
        <v>553</v>
      </c>
      <c r="D132" s="38"/>
      <c r="E132" s="16"/>
      <c r="F132" s="16"/>
      <c r="G132" s="23">
        <v>35.5</v>
      </c>
      <c r="H132" s="23">
        <v>7</v>
      </c>
      <c r="I132" s="23">
        <v>5</v>
      </c>
      <c r="J132" s="23">
        <v>92.65</v>
      </c>
      <c r="K132" s="23">
        <v>1.25</v>
      </c>
      <c r="L132" s="23">
        <v>0.89999999999999991</v>
      </c>
      <c r="M132" s="23">
        <v>0.15000000000000002</v>
      </c>
      <c r="N132" s="23">
        <v>1.5</v>
      </c>
      <c r="O132" s="23">
        <v>0</v>
      </c>
      <c r="P132" s="23"/>
      <c r="Q132" s="23">
        <v>3.5499999999999936</v>
      </c>
      <c r="R132" s="23">
        <v>22</v>
      </c>
      <c r="S132" s="23">
        <v>22.149999999999974</v>
      </c>
      <c r="T132" s="23">
        <v>58.5</v>
      </c>
      <c r="U132" s="23">
        <v>1.3</v>
      </c>
      <c r="V132" s="23">
        <v>0</v>
      </c>
      <c r="W132" s="23">
        <v>1.3</v>
      </c>
      <c r="X132" s="23"/>
      <c r="Y132" s="23"/>
      <c r="Z132" s="23">
        <v>0.23499999999999999</v>
      </c>
      <c r="AA132" s="23">
        <v>39.5</v>
      </c>
      <c r="AB132" s="23">
        <v>11</v>
      </c>
      <c r="AC132" s="23">
        <v>5.5E-2</v>
      </c>
      <c r="AD132" s="23">
        <v>0.04</v>
      </c>
      <c r="AE132" s="23">
        <v>0</v>
      </c>
      <c r="AF132" s="23">
        <v>875</v>
      </c>
      <c r="AG132" s="23">
        <v>72.916666666666671</v>
      </c>
      <c r="AH132" s="23">
        <v>145.83333333333334</v>
      </c>
      <c r="AI132" s="23"/>
      <c r="AJ132" s="23">
        <v>0</v>
      </c>
      <c r="AK132" s="65">
        <v>901</v>
      </c>
      <c r="AL132" s="65">
        <v>9</v>
      </c>
    </row>
    <row r="133" spans="1:38">
      <c r="A133" s="38">
        <v>713</v>
      </c>
      <c r="B133" s="16" t="s">
        <v>315</v>
      </c>
      <c r="C133" s="16" t="s">
        <v>553</v>
      </c>
      <c r="D133" s="38"/>
      <c r="E133" s="16"/>
      <c r="F133" s="16"/>
      <c r="G133" s="23">
        <v>31</v>
      </c>
      <c r="H133" s="23">
        <v>7</v>
      </c>
      <c r="I133" s="23">
        <v>5</v>
      </c>
      <c r="J133" s="23">
        <v>89.8</v>
      </c>
      <c r="K133" s="23">
        <v>1.6666666666666667</v>
      </c>
      <c r="L133" s="23">
        <v>3.5</v>
      </c>
      <c r="M133" s="23">
        <v>0.46666666666666662</v>
      </c>
      <c r="N133" s="23">
        <v>4</v>
      </c>
      <c r="O133" s="23">
        <v>0</v>
      </c>
      <c r="P133" s="23"/>
      <c r="Q133" s="23">
        <v>0.56666666666666998</v>
      </c>
      <c r="R133" s="23">
        <v>28.666666666666668</v>
      </c>
      <c r="S133" s="23">
        <v>28.466666666666679</v>
      </c>
      <c r="T133" s="23">
        <v>161.33333333333334</v>
      </c>
      <c r="U133" s="23">
        <v>8.4</v>
      </c>
      <c r="V133" s="23">
        <v>0</v>
      </c>
      <c r="W133" s="23">
        <v>8.4</v>
      </c>
      <c r="X133" s="23"/>
      <c r="Y133" s="23"/>
      <c r="Z133" s="23">
        <v>0.6166666666666667</v>
      </c>
      <c r="AA133" s="23">
        <v>182.66666666666666</v>
      </c>
      <c r="AB133" s="23">
        <v>83.266666666666666</v>
      </c>
      <c r="AC133" s="23">
        <v>7.3333333333333334E-2</v>
      </c>
      <c r="AD133" s="23">
        <v>0.25</v>
      </c>
      <c r="AE133" s="23">
        <v>0</v>
      </c>
      <c r="AF133" s="23">
        <v>1217.3333333333333</v>
      </c>
      <c r="AG133" s="23">
        <v>101.44444444444444</v>
      </c>
      <c r="AH133" s="23">
        <v>202.88888888888889</v>
      </c>
      <c r="AI133" s="23"/>
      <c r="AJ133" s="23">
        <v>0</v>
      </c>
      <c r="AK133" s="65">
        <v>903</v>
      </c>
      <c r="AL133" s="65">
        <v>9</v>
      </c>
    </row>
    <row r="134" spans="1:38">
      <c r="A134" s="38">
        <v>714</v>
      </c>
      <c r="B134" s="16" t="s">
        <v>316</v>
      </c>
      <c r="C134" s="16" t="s">
        <v>566</v>
      </c>
      <c r="D134" s="38">
        <v>2005</v>
      </c>
      <c r="E134" s="16" t="s">
        <v>546</v>
      </c>
      <c r="F134" s="16"/>
      <c r="G134" s="23">
        <v>15.000000000000002</v>
      </c>
      <c r="H134" s="23">
        <v>7</v>
      </c>
      <c r="I134" s="23">
        <v>5</v>
      </c>
      <c r="J134" s="23">
        <v>86.1</v>
      </c>
      <c r="K134" s="23">
        <v>1.4</v>
      </c>
      <c r="L134" s="23">
        <v>2.17</v>
      </c>
      <c r="M134" s="23">
        <v>0.1</v>
      </c>
      <c r="N134" s="23">
        <v>3.31</v>
      </c>
      <c r="O134" s="23">
        <v>0</v>
      </c>
      <c r="P134" s="23"/>
      <c r="Q134" s="23">
        <v>6.9</v>
      </c>
      <c r="R134" s="23">
        <v>44</v>
      </c>
      <c r="S134" s="23">
        <v>43.8</v>
      </c>
      <c r="T134" s="23">
        <v>13</v>
      </c>
      <c r="U134" s="23">
        <v>0.8</v>
      </c>
      <c r="V134" s="23">
        <v>0</v>
      </c>
      <c r="W134" s="23">
        <v>0.8</v>
      </c>
      <c r="X134" s="23"/>
      <c r="Y134" s="23"/>
      <c r="Z134" s="23">
        <v>0.55000000000000004</v>
      </c>
      <c r="AA134" s="23">
        <v>110</v>
      </c>
      <c r="AB134" s="23">
        <v>5.3</v>
      </c>
      <c r="AC134" s="23">
        <v>0.01</v>
      </c>
      <c r="AD134" s="23">
        <v>0.02</v>
      </c>
      <c r="AE134" s="23">
        <v>0</v>
      </c>
      <c r="AF134" s="23">
        <v>10</v>
      </c>
      <c r="AG134" s="23">
        <v>1</v>
      </c>
      <c r="AH134" s="23">
        <v>2</v>
      </c>
      <c r="AI134" s="23"/>
      <c r="AJ134" s="23">
        <v>0</v>
      </c>
      <c r="AK134" s="65">
        <v>903</v>
      </c>
      <c r="AL134" s="65">
        <v>9</v>
      </c>
    </row>
    <row r="135" spans="1:38">
      <c r="A135" s="38">
        <v>715</v>
      </c>
      <c r="B135" s="16" t="s">
        <v>317</v>
      </c>
      <c r="C135" s="16" t="s">
        <v>553</v>
      </c>
      <c r="D135" s="38"/>
      <c r="E135" s="16"/>
      <c r="F135" s="16"/>
      <c r="G135" s="23">
        <v>11</v>
      </c>
      <c r="H135" s="23">
        <v>7</v>
      </c>
      <c r="I135" s="23">
        <v>3</v>
      </c>
      <c r="J135" s="23">
        <v>91.05</v>
      </c>
      <c r="K135" s="23">
        <v>0.60000000000000009</v>
      </c>
      <c r="L135" s="23">
        <v>1.2</v>
      </c>
      <c r="M135" s="23">
        <v>0.2</v>
      </c>
      <c r="N135" s="23">
        <v>1.8</v>
      </c>
      <c r="O135" s="23">
        <v>0</v>
      </c>
      <c r="P135" s="23"/>
      <c r="Q135" s="23">
        <v>5.150000000000003</v>
      </c>
      <c r="R135" s="23">
        <v>31</v>
      </c>
      <c r="S135" s="23">
        <v>30.800000000000011</v>
      </c>
      <c r="T135" s="23">
        <v>18</v>
      </c>
      <c r="U135" s="23">
        <v>0.75</v>
      </c>
      <c r="V135" s="23">
        <v>0</v>
      </c>
      <c r="W135" s="23">
        <v>0.75</v>
      </c>
      <c r="X135" s="23"/>
      <c r="Y135" s="23"/>
      <c r="Z135" s="23">
        <v>0.26500000000000001</v>
      </c>
      <c r="AA135" s="23">
        <v>24</v>
      </c>
      <c r="AB135" s="23">
        <v>16</v>
      </c>
      <c r="AC135" s="23">
        <v>0.05</v>
      </c>
      <c r="AD135" s="23">
        <v>0.06</v>
      </c>
      <c r="AE135" s="23">
        <v>0</v>
      </c>
      <c r="AF135" s="23">
        <v>1099</v>
      </c>
      <c r="AG135" s="23">
        <v>91.583333333333329</v>
      </c>
      <c r="AH135" s="23">
        <v>183.16666666666666</v>
      </c>
      <c r="AI135" s="23"/>
      <c r="AJ135" s="23">
        <v>0</v>
      </c>
      <c r="AK135" s="65">
        <v>902</v>
      </c>
      <c r="AL135" s="65">
        <v>9</v>
      </c>
    </row>
    <row r="136" spans="1:38">
      <c r="A136" s="38">
        <v>716</v>
      </c>
      <c r="B136" s="16" t="s">
        <v>318</v>
      </c>
      <c r="C136" s="16" t="s">
        <v>553</v>
      </c>
      <c r="D136" s="38"/>
      <c r="E136" s="16"/>
      <c r="F136" s="16"/>
      <c r="G136" s="23">
        <v>58</v>
      </c>
      <c r="H136" s="23">
        <v>7</v>
      </c>
      <c r="I136" s="23">
        <v>5</v>
      </c>
      <c r="J136" s="23">
        <v>93.033333333333346</v>
      </c>
      <c r="K136" s="23">
        <v>0.40000000000000008</v>
      </c>
      <c r="L136" s="23">
        <v>1.5333333333333332</v>
      </c>
      <c r="M136" s="23">
        <v>0.16666666666666666</v>
      </c>
      <c r="N136" s="23">
        <v>2</v>
      </c>
      <c r="O136" s="23">
        <v>0</v>
      </c>
      <c r="P136" s="23"/>
      <c r="Q136" s="23">
        <v>2.8666666666666538</v>
      </c>
      <c r="R136" s="23">
        <v>23.333333333333332</v>
      </c>
      <c r="S136" s="23">
        <v>23.099999999999948</v>
      </c>
      <c r="T136" s="23">
        <v>10.333333333333334</v>
      </c>
      <c r="U136" s="23">
        <v>0.6</v>
      </c>
      <c r="V136" s="23">
        <v>0</v>
      </c>
      <c r="W136" s="23">
        <v>0.6</v>
      </c>
      <c r="X136" s="23"/>
      <c r="Y136" s="23"/>
      <c r="Z136" s="23">
        <v>0.12666666666666668</v>
      </c>
      <c r="AA136" s="23">
        <v>30</v>
      </c>
      <c r="AB136" s="23">
        <v>132.66666666666666</v>
      </c>
      <c r="AC136" s="23">
        <v>7.0000000000000007E-2</v>
      </c>
      <c r="AD136" s="23">
        <v>3.3333333333333333E-2</v>
      </c>
      <c r="AE136" s="23">
        <v>0</v>
      </c>
      <c r="AF136" s="23">
        <v>246.66666666666666</v>
      </c>
      <c r="AG136" s="23">
        <v>20.555555555555554</v>
      </c>
      <c r="AH136" s="23">
        <v>41.111111111111107</v>
      </c>
      <c r="AI136" s="23"/>
      <c r="AJ136" s="23">
        <v>0</v>
      </c>
      <c r="AK136" s="65">
        <v>903</v>
      </c>
      <c r="AL136" s="65">
        <v>9</v>
      </c>
    </row>
    <row r="137" spans="1:38">
      <c r="A137" s="38">
        <v>717</v>
      </c>
      <c r="B137" s="16" t="s">
        <v>319</v>
      </c>
      <c r="C137" s="16" t="s">
        <v>611</v>
      </c>
      <c r="D137" s="38" t="s">
        <v>693</v>
      </c>
      <c r="E137" s="16" t="s">
        <v>692</v>
      </c>
      <c r="F137" s="16"/>
      <c r="G137" s="23">
        <v>27</v>
      </c>
      <c r="H137" s="23">
        <v>7</v>
      </c>
      <c r="I137" s="23">
        <v>5</v>
      </c>
      <c r="J137" s="23">
        <v>87.3</v>
      </c>
      <c r="K137" s="23">
        <v>0.7</v>
      </c>
      <c r="L137" s="23">
        <v>1.9</v>
      </c>
      <c r="M137" s="23">
        <v>0.3</v>
      </c>
      <c r="N137" s="23">
        <v>2.2000000000000002</v>
      </c>
      <c r="O137" s="23">
        <v>0</v>
      </c>
      <c r="P137" s="23"/>
      <c r="Q137" s="23">
        <v>7.6</v>
      </c>
      <c r="R137" s="23">
        <v>45</v>
      </c>
      <c r="S137" s="23">
        <v>45.099999999999994</v>
      </c>
      <c r="T137" s="23">
        <v>16</v>
      </c>
      <c r="U137" s="23">
        <v>1.1000000000000001</v>
      </c>
      <c r="V137" s="23">
        <v>0</v>
      </c>
      <c r="W137" s="23">
        <v>1.1000000000000001</v>
      </c>
      <c r="X137" s="23"/>
      <c r="Y137" s="23"/>
      <c r="Z137" s="23">
        <v>0.28999999999999998</v>
      </c>
      <c r="AA137" s="23">
        <v>23</v>
      </c>
      <c r="AB137" s="23">
        <v>193.1</v>
      </c>
      <c r="AC137" s="23">
        <v>0.08</v>
      </c>
      <c r="AD137" s="23">
        <v>0.09</v>
      </c>
      <c r="AE137" s="23">
        <v>0</v>
      </c>
      <c r="AF137" s="23">
        <v>640</v>
      </c>
      <c r="AG137" s="23">
        <v>53.333333333333336</v>
      </c>
      <c r="AH137" s="23">
        <v>106.66666666666667</v>
      </c>
      <c r="AI137" s="23"/>
      <c r="AJ137" s="23">
        <v>0</v>
      </c>
      <c r="AK137" s="65">
        <v>903</v>
      </c>
      <c r="AL137" s="65">
        <v>9</v>
      </c>
    </row>
    <row r="138" spans="1:38">
      <c r="A138" s="38">
        <v>718</v>
      </c>
      <c r="B138" s="16" t="s">
        <v>320</v>
      </c>
      <c r="C138" s="16" t="s">
        <v>566</v>
      </c>
      <c r="D138" s="38">
        <v>4004</v>
      </c>
      <c r="E138" s="16" t="s">
        <v>535</v>
      </c>
      <c r="F138" s="16"/>
      <c r="G138" s="23">
        <v>40</v>
      </c>
      <c r="H138" s="23">
        <v>7</v>
      </c>
      <c r="I138" s="23">
        <v>5</v>
      </c>
      <c r="J138" s="23">
        <v>89</v>
      </c>
      <c r="K138" s="23">
        <v>1</v>
      </c>
      <c r="L138" s="23">
        <v>3.3</v>
      </c>
      <c r="M138" s="23">
        <v>0.3</v>
      </c>
      <c r="N138" s="23">
        <v>3.7</v>
      </c>
      <c r="O138" s="23">
        <v>0</v>
      </c>
      <c r="P138" s="23"/>
      <c r="Q138" s="23">
        <v>2.7</v>
      </c>
      <c r="R138" s="23">
        <v>34</v>
      </c>
      <c r="S138" s="23">
        <v>34.099999999999994</v>
      </c>
      <c r="T138" s="23">
        <v>66</v>
      </c>
      <c r="U138" s="23">
        <v>0.8</v>
      </c>
      <c r="V138" s="23">
        <v>0</v>
      </c>
      <c r="W138" s="23">
        <v>0.8</v>
      </c>
      <c r="X138" s="23"/>
      <c r="Y138" s="23"/>
      <c r="Z138" s="23">
        <v>1</v>
      </c>
      <c r="AA138" s="23">
        <v>48</v>
      </c>
      <c r="AB138" s="23">
        <v>103</v>
      </c>
      <c r="AC138" s="23">
        <v>0.1</v>
      </c>
      <c r="AD138" s="23">
        <v>0.22</v>
      </c>
      <c r="AE138" s="23">
        <v>0</v>
      </c>
      <c r="AF138" s="23">
        <v>303</v>
      </c>
      <c r="AG138" s="23">
        <v>25</v>
      </c>
      <c r="AH138" s="23">
        <v>51</v>
      </c>
      <c r="AI138" s="23"/>
      <c r="AJ138" s="23">
        <v>0</v>
      </c>
      <c r="AK138" s="65">
        <v>903</v>
      </c>
      <c r="AL138" s="65">
        <v>9</v>
      </c>
    </row>
    <row r="139" spans="1:38">
      <c r="A139" s="38">
        <v>719</v>
      </c>
      <c r="B139" s="16" t="s">
        <v>321</v>
      </c>
      <c r="C139" s="16"/>
      <c r="D139" s="38"/>
      <c r="E139" s="16"/>
      <c r="F139" s="16"/>
      <c r="G139" s="23">
        <v>0</v>
      </c>
      <c r="H139" s="23">
        <v>7</v>
      </c>
      <c r="I139" s="23">
        <v>5</v>
      </c>
      <c r="J139" s="23">
        <v>76.004999999999995</v>
      </c>
      <c r="K139" s="23">
        <v>0.62</v>
      </c>
      <c r="L139" s="23">
        <v>3.2450000000000001</v>
      </c>
      <c r="M139" s="23">
        <v>1.2650000000000001</v>
      </c>
      <c r="N139" s="23">
        <v>2.35</v>
      </c>
      <c r="O139" s="23">
        <v>0</v>
      </c>
      <c r="P139" s="23">
        <v>18.86</v>
      </c>
      <c r="Q139" s="23">
        <v>16.515000000000001</v>
      </c>
      <c r="R139" s="23">
        <v>86</v>
      </c>
      <c r="S139" s="23">
        <v>95.125</v>
      </c>
      <c r="T139" s="23">
        <v>2</v>
      </c>
      <c r="U139" s="23">
        <v>0.52</v>
      </c>
      <c r="V139" s="23">
        <v>0</v>
      </c>
      <c r="W139" s="23">
        <v>0.52</v>
      </c>
      <c r="X139" s="23"/>
      <c r="Y139" s="23"/>
      <c r="Z139" s="23">
        <v>0.45500000000000002</v>
      </c>
      <c r="AA139" s="23">
        <v>44</v>
      </c>
      <c r="AB139" s="23">
        <v>6.8</v>
      </c>
      <c r="AC139" s="23">
        <v>0.17749999999999999</v>
      </c>
      <c r="AD139" s="23">
        <v>5.7499999999999996E-2</v>
      </c>
      <c r="AE139" s="23">
        <v>0</v>
      </c>
      <c r="AF139" s="23">
        <v>56.75</v>
      </c>
      <c r="AG139" s="23">
        <v>4.729166666666667</v>
      </c>
      <c r="AH139" s="23">
        <v>9.4583333333333339</v>
      </c>
      <c r="AI139" s="23"/>
      <c r="AJ139" s="23">
        <v>0</v>
      </c>
      <c r="AK139" s="65">
        <v>903</v>
      </c>
      <c r="AL139" s="65">
        <v>9</v>
      </c>
    </row>
    <row r="140" spans="1:38">
      <c r="A140" s="38">
        <v>720</v>
      </c>
      <c r="B140" s="16" t="s">
        <v>322</v>
      </c>
      <c r="C140" s="16" t="s">
        <v>553</v>
      </c>
      <c r="D140" s="38"/>
      <c r="E140" s="16"/>
      <c r="F140" s="16"/>
      <c r="G140" s="23">
        <v>0</v>
      </c>
      <c r="H140" s="23">
        <v>7</v>
      </c>
      <c r="I140" s="23">
        <v>5</v>
      </c>
      <c r="J140" s="23">
        <v>89.7</v>
      </c>
      <c r="K140" s="23">
        <v>0.9</v>
      </c>
      <c r="L140" s="23">
        <v>2.2999999999999998</v>
      </c>
      <c r="M140" s="23">
        <v>0.4</v>
      </c>
      <c r="N140" s="23">
        <v>2.2999999999999998</v>
      </c>
      <c r="O140" s="23">
        <v>0</v>
      </c>
      <c r="P140" s="23"/>
      <c r="Q140" s="23">
        <v>4.5</v>
      </c>
      <c r="R140" s="23">
        <v>35</v>
      </c>
      <c r="S140" s="23">
        <v>35.4</v>
      </c>
      <c r="T140" s="23">
        <v>16</v>
      </c>
      <c r="U140" s="23">
        <v>0.3</v>
      </c>
      <c r="V140" s="23">
        <v>0</v>
      </c>
      <c r="W140" s="23">
        <v>0.3</v>
      </c>
      <c r="X140" s="23"/>
      <c r="Y140" s="23"/>
      <c r="Z140" s="23">
        <v>0.17</v>
      </c>
      <c r="AA140" s="23">
        <v>23</v>
      </c>
      <c r="AB140" s="23">
        <v>0</v>
      </c>
      <c r="AC140" s="23">
        <v>0.1</v>
      </c>
      <c r="AD140" s="23">
        <v>0.4</v>
      </c>
      <c r="AE140" s="23">
        <v>0</v>
      </c>
      <c r="AF140" s="23">
        <v>0</v>
      </c>
      <c r="AG140" s="23">
        <v>0</v>
      </c>
      <c r="AH140" s="23">
        <v>0</v>
      </c>
      <c r="AI140" s="23"/>
      <c r="AJ140" s="23">
        <v>0</v>
      </c>
      <c r="AK140" s="65">
        <v>903</v>
      </c>
      <c r="AL140" s="65">
        <v>9</v>
      </c>
    </row>
    <row r="141" spans="1:38">
      <c r="A141" s="38">
        <v>721</v>
      </c>
      <c r="B141" s="16" t="s">
        <v>323</v>
      </c>
      <c r="C141" s="16" t="s">
        <v>566</v>
      </c>
      <c r="D141" s="38">
        <v>4017</v>
      </c>
      <c r="E141" s="16" t="s">
        <v>537</v>
      </c>
      <c r="F141" s="16"/>
      <c r="G141" s="23">
        <v>8.9999999999999964</v>
      </c>
      <c r="H141" s="23">
        <v>7</v>
      </c>
      <c r="I141" s="23">
        <v>5</v>
      </c>
      <c r="J141" s="23">
        <v>90.8</v>
      </c>
      <c r="K141" s="23">
        <v>0.9</v>
      </c>
      <c r="L141" s="23">
        <v>1.2</v>
      </c>
      <c r="M141" s="23">
        <v>0.3</v>
      </c>
      <c r="N141" s="23">
        <v>4</v>
      </c>
      <c r="O141" s="23">
        <v>0</v>
      </c>
      <c r="P141" s="23"/>
      <c r="Q141" s="23">
        <v>2.8</v>
      </c>
      <c r="R141" s="23">
        <v>27</v>
      </c>
      <c r="S141" s="23">
        <v>26.7</v>
      </c>
      <c r="T141" s="23">
        <v>18</v>
      </c>
      <c r="U141" s="23">
        <v>0.4</v>
      </c>
      <c r="V141" s="23">
        <v>0</v>
      </c>
      <c r="W141" s="23">
        <v>0.4</v>
      </c>
      <c r="X141" s="23"/>
      <c r="Y141" s="23"/>
      <c r="Z141" s="23">
        <v>0.21</v>
      </c>
      <c r="AA141" s="23">
        <v>29</v>
      </c>
      <c r="AB141" s="23">
        <v>2</v>
      </c>
      <c r="AC141" s="23">
        <v>0.05</v>
      </c>
      <c r="AD141" s="23">
        <v>0.05</v>
      </c>
      <c r="AE141" s="23">
        <v>0</v>
      </c>
      <c r="AF141" s="23">
        <v>146</v>
      </c>
      <c r="AG141" s="23">
        <v>12</v>
      </c>
      <c r="AH141" s="23">
        <v>24</v>
      </c>
      <c r="AI141" s="23"/>
      <c r="AJ141" s="23">
        <v>0</v>
      </c>
      <c r="AK141" s="65">
        <v>1002</v>
      </c>
      <c r="AL141" s="65">
        <v>10</v>
      </c>
    </row>
    <row r="142" spans="1:38">
      <c r="A142" s="38">
        <v>722</v>
      </c>
      <c r="B142" s="16" t="s">
        <v>324</v>
      </c>
      <c r="C142" s="16" t="s">
        <v>566</v>
      </c>
      <c r="D142" s="38">
        <v>4027</v>
      </c>
      <c r="E142" s="16" t="s">
        <v>538</v>
      </c>
      <c r="F142" s="16"/>
      <c r="G142" s="23">
        <v>19.999999999999996</v>
      </c>
      <c r="H142" s="23">
        <v>7</v>
      </c>
      <c r="I142" s="23">
        <v>3</v>
      </c>
      <c r="J142" s="23">
        <v>90.3</v>
      </c>
      <c r="K142" s="23">
        <v>0.7</v>
      </c>
      <c r="L142" s="23">
        <v>1.2</v>
      </c>
      <c r="M142" s="23">
        <v>0.2</v>
      </c>
      <c r="N142" s="23">
        <v>2.4</v>
      </c>
      <c r="O142" s="23">
        <v>0</v>
      </c>
      <c r="P142" s="23"/>
      <c r="Q142" s="23">
        <v>5.2</v>
      </c>
      <c r="R142" s="23">
        <v>32</v>
      </c>
      <c r="S142" s="23">
        <v>32.200000000000003</v>
      </c>
      <c r="T142" s="23">
        <v>17</v>
      </c>
      <c r="U142" s="23">
        <v>0.2</v>
      </c>
      <c r="V142" s="23">
        <v>0</v>
      </c>
      <c r="W142" s="23">
        <v>0.2</v>
      </c>
      <c r="X142" s="23"/>
      <c r="Y142" s="23"/>
      <c r="Z142" s="23">
        <v>0.21</v>
      </c>
      <c r="AA142" s="23">
        <v>50</v>
      </c>
      <c r="AB142" s="23">
        <v>8</v>
      </c>
      <c r="AC142" s="23">
        <v>7.0000000000000007E-2</v>
      </c>
      <c r="AD142" s="23">
        <v>0.06</v>
      </c>
      <c r="AE142" s="23">
        <v>0</v>
      </c>
      <c r="AF142" s="23">
        <v>1512</v>
      </c>
      <c r="AG142" s="23">
        <v>126</v>
      </c>
      <c r="AH142" s="23">
        <v>252</v>
      </c>
      <c r="AI142" s="23"/>
      <c r="AJ142" s="23">
        <v>0</v>
      </c>
      <c r="AK142" s="65">
        <v>902</v>
      </c>
      <c r="AL142" s="65">
        <v>9</v>
      </c>
    </row>
    <row r="143" spans="1:38">
      <c r="A143" s="38">
        <v>723</v>
      </c>
      <c r="B143" s="16" t="s">
        <v>325</v>
      </c>
      <c r="C143" s="16" t="s">
        <v>566</v>
      </c>
      <c r="D143" s="38">
        <v>13011</v>
      </c>
      <c r="E143" s="16" t="s">
        <v>592</v>
      </c>
      <c r="F143" s="16"/>
      <c r="G143" s="23">
        <v>17.000000000000004</v>
      </c>
      <c r="H143" s="23">
        <v>7</v>
      </c>
      <c r="I143" s="23">
        <v>4</v>
      </c>
      <c r="J143" s="23">
        <v>81.900000000000006</v>
      </c>
      <c r="K143" s="23">
        <v>2.9</v>
      </c>
      <c r="L143" s="23">
        <v>3.3</v>
      </c>
      <c r="M143" s="23">
        <v>0.7</v>
      </c>
      <c r="N143" s="23">
        <v>3.5</v>
      </c>
      <c r="O143" s="23">
        <v>0</v>
      </c>
      <c r="P143" s="23"/>
      <c r="Q143" s="23">
        <v>7.7</v>
      </c>
      <c r="R143" s="23">
        <v>57</v>
      </c>
      <c r="S143" s="23">
        <v>57.3</v>
      </c>
      <c r="T143" s="23">
        <v>115</v>
      </c>
      <c r="U143" s="23">
        <v>6.6</v>
      </c>
      <c r="V143" s="23">
        <v>0</v>
      </c>
      <c r="W143" s="23">
        <v>6.6</v>
      </c>
      <c r="X143" s="23"/>
      <c r="Y143" s="23"/>
      <c r="Z143" s="23">
        <v>0.54</v>
      </c>
      <c r="AA143" s="23">
        <v>62</v>
      </c>
      <c r="AB143" s="23">
        <v>35.9</v>
      </c>
      <c r="AC143" s="23">
        <v>0.3</v>
      </c>
      <c r="AD143" s="23">
        <v>0.1</v>
      </c>
      <c r="AE143" s="23">
        <v>0</v>
      </c>
      <c r="AF143" s="23">
        <v>3810</v>
      </c>
      <c r="AG143" s="23">
        <v>317</v>
      </c>
      <c r="AH143" s="23">
        <v>635</v>
      </c>
      <c r="AI143" s="23"/>
      <c r="AJ143" s="23">
        <v>0</v>
      </c>
      <c r="AK143" s="65">
        <v>901</v>
      </c>
      <c r="AL143" s="65">
        <v>9</v>
      </c>
    </row>
    <row r="144" spans="1:38">
      <c r="A144" s="38">
        <v>724</v>
      </c>
      <c r="B144" s="16" t="s">
        <v>326</v>
      </c>
      <c r="C144" s="16" t="s">
        <v>566</v>
      </c>
      <c r="D144" s="38">
        <v>2017</v>
      </c>
      <c r="E144" s="16" t="s">
        <v>547</v>
      </c>
      <c r="F144" s="16"/>
      <c r="G144" s="23">
        <v>23</v>
      </c>
      <c r="H144" s="23">
        <v>7</v>
      </c>
      <c r="I144" s="23">
        <v>5</v>
      </c>
      <c r="J144" s="23">
        <v>93.1</v>
      </c>
      <c r="K144" s="23">
        <v>0.8</v>
      </c>
      <c r="L144" s="23">
        <v>0.7</v>
      </c>
      <c r="M144" s="23">
        <v>0.2</v>
      </c>
      <c r="N144" s="23">
        <v>1.7</v>
      </c>
      <c r="O144" s="23">
        <v>0</v>
      </c>
      <c r="P144" s="23"/>
      <c r="Q144" s="23">
        <v>3.6</v>
      </c>
      <c r="R144" s="23">
        <v>22</v>
      </c>
      <c r="S144" s="23">
        <v>22.4</v>
      </c>
      <c r="T144" s="23">
        <v>34</v>
      </c>
      <c r="U144" s="23">
        <v>0.5</v>
      </c>
      <c r="V144" s="23">
        <v>0</v>
      </c>
      <c r="W144" s="23">
        <v>0.5</v>
      </c>
      <c r="X144" s="23"/>
      <c r="Y144" s="23"/>
      <c r="Z144" s="23">
        <v>0.2</v>
      </c>
      <c r="AA144" s="23">
        <v>15</v>
      </c>
      <c r="AB144" s="23">
        <v>23</v>
      </c>
      <c r="AC144" s="23">
        <v>0.04</v>
      </c>
      <c r="AD144" s="23">
        <v>0.04</v>
      </c>
      <c r="AE144" s="23">
        <v>0</v>
      </c>
      <c r="AF144" s="23">
        <v>0</v>
      </c>
      <c r="AG144" s="23">
        <v>0</v>
      </c>
      <c r="AH144" s="23">
        <v>0</v>
      </c>
      <c r="AI144" s="23"/>
      <c r="AJ144" s="23">
        <v>0</v>
      </c>
      <c r="AK144" s="65">
        <v>903</v>
      </c>
      <c r="AL144" s="65">
        <v>9</v>
      </c>
    </row>
    <row r="145" spans="1:38">
      <c r="A145" s="38">
        <v>725</v>
      </c>
      <c r="B145" s="16" t="s">
        <v>327</v>
      </c>
      <c r="C145" s="16" t="s">
        <v>566</v>
      </c>
      <c r="D145" s="38">
        <v>2004</v>
      </c>
      <c r="E145" s="16" t="s">
        <v>593</v>
      </c>
      <c r="F145" s="16"/>
      <c r="G145" s="23">
        <v>50</v>
      </c>
      <c r="H145" s="23">
        <v>2</v>
      </c>
      <c r="I145" s="23">
        <v>5</v>
      </c>
      <c r="J145" s="23">
        <v>73.599999999999994</v>
      </c>
      <c r="K145" s="23">
        <v>0.9</v>
      </c>
      <c r="L145" s="23">
        <v>1.4</v>
      </c>
      <c r="M145" s="23">
        <v>0.4</v>
      </c>
      <c r="N145" s="23">
        <v>3.6</v>
      </c>
      <c r="O145" s="23">
        <v>0</v>
      </c>
      <c r="P145" s="23"/>
      <c r="Q145" s="23">
        <v>20.100000000000001</v>
      </c>
      <c r="R145" s="23">
        <v>97</v>
      </c>
      <c r="S145" s="23">
        <v>96.800000000000011</v>
      </c>
      <c r="T145" s="23">
        <v>7</v>
      </c>
      <c r="U145" s="23">
        <v>0.8</v>
      </c>
      <c r="V145" s="23">
        <v>0</v>
      </c>
      <c r="W145" s="23">
        <v>0.8</v>
      </c>
      <c r="X145" s="23"/>
      <c r="Y145" s="23"/>
      <c r="Z145" s="23">
        <v>0.23</v>
      </c>
      <c r="AA145" s="23">
        <v>19</v>
      </c>
      <c r="AB145" s="23">
        <v>23.3</v>
      </c>
      <c r="AC145" s="23">
        <v>0.06</v>
      </c>
      <c r="AD145" s="23">
        <v>0.04</v>
      </c>
      <c r="AE145" s="23">
        <v>0</v>
      </c>
      <c r="AF145" s="23">
        <v>3</v>
      </c>
      <c r="AG145" s="23">
        <v>0</v>
      </c>
      <c r="AH145" s="23">
        <v>1</v>
      </c>
      <c r="AI145" s="23"/>
      <c r="AJ145" s="23">
        <v>0</v>
      </c>
      <c r="AK145" s="65">
        <v>206</v>
      </c>
      <c r="AL145" s="65">
        <v>2</v>
      </c>
    </row>
    <row r="146" spans="1:38">
      <c r="A146" s="38">
        <v>726</v>
      </c>
      <c r="B146" s="16" t="s">
        <v>328</v>
      </c>
      <c r="C146" s="16" t="s">
        <v>566</v>
      </c>
      <c r="D146" s="38">
        <v>4037</v>
      </c>
      <c r="E146" s="16" t="s">
        <v>539</v>
      </c>
      <c r="F146" s="16"/>
      <c r="G146" s="23">
        <v>0</v>
      </c>
      <c r="H146" s="23">
        <v>7</v>
      </c>
      <c r="I146" s="23">
        <v>5</v>
      </c>
      <c r="J146" s="23">
        <v>94</v>
      </c>
      <c r="K146" s="23">
        <v>0.5</v>
      </c>
      <c r="L146" s="23">
        <v>1</v>
      </c>
      <c r="M146" s="23">
        <v>0.1</v>
      </c>
      <c r="N146" s="23">
        <v>1.3</v>
      </c>
      <c r="O146" s="23">
        <v>0</v>
      </c>
      <c r="P146" s="23"/>
      <c r="Q146" s="23">
        <v>3.1</v>
      </c>
      <c r="R146" s="23">
        <v>20</v>
      </c>
      <c r="S146" s="23">
        <v>19.899999999999999</v>
      </c>
      <c r="T146" s="23">
        <v>22</v>
      </c>
      <c r="U146" s="23">
        <v>0.6</v>
      </c>
      <c r="V146" s="23">
        <v>0</v>
      </c>
      <c r="W146" s="23">
        <v>0.6</v>
      </c>
      <c r="X146" s="23"/>
      <c r="Y146" s="23"/>
      <c r="Z146" s="23">
        <v>0.16</v>
      </c>
      <c r="AA146" s="23">
        <v>26</v>
      </c>
      <c r="AB146" s="23">
        <v>6</v>
      </c>
      <c r="AC146" s="23">
        <v>0</v>
      </c>
      <c r="AD146" s="23">
        <v>0</v>
      </c>
      <c r="AE146" s="23">
        <v>0</v>
      </c>
      <c r="AF146" s="23">
        <v>334</v>
      </c>
      <c r="AG146" s="23">
        <v>28</v>
      </c>
      <c r="AH146" s="23">
        <v>56</v>
      </c>
      <c r="AI146" s="23"/>
      <c r="AJ146" s="23">
        <v>0</v>
      </c>
      <c r="AK146" s="65">
        <v>905</v>
      </c>
      <c r="AL146" s="65">
        <v>9</v>
      </c>
    </row>
    <row r="147" spans="1:38">
      <c r="A147" s="38">
        <v>727</v>
      </c>
      <c r="B147" s="16" t="s">
        <v>329</v>
      </c>
      <c r="C147" s="16" t="s">
        <v>607</v>
      </c>
      <c r="D147" s="38">
        <v>11579</v>
      </c>
      <c r="E147" s="16" t="s">
        <v>706</v>
      </c>
      <c r="F147" s="16"/>
      <c r="G147" s="23">
        <v>0</v>
      </c>
      <c r="H147" s="23">
        <v>7</v>
      </c>
      <c r="I147" s="23">
        <v>5</v>
      </c>
      <c r="J147" s="23">
        <v>90.24</v>
      </c>
      <c r="K147" s="23">
        <v>0.96</v>
      </c>
      <c r="L147" s="23">
        <v>1.42</v>
      </c>
      <c r="M147" s="23">
        <v>0.25</v>
      </c>
      <c r="N147" s="23">
        <v>3.8</v>
      </c>
      <c r="O147" s="23">
        <v>0</v>
      </c>
      <c r="P147" s="23">
        <v>7.13</v>
      </c>
      <c r="Q147" s="23">
        <v>3.3300000000000045</v>
      </c>
      <c r="R147" s="23">
        <v>36</v>
      </c>
      <c r="S147" s="23">
        <v>28.850000000000016</v>
      </c>
      <c r="T147" s="23">
        <v>21</v>
      </c>
      <c r="U147" s="23">
        <v>0.65</v>
      </c>
      <c r="V147" s="23">
        <v>0</v>
      </c>
      <c r="W147" s="23">
        <v>0.65</v>
      </c>
      <c r="X147" s="23"/>
      <c r="Y147" s="23"/>
      <c r="Z147" s="23">
        <v>0.51</v>
      </c>
      <c r="AA147" s="23">
        <v>18</v>
      </c>
      <c r="AB147" s="23">
        <v>3.8</v>
      </c>
      <c r="AC147" s="23">
        <v>3.4000000000000002E-2</v>
      </c>
      <c r="AD147" s="23">
        <v>0.04</v>
      </c>
      <c r="AE147" s="23">
        <v>0</v>
      </c>
      <c r="AF147" s="23">
        <v>0</v>
      </c>
      <c r="AG147" s="23">
        <v>0</v>
      </c>
      <c r="AH147" s="23">
        <v>0</v>
      </c>
      <c r="AI147" s="23"/>
      <c r="AJ147" s="23">
        <v>0</v>
      </c>
      <c r="AK147" s="65">
        <v>906</v>
      </c>
      <c r="AL147" s="65">
        <v>9</v>
      </c>
    </row>
    <row r="148" spans="1:38">
      <c r="A148" s="38">
        <v>801</v>
      </c>
      <c r="B148" s="16" t="s">
        <v>330</v>
      </c>
      <c r="C148" s="16" t="s">
        <v>566</v>
      </c>
      <c r="D148" s="38">
        <v>2009</v>
      </c>
      <c r="E148" s="16" t="s">
        <v>540</v>
      </c>
      <c r="F148" s="16"/>
      <c r="G148" s="23">
        <v>15.000000000000002</v>
      </c>
      <c r="H148" s="23">
        <v>2</v>
      </c>
      <c r="I148" s="23">
        <v>2</v>
      </c>
      <c r="J148" s="23">
        <v>72.099999999999994</v>
      </c>
      <c r="K148" s="23">
        <v>1</v>
      </c>
      <c r="L148" s="23">
        <v>2.4</v>
      </c>
      <c r="M148" s="23">
        <v>0.1</v>
      </c>
      <c r="N148" s="23">
        <v>1.68</v>
      </c>
      <c r="O148" s="23">
        <v>0</v>
      </c>
      <c r="P148" s="23"/>
      <c r="Q148" s="23">
        <v>22.7</v>
      </c>
      <c r="R148" s="23">
        <v>105</v>
      </c>
      <c r="S148" s="23">
        <v>104.66</v>
      </c>
      <c r="T148" s="23">
        <v>9</v>
      </c>
      <c r="U148" s="23">
        <v>1.4</v>
      </c>
      <c r="V148" s="23">
        <v>0</v>
      </c>
      <c r="W148" s="23">
        <v>1.4</v>
      </c>
      <c r="X148" s="23"/>
      <c r="Y148" s="23"/>
      <c r="Z148" s="23">
        <v>0.32</v>
      </c>
      <c r="AA148" s="23">
        <v>53</v>
      </c>
      <c r="AB148" s="23">
        <v>6.6</v>
      </c>
      <c r="AC148" s="23">
        <v>7.0000000000000007E-2</v>
      </c>
      <c r="AD148" s="23">
        <v>0.04</v>
      </c>
      <c r="AE148" s="23">
        <v>0</v>
      </c>
      <c r="AF148" s="23">
        <v>0</v>
      </c>
      <c r="AG148" s="23">
        <v>0</v>
      </c>
      <c r="AH148" s="23">
        <v>0</v>
      </c>
      <c r="AI148" s="23"/>
      <c r="AJ148" s="23">
        <v>0</v>
      </c>
      <c r="AK148" s="65">
        <v>201</v>
      </c>
      <c r="AL148" s="65">
        <v>2</v>
      </c>
    </row>
    <row r="149" spans="1:38">
      <c r="A149" s="38">
        <v>802</v>
      </c>
      <c r="B149" s="16" t="s">
        <v>331</v>
      </c>
      <c r="C149" s="16" t="s">
        <v>553</v>
      </c>
      <c r="D149" s="38"/>
      <c r="E149" s="16"/>
      <c r="F149" s="16"/>
      <c r="G149" s="23">
        <v>13.33</v>
      </c>
      <c r="H149" s="23">
        <v>2</v>
      </c>
      <c r="I149" s="23">
        <v>3</v>
      </c>
      <c r="J149" s="23">
        <v>75.833333333333329</v>
      </c>
      <c r="K149" s="23">
        <v>1.0666666666666667</v>
      </c>
      <c r="L149" s="23">
        <v>1.7999999999999998</v>
      </c>
      <c r="M149" s="23">
        <v>0.3666666666666667</v>
      </c>
      <c r="N149" s="23">
        <v>3.6333333333333333</v>
      </c>
      <c r="O149" s="23">
        <v>0</v>
      </c>
      <c r="P149" s="23"/>
      <c r="Q149" s="23">
        <v>17.300000000000004</v>
      </c>
      <c r="R149" s="23">
        <v>86.966666666666654</v>
      </c>
      <c r="S149" s="23">
        <v>86.966666666666683</v>
      </c>
      <c r="T149" s="23">
        <v>21</v>
      </c>
      <c r="U149" s="23">
        <v>0.6333333333333333</v>
      </c>
      <c r="V149" s="23">
        <v>0</v>
      </c>
      <c r="W149" s="23">
        <v>0.6333333333333333</v>
      </c>
      <c r="X149" s="23"/>
      <c r="Y149" s="23"/>
      <c r="Z149" s="23">
        <v>0.3066666666666667</v>
      </c>
      <c r="AA149" s="23">
        <v>13.666666666666666</v>
      </c>
      <c r="AB149" s="23">
        <v>23.666666666666668</v>
      </c>
      <c r="AC149" s="23">
        <v>5.6666666666666671E-2</v>
      </c>
      <c r="AD149" s="23">
        <v>3.6666666666666667E-2</v>
      </c>
      <c r="AE149" s="23">
        <v>0</v>
      </c>
      <c r="AF149" s="23">
        <v>2103.6666666666665</v>
      </c>
      <c r="AG149" s="23">
        <v>175.30555555555554</v>
      </c>
      <c r="AH149" s="23">
        <v>350.61111111111109</v>
      </c>
      <c r="AI149" s="23"/>
      <c r="AJ149" s="23">
        <v>0</v>
      </c>
      <c r="AK149" s="65">
        <v>201</v>
      </c>
      <c r="AL149" s="65">
        <v>2</v>
      </c>
    </row>
    <row r="150" spans="1:38">
      <c r="A150" s="38">
        <v>803</v>
      </c>
      <c r="B150" s="16" t="s">
        <v>332</v>
      </c>
      <c r="C150" s="16" t="s">
        <v>566</v>
      </c>
      <c r="D150" s="38">
        <v>2002</v>
      </c>
      <c r="E150" s="16" t="s">
        <v>544</v>
      </c>
      <c r="F150" s="16"/>
      <c r="G150" s="23">
        <v>24</v>
      </c>
      <c r="H150" s="23">
        <v>2</v>
      </c>
      <c r="I150" s="23">
        <v>2</v>
      </c>
      <c r="J150" s="23">
        <v>70.900000000000006</v>
      </c>
      <c r="K150" s="23">
        <v>1.3</v>
      </c>
      <c r="L150" s="23">
        <v>3.2</v>
      </c>
      <c r="M150" s="23">
        <v>0.3</v>
      </c>
      <c r="N150" s="23">
        <v>1.3</v>
      </c>
      <c r="O150" s="23">
        <v>0</v>
      </c>
      <c r="P150" s="23"/>
      <c r="Q150" s="23">
        <v>22.3</v>
      </c>
      <c r="R150" s="23">
        <v>109</v>
      </c>
      <c r="S150" s="23">
        <v>107.30000000000001</v>
      </c>
      <c r="T150" s="23">
        <v>6</v>
      </c>
      <c r="U150" s="23">
        <v>1.1000000000000001</v>
      </c>
      <c r="V150" s="23">
        <v>0</v>
      </c>
      <c r="W150" s="23">
        <v>1.1000000000000001</v>
      </c>
      <c r="X150" s="23"/>
      <c r="Y150" s="23"/>
      <c r="Z150" s="23">
        <v>1</v>
      </c>
      <c r="AA150" s="23">
        <v>0</v>
      </c>
      <c r="AB150" s="23">
        <v>2</v>
      </c>
      <c r="AC150" s="23">
        <v>0.22</v>
      </c>
      <c r="AD150" s="23">
        <v>0.09</v>
      </c>
      <c r="AE150" s="23">
        <v>0</v>
      </c>
      <c r="AF150" s="23">
        <v>17</v>
      </c>
      <c r="AG150" s="23">
        <v>1</v>
      </c>
      <c r="AH150" s="23">
        <v>3</v>
      </c>
      <c r="AI150" s="23"/>
      <c r="AJ150" s="23">
        <v>0</v>
      </c>
      <c r="AK150" s="65">
        <v>205</v>
      </c>
      <c r="AL150" s="65">
        <v>2</v>
      </c>
    </row>
    <row r="151" spans="1:38">
      <c r="A151" s="38">
        <v>804</v>
      </c>
      <c r="B151" s="16" t="s">
        <v>333</v>
      </c>
      <c r="C151" s="16" t="s">
        <v>553</v>
      </c>
      <c r="D151" s="38"/>
      <c r="E151" s="16"/>
      <c r="F151" s="16"/>
      <c r="G151" s="23">
        <v>6</v>
      </c>
      <c r="H151" s="23">
        <v>2</v>
      </c>
      <c r="I151" s="23">
        <v>2</v>
      </c>
      <c r="J151" s="23">
        <v>59.75</v>
      </c>
      <c r="K151" s="23">
        <v>0.9</v>
      </c>
      <c r="L151" s="23">
        <v>1.4500000000000002</v>
      </c>
      <c r="M151" s="23">
        <v>0.25</v>
      </c>
      <c r="N151" s="23">
        <v>4.6500000000000004</v>
      </c>
      <c r="O151" s="23">
        <v>0</v>
      </c>
      <c r="P151" s="23"/>
      <c r="Q151" s="23">
        <v>33</v>
      </c>
      <c r="R151" s="23">
        <v>149.5</v>
      </c>
      <c r="S151" s="23">
        <v>149.35</v>
      </c>
      <c r="T151" s="23">
        <v>25.5</v>
      </c>
      <c r="U151" s="23">
        <v>0.75</v>
      </c>
      <c r="V151" s="23">
        <v>0</v>
      </c>
      <c r="W151" s="23">
        <v>0.75</v>
      </c>
      <c r="X151" s="23"/>
      <c r="Y151" s="23"/>
      <c r="Z151" s="23">
        <v>0.34</v>
      </c>
      <c r="AA151" s="23">
        <v>27</v>
      </c>
      <c r="AB151" s="23">
        <v>39.5</v>
      </c>
      <c r="AC151" s="23">
        <v>0.16</v>
      </c>
      <c r="AD151" s="23">
        <v>0.02</v>
      </c>
      <c r="AE151" s="23">
        <v>0</v>
      </c>
      <c r="AF151" s="23">
        <v>369</v>
      </c>
      <c r="AG151" s="23">
        <v>30.75</v>
      </c>
      <c r="AH151" s="23">
        <v>61.5</v>
      </c>
      <c r="AI151" s="23"/>
      <c r="AJ151" s="23">
        <v>0</v>
      </c>
      <c r="AK151" s="65">
        <v>202</v>
      </c>
      <c r="AL151" s="65">
        <v>2</v>
      </c>
    </row>
    <row r="152" spans="1:38">
      <c r="A152" s="38">
        <v>805</v>
      </c>
      <c r="B152" s="16" t="s">
        <v>334</v>
      </c>
      <c r="C152" s="16" t="s">
        <v>561</v>
      </c>
      <c r="D152" s="38">
        <v>362</v>
      </c>
      <c r="E152" s="16" t="s">
        <v>621</v>
      </c>
      <c r="F152" s="16"/>
      <c r="G152" s="23">
        <v>0</v>
      </c>
      <c r="H152" s="23">
        <v>2</v>
      </c>
      <c r="I152" s="23">
        <v>2</v>
      </c>
      <c r="J152" s="23"/>
      <c r="K152" s="23"/>
      <c r="L152" s="23">
        <v>2.6</v>
      </c>
      <c r="M152" s="23">
        <v>0.7</v>
      </c>
      <c r="N152" s="23">
        <v>3.6</v>
      </c>
      <c r="O152" s="23">
        <v>0</v>
      </c>
      <c r="P152" s="23">
        <v>76.599999999999994</v>
      </c>
      <c r="Q152" s="23">
        <v>73</v>
      </c>
      <c r="R152" s="23">
        <v>314</v>
      </c>
      <c r="S152" s="23">
        <v>315.89999999999998</v>
      </c>
      <c r="T152" s="23">
        <v>46</v>
      </c>
      <c r="U152" s="23">
        <v>1.9</v>
      </c>
      <c r="V152" s="23">
        <v>0</v>
      </c>
      <c r="W152" s="23">
        <v>1.9</v>
      </c>
      <c r="X152" s="23"/>
      <c r="Y152" s="23"/>
      <c r="Z152" s="23">
        <v>0.7</v>
      </c>
      <c r="AA152" s="23">
        <v>36</v>
      </c>
      <c r="AB152" s="23">
        <v>72</v>
      </c>
      <c r="AC152" s="23">
        <v>0.3</v>
      </c>
      <c r="AD152" s="23">
        <v>0.1</v>
      </c>
      <c r="AE152" s="23">
        <v>0</v>
      </c>
      <c r="AF152" s="23">
        <v>168</v>
      </c>
      <c r="AG152" s="23">
        <v>14</v>
      </c>
      <c r="AH152" s="23">
        <v>28</v>
      </c>
      <c r="AI152" s="23"/>
      <c r="AJ152" s="23">
        <v>0</v>
      </c>
      <c r="AK152" s="65">
        <v>202</v>
      </c>
      <c r="AL152" s="65">
        <v>2</v>
      </c>
    </row>
    <row r="153" spans="1:38">
      <c r="A153" s="38">
        <v>806</v>
      </c>
      <c r="B153" s="16" t="s">
        <v>335</v>
      </c>
      <c r="C153" s="16" t="s">
        <v>566</v>
      </c>
      <c r="D153" s="38">
        <v>2019</v>
      </c>
      <c r="E153" s="16" t="s">
        <v>545</v>
      </c>
      <c r="F153" s="16"/>
      <c r="G153" s="23">
        <v>18.999999999999993</v>
      </c>
      <c r="H153" s="23">
        <v>2</v>
      </c>
      <c r="I153" s="23">
        <v>2</v>
      </c>
      <c r="J153" s="23">
        <v>69</v>
      </c>
      <c r="K153" s="23">
        <v>1.1000000000000001</v>
      </c>
      <c r="L153" s="23">
        <v>1.9</v>
      </c>
      <c r="M153" s="23">
        <v>0.2</v>
      </c>
      <c r="N153" s="23">
        <v>4.0999999999999996</v>
      </c>
      <c r="O153" s="23">
        <v>0</v>
      </c>
      <c r="P153" s="23"/>
      <c r="Q153" s="23">
        <v>23.7</v>
      </c>
      <c r="R153" s="23">
        <v>112</v>
      </c>
      <c r="S153" s="23">
        <v>112.4</v>
      </c>
      <c r="T153" s="23">
        <v>16</v>
      </c>
      <c r="U153" s="23">
        <v>0.8</v>
      </c>
      <c r="V153" s="23">
        <v>0</v>
      </c>
      <c r="W153" s="23">
        <v>0.8</v>
      </c>
      <c r="X153" s="23"/>
      <c r="Y153" s="23"/>
      <c r="Z153" s="23">
        <v>0.27</v>
      </c>
      <c r="AA153" s="23">
        <v>16</v>
      </c>
      <c r="AB153" s="23">
        <v>6</v>
      </c>
      <c r="AC153" s="23">
        <v>0.11</v>
      </c>
      <c r="AD153" s="23">
        <v>0.02</v>
      </c>
      <c r="AE153" s="23">
        <v>0</v>
      </c>
      <c r="AF153" s="23">
        <v>0</v>
      </c>
      <c r="AG153" s="23">
        <v>0</v>
      </c>
      <c r="AH153" s="23">
        <v>0</v>
      </c>
      <c r="AI153" s="23"/>
      <c r="AJ153" s="23">
        <v>0</v>
      </c>
      <c r="AK153" s="65">
        <v>204</v>
      </c>
      <c r="AL153" s="65">
        <v>2</v>
      </c>
    </row>
    <row r="154" spans="1:38">
      <c r="A154" s="38">
        <v>807</v>
      </c>
      <c r="B154" s="16" t="s">
        <v>336</v>
      </c>
      <c r="C154" s="16" t="s">
        <v>566</v>
      </c>
      <c r="D154" s="38">
        <v>2005</v>
      </c>
      <c r="E154" s="16" t="s">
        <v>546</v>
      </c>
      <c r="F154" s="16"/>
      <c r="G154" s="23">
        <v>15.000000000000002</v>
      </c>
      <c r="H154" s="23">
        <v>2</v>
      </c>
      <c r="I154" s="23">
        <v>2</v>
      </c>
      <c r="J154" s="23">
        <v>86.1</v>
      </c>
      <c r="K154" s="23">
        <v>1.4</v>
      </c>
      <c r="L154" s="23">
        <v>2.17</v>
      </c>
      <c r="M154" s="23">
        <v>0.1</v>
      </c>
      <c r="N154" s="23">
        <v>3.31</v>
      </c>
      <c r="O154" s="23">
        <v>0</v>
      </c>
      <c r="P154" s="23"/>
      <c r="Q154" s="23">
        <v>6.9</v>
      </c>
      <c r="R154" s="23">
        <v>44</v>
      </c>
      <c r="S154" s="23">
        <v>43.8</v>
      </c>
      <c r="T154" s="23">
        <v>13</v>
      </c>
      <c r="U154" s="23">
        <v>0.8</v>
      </c>
      <c r="V154" s="23">
        <v>0</v>
      </c>
      <c r="W154" s="23">
        <v>0.8</v>
      </c>
      <c r="X154" s="23"/>
      <c r="Y154" s="23"/>
      <c r="Z154" s="23">
        <v>0.55000000000000004</v>
      </c>
      <c r="AA154" s="23">
        <v>110</v>
      </c>
      <c r="AB154" s="23">
        <v>5.3</v>
      </c>
      <c r="AC154" s="23">
        <v>0.01</v>
      </c>
      <c r="AD154" s="23">
        <v>0.02</v>
      </c>
      <c r="AE154" s="23">
        <v>0</v>
      </c>
      <c r="AF154" s="23">
        <v>10</v>
      </c>
      <c r="AG154" s="23">
        <v>1</v>
      </c>
      <c r="AH154" s="23">
        <v>2</v>
      </c>
      <c r="AI154" s="23"/>
      <c r="AJ154" s="23">
        <v>0</v>
      </c>
      <c r="AK154" s="65">
        <v>205</v>
      </c>
      <c r="AL154" s="65">
        <v>2</v>
      </c>
    </row>
    <row r="155" spans="1:38">
      <c r="A155" s="38">
        <v>901</v>
      </c>
      <c r="B155" s="16" t="s">
        <v>337</v>
      </c>
      <c r="C155" s="16" t="s">
        <v>561</v>
      </c>
      <c r="D155" s="38">
        <v>466</v>
      </c>
      <c r="E155" s="16" t="s">
        <v>622</v>
      </c>
      <c r="F155" s="16"/>
      <c r="G155" s="23">
        <v>95</v>
      </c>
      <c r="H155" s="23">
        <v>3</v>
      </c>
      <c r="I155" s="23">
        <v>15</v>
      </c>
      <c r="J155" s="23"/>
      <c r="K155" s="23"/>
      <c r="L155" s="23">
        <v>0</v>
      </c>
      <c r="M155" s="23">
        <v>0</v>
      </c>
      <c r="N155" s="23">
        <v>0</v>
      </c>
      <c r="O155" s="23">
        <v>0</v>
      </c>
      <c r="P155" s="23">
        <v>6.8</v>
      </c>
      <c r="Q155" s="23">
        <v>6.8</v>
      </c>
      <c r="R155" s="23">
        <v>26</v>
      </c>
      <c r="S155" s="23">
        <v>27.2</v>
      </c>
      <c r="T155" s="23">
        <v>6</v>
      </c>
      <c r="U155" s="23">
        <v>0.1</v>
      </c>
      <c r="V155" s="23">
        <v>0</v>
      </c>
      <c r="W155" s="23">
        <v>0.1</v>
      </c>
      <c r="X155" s="23"/>
      <c r="Y155" s="23"/>
      <c r="Z155" s="23">
        <v>0</v>
      </c>
      <c r="AA155" s="23">
        <v>0</v>
      </c>
      <c r="AB155" s="23">
        <v>0</v>
      </c>
      <c r="AC155" s="23">
        <v>0</v>
      </c>
      <c r="AD155" s="23">
        <v>0</v>
      </c>
      <c r="AE155" s="23">
        <v>0</v>
      </c>
      <c r="AF155" s="23">
        <v>0</v>
      </c>
      <c r="AG155" s="23">
        <v>0</v>
      </c>
      <c r="AH155" s="23">
        <v>0</v>
      </c>
      <c r="AI155" s="23"/>
      <c r="AJ155" s="23">
        <v>0</v>
      </c>
      <c r="AK155" s="65">
        <v>1205</v>
      </c>
      <c r="AL155" s="65">
        <v>12</v>
      </c>
    </row>
    <row r="156" spans="1:38">
      <c r="A156" s="38">
        <v>902</v>
      </c>
      <c r="B156" s="16" t="s">
        <v>338</v>
      </c>
      <c r="C156" s="16" t="s">
        <v>566</v>
      </c>
      <c r="D156" s="38">
        <v>11003</v>
      </c>
      <c r="E156" s="16" t="s">
        <v>548</v>
      </c>
      <c r="F156" s="16"/>
      <c r="G156" s="23">
        <v>0</v>
      </c>
      <c r="H156" s="23">
        <v>3</v>
      </c>
      <c r="I156" s="23">
        <v>15</v>
      </c>
      <c r="J156" s="23">
        <v>0</v>
      </c>
      <c r="K156" s="23">
        <v>0</v>
      </c>
      <c r="L156" s="23">
        <v>0</v>
      </c>
      <c r="M156" s="23">
        <v>0</v>
      </c>
      <c r="N156" s="23">
        <v>0</v>
      </c>
      <c r="O156" s="23">
        <v>0</v>
      </c>
      <c r="P156" s="23"/>
      <c r="Q156" s="23">
        <v>100</v>
      </c>
      <c r="R156" s="23">
        <v>400</v>
      </c>
      <c r="S156" s="23">
        <v>400</v>
      </c>
      <c r="T156" s="23">
        <v>0</v>
      </c>
      <c r="U156" s="23">
        <v>0</v>
      </c>
      <c r="V156" s="23">
        <v>0</v>
      </c>
      <c r="W156" s="23">
        <v>0</v>
      </c>
      <c r="X156" s="23"/>
      <c r="Y156" s="23"/>
      <c r="Z156" s="23">
        <v>0</v>
      </c>
      <c r="AA156" s="23">
        <v>0</v>
      </c>
      <c r="AB156" s="23">
        <v>0</v>
      </c>
      <c r="AC156" s="23">
        <v>0</v>
      </c>
      <c r="AD156" s="23">
        <v>0</v>
      </c>
      <c r="AE156" s="23">
        <v>0</v>
      </c>
      <c r="AF156" s="23">
        <v>0</v>
      </c>
      <c r="AG156" s="23">
        <v>0</v>
      </c>
      <c r="AH156" s="23">
        <v>0</v>
      </c>
      <c r="AI156" s="23"/>
      <c r="AJ156" s="23">
        <v>0</v>
      </c>
      <c r="AK156" s="65">
        <v>1205</v>
      </c>
      <c r="AL156" s="65">
        <v>12</v>
      </c>
    </row>
    <row r="157" spans="1:38">
      <c r="A157" s="38">
        <v>903</v>
      </c>
      <c r="B157" s="16" t="s">
        <v>339</v>
      </c>
      <c r="C157" s="16" t="s">
        <v>566</v>
      </c>
      <c r="D157" s="38">
        <v>11003</v>
      </c>
      <c r="E157" s="16" t="s">
        <v>548</v>
      </c>
      <c r="F157" s="16"/>
      <c r="G157" s="23">
        <v>0</v>
      </c>
      <c r="H157" s="23">
        <v>3</v>
      </c>
      <c r="I157" s="23">
        <v>15</v>
      </c>
      <c r="J157" s="23">
        <v>0</v>
      </c>
      <c r="K157" s="23">
        <v>0</v>
      </c>
      <c r="L157" s="23">
        <v>0</v>
      </c>
      <c r="M157" s="23">
        <v>0</v>
      </c>
      <c r="N157" s="23">
        <v>0</v>
      </c>
      <c r="O157" s="23">
        <v>0</v>
      </c>
      <c r="P157" s="23"/>
      <c r="Q157" s="23">
        <v>100</v>
      </c>
      <c r="R157" s="23">
        <v>400</v>
      </c>
      <c r="S157" s="23">
        <v>400</v>
      </c>
      <c r="T157" s="23">
        <v>0</v>
      </c>
      <c r="U157" s="23">
        <v>0</v>
      </c>
      <c r="V157" s="23">
        <v>0</v>
      </c>
      <c r="W157" s="23">
        <v>0</v>
      </c>
      <c r="X157" s="23"/>
      <c r="Y157" s="23"/>
      <c r="Z157" s="23">
        <v>0</v>
      </c>
      <c r="AA157" s="23">
        <v>0</v>
      </c>
      <c r="AB157" s="23">
        <v>0</v>
      </c>
      <c r="AC157" s="23">
        <v>0</v>
      </c>
      <c r="AD157" s="23">
        <v>0</v>
      </c>
      <c r="AE157" s="23">
        <v>0</v>
      </c>
      <c r="AF157" s="23">
        <v>0</v>
      </c>
      <c r="AG157" s="23">
        <v>0</v>
      </c>
      <c r="AH157" s="23">
        <v>0</v>
      </c>
      <c r="AI157" s="23"/>
      <c r="AJ157" s="23">
        <v>0</v>
      </c>
      <c r="AK157" s="65">
        <v>1205</v>
      </c>
      <c r="AL157" s="65">
        <v>12</v>
      </c>
    </row>
    <row r="158" spans="1:38">
      <c r="A158" s="38">
        <v>904</v>
      </c>
      <c r="B158" s="16" t="s">
        <v>340</v>
      </c>
      <c r="C158" s="16" t="s">
        <v>696</v>
      </c>
      <c r="D158" s="38" t="s">
        <v>695</v>
      </c>
      <c r="E158" s="16" t="s">
        <v>694</v>
      </c>
      <c r="F158" s="16"/>
      <c r="G158" s="23">
        <v>0</v>
      </c>
      <c r="H158" s="23">
        <v>3</v>
      </c>
      <c r="I158" s="23">
        <v>15</v>
      </c>
      <c r="J158" s="23">
        <v>11.2</v>
      </c>
      <c r="K158" s="23">
        <v>1.92</v>
      </c>
      <c r="L158" s="23">
        <v>1.85</v>
      </c>
      <c r="M158" s="23">
        <v>0.16</v>
      </c>
      <c r="N158" s="23">
        <v>0</v>
      </c>
      <c r="O158" s="23">
        <v>0</v>
      </c>
      <c r="P158" s="23"/>
      <c r="Q158" s="23">
        <v>84.87</v>
      </c>
      <c r="R158" s="23">
        <v>353.7</v>
      </c>
      <c r="S158" s="23">
        <v>348.32</v>
      </c>
      <c r="T158" s="23">
        <v>107</v>
      </c>
      <c r="U158" s="23">
        <v>4.63</v>
      </c>
      <c r="V158" s="23">
        <v>0</v>
      </c>
      <c r="W158" s="23">
        <v>4.63</v>
      </c>
      <c r="X158" s="23"/>
      <c r="Y158" s="23"/>
      <c r="Z158" s="23">
        <v>0.45</v>
      </c>
      <c r="AA158" s="23">
        <v>0</v>
      </c>
      <c r="AB158" s="23">
        <v>0</v>
      </c>
      <c r="AC158" s="23">
        <v>0.04</v>
      </c>
      <c r="AD158" s="23">
        <v>0.01</v>
      </c>
      <c r="AE158" s="23">
        <v>0</v>
      </c>
      <c r="AF158" s="23">
        <v>0</v>
      </c>
      <c r="AG158" s="23">
        <v>0</v>
      </c>
      <c r="AH158" s="23">
        <v>0</v>
      </c>
      <c r="AI158" s="23"/>
      <c r="AJ158" s="23">
        <v>0</v>
      </c>
      <c r="AK158" s="65">
        <v>1205</v>
      </c>
      <c r="AL158" s="65">
        <v>12</v>
      </c>
    </row>
    <row r="159" spans="1:38">
      <c r="A159" s="38">
        <v>905</v>
      </c>
      <c r="B159" s="16" t="s">
        <v>341</v>
      </c>
      <c r="C159" s="16" t="s">
        <v>561</v>
      </c>
      <c r="D159" s="38">
        <v>610</v>
      </c>
      <c r="E159" s="16" t="s">
        <v>623</v>
      </c>
      <c r="F159" s="16"/>
      <c r="G159" s="23">
        <v>0</v>
      </c>
      <c r="H159" s="23">
        <v>3</v>
      </c>
      <c r="I159" s="23">
        <v>15</v>
      </c>
      <c r="J159" s="23"/>
      <c r="K159" s="23"/>
      <c r="L159" s="23">
        <v>0.4</v>
      </c>
      <c r="M159" s="23">
        <v>0</v>
      </c>
      <c r="N159" s="23">
        <v>0.8</v>
      </c>
      <c r="O159" s="23">
        <v>0</v>
      </c>
      <c r="P159" s="23">
        <v>69.3</v>
      </c>
      <c r="Q159" s="23">
        <v>68.5</v>
      </c>
      <c r="R159" s="23">
        <v>261</v>
      </c>
      <c r="S159" s="23">
        <v>277.2</v>
      </c>
      <c r="T159" s="23">
        <v>24</v>
      </c>
      <c r="U159" s="23">
        <v>1</v>
      </c>
      <c r="V159" s="23">
        <v>0</v>
      </c>
      <c r="W159" s="23">
        <v>1</v>
      </c>
      <c r="X159" s="23"/>
      <c r="Y159" s="23"/>
      <c r="Z159" s="23">
        <v>0.2</v>
      </c>
      <c r="AA159" s="23">
        <v>2</v>
      </c>
      <c r="AB159" s="23">
        <v>7</v>
      </c>
      <c r="AC159" s="23">
        <v>0</v>
      </c>
      <c r="AD159" s="23">
        <v>6.4100000000000004E-2</v>
      </c>
      <c r="AE159" s="23">
        <v>0</v>
      </c>
      <c r="AF159" s="23">
        <v>36</v>
      </c>
      <c r="AG159" s="23">
        <v>3</v>
      </c>
      <c r="AH159" s="23">
        <v>6</v>
      </c>
      <c r="AI159" s="23"/>
      <c r="AJ159" s="23">
        <v>0</v>
      </c>
      <c r="AK159" s="65">
        <v>1203</v>
      </c>
      <c r="AL159" s="65">
        <v>12</v>
      </c>
    </row>
    <row r="160" spans="1:38">
      <c r="A160" s="38">
        <v>906</v>
      </c>
      <c r="B160" s="16" t="s">
        <v>342</v>
      </c>
      <c r="C160" s="16" t="s">
        <v>607</v>
      </c>
      <c r="D160" s="38">
        <v>19297</v>
      </c>
      <c r="E160" s="16" t="s">
        <v>646</v>
      </c>
      <c r="F160" s="16"/>
      <c r="G160" s="23">
        <v>0</v>
      </c>
      <c r="H160" s="23">
        <v>3</v>
      </c>
      <c r="I160" s="23">
        <v>15</v>
      </c>
      <c r="J160" s="23">
        <v>30.47</v>
      </c>
      <c r="K160" s="23">
        <v>0.23</v>
      </c>
      <c r="L160" s="23">
        <v>0.37</v>
      </c>
      <c r="M160" s="23">
        <v>7.0000000000000007E-2</v>
      </c>
      <c r="N160" s="23">
        <v>1.1000000000000001</v>
      </c>
      <c r="O160" s="23">
        <v>0</v>
      </c>
      <c r="P160" s="23">
        <v>68.86</v>
      </c>
      <c r="Q160" s="23">
        <v>67.760000000000005</v>
      </c>
      <c r="R160" s="23">
        <v>278</v>
      </c>
      <c r="S160" s="23">
        <v>275.35000000000002</v>
      </c>
      <c r="T160" s="23">
        <v>20</v>
      </c>
      <c r="U160" s="23">
        <v>0.49</v>
      </c>
      <c r="V160" s="23">
        <v>0</v>
      </c>
      <c r="W160" s="23">
        <v>0.49</v>
      </c>
      <c r="X160" s="23"/>
      <c r="Y160" s="23"/>
      <c r="Z160" s="23">
        <v>0.06</v>
      </c>
      <c r="AA160" s="23">
        <v>11</v>
      </c>
      <c r="AB160" s="23">
        <v>8.8000000000000007</v>
      </c>
      <c r="AC160" s="23">
        <v>1.6E-2</v>
      </c>
      <c r="AD160" s="23">
        <v>7.5999999999999998E-2</v>
      </c>
      <c r="AE160" s="23">
        <v>0</v>
      </c>
      <c r="AF160" s="23">
        <v>0</v>
      </c>
      <c r="AG160" s="23">
        <v>0</v>
      </c>
      <c r="AH160" s="23">
        <v>0</v>
      </c>
      <c r="AI160" s="23"/>
      <c r="AJ160" s="23">
        <v>0</v>
      </c>
      <c r="AK160" s="65">
        <v>1203</v>
      </c>
      <c r="AL160" s="65">
        <v>12</v>
      </c>
    </row>
    <row r="161" spans="1:38">
      <c r="A161" s="38">
        <v>907</v>
      </c>
      <c r="B161" s="16" t="s">
        <v>343</v>
      </c>
      <c r="C161" s="16" t="s">
        <v>566</v>
      </c>
      <c r="D161" s="38">
        <v>11001</v>
      </c>
      <c r="E161" s="16" t="s">
        <v>594</v>
      </c>
      <c r="F161" s="16"/>
      <c r="G161" s="23">
        <v>0</v>
      </c>
      <c r="H161" s="23">
        <v>3</v>
      </c>
      <c r="I161" s="23">
        <v>15</v>
      </c>
      <c r="J161" s="23">
        <v>19.2</v>
      </c>
      <c r="K161" s="23">
        <v>0.3</v>
      </c>
      <c r="L161" s="23">
        <v>0.4</v>
      </c>
      <c r="M161" s="23">
        <v>0</v>
      </c>
      <c r="N161" s="23">
        <v>0</v>
      </c>
      <c r="O161" s="23">
        <v>0</v>
      </c>
      <c r="P161" s="23"/>
      <c r="Q161" s="23">
        <v>80.099999999999994</v>
      </c>
      <c r="R161" s="23">
        <v>322</v>
      </c>
      <c r="S161" s="23">
        <v>322</v>
      </c>
      <c r="T161" s="23">
        <v>11</v>
      </c>
      <c r="U161" s="23">
        <v>0.6</v>
      </c>
      <c r="V161" s="23">
        <v>0</v>
      </c>
      <c r="W161" s="23">
        <v>0.6</v>
      </c>
      <c r="X161" s="23"/>
      <c r="Y161" s="23"/>
      <c r="Z161" s="23">
        <v>3</v>
      </c>
      <c r="AA161" s="23">
        <v>0</v>
      </c>
      <c r="AB161" s="23">
        <v>0</v>
      </c>
      <c r="AC161" s="23">
        <v>0</v>
      </c>
      <c r="AD161" s="23">
        <v>0</v>
      </c>
      <c r="AE161" s="23">
        <v>0</v>
      </c>
      <c r="AF161" s="23">
        <v>0</v>
      </c>
      <c r="AG161" s="23">
        <v>0</v>
      </c>
      <c r="AH161" s="23">
        <v>0</v>
      </c>
      <c r="AI161" s="23"/>
      <c r="AJ161" s="23">
        <v>0</v>
      </c>
      <c r="AK161" s="65">
        <v>1205</v>
      </c>
      <c r="AL161" s="65">
        <v>12</v>
      </c>
    </row>
    <row r="162" spans="1:38">
      <c r="A162" s="38">
        <v>908</v>
      </c>
      <c r="B162" s="16" t="s">
        <v>344</v>
      </c>
      <c r="C162" s="16" t="s">
        <v>561</v>
      </c>
      <c r="D162" s="38">
        <v>455</v>
      </c>
      <c r="E162" s="16" t="s">
        <v>625</v>
      </c>
      <c r="F162" s="16"/>
      <c r="G162" s="23">
        <v>0</v>
      </c>
      <c r="H162" s="23">
        <v>3</v>
      </c>
      <c r="I162" s="23">
        <v>15</v>
      </c>
      <c r="J162" s="23"/>
      <c r="K162" s="23"/>
      <c r="L162" s="23">
        <v>4.2</v>
      </c>
      <c r="M162" s="23">
        <v>30</v>
      </c>
      <c r="N162" s="23">
        <v>5.9</v>
      </c>
      <c r="O162" s="23">
        <v>0</v>
      </c>
      <c r="P162" s="23">
        <v>63.1</v>
      </c>
      <c r="Q162" s="23">
        <v>57.2</v>
      </c>
      <c r="R162" s="23">
        <v>479</v>
      </c>
      <c r="S162" s="23">
        <v>527.40000000000009</v>
      </c>
      <c r="T162" s="23">
        <v>32</v>
      </c>
      <c r="U162" s="23">
        <v>3.1</v>
      </c>
      <c r="V162" s="23">
        <v>0</v>
      </c>
      <c r="W162" s="23">
        <v>3.1</v>
      </c>
      <c r="X162" s="23"/>
      <c r="Y162" s="23"/>
      <c r="Z162" s="23">
        <v>1.6</v>
      </c>
      <c r="AA162" s="23">
        <v>13</v>
      </c>
      <c r="AB162" s="23">
        <v>0</v>
      </c>
      <c r="AC162" s="23">
        <v>0.1</v>
      </c>
      <c r="AD162" s="23">
        <v>0.1</v>
      </c>
      <c r="AE162" s="23">
        <v>0</v>
      </c>
      <c r="AF162" s="23">
        <v>0</v>
      </c>
      <c r="AG162" s="23">
        <v>0</v>
      </c>
      <c r="AH162" s="23">
        <v>0</v>
      </c>
      <c r="AI162" s="23"/>
      <c r="AJ162" s="23">
        <v>0</v>
      </c>
      <c r="AK162" s="65">
        <v>1202</v>
      </c>
      <c r="AL162" s="65">
        <v>12</v>
      </c>
    </row>
    <row r="163" spans="1:38">
      <c r="A163" s="38">
        <v>909</v>
      </c>
      <c r="B163" s="16" t="s">
        <v>345</v>
      </c>
      <c r="C163" s="16" t="s">
        <v>607</v>
      </c>
      <c r="D163" s="38">
        <v>19074</v>
      </c>
      <c r="E163" s="16" t="s">
        <v>647</v>
      </c>
      <c r="F163" s="16"/>
      <c r="G163" s="23">
        <v>0</v>
      </c>
      <c r="H163" s="23">
        <v>3</v>
      </c>
      <c r="I163" s="23">
        <v>15</v>
      </c>
      <c r="J163" s="23">
        <v>8.5</v>
      </c>
      <c r="K163" s="23">
        <v>1.8</v>
      </c>
      <c r="L163" s="23">
        <v>4.5999999999999996</v>
      </c>
      <c r="M163" s="23">
        <v>8.1</v>
      </c>
      <c r="N163" s="23">
        <v>0</v>
      </c>
      <c r="O163" s="23">
        <v>0</v>
      </c>
      <c r="P163" s="23">
        <v>0</v>
      </c>
      <c r="Q163" s="23">
        <v>77.000000000000014</v>
      </c>
      <c r="R163" s="23">
        <v>382</v>
      </c>
      <c r="S163" s="23">
        <v>399.30000000000007</v>
      </c>
      <c r="T163" s="23">
        <v>138</v>
      </c>
      <c r="U163" s="23">
        <v>0.14000000000000001</v>
      </c>
      <c r="V163" s="23">
        <v>0</v>
      </c>
      <c r="W163" s="23">
        <v>0.14000000000000001</v>
      </c>
      <c r="X163" s="23"/>
      <c r="Y163" s="23"/>
      <c r="Z163" s="23">
        <v>0.44</v>
      </c>
      <c r="AA163" s="23">
        <v>4</v>
      </c>
      <c r="AB163" s="23">
        <v>0.4</v>
      </c>
      <c r="AC163" s="23">
        <v>0.10299999999999999</v>
      </c>
      <c r="AD163" s="23">
        <v>0.25600000000000001</v>
      </c>
      <c r="AE163" s="23">
        <v>11</v>
      </c>
      <c r="AF163" s="23">
        <v>2</v>
      </c>
      <c r="AG163" s="23">
        <v>11.166666666666666</v>
      </c>
      <c r="AH163" s="23">
        <v>11.333333333333334</v>
      </c>
      <c r="AI163" s="23"/>
      <c r="AJ163" s="23">
        <v>0.3</v>
      </c>
      <c r="AK163" s="65">
        <v>1204</v>
      </c>
      <c r="AL163" s="65">
        <v>12</v>
      </c>
    </row>
    <row r="164" spans="1:38">
      <c r="A164" s="38">
        <v>910</v>
      </c>
      <c r="B164" s="16" t="s">
        <v>346</v>
      </c>
      <c r="C164" s="16" t="s">
        <v>607</v>
      </c>
      <c r="D164" s="38">
        <v>19163</v>
      </c>
      <c r="E164" s="16" t="s">
        <v>648</v>
      </c>
      <c r="F164" s="16"/>
      <c r="G164" s="23">
        <v>0</v>
      </c>
      <c r="H164" s="23">
        <v>3</v>
      </c>
      <c r="I164" s="23">
        <v>15</v>
      </c>
      <c r="J164" s="23">
        <v>2.6</v>
      </c>
      <c r="K164" s="23">
        <v>0.4</v>
      </c>
      <c r="L164" s="23">
        <v>0</v>
      </c>
      <c r="M164" s="23">
        <v>0.3</v>
      </c>
      <c r="N164" s="23">
        <v>2.4</v>
      </c>
      <c r="O164" s="23">
        <v>0</v>
      </c>
      <c r="P164" s="23">
        <v>96.7</v>
      </c>
      <c r="Q164" s="23">
        <v>94.3</v>
      </c>
      <c r="R164" s="23">
        <v>360</v>
      </c>
      <c r="S164" s="23">
        <v>384.7</v>
      </c>
      <c r="T164" s="23">
        <v>0</v>
      </c>
      <c r="U164" s="23">
        <v>0</v>
      </c>
      <c r="V164" s="23">
        <v>0</v>
      </c>
      <c r="W164" s="23">
        <v>0</v>
      </c>
      <c r="X164" s="23"/>
      <c r="Y164" s="23"/>
      <c r="Z164" s="23">
        <v>0</v>
      </c>
      <c r="AA164" s="23">
        <v>0</v>
      </c>
      <c r="AB164" s="23">
        <v>0</v>
      </c>
      <c r="AC164" s="23">
        <v>0</v>
      </c>
      <c r="AD164" s="23">
        <v>0</v>
      </c>
      <c r="AE164" s="23">
        <v>0</v>
      </c>
      <c r="AF164" s="23">
        <v>0</v>
      </c>
      <c r="AG164" s="23">
        <v>0</v>
      </c>
      <c r="AH164" s="23">
        <v>0</v>
      </c>
      <c r="AI164" s="23"/>
      <c r="AJ164" s="23">
        <v>0</v>
      </c>
      <c r="AK164" s="65">
        <v>1204</v>
      </c>
      <c r="AL164" s="65">
        <v>12</v>
      </c>
    </row>
    <row r="165" spans="1:38">
      <c r="A165" s="38">
        <v>911</v>
      </c>
      <c r="B165" s="16" t="s">
        <v>347</v>
      </c>
      <c r="C165" s="16" t="s">
        <v>680</v>
      </c>
      <c r="D165" s="38"/>
      <c r="E165" s="16"/>
      <c r="F165" s="16"/>
      <c r="G165" s="23">
        <v>0</v>
      </c>
      <c r="H165" s="23">
        <v>3</v>
      </c>
      <c r="I165" s="23">
        <v>15</v>
      </c>
      <c r="J165" s="23"/>
      <c r="K165" s="23"/>
      <c r="L165" s="23">
        <v>4.2</v>
      </c>
      <c r="M165" s="23">
        <v>30</v>
      </c>
      <c r="N165" s="23">
        <v>5.9</v>
      </c>
      <c r="O165" s="23">
        <v>0</v>
      </c>
      <c r="P165" s="23">
        <v>63.1</v>
      </c>
      <c r="Q165" s="23">
        <v>57.2</v>
      </c>
      <c r="R165" s="23">
        <v>479</v>
      </c>
      <c r="S165" s="23">
        <v>527.40000000000009</v>
      </c>
      <c r="T165" s="23">
        <v>32</v>
      </c>
      <c r="U165" s="23">
        <v>3.1</v>
      </c>
      <c r="V165" s="23">
        <v>0</v>
      </c>
      <c r="W165" s="23">
        <v>3.1</v>
      </c>
      <c r="X165" s="23"/>
      <c r="Y165" s="23"/>
      <c r="Z165" s="23">
        <v>1.6</v>
      </c>
      <c r="AA165" s="23">
        <v>13</v>
      </c>
      <c r="AB165" s="23">
        <v>0</v>
      </c>
      <c r="AC165" s="23">
        <v>0.1</v>
      </c>
      <c r="AD165" s="23">
        <v>0.1</v>
      </c>
      <c r="AE165" s="23">
        <v>0</v>
      </c>
      <c r="AF165" s="23">
        <v>0</v>
      </c>
      <c r="AG165" s="23">
        <v>0</v>
      </c>
      <c r="AH165" s="23">
        <v>0</v>
      </c>
      <c r="AI165" s="23"/>
      <c r="AJ165" s="23">
        <v>0</v>
      </c>
      <c r="AK165" s="65">
        <v>1204</v>
      </c>
      <c r="AL165" s="65">
        <v>12</v>
      </c>
    </row>
    <row r="166" spans="1:38">
      <c r="A166" s="38">
        <v>1001</v>
      </c>
      <c r="B166" s="16" t="s">
        <v>348</v>
      </c>
      <c r="C166" s="16" t="s">
        <v>566</v>
      </c>
      <c r="D166" s="38">
        <v>13027</v>
      </c>
      <c r="E166" s="16" t="s">
        <v>595</v>
      </c>
      <c r="F166" s="16"/>
      <c r="G166" s="23">
        <v>0</v>
      </c>
      <c r="H166" s="23">
        <v>10</v>
      </c>
      <c r="I166" s="23">
        <v>16</v>
      </c>
      <c r="J166" s="23">
        <v>0.2</v>
      </c>
      <c r="K166" s="23">
        <v>99.8</v>
      </c>
      <c r="L166" s="23">
        <v>0</v>
      </c>
      <c r="M166" s="23">
        <v>0</v>
      </c>
      <c r="N166" s="23">
        <v>0</v>
      </c>
      <c r="O166" s="23">
        <v>0</v>
      </c>
      <c r="P166" s="23"/>
      <c r="Q166" s="23">
        <v>0</v>
      </c>
      <c r="R166" s="23">
        <v>0</v>
      </c>
      <c r="S166" s="23">
        <v>0</v>
      </c>
      <c r="T166" s="23">
        <v>32</v>
      </c>
      <c r="U166" s="23">
        <v>0.1</v>
      </c>
      <c r="V166" s="23">
        <v>0</v>
      </c>
      <c r="W166" s="23">
        <v>0.1</v>
      </c>
      <c r="X166" s="23"/>
      <c r="Y166" s="23"/>
      <c r="Z166" s="23">
        <v>0.1</v>
      </c>
      <c r="AA166" s="23">
        <v>0</v>
      </c>
      <c r="AB166" s="23">
        <v>0</v>
      </c>
      <c r="AC166" s="23">
        <v>0</v>
      </c>
      <c r="AD166" s="23">
        <v>0</v>
      </c>
      <c r="AE166" s="23">
        <v>0</v>
      </c>
      <c r="AF166" s="23">
        <v>0</v>
      </c>
      <c r="AG166" s="23">
        <v>0</v>
      </c>
      <c r="AH166" s="23">
        <v>0</v>
      </c>
      <c r="AI166" s="23"/>
      <c r="AJ166" s="23">
        <v>0</v>
      </c>
      <c r="AK166" s="65">
        <v>1302</v>
      </c>
      <c r="AL166" s="65">
        <v>13</v>
      </c>
    </row>
    <row r="167" spans="1:38">
      <c r="A167" s="38">
        <v>1002</v>
      </c>
      <c r="B167" s="16" t="s">
        <v>349</v>
      </c>
      <c r="C167" s="16" t="s">
        <v>566</v>
      </c>
      <c r="D167" s="38">
        <v>13003</v>
      </c>
      <c r="E167" s="16" t="s">
        <v>596</v>
      </c>
      <c r="F167" s="16"/>
      <c r="G167" s="23">
        <v>0</v>
      </c>
      <c r="H167" s="23">
        <v>10</v>
      </c>
      <c r="I167" s="23">
        <v>16</v>
      </c>
      <c r="J167" s="23">
        <v>0.3</v>
      </c>
      <c r="K167" s="23">
        <v>36.9</v>
      </c>
      <c r="L167" s="23">
        <v>0</v>
      </c>
      <c r="M167" s="23">
        <v>0</v>
      </c>
      <c r="N167" s="23">
        <v>0</v>
      </c>
      <c r="O167" s="23">
        <v>0</v>
      </c>
      <c r="P167" s="23"/>
      <c r="Q167" s="23">
        <v>0</v>
      </c>
      <c r="R167" s="23">
        <v>0</v>
      </c>
      <c r="S167" s="23">
        <v>0</v>
      </c>
      <c r="T167" s="23">
        <v>0</v>
      </c>
      <c r="U167" s="23">
        <v>0</v>
      </c>
      <c r="V167" s="23">
        <v>0</v>
      </c>
      <c r="W167" s="23">
        <v>0</v>
      </c>
      <c r="X167" s="23"/>
      <c r="Y167" s="23"/>
      <c r="Z167" s="23">
        <v>0</v>
      </c>
      <c r="AA167" s="23">
        <v>0</v>
      </c>
      <c r="AB167" s="23">
        <v>0</v>
      </c>
      <c r="AC167" s="23">
        <v>0</v>
      </c>
      <c r="AD167" s="23">
        <v>0</v>
      </c>
      <c r="AE167" s="23">
        <v>0</v>
      </c>
      <c r="AF167" s="23">
        <v>0</v>
      </c>
      <c r="AG167" s="23">
        <v>0</v>
      </c>
      <c r="AH167" s="23">
        <v>0</v>
      </c>
      <c r="AI167" s="23"/>
      <c r="AJ167" s="23">
        <v>0</v>
      </c>
      <c r="AK167" s="65">
        <v>1704</v>
      </c>
      <c r="AL167" s="65">
        <v>17</v>
      </c>
    </row>
    <row r="168" spans="1:38">
      <c r="A168" s="38">
        <v>1003</v>
      </c>
      <c r="B168" s="16" t="s">
        <v>350</v>
      </c>
      <c r="C168" s="16" t="s">
        <v>566</v>
      </c>
      <c r="D168" s="38">
        <v>13031</v>
      </c>
      <c r="E168" s="16" t="s">
        <v>549</v>
      </c>
      <c r="F168" s="16"/>
      <c r="G168" s="23">
        <v>0</v>
      </c>
      <c r="H168" s="23">
        <v>7</v>
      </c>
      <c r="I168" s="23">
        <v>5</v>
      </c>
      <c r="J168" s="23">
        <v>67.5</v>
      </c>
      <c r="K168" s="23">
        <v>3.4</v>
      </c>
      <c r="L168" s="23">
        <v>1.6</v>
      </c>
      <c r="M168" s="23">
        <v>0.2</v>
      </c>
      <c r="N168" s="23">
        <v>1.5</v>
      </c>
      <c r="O168" s="23">
        <v>0</v>
      </c>
      <c r="P168" s="23"/>
      <c r="Q168" s="23">
        <v>26.1</v>
      </c>
      <c r="R168" s="23">
        <v>115</v>
      </c>
      <c r="S168" s="23">
        <v>115.60000000000001</v>
      </c>
      <c r="T168" s="23">
        <v>13</v>
      </c>
      <c r="U168" s="23">
        <v>0.7</v>
      </c>
      <c r="V168" s="23">
        <v>0</v>
      </c>
      <c r="W168" s="23">
        <v>0.7</v>
      </c>
      <c r="X168" s="23"/>
      <c r="Y168" s="23"/>
      <c r="Z168" s="23">
        <v>0.18</v>
      </c>
      <c r="AA168" s="23">
        <v>16</v>
      </c>
      <c r="AB168" s="23">
        <v>0</v>
      </c>
      <c r="AC168" s="23">
        <v>0</v>
      </c>
      <c r="AD168" s="23">
        <v>0.1</v>
      </c>
      <c r="AE168" s="23">
        <v>0</v>
      </c>
      <c r="AF168" s="23">
        <v>260</v>
      </c>
      <c r="AG168" s="23">
        <v>22</v>
      </c>
      <c r="AH168" s="23">
        <v>43</v>
      </c>
      <c r="AI168" s="23"/>
      <c r="AJ168" s="23">
        <v>0</v>
      </c>
      <c r="AK168" s="65">
        <v>1302</v>
      </c>
      <c r="AL168" s="65">
        <v>13</v>
      </c>
    </row>
    <row r="169" spans="1:38">
      <c r="A169" s="38">
        <v>1004</v>
      </c>
      <c r="B169" s="16" t="s">
        <v>351</v>
      </c>
      <c r="C169" s="16" t="s">
        <v>561</v>
      </c>
      <c r="D169" s="38">
        <v>481</v>
      </c>
      <c r="E169" s="16" t="s">
        <v>626</v>
      </c>
      <c r="F169" s="16"/>
      <c r="G169" s="23">
        <v>0</v>
      </c>
      <c r="H169" s="23">
        <v>10</v>
      </c>
      <c r="I169" s="23">
        <v>16</v>
      </c>
      <c r="J169" s="23"/>
      <c r="K169" s="23"/>
      <c r="L169" s="23">
        <v>0.5</v>
      </c>
      <c r="M169" s="23">
        <v>0.1</v>
      </c>
      <c r="N169" s="23">
        <v>0.6</v>
      </c>
      <c r="O169" s="23">
        <v>0</v>
      </c>
      <c r="P169" s="23">
        <v>38.299999999999997</v>
      </c>
      <c r="Q169" s="23">
        <v>37.699999999999996</v>
      </c>
      <c r="R169" s="23">
        <v>169.9</v>
      </c>
      <c r="S169" s="23">
        <v>154.89999999999998</v>
      </c>
      <c r="T169" s="23">
        <v>6.9</v>
      </c>
      <c r="U169" s="23">
        <v>0.4</v>
      </c>
      <c r="V169" s="23">
        <v>0</v>
      </c>
      <c r="W169" s="23">
        <v>0.4</v>
      </c>
      <c r="X169" s="23"/>
      <c r="Y169" s="23"/>
      <c r="Z169" s="23">
        <v>0.1</v>
      </c>
      <c r="AA169" s="23">
        <v>18</v>
      </c>
      <c r="AB169" s="23">
        <v>0</v>
      </c>
      <c r="AC169" s="23">
        <v>0.1</v>
      </c>
      <c r="AD169" s="23">
        <v>0.2</v>
      </c>
      <c r="AE169" s="23">
        <v>0</v>
      </c>
      <c r="AF169" s="23">
        <v>0</v>
      </c>
      <c r="AG169" s="23">
        <v>0</v>
      </c>
      <c r="AH169" s="23">
        <v>0</v>
      </c>
      <c r="AI169" s="23"/>
      <c r="AJ169" s="23">
        <v>0</v>
      </c>
      <c r="AK169" s="65">
        <v>1302</v>
      </c>
      <c r="AL169" s="65">
        <v>13</v>
      </c>
    </row>
    <row r="170" spans="1:38">
      <c r="A170" s="38">
        <v>1005</v>
      </c>
      <c r="B170" s="16" t="s">
        <v>352</v>
      </c>
      <c r="C170" s="16" t="s">
        <v>607</v>
      </c>
      <c r="D170" s="38">
        <v>2034</v>
      </c>
      <c r="E170" s="16" t="s">
        <v>649</v>
      </c>
      <c r="F170" s="16"/>
      <c r="G170" s="23">
        <v>0</v>
      </c>
      <c r="H170" s="23">
        <v>10</v>
      </c>
      <c r="I170" s="23">
        <v>16</v>
      </c>
      <c r="J170" s="23">
        <v>9.31</v>
      </c>
      <c r="K170" s="23">
        <v>5.92</v>
      </c>
      <c r="L170" s="23">
        <v>9.59</v>
      </c>
      <c r="M170" s="23">
        <v>7.53</v>
      </c>
      <c r="N170" s="23">
        <v>11.3</v>
      </c>
      <c r="O170" s="23">
        <v>0</v>
      </c>
      <c r="P170" s="23">
        <v>65.59</v>
      </c>
      <c r="Q170" s="23">
        <v>56.349999999999994</v>
      </c>
      <c r="R170" s="23">
        <v>307</v>
      </c>
      <c r="S170" s="23">
        <v>354.13</v>
      </c>
      <c r="T170" s="23">
        <v>996</v>
      </c>
      <c r="U170" s="23">
        <v>35.299999999999997</v>
      </c>
      <c r="V170" s="23">
        <v>0</v>
      </c>
      <c r="W170" s="23">
        <v>35.299999999999997</v>
      </c>
      <c r="X170" s="23"/>
      <c r="Y170" s="23"/>
      <c r="Z170" s="23">
        <v>3.14</v>
      </c>
      <c r="AA170" s="23">
        <v>138</v>
      </c>
      <c r="AB170" s="23">
        <v>12</v>
      </c>
      <c r="AC170" s="23">
        <v>0.26400000000000001</v>
      </c>
      <c r="AD170" s="23">
        <v>0.191</v>
      </c>
      <c r="AE170" s="23">
        <v>0</v>
      </c>
      <c r="AF170" s="23">
        <v>1568</v>
      </c>
      <c r="AG170" s="23">
        <v>130.66666666666666</v>
      </c>
      <c r="AH170" s="23">
        <v>261.33333333333331</v>
      </c>
      <c r="AI170" s="23"/>
      <c r="AJ170" s="23">
        <v>0</v>
      </c>
      <c r="AK170" s="65">
        <v>1302</v>
      </c>
      <c r="AL170" s="65">
        <v>13</v>
      </c>
    </row>
    <row r="171" spans="1:38">
      <c r="A171" s="38">
        <v>1006</v>
      </c>
      <c r="B171" s="16" t="s">
        <v>353</v>
      </c>
      <c r="C171" s="16" t="s">
        <v>566</v>
      </c>
      <c r="D171" s="38">
        <v>13018</v>
      </c>
      <c r="E171" s="16" t="s">
        <v>597</v>
      </c>
      <c r="F171" s="16"/>
      <c r="G171" s="23">
        <v>0</v>
      </c>
      <c r="H171" s="23">
        <v>10</v>
      </c>
      <c r="I171" s="23">
        <v>16</v>
      </c>
      <c r="J171" s="23">
        <v>10.1</v>
      </c>
      <c r="K171" s="23">
        <v>5.6</v>
      </c>
      <c r="L171" s="23">
        <v>15.6</v>
      </c>
      <c r="M171" s="23">
        <v>15.1</v>
      </c>
      <c r="N171" s="23">
        <v>22.6</v>
      </c>
      <c r="O171" s="23">
        <v>0</v>
      </c>
      <c r="P171" s="23"/>
      <c r="Q171" s="23">
        <v>31</v>
      </c>
      <c r="R171" s="23">
        <v>368</v>
      </c>
      <c r="S171" s="23">
        <v>367.5</v>
      </c>
      <c r="T171" s="23">
        <v>760</v>
      </c>
      <c r="U171" s="23">
        <v>32.6</v>
      </c>
      <c r="V171" s="23">
        <v>0</v>
      </c>
      <c r="W171" s="23">
        <v>32.6</v>
      </c>
      <c r="X171" s="23"/>
      <c r="Y171" s="23"/>
      <c r="Z171" s="23">
        <v>3.8</v>
      </c>
      <c r="AA171" s="23">
        <v>0</v>
      </c>
      <c r="AB171" s="23">
        <v>0</v>
      </c>
      <c r="AC171" s="23">
        <v>0.35</v>
      </c>
      <c r="AD171" s="23">
        <v>0.33</v>
      </c>
      <c r="AE171" s="23">
        <v>0</v>
      </c>
      <c r="AF171" s="23">
        <v>340</v>
      </c>
      <c r="AG171" s="23">
        <v>28</v>
      </c>
      <c r="AH171" s="23">
        <v>57</v>
      </c>
      <c r="AI171" s="23"/>
      <c r="AJ171" s="23">
        <v>0</v>
      </c>
      <c r="AK171" s="65">
        <v>1302</v>
      </c>
      <c r="AL171" s="65">
        <v>13</v>
      </c>
    </row>
    <row r="172" spans="1:38">
      <c r="A172" s="38">
        <v>1007</v>
      </c>
      <c r="B172" s="16" t="s">
        <v>354</v>
      </c>
      <c r="C172" s="16" t="s">
        <v>566</v>
      </c>
      <c r="D172" s="38">
        <v>13021</v>
      </c>
      <c r="E172" s="16" t="s">
        <v>550</v>
      </c>
      <c r="F172" s="16"/>
      <c r="G172" s="23">
        <v>6.0000000000000053</v>
      </c>
      <c r="H172" s="23">
        <v>10</v>
      </c>
      <c r="I172" s="23">
        <v>16</v>
      </c>
      <c r="J172" s="23">
        <v>73.599999999999994</v>
      </c>
      <c r="K172" s="23">
        <v>1.7</v>
      </c>
      <c r="L172" s="23">
        <v>2.6</v>
      </c>
      <c r="M172" s="23">
        <v>1.1000000000000001</v>
      </c>
      <c r="N172" s="23">
        <v>7.7</v>
      </c>
      <c r="O172" s="23">
        <v>0</v>
      </c>
      <c r="P172" s="23"/>
      <c r="Q172" s="23">
        <v>13.4</v>
      </c>
      <c r="R172" s="23">
        <v>89</v>
      </c>
      <c r="S172" s="23">
        <v>89.300000000000011</v>
      </c>
      <c r="T172" s="23">
        <v>46.8</v>
      </c>
      <c r="U172" s="23">
        <v>1.9</v>
      </c>
      <c r="V172" s="23">
        <v>0</v>
      </c>
      <c r="W172" s="23">
        <v>1.9</v>
      </c>
      <c r="X172" s="23"/>
      <c r="Y172" s="23"/>
      <c r="Z172" s="23">
        <v>1</v>
      </c>
      <c r="AA172" s="23">
        <v>30</v>
      </c>
      <c r="AB172" s="23">
        <v>8</v>
      </c>
      <c r="AC172" s="23">
        <v>0.03</v>
      </c>
      <c r="AD172" s="23">
        <v>0.06</v>
      </c>
      <c r="AE172" s="23">
        <v>0</v>
      </c>
      <c r="AF172" s="23">
        <v>35</v>
      </c>
      <c r="AG172" s="23">
        <v>3</v>
      </c>
      <c r="AH172" s="23">
        <v>6</v>
      </c>
      <c r="AI172" s="23"/>
      <c r="AJ172" s="23">
        <v>0</v>
      </c>
      <c r="AK172" s="65">
        <v>1301</v>
      </c>
      <c r="AL172" s="65">
        <v>13</v>
      </c>
    </row>
    <row r="173" spans="1:38">
      <c r="A173" s="38">
        <v>1008</v>
      </c>
      <c r="B173" s="16" t="s">
        <v>355</v>
      </c>
      <c r="C173" s="16" t="s">
        <v>611</v>
      </c>
      <c r="D173" s="38" t="s">
        <v>650</v>
      </c>
      <c r="E173" s="16" t="s">
        <v>651</v>
      </c>
      <c r="F173" s="16"/>
      <c r="G173" s="23">
        <v>0</v>
      </c>
      <c r="H173" s="23">
        <v>19</v>
      </c>
      <c r="I173" s="23">
        <v>16</v>
      </c>
      <c r="J173" s="23">
        <v>82.7</v>
      </c>
      <c r="K173" s="23">
        <v>3.6</v>
      </c>
      <c r="L173" s="23">
        <v>4.4000000000000004</v>
      </c>
      <c r="M173" s="23">
        <v>4</v>
      </c>
      <c r="N173" s="23">
        <v>3.3</v>
      </c>
      <c r="O173" s="23">
        <v>0</v>
      </c>
      <c r="P173" s="23"/>
      <c r="Q173" s="23">
        <v>2</v>
      </c>
      <c r="R173" s="23">
        <v>86</v>
      </c>
      <c r="S173" s="23">
        <v>68.2</v>
      </c>
      <c r="T173" s="23">
        <v>58</v>
      </c>
      <c r="U173" s="23">
        <v>1.5</v>
      </c>
      <c r="V173" s="23">
        <v>0</v>
      </c>
      <c r="W173" s="23">
        <v>1.5</v>
      </c>
      <c r="X173" s="23"/>
      <c r="Y173" s="23"/>
      <c r="Z173" s="23">
        <v>0.64</v>
      </c>
      <c r="AA173" s="23">
        <v>7</v>
      </c>
      <c r="AB173" s="23">
        <v>1.5</v>
      </c>
      <c r="AC173" s="23">
        <v>0.34</v>
      </c>
      <c r="AD173" s="23">
        <v>0.03</v>
      </c>
      <c r="AE173" s="23">
        <v>0</v>
      </c>
      <c r="AF173" s="23">
        <v>65</v>
      </c>
      <c r="AG173" s="23">
        <v>5.416666666666667</v>
      </c>
      <c r="AH173" s="23">
        <v>10.833333333333334</v>
      </c>
      <c r="AI173" s="23"/>
      <c r="AJ173" s="23">
        <v>0</v>
      </c>
      <c r="AK173" s="65">
        <v>1302</v>
      </c>
      <c r="AL173" s="65">
        <v>13</v>
      </c>
    </row>
    <row r="174" spans="1:38">
      <c r="A174" s="38">
        <v>1009</v>
      </c>
      <c r="B174" s="16" t="s">
        <v>356</v>
      </c>
      <c r="C174" s="16" t="s">
        <v>553</v>
      </c>
      <c r="D174" s="38"/>
      <c r="E174" s="16"/>
      <c r="F174" s="16"/>
      <c r="G174" s="23">
        <v>0</v>
      </c>
      <c r="H174" s="23">
        <v>19</v>
      </c>
      <c r="I174" s="23">
        <v>16</v>
      </c>
      <c r="J174" s="23">
        <v>90.490000000000009</v>
      </c>
      <c r="K174" s="23">
        <v>2.4299999999999997</v>
      </c>
      <c r="L174" s="23">
        <v>0.61499999999999999</v>
      </c>
      <c r="M174" s="23">
        <v>0.44999999999999996</v>
      </c>
      <c r="N174" s="23">
        <v>1.85</v>
      </c>
      <c r="O174" s="23">
        <v>0</v>
      </c>
      <c r="P174" s="23">
        <v>6.0149999999999997</v>
      </c>
      <c r="Q174" s="23">
        <v>4.1649999999999903</v>
      </c>
      <c r="R174" s="23">
        <v>30</v>
      </c>
      <c r="S174" s="23">
        <v>26.869999999999962</v>
      </c>
      <c r="T174" s="23">
        <v>12.5</v>
      </c>
      <c r="U174" s="23">
        <v>0.58499999999999996</v>
      </c>
      <c r="V174" s="23">
        <v>0</v>
      </c>
      <c r="W174" s="23">
        <v>0.58499999999999996</v>
      </c>
      <c r="X174" s="23"/>
      <c r="Y174" s="23"/>
      <c r="Z174" s="23">
        <v>0.125</v>
      </c>
      <c r="AA174" s="23">
        <v>10.5</v>
      </c>
      <c r="AB174" s="23">
        <v>0.5</v>
      </c>
      <c r="AC174" s="23">
        <v>2.5000000000000001E-2</v>
      </c>
      <c r="AD174" s="23">
        <v>0.04</v>
      </c>
      <c r="AE174" s="23">
        <v>0</v>
      </c>
      <c r="AF174" s="23">
        <v>72.25</v>
      </c>
      <c r="AG174" s="23">
        <v>6.020833333333333</v>
      </c>
      <c r="AH174" s="23">
        <v>12.041666666666666</v>
      </c>
      <c r="AI174" s="23"/>
      <c r="AJ174" s="23">
        <v>0</v>
      </c>
      <c r="AK174" s="65">
        <v>905</v>
      </c>
      <c r="AL174" s="65">
        <v>9</v>
      </c>
    </row>
    <row r="175" spans="1:38">
      <c r="A175" s="38">
        <v>1010</v>
      </c>
      <c r="B175" s="16" t="s">
        <v>357</v>
      </c>
      <c r="C175" s="16" t="s">
        <v>561</v>
      </c>
      <c r="D175" s="38">
        <v>480</v>
      </c>
      <c r="E175" s="16" t="s">
        <v>624</v>
      </c>
      <c r="F175" s="16"/>
      <c r="G175" s="23">
        <v>0</v>
      </c>
      <c r="H175" s="23">
        <v>10</v>
      </c>
      <c r="I175" s="23">
        <v>16</v>
      </c>
      <c r="J175" s="23"/>
      <c r="K175" s="23"/>
      <c r="L175" s="23">
        <v>0</v>
      </c>
      <c r="M175" s="23">
        <v>0</v>
      </c>
      <c r="N175" s="23">
        <v>0</v>
      </c>
      <c r="O175" s="23">
        <v>2.5428571428571431</v>
      </c>
      <c r="P175" s="23">
        <v>0.3</v>
      </c>
      <c r="Q175" s="23">
        <v>0.3</v>
      </c>
      <c r="R175" s="23">
        <v>19</v>
      </c>
      <c r="S175" s="23">
        <v>19</v>
      </c>
      <c r="T175" s="23">
        <v>8</v>
      </c>
      <c r="U175" s="23">
        <v>0.4</v>
      </c>
      <c r="V175" s="23">
        <v>0</v>
      </c>
      <c r="W175" s="23">
        <v>0.4</v>
      </c>
      <c r="X175" s="23"/>
      <c r="Y175" s="23"/>
      <c r="Z175" s="23">
        <v>0.1</v>
      </c>
      <c r="AA175" s="23">
        <v>1</v>
      </c>
      <c r="AB175" s="23">
        <v>0.5</v>
      </c>
      <c r="AC175" s="23">
        <v>0</v>
      </c>
      <c r="AD175" s="23">
        <v>0</v>
      </c>
      <c r="AE175" s="23">
        <v>0</v>
      </c>
      <c r="AF175" s="23">
        <v>0</v>
      </c>
      <c r="AG175" s="23">
        <v>0</v>
      </c>
      <c r="AH175" s="23">
        <v>0</v>
      </c>
      <c r="AI175" s="23"/>
      <c r="AJ175" s="23">
        <v>0</v>
      </c>
      <c r="AK175" s="65">
        <v>1302</v>
      </c>
      <c r="AL175" s="65">
        <v>13</v>
      </c>
    </row>
    <row r="176" spans="1:38">
      <c r="A176" s="38">
        <v>1011</v>
      </c>
      <c r="B176" s="16" t="s">
        <v>358</v>
      </c>
      <c r="C176" s="16" t="s">
        <v>654</v>
      </c>
      <c r="D176" s="38">
        <v>354</v>
      </c>
      <c r="E176" s="16" t="s">
        <v>655</v>
      </c>
      <c r="F176" s="16"/>
      <c r="G176" s="23">
        <v>0</v>
      </c>
      <c r="H176" s="23">
        <v>19</v>
      </c>
      <c r="I176" s="23">
        <v>14</v>
      </c>
      <c r="J176" s="23"/>
      <c r="K176" s="23"/>
      <c r="L176" s="23">
        <v>6.6</v>
      </c>
      <c r="M176" s="23">
        <v>37.5</v>
      </c>
      <c r="N176" s="23">
        <v>4.4000000000000004</v>
      </c>
      <c r="O176" s="23">
        <v>0</v>
      </c>
      <c r="P176" s="23">
        <v>49.7</v>
      </c>
      <c r="Q176" s="23">
        <v>45.300000000000004</v>
      </c>
      <c r="R176" s="23">
        <v>547</v>
      </c>
      <c r="S176" s="23">
        <v>553.9</v>
      </c>
      <c r="T176" s="23">
        <v>19</v>
      </c>
      <c r="U176" s="23">
        <v>0.8</v>
      </c>
      <c r="V176" s="23">
        <v>0</v>
      </c>
      <c r="W176" s="23">
        <v>0.8</v>
      </c>
      <c r="X176" s="23"/>
      <c r="Y176" s="23"/>
      <c r="Z176" s="23">
        <v>0.4</v>
      </c>
      <c r="AA176" s="23">
        <v>9</v>
      </c>
      <c r="AB176" s="23">
        <v>13</v>
      </c>
      <c r="AC176" s="23">
        <v>0.1</v>
      </c>
      <c r="AD176" s="23">
        <v>0</v>
      </c>
      <c r="AE176" s="23">
        <v>0</v>
      </c>
      <c r="AF176" s="23">
        <v>0</v>
      </c>
      <c r="AG176" s="23">
        <v>0</v>
      </c>
      <c r="AH176" s="23">
        <v>0</v>
      </c>
      <c r="AI176" s="23"/>
      <c r="AJ176" s="23">
        <v>0</v>
      </c>
      <c r="AK176" s="65">
        <v>1901</v>
      </c>
      <c r="AL176" s="65">
        <v>19</v>
      </c>
    </row>
    <row r="177" spans="1:38">
      <c r="A177" s="38">
        <v>1012</v>
      </c>
      <c r="B177" s="16" t="s">
        <v>359</v>
      </c>
      <c r="C177" s="16" t="s">
        <v>607</v>
      </c>
      <c r="D177" s="38">
        <v>18371</v>
      </c>
      <c r="E177" s="16" t="s">
        <v>697</v>
      </c>
      <c r="F177" s="16"/>
      <c r="G177" s="23">
        <v>0</v>
      </c>
      <c r="H177" s="23">
        <v>19</v>
      </c>
      <c r="I177" s="23">
        <v>16</v>
      </c>
      <c r="J177" s="23">
        <v>6.2</v>
      </c>
      <c r="K177" s="23">
        <v>46.4</v>
      </c>
      <c r="L177" s="23">
        <v>0.1</v>
      </c>
      <c r="M177" s="23">
        <v>0.4</v>
      </c>
      <c r="N177" s="23">
        <v>2.2000000000000002</v>
      </c>
      <c r="O177" s="23">
        <v>0</v>
      </c>
      <c r="P177" s="23">
        <v>46.9</v>
      </c>
      <c r="Q177" s="23">
        <v>44.699999999999996</v>
      </c>
      <c r="R177" s="23">
        <v>97</v>
      </c>
      <c r="S177" s="23">
        <v>187.2</v>
      </c>
      <c r="T177" s="23">
        <v>4332</v>
      </c>
      <c r="U177" s="23">
        <v>8.17</v>
      </c>
      <c r="V177" s="23">
        <v>0</v>
      </c>
      <c r="W177" s="23">
        <v>8.17</v>
      </c>
      <c r="X177" s="23"/>
      <c r="Y177" s="23"/>
      <c r="Z177" s="23">
        <v>0.72</v>
      </c>
      <c r="AA177" s="23">
        <v>0</v>
      </c>
      <c r="AB177" s="23">
        <v>0</v>
      </c>
      <c r="AC177" s="23">
        <v>0</v>
      </c>
      <c r="AD177" s="23">
        <v>0</v>
      </c>
      <c r="AE177" s="23">
        <v>0</v>
      </c>
      <c r="AF177" s="23">
        <v>0</v>
      </c>
      <c r="AG177" s="23">
        <v>0</v>
      </c>
      <c r="AH177" s="23">
        <v>0</v>
      </c>
      <c r="AI177" s="23"/>
      <c r="AJ177" s="23">
        <v>0</v>
      </c>
      <c r="AK177" s="65">
        <v>1704</v>
      </c>
      <c r="AL177" s="65">
        <v>17</v>
      </c>
    </row>
    <row r="178" spans="1:38">
      <c r="A178" s="38">
        <v>1013</v>
      </c>
      <c r="B178" s="16" t="s">
        <v>360</v>
      </c>
      <c r="C178" s="16" t="s">
        <v>566</v>
      </c>
      <c r="D178" s="38">
        <v>13035</v>
      </c>
      <c r="E178" s="16" t="s">
        <v>598</v>
      </c>
      <c r="F178" s="16"/>
      <c r="G178" s="23">
        <v>0</v>
      </c>
      <c r="H178" s="23">
        <v>19</v>
      </c>
      <c r="I178" s="23">
        <v>16</v>
      </c>
      <c r="J178" s="23">
        <v>7.9</v>
      </c>
      <c r="K178" s="23">
        <v>6.6</v>
      </c>
      <c r="L178" s="23">
        <v>35.700000000000003</v>
      </c>
      <c r="M178" s="23">
        <v>4.9000000000000004</v>
      </c>
      <c r="N178" s="23">
        <v>19.3</v>
      </c>
      <c r="O178" s="23">
        <v>0</v>
      </c>
      <c r="P178" s="23"/>
      <c r="Q178" s="23">
        <v>30.5</v>
      </c>
      <c r="R178" s="23">
        <v>347</v>
      </c>
      <c r="S178" s="23">
        <v>347.5</v>
      </c>
      <c r="T178" s="23">
        <v>120</v>
      </c>
      <c r="U178" s="23">
        <v>3.4</v>
      </c>
      <c r="V178" s="23">
        <v>0</v>
      </c>
      <c r="W178" s="23">
        <v>3.4</v>
      </c>
      <c r="X178" s="23"/>
      <c r="Y178" s="23"/>
      <c r="Z178" s="23">
        <v>8</v>
      </c>
      <c r="AA178" s="23">
        <v>4000</v>
      </c>
      <c r="AB178" s="23">
        <v>0</v>
      </c>
      <c r="AC178" s="23">
        <v>2.8</v>
      </c>
      <c r="AD178" s="23">
        <v>4</v>
      </c>
      <c r="AE178" s="23">
        <v>0</v>
      </c>
      <c r="AF178" s="23">
        <v>0</v>
      </c>
      <c r="AG178" s="23">
        <v>0</v>
      </c>
      <c r="AH178" s="23">
        <v>0</v>
      </c>
      <c r="AI178" s="23"/>
      <c r="AJ178" s="23">
        <v>0</v>
      </c>
      <c r="AK178" s="65">
        <v>1704</v>
      </c>
      <c r="AL178" s="65">
        <v>17</v>
      </c>
    </row>
    <row r="179" spans="1:38">
      <c r="A179" s="38">
        <v>1014</v>
      </c>
      <c r="B179" s="16" t="s">
        <v>361</v>
      </c>
      <c r="C179" s="16" t="s">
        <v>566</v>
      </c>
      <c r="D179" s="38">
        <v>13028</v>
      </c>
      <c r="E179" s="16" t="s">
        <v>551</v>
      </c>
      <c r="F179" s="16"/>
      <c r="G179" s="23">
        <v>0</v>
      </c>
      <c r="H179" s="23">
        <v>10</v>
      </c>
      <c r="I179" s="23">
        <v>16</v>
      </c>
      <c r="J179" s="23">
        <v>8.5</v>
      </c>
      <c r="K179" s="23">
        <v>3.8</v>
      </c>
      <c r="L179" s="23">
        <v>9.4</v>
      </c>
      <c r="M179" s="23">
        <v>16.3</v>
      </c>
      <c r="N179" s="23">
        <v>35.799999999999997</v>
      </c>
      <c r="O179" s="23">
        <v>0</v>
      </c>
      <c r="P179" s="23"/>
      <c r="Q179" s="23">
        <v>26.3</v>
      </c>
      <c r="R179" s="23">
        <v>360</v>
      </c>
      <c r="S179" s="23">
        <v>361.1</v>
      </c>
      <c r="T179" s="23">
        <v>727</v>
      </c>
      <c r="U179" s="23">
        <v>35.5</v>
      </c>
      <c r="V179" s="23">
        <v>0</v>
      </c>
      <c r="W179" s="23">
        <v>35.5</v>
      </c>
      <c r="X179" s="23"/>
      <c r="Y179" s="23"/>
      <c r="Z179" s="23">
        <v>3.65</v>
      </c>
      <c r="AA179" s="23">
        <v>52</v>
      </c>
      <c r="AB179" s="23">
        <v>30</v>
      </c>
      <c r="AC179" s="23">
        <v>0.25</v>
      </c>
      <c r="AD179" s="23">
        <v>0.45</v>
      </c>
      <c r="AE179" s="23">
        <v>0</v>
      </c>
      <c r="AF179" s="23">
        <v>656</v>
      </c>
      <c r="AG179" s="23">
        <v>55</v>
      </c>
      <c r="AH179" s="23">
        <v>109</v>
      </c>
      <c r="AI179" s="23"/>
      <c r="AJ179" s="23">
        <v>0</v>
      </c>
      <c r="AK179" s="65">
        <v>1302</v>
      </c>
      <c r="AL179" s="65">
        <v>13</v>
      </c>
    </row>
    <row r="180" spans="1:38">
      <c r="A180" s="38">
        <v>1101</v>
      </c>
      <c r="B180" s="16" t="s">
        <v>362</v>
      </c>
      <c r="C180" s="60" t="s">
        <v>611</v>
      </c>
      <c r="D180" s="6" t="s">
        <v>725</v>
      </c>
      <c r="E180" s="59" t="s">
        <v>722</v>
      </c>
      <c r="F180" s="16"/>
      <c r="G180" s="23">
        <v>90</v>
      </c>
      <c r="H180" s="23">
        <v>9</v>
      </c>
      <c r="I180" s="23">
        <v>16</v>
      </c>
      <c r="J180" s="23">
        <v>99.2</v>
      </c>
      <c r="K180" s="23">
        <v>0.2</v>
      </c>
      <c r="L180" s="23">
        <v>0.1</v>
      </c>
      <c r="M180" s="23">
        <v>0</v>
      </c>
      <c r="N180" s="23">
        <v>0</v>
      </c>
      <c r="O180" s="23">
        <v>0</v>
      </c>
      <c r="P180" s="23"/>
      <c r="Q180" s="23">
        <v>0.5</v>
      </c>
      <c r="R180" s="23">
        <v>2</v>
      </c>
      <c r="S180" s="23">
        <v>2.4</v>
      </c>
      <c r="T180" s="23">
        <v>4</v>
      </c>
      <c r="U180" s="23">
        <v>0</v>
      </c>
      <c r="V180" s="23">
        <v>0</v>
      </c>
      <c r="W180" s="23">
        <v>0</v>
      </c>
      <c r="X180" s="23"/>
      <c r="Y180" s="23"/>
      <c r="Z180" s="23">
        <v>0.01</v>
      </c>
      <c r="AA180" s="23">
        <v>0</v>
      </c>
      <c r="AB180" s="23">
        <v>0</v>
      </c>
      <c r="AC180" s="23">
        <v>0</v>
      </c>
      <c r="AD180" s="23">
        <v>0</v>
      </c>
      <c r="AE180" s="23">
        <v>0</v>
      </c>
      <c r="AF180" s="23">
        <v>0</v>
      </c>
      <c r="AG180" s="23">
        <v>0</v>
      </c>
      <c r="AH180" s="23">
        <v>0</v>
      </c>
      <c r="AI180" s="23"/>
      <c r="AJ180" s="23">
        <v>0</v>
      </c>
      <c r="AK180" s="65">
        <v>1403</v>
      </c>
      <c r="AL180" s="65">
        <v>14</v>
      </c>
    </row>
    <row r="181" spans="1:38">
      <c r="A181" s="38">
        <v>1102</v>
      </c>
      <c r="B181" s="16" t="s">
        <v>363</v>
      </c>
      <c r="C181" s="16" t="s">
        <v>611</v>
      </c>
      <c r="D181" s="38" t="s">
        <v>724</v>
      </c>
      <c r="E181" s="16" t="s">
        <v>723</v>
      </c>
      <c r="F181" s="16"/>
      <c r="G181" s="23">
        <v>57</v>
      </c>
      <c r="H181" s="23">
        <v>9</v>
      </c>
      <c r="I181" s="23">
        <v>16</v>
      </c>
      <c r="J181" s="23">
        <v>99.8</v>
      </c>
      <c r="K181" s="23">
        <v>0</v>
      </c>
      <c r="L181" s="23">
        <v>0.1</v>
      </c>
      <c r="M181" s="23">
        <v>0</v>
      </c>
      <c r="N181" s="23">
        <v>0</v>
      </c>
      <c r="O181" s="23">
        <v>0</v>
      </c>
      <c r="P181" s="23"/>
      <c r="Q181" s="23">
        <v>0</v>
      </c>
      <c r="R181" s="23">
        <v>0</v>
      </c>
      <c r="S181" s="23">
        <v>0.4</v>
      </c>
      <c r="T181" s="23">
        <v>2</v>
      </c>
      <c r="U181" s="23">
        <v>0.1</v>
      </c>
      <c r="V181" s="23">
        <v>0</v>
      </c>
      <c r="W181" s="23">
        <v>0.1</v>
      </c>
      <c r="X181" s="23"/>
      <c r="Y181" s="23"/>
      <c r="Z181" s="23">
        <v>0.03</v>
      </c>
      <c r="AA181" s="23">
        <v>5</v>
      </c>
      <c r="AB181" s="23">
        <v>0</v>
      </c>
      <c r="AC181" s="23">
        <v>0</v>
      </c>
      <c r="AD181" s="23">
        <v>0.02</v>
      </c>
      <c r="AE181" s="23">
        <v>0</v>
      </c>
      <c r="AF181" s="23">
        <v>0</v>
      </c>
      <c r="AG181" s="23">
        <v>0</v>
      </c>
      <c r="AH181" s="23">
        <v>0</v>
      </c>
      <c r="AI181" s="23"/>
      <c r="AJ181" s="23">
        <v>0</v>
      </c>
      <c r="AK181" s="65">
        <v>1403</v>
      </c>
      <c r="AL181" s="65">
        <v>14</v>
      </c>
    </row>
    <row r="182" spans="1:38">
      <c r="A182" s="38">
        <v>1103</v>
      </c>
      <c r="B182" s="16" t="s">
        <v>364</v>
      </c>
      <c r="C182" s="16" t="s">
        <v>566</v>
      </c>
      <c r="D182" s="38">
        <v>12004</v>
      </c>
      <c r="E182" s="16" t="s">
        <v>552</v>
      </c>
      <c r="F182" s="16"/>
      <c r="G182" s="23">
        <v>0</v>
      </c>
      <c r="H182" s="23">
        <v>9</v>
      </c>
      <c r="I182" s="23">
        <v>16</v>
      </c>
      <c r="J182" s="23">
        <v>1</v>
      </c>
      <c r="K182" s="23">
        <v>1.4</v>
      </c>
      <c r="L182" s="23">
        <v>4.4000000000000004</v>
      </c>
      <c r="M182" s="23">
        <v>30.9</v>
      </c>
      <c r="N182" s="23">
        <v>2</v>
      </c>
      <c r="O182" s="23">
        <v>0</v>
      </c>
      <c r="P182" s="23"/>
      <c r="Q182" s="23">
        <v>60.4</v>
      </c>
      <c r="R182" s="23">
        <v>541</v>
      </c>
      <c r="S182" s="23">
        <v>541.29999999999995</v>
      </c>
      <c r="T182" s="23">
        <v>60</v>
      </c>
      <c r="U182" s="23">
        <v>2</v>
      </c>
      <c r="V182" s="23">
        <v>0</v>
      </c>
      <c r="W182" s="23">
        <v>2</v>
      </c>
      <c r="X182" s="23"/>
      <c r="Y182" s="23"/>
      <c r="Z182" s="23">
        <v>1.55</v>
      </c>
      <c r="AA182" s="23">
        <v>6</v>
      </c>
      <c r="AB182" s="23">
        <v>1</v>
      </c>
      <c r="AC182" s="23">
        <v>0.03</v>
      </c>
      <c r="AD182" s="23">
        <v>0.15</v>
      </c>
      <c r="AE182" s="23">
        <v>60</v>
      </c>
      <c r="AF182" s="23">
        <v>9</v>
      </c>
      <c r="AG182" s="23">
        <v>61</v>
      </c>
      <c r="AH182" s="23">
        <v>62</v>
      </c>
      <c r="AI182" s="23"/>
      <c r="AJ182" s="23">
        <v>0</v>
      </c>
      <c r="AK182" s="65">
        <v>1403</v>
      </c>
      <c r="AL182" s="65">
        <v>14</v>
      </c>
    </row>
    <row r="183" spans="1:38">
      <c r="A183" s="38">
        <v>1104</v>
      </c>
      <c r="B183" s="16" t="s">
        <v>365</v>
      </c>
      <c r="C183" s="16" t="s">
        <v>699</v>
      </c>
      <c r="D183" s="38">
        <v>1178</v>
      </c>
      <c r="E183" s="16" t="s">
        <v>698</v>
      </c>
      <c r="F183" s="16"/>
      <c r="G183" s="23">
        <v>0</v>
      </c>
      <c r="H183" s="23">
        <v>18</v>
      </c>
      <c r="I183" s="23">
        <v>16</v>
      </c>
      <c r="J183" s="23">
        <v>88.6</v>
      </c>
      <c r="K183" s="23">
        <v>0.4</v>
      </c>
      <c r="L183" s="23">
        <v>3.4</v>
      </c>
      <c r="M183" s="23">
        <v>2.2999999999999998</v>
      </c>
      <c r="N183" s="23">
        <v>0.3</v>
      </c>
      <c r="O183" s="23">
        <v>0</v>
      </c>
      <c r="P183" s="23"/>
      <c r="Q183" s="23">
        <v>5</v>
      </c>
      <c r="R183" s="23">
        <v>55</v>
      </c>
      <c r="S183" s="23">
        <v>54.9</v>
      </c>
      <c r="T183" s="23">
        <v>9.86</v>
      </c>
      <c r="U183" s="23">
        <v>0.45</v>
      </c>
      <c r="V183" s="23">
        <v>0</v>
      </c>
      <c r="W183" s="23">
        <v>0.45</v>
      </c>
      <c r="X183" s="23"/>
      <c r="Y183" s="23"/>
      <c r="Z183" s="23">
        <v>0.252</v>
      </c>
      <c r="AA183" s="23">
        <v>9</v>
      </c>
      <c r="AB183" s="23">
        <v>1</v>
      </c>
      <c r="AC183" s="23">
        <v>3.4200000000000001E-2</v>
      </c>
      <c r="AD183" s="23">
        <v>1.3299999999999999E-2</v>
      </c>
      <c r="AE183" s="23">
        <v>0</v>
      </c>
      <c r="AF183" s="23">
        <v>0</v>
      </c>
      <c r="AG183" s="23">
        <v>0</v>
      </c>
      <c r="AH183" s="23">
        <v>0</v>
      </c>
      <c r="AI183" s="23"/>
      <c r="AJ183" s="23">
        <v>0</v>
      </c>
      <c r="AK183" s="65">
        <v>302</v>
      </c>
      <c r="AL183" s="65">
        <v>3</v>
      </c>
    </row>
    <row r="184" spans="1:38">
      <c r="A184" s="38">
        <v>1105</v>
      </c>
      <c r="B184" s="16" t="s">
        <v>366</v>
      </c>
      <c r="C184" s="16"/>
      <c r="D184" s="38"/>
      <c r="E184" s="16"/>
      <c r="F184" s="16"/>
      <c r="G184" s="23">
        <v>0</v>
      </c>
      <c r="H184" s="23">
        <v>9</v>
      </c>
      <c r="I184" s="23">
        <v>16</v>
      </c>
      <c r="J184" s="23">
        <v>93.923333333333332</v>
      </c>
      <c r="K184" s="23">
        <v>0.33333333333333331</v>
      </c>
      <c r="L184" s="23">
        <v>1.2866666666666666</v>
      </c>
      <c r="M184" s="23">
        <v>0.78666666666666663</v>
      </c>
      <c r="N184" s="23">
        <v>0.33333333333333331</v>
      </c>
      <c r="O184" s="23">
        <v>0</v>
      </c>
      <c r="P184" s="23">
        <v>3.58</v>
      </c>
      <c r="Q184" s="23">
        <v>3.3366666666666687</v>
      </c>
      <c r="R184" s="23">
        <v>26.333333333333332</v>
      </c>
      <c r="S184" s="23">
        <v>26.240000000000009</v>
      </c>
      <c r="T184" s="23">
        <v>38.666666666666664</v>
      </c>
      <c r="U184" s="23">
        <v>0.15</v>
      </c>
      <c r="V184" s="23">
        <v>0</v>
      </c>
      <c r="W184" s="23">
        <v>0.15</v>
      </c>
      <c r="X184" s="23"/>
      <c r="Y184" s="23"/>
      <c r="Z184" s="23">
        <v>0.22</v>
      </c>
      <c r="AA184" s="23">
        <v>2.3333333333333335</v>
      </c>
      <c r="AB184" s="23">
        <v>6.6666666666666666E-2</v>
      </c>
      <c r="AC184" s="23">
        <v>0.02</v>
      </c>
      <c r="AD184" s="23">
        <v>0.10533333333333333</v>
      </c>
      <c r="AE184" s="23">
        <v>17</v>
      </c>
      <c r="AF184" s="23">
        <v>1.3333333333333333</v>
      </c>
      <c r="AG184" s="23">
        <v>17</v>
      </c>
      <c r="AH184" s="23">
        <v>17</v>
      </c>
      <c r="AI184" s="23"/>
      <c r="AJ184" s="23">
        <v>0.16333333333333333</v>
      </c>
      <c r="AK184" s="65">
        <v>1403</v>
      </c>
      <c r="AL184" s="65">
        <v>14</v>
      </c>
    </row>
    <row r="185" spans="1:38">
      <c r="A185" s="38">
        <v>1201</v>
      </c>
      <c r="B185" s="16" t="s">
        <v>367</v>
      </c>
      <c r="C185" s="16" t="s">
        <v>607</v>
      </c>
      <c r="D185" s="38">
        <v>14555</v>
      </c>
      <c r="E185" s="16" t="s">
        <v>656</v>
      </c>
      <c r="F185" s="16"/>
      <c r="G185" s="23">
        <v>0</v>
      </c>
      <c r="H185" s="23">
        <v>18</v>
      </c>
      <c r="I185" s="23">
        <v>16</v>
      </c>
      <c r="J185" s="23">
        <v>99.98</v>
      </c>
      <c r="K185" s="23">
        <v>7.0000000000000007E-2</v>
      </c>
      <c r="L185" s="23">
        <v>0</v>
      </c>
      <c r="M185" s="23">
        <v>0</v>
      </c>
      <c r="N185" s="23">
        <v>0</v>
      </c>
      <c r="O185" s="23">
        <v>0</v>
      </c>
      <c r="P185" s="23">
        <v>0</v>
      </c>
      <c r="Q185" s="23">
        <v>0</v>
      </c>
      <c r="R185" s="23">
        <v>0</v>
      </c>
      <c r="S185" s="23">
        <v>0</v>
      </c>
      <c r="T185" s="23">
        <v>10</v>
      </c>
      <c r="U185" s="23">
        <v>0</v>
      </c>
      <c r="V185" s="23">
        <v>0</v>
      </c>
      <c r="W185" s="23">
        <v>0</v>
      </c>
      <c r="X185" s="23"/>
      <c r="Y185" s="23"/>
      <c r="Z185" s="23">
        <v>0</v>
      </c>
      <c r="AA185" s="23">
        <v>0</v>
      </c>
      <c r="AB185" s="23">
        <v>0</v>
      </c>
      <c r="AC185" s="23">
        <v>0</v>
      </c>
      <c r="AD185" s="23">
        <v>0</v>
      </c>
      <c r="AE185" s="23">
        <v>0</v>
      </c>
      <c r="AF185" s="23">
        <v>0</v>
      </c>
      <c r="AG185" s="23">
        <v>0</v>
      </c>
      <c r="AH185" s="23">
        <v>0</v>
      </c>
      <c r="AI185" s="23"/>
      <c r="AJ185" s="23">
        <v>0</v>
      </c>
      <c r="AK185" s="65">
        <v>1402</v>
      </c>
      <c r="AL185" s="65">
        <v>14</v>
      </c>
    </row>
    <row r="186" spans="1:38">
      <c r="A186" s="38">
        <v>1202</v>
      </c>
      <c r="B186" s="16" t="s">
        <v>368</v>
      </c>
      <c r="C186" s="16" t="s">
        <v>607</v>
      </c>
      <c r="D186" s="38">
        <v>344355</v>
      </c>
      <c r="E186" s="16" t="s">
        <v>704</v>
      </c>
      <c r="F186" s="16"/>
      <c r="G186" s="23">
        <v>0</v>
      </c>
      <c r="H186" s="23">
        <v>18</v>
      </c>
      <c r="I186" s="23">
        <v>16</v>
      </c>
      <c r="J186" s="23">
        <v>89.78</v>
      </c>
      <c r="K186" s="23"/>
      <c r="L186" s="23">
        <v>0.05</v>
      </c>
      <c r="M186" s="23">
        <v>0</v>
      </c>
      <c r="N186" s="23">
        <v>0</v>
      </c>
      <c r="O186" s="23">
        <v>0</v>
      </c>
      <c r="P186" s="23">
        <v>10.14</v>
      </c>
      <c r="Q186" s="23">
        <v>10.14</v>
      </c>
      <c r="R186" s="23">
        <v>40</v>
      </c>
      <c r="S186" s="23">
        <v>40.760000000000005</v>
      </c>
      <c r="T186" s="23">
        <v>2</v>
      </c>
      <c r="U186" s="23">
        <v>0.11</v>
      </c>
      <c r="V186" s="23">
        <v>0</v>
      </c>
      <c r="W186" s="23">
        <v>0.11</v>
      </c>
      <c r="X186" s="23"/>
      <c r="Y186" s="23"/>
      <c r="Z186" s="23">
        <v>0.04</v>
      </c>
      <c r="AA186" s="23">
        <v>0</v>
      </c>
      <c r="AB186" s="23">
        <v>0</v>
      </c>
      <c r="AC186" s="23">
        <v>0</v>
      </c>
      <c r="AD186" s="23">
        <v>0</v>
      </c>
      <c r="AE186" s="23">
        <v>0</v>
      </c>
      <c r="AF186" s="23">
        <v>0</v>
      </c>
      <c r="AG186" s="23">
        <v>0</v>
      </c>
      <c r="AH186" s="23">
        <v>0</v>
      </c>
      <c r="AI186" s="23"/>
      <c r="AJ186" s="23">
        <v>0</v>
      </c>
      <c r="AK186" s="65">
        <v>1405</v>
      </c>
      <c r="AL186" s="65">
        <v>14</v>
      </c>
    </row>
    <row r="187" spans="1:38">
      <c r="A187" s="38">
        <v>1203</v>
      </c>
      <c r="B187" s="16" t="s">
        <v>369</v>
      </c>
      <c r="C187" s="16" t="s">
        <v>657</v>
      </c>
      <c r="D187" s="38">
        <v>14148</v>
      </c>
      <c r="E187" s="16" t="s">
        <v>658</v>
      </c>
      <c r="F187" s="16"/>
      <c r="G187" s="23">
        <v>0</v>
      </c>
      <c r="H187" s="23">
        <v>18</v>
      </c>
      <c r="I187" s="23">
        <v>16</v>
      </c>
      <c r="J187" s="23">
        <v>89.36</v>
      </c>
      <c r="K187" s="23">
        <v>0.04</v>
      </c>
      <c r="L187" s="23">
        <v>0</v>
      </c>
      <c r="M187" s="23">
        <v>0.25</v>
      </c>
      <c r="N187" s="23">
        <v>0</v>
      </c>
      <c r="O187" s="23">
        <v>0</v>
      </c>
      <c r="P187" s="23">
        <v>10.36</v>
      </c>
      <c r="Q187" s="23">
        <v>10.350000000000001</v>
      </c>
      <c r="R187" s="23">
        <v>42</v>
      </c>
      <c r="S187" s="23">
        <v>43.650000000000006</v>
      </c>
      <c r="T187" s="23">
        <v>1</v>
      </c>
      <c r="U187" s="23">
        <v>0.02</v>
      </c>
      <c r="V187" s="23">
        <v>0</v>
      </c>
      <c r="W187" s="23">
        <v>0.02</v>
      </c>
      <c r="X187" s="23"/>
      <c r="Y187" s="23"/>
      <c r="Z187" s="23">
        <v>0.09</v>
      </c>
      <c r="AA187" s="23">
        <v>0</v>
      </c>
      <c r="AB187" s="23">
        <v>0</v>
      </c>
      <c r="AC187" s="23">
        <v>0</v>
      </c>
      <c r="AD187" s="23">
        <v>0</v>
      </c>
      <c r="AE187" s="23">
        <v>0</v>
      </c>
      <c r="AF187" s="23">
        <v>0</v>
      </c>
      <c r="AG187" s="23">
        <v>0</v>
      </c>
      <c r="AH187" s="23">
        <v>0</v>
      </c>
      <c r="AI187" s="23"/>
      <c r="AJ187" s="23">
        <v>0</v>
      </c>
      <c r="AK187" s="65">
        <v>1405</v>
      </c>
      <c r="AL187" s="65">
        <v>14</v>
      </c>
    </row>
    <row r="188" spans="1:38">
      <c r="A188" s="38">
        <v>1204</v>
      </c>
      <c r="B188" s="16" t="s">
        <v>370</v>
      </c>
      <c r="C188" s="16" t="s">
        <v>657</v>
      </c>
      <c r="D188" s="38">
        <v>14154</v>
      </c>
      <c r="E188" s="16" t="s">
        <v>659</v>
      </c>
      <c r="F188" s="16"/>
      <c r="G188" s="23">
        <v>0</v>
      </c>
      <c r="H188" s="23">
        <v>18</v>
      </c>
      <c r="I188" s="23">
        <v>16</v>
      </c>
      <c r="J188" s="23">
        <v>89.22</v>
      </c>
      <c r="K188" s="23">
        <v>0.1</v>
      </c>
      <c r="L188" s="23">
        <v>0.46</v>
      </c>
      <c r="M188" s="23">
        <v>0</v>
      </c>
      <c r="N188" s="23">
        <v>0</v>
      </c>
      <c r="O188" s="23">
        <v>0</v>
      </c>
      <c r="P188" s="23">
        <v>10.23</v>
      </c>
      <c r="Q188" s="23">
        <v>10.220000000000001</v>
      </c>
      <c r="R188" s="23">
        <v>43</v>
      </c>
      <c r="S188" s="23">
        <v>42.720000000000006</v>
      </c>
      <c r="T188" s="23">
        <v>6</v>
      </c>
      <c r="U188" s="23">
        <v>0.06</v>
      </c>
      <c r="V188" s="23">
        <v>0</v>
      </c>
      <c r="W188" s="23">
        <v>0.06</v>
      </c>
      <c r="X188" s="23"/>
      <c r="Y188" s="23"/>
      <c r="Z188" s="23">
        <v>0.01</v>
      </c>
      <c r="AA188" s="23">
        <v>0</v>
      </c>
      <c r="AB188" s="23">
        <v>0</v>
      </c>
      <c r="AC188" s="23">
        <v>0.04</v>
      </c>
      <c r="AD188" s="23">
        <v>0.10299999999999999</v>
      </c>
      <c r="AE188" s="23">
        <v>0</v>
      </c>
      <c r="AF188" s="23">
        <v>0</v>
      </c>
      <c r="AG188" s="23">
        <v>0</v>
      </c>
      <c r="AH188" s="23">
        <v>0</v>
      </c>
      <c r="AI188" s="23"/>
      <c r="AJ188" s="23">
        <v>1.97</v>
      </c>
      <c r="AK188" s="65">
        <v>1503</v>
      </c>
      <c r="AL188" s="65">
        <v>15</v>
      </c>
    </row>
    <row r="189" spans="1:38">
      <c r="A189" s="38">
        <v>1205</v>
      </c>
      <c r="B189" s="16" t="s">
        <v>371</v>
      </c>
      <c r="C189" s="16" t="s">
        <v>553</v>
      </c>
      <c r="D189" s="38"/>
      <c r="E189" s="16"/>
      <c r="F189" s="16"/>
      <c r="G189" s="23">
        <v>0</v>
      </c>
      <c r="H189" s="23">
        <v>8</v>
      </c>
      <c r="I189" s="23">
        <v>7</v>
      </c>
      <c r="J189" s="23">
        <v>87.14</v>
      </c>
      <c r="K189" s="23">
        <v>0.39</v>
      </c>
      <c r="L189" s="23">
        <v>0.62</v>
      </c>
      <c r="M189" s="23">
        <v>0.16</v>
      </c>
      <c r="N189" s="23">
        <v>1.6199999999999999</v>
      </c>
      <c r="O189" s="23">
        <v>0</v>
      </c>
      <c r="P189" s="23"/>
      <c r="Q189" s="23">
        <v>10.07</v>
      </c>
      <c r="R189" s="23">
        <v>47.4</v>
      </c>
      <c r="S189" s="23">
        <v>47.44</v>
      </c>
      <c r="T189" s="23">
        <v>18.399999999999999</v>
      </c>
      <c r="U189" s="23">
        <v>0.37999999999999995</v>
      </c>
      <c r="V189" s="23">
        <v>0</v>
      </c>
      <c r="W189" s="23">
        <v>0.37999999999999995</v>
      </c>
      <c r="X189" s="23"/>
      <c r="Y189" s="23"/>
      <c r="Z189" s="23">
        <v>8.2000000000000003E-2</v>
      </c>
      <c r="AA189" s="23">
        <v>18</v>
      </c>
      <c r="AB189" s="23">
        <v>41.8</v>
      </c>
      <c r="AC189" s="23">
        <v>4.3999999999999997E-2</v>
      </c>
      <c r="AD189" s="23">
        <v>1.7999999999999999E-2</v>
      </c>
      <c r="AE189" s="23">
        <v>0</v>
      </c>
      <c r="AF189" s="23">
        <v>154</v>
      </c>
      <c r="AG189" s="23">
        <v>12.833333333333334</v>
      </c>
      <c r="AH189" s="23">
        <v>25.666666666666668</v>
      </c>
      <c r="AI189" s="23"/>
      <c r="AJ189" s="23">
        <v>0</v>
      </c>
      <c r="AK189" s="65">
        <v>1406</v>
      </c>
      <c r="AL189" s="65">
        <v>14</v>
      </c>
    </row>
    <row r="190" spans="1:38">
      <c r="A190" s="38">
        <v>1206</v>
      </c>
      <c r="B190" s="16" t="s">
        <v>372</v>
      </c>
      <c r="C190" s="16" t="s">
        <v>607</v>
      </c>
      <c r="D190" s="38">
        <v>11578</v>
      </c>
      <c r="E190" s="16" t="s">
        <v>700</v>
      </c>
      <c r="F190" s="16"/>
      <c r="G190" s="23">
        <v>0</v>
      </c>
      <c r="H190" s="23">
        <v>7</v>
      </c>
      <c r="I190" s="23">
        <v>5</v>
      </c>
      <c r="J190" s="23">
        <v>94.09</v>
      </c>
      <c r="K190" s="23">
        <v>0.8</v>
      </c>
      <c r="L190" s="23">
        <v>0.93</v>
      </c>
      <c r="M190" s="23">
        <v>0.31</v>
      </c>
      <c r="N190" s="23">
        <v>0.5</v>
      </c>
      <c r="O190" s="23">
        <v>0</v>
      </c>
      <c r="P190" s="23">
        <v>3.87</v>
      </c>
      <c r="Q190" s="23">
        <v>3.369999999999997</v>
      </c>
      <c r="R190" s="23">
        <v>22</v>
      </c>
      <c r="S190" s="23">
        <v>20.989999999999988</v>
      </c>
      <c r="T190" s="23">
        <v>14</v>
      </c>
      <c r="U190" s="23">
        <v>0.28000000000000003</v>
      </c>
      <c r="V190" s="23">
        <v>0</v>
      </c>
      <c r="W190" s="23">
        <v>0.28000000000000003</v>
      </c>
      <c r="X190" s="23"/>
      <c r="Y190" s="23"/>
      <c r="Z190" s="23">
        <v>0.12</v>
      </c>
      <c r="AA190" s="23">
        <v>21</v>
      </c>
      <c r="AB190" s="23">
        <v>54.3</v>
      </c>
      <c r="AC190" s="23">
        <v>0.05</v>
      </c>
      <c r="AD190" s="23">
        <v>3.3000000000000002E-2</v>
      </c>
      <c r="AE190" s="23">
        <v>0</v>
      </c>
      <c r="AF190" s="23">
        <v>423.5</v>
      </c>
      <c r="AG190" s="23">
        <v>35.291666666666664</v>
      </c>
      <c r="AH190" s="23">
        <v>70.583333333333329</v>
      </c>
      <c r="AI190" s="23"/>
      <c r="AJ190" s="23">
        <v>0</v>
      </c>
      <c r="AK190" s="65">
        <v>1406</v>
      </c>
      <c r="AL190" s="65">
        <v>14</v>
      </c>
    </row>
    <row r="191" spans="1:38">
      <c r="A191" s="38">
        <v>1207</v>
      </c>
      <c r="B191" s="16" t="s">
        <v>373</v>
      </c>
      <c r="C191" s="16" t="s">
        <v>682</v>
      </c>
      <c r="D191" s="38"/>
      <c r="E191" s="16"/>
      <c r="F191" s="16"/>
      <c r="G191" s="23">
        <v>0</v>
      </c>
      <c r="H191" s="23">
        <v>18</v>
      </c>
      <c r="I191" s="23">
        <v>16</v>
      </c>
      <c r="J191" s="23">
        <v>89.698333333333338</v>
      </c>
      <c r="K191" s="23">
        <v>0.34599999999999997</v>
      </c>
      <c r="L191" s="23">
        <v>0.91</v>
      </c>
      <c r="M191" s="23">
        <v>0.5033333333333333</v>
      </c>
      <c r="N191" s="23">
        <v>0.40333333333333332</v>
      </c>
      <c r="O191" s="23">
        <v>0</v>
      </c>
      <c r="P191" s="23"/>
      <c r="Q191" s="23">
        <v>8.1389999999999958</v>
      </c>
      <c r="R191" s="23">
        <v>41.56666666666667</v>
      </c>
      <c r="S191" s="23">
        <v>41.53266666666665</v>
      </c>
      <c r="T191" s="23">
        <v>8.543333333333333</v>
      </c>
      <c r="U191" s="23">
        <v>0.21666666666666667</v>
      </c>
      <c r="V191" s="23"/>
      <c r="W191" s="23"/>
      <c r="X191" s="23"/>
      <c r="Y191" s="23"/>
      <c r="Z191" s="23">
        <v>9.9000000000000019E-2</v>
      </c>
      <c r="AA191" s="23">
        <v>8</v>
      </c>
      <c r="AB191" s="23">
        <v>16.183333333333334</v>
      </c>
      <c r="AC191" s="23">
        <v>2.8033333333333337E-2</v>
      </c>
      <c r="AD191" s="23">
        <v>2.7883333333333333E-2</v>
      </c>
      <c r="AE191" s="23">
        <v>0</v>
      </c>
      <c r="AF191" s="23">
        <v>96.25</v>
      </c>
      <c r="AG191" s="23">
        <v>8.0208333333333339</v>
      </c>
      <c r="AH191" s="23">
        <v>16.041666666666668</v>
      </c>
      <c r="AI191" s="23"/>
      <c r="AJ191" s="23">
        <v>0.32833333333333331</v>
      </c>
      <c r="AK191" s="65">
        <v>1405</v>
      </c>
      <c r="AL191" s="65">
        <v>14</v>
      </c>
    </row>
    <row r="192" spans="1:38">
      <c r="A192" s="38">
        <v>1301</v>
      </c>
      <c r="B192" s="16" t="s">
        <v>374</v>
      </c>
      <c r="C192" s="16"/>
      <c r="D192" s="38"/>
      <c r="E192" s="16"/>
      <c r="F192" s="16"/>
      <c r="G192" s="23">
        <v>0</v>
      </c>
      <c r="H192" s="23">
        <v>19</v>
      </c>
      <c r="I192" s="23">
        <v>17</v>
      </c>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65"/>
      <c r="AL192" s="65"/>
    </row>
    <row r="193" spans="1:38">
      <c r="A193" s="38">
        <v>1302</v>
      </c>
      <c r="B193" s="16" t="s">
        <v>375</v>
      </c>
      <c r="C193" s="16"/>
      <c r="D193" s="38"/>
      <c r="E193" s="16"/>
      <c r="F193" s="16"/>
      <c r="G193" s="23">
        <v>0</v>
      </c>
      <c r="H193" s="23">
        <v>19</v>
      </c>
      <c r="I193" s="23">
        <v>17</v>
      </c>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65"/>
      <c r="AL193" s="65"/>
    </row>
    <row r="194" spans="1:38">
      <c r="A194" s="38">
        <v>1303</v>
      </c>
      <c r="B194" s="16" t="s">
        <v>376</v>
      </c>
      <c r="C194" s="16"/>
      <c r="D194" s="38"/>
      <c r="E194" s="16"/>
      <c r="F194" s="16"/>
      <c r="G194" s="23">
        <v>0</v>
      </c>
      <c r="H194" s="23">
        <v>19</v>
      </c>
      <c r="I194" s="23">
        <v>17</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65"/>
      <c r="AL194" s="65"/>
    </row>
    <row r="195" spans="1:38">
      <c r="A195" s="38">
        <v>1304</v>
      </c>
      <c r="B195" s="16" t="s">
        <v>377</v>
      </c>
      <c r="C195" s="16"/>
      <c r="D195" s="38"/>
      <c r="E195" s="16"/>
      <c r="F195" s="16"/>
      <c r="G195" s="23">
        <v>0</v>
      </c>
      <c r="H195" s="23">
        <v>19</v>
      </c>
      <c r="I195" s="23">
        <v>17</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65"/>
      <c r="AL195" s="65"/>
    </row>
    <row r="196" spans="1:38">
      <c r="A196" s="38">
        <v>1305</v>
      </c>
      <c r="B196" s="16" t="s">
        <v>378</v>
      </c>
      <c r="C196" s="16"/>
      <c r="D196" s="38"/>
      <c r="E196" s="16"/>
      <c r="F196" s="16"/>
      <c r="G196" s="23">
        <v>0</v>
      </c>
      <c r="H196" s="23">
        <v>19</v>
      </c>
      <c r="I196" s="23">
        <v>17</v>
      </c>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65"/>
      <c r="AL196" s="65"/>
    </row>
    <row r="197" spans="1:38">
      <c r="A197" s="38">
        <v>1401</v>
      </c>
      <c r="B197" s="16" t="s">
        <v>379</v>
      </c>
      <c r="C197" s="16"/>
      <c r="D197" s="38"/>
      <c r="E197" s="16"/>
      <c r="F197" s="16"/>
      <c r="G197" s="23">
        <v>0</v>
      </c>
      <c r="H197" s="23">
        <v>19</v>
      </c>
      <c r="I197" s="23">
        <v>17</v>
      </c>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65"/>
      <c r="AL197" s="65"/>
    </row>
    <row r="198" spans="1:38">
      <c r="A198" s="38">
        <v>1402</v>
      </c>
      <c r="B198" s="16" t="s">
        <v>380</v>
      </c>
      <c r="C198" s="16"/>
      <c r="D198" s="38"/>
      <c r="E198" s="16"/>
      <c r="F198" s="16"/>
      <c r="G198" s="23">
        <v>0</v>
      </c>
      <c r="H198" s="23">
        <v>19</v>
      </c>
      <c r="I198" s="23">
        <v>17</v>
      </c>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65"/>
      <c r="AL198" s="65"/>
    </row>
    <row r="199" spans="1:38">
      <c r="A199" s="38">
        <v>1403</v>
      </c>
      <c r="B199" s="16" t="s">
        <v>381</v>
      </c>
      <c r="C199" s="16"/>
      <c r="D199" s="38"/>
      <c r="E199" s="16"/>
      <c r="F199" s="16"/>
      <c r="G199" s="23">
        <v>0</v>
      </c>
      <c r="H199" s="23">
        <v>19</v>
      </c>
      <c r="I199" s="23">
        <v>17</v>
      </c>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65"/>
      <c r="AL199" s="65"/>
    </row>
    <row r="200" spans="1:38">
      <c r="A200" s="38">
        <v>1501</v>
      </c>
      <c r="B200" s="16" t="s">
        <v>382</v>
      </c>
      <c r="C200" s="16" t="s">
        <v>660</v>
      </c>
      <c r="D200" s="38">
        <v>14051</v>
      </c>
      <c r="E200" s="16" t="s">
        <v>661</v>
      </c>
      <c r="F200" s="16"/>
      <c r="G200" s="23">
        <v>0</v>
      </c>
      <c r="H200" s="23">
        <v>11</v>
      </c>
      <c r="I200" s="23">
        <v>16</v>
      </c>
      <c r="J200" s="23">
        <v>66.599999999999994</v>
      </c>
      <c r="K200" s="23">
        <v>0.01</v>
      </c>
      <c r="L200" s="23">
        <v>0</v>
      </c>
      <c r="M200" s="23">
        <v>0</v>
      </c>
      <c r="N200" s="23">
        <v>0</v>
      </c>
      <c r="O200" s="23">
        <v>33.4</v>
      </c>
      <c r="P200" s="23">
        <v>0</v>
      </c>
      <c r="Q200" s="23">
        <v>0</v>
      </c>
      <c r="R200" s="23">
        <v>231</v>
      </c>
      <c r="S200" s="23">
        <v>233.79999999999998</v>
      </c>
      <c r="T200" s="23">
        <v>0</v>
      </c>
      <c r="U200" s="23">
        <v>0.01</v>
      </c>
      <c r="V200" s="23">
        <v>0</v>
      </c>
      <c r="W200" s="23">
        <v>0.01</v>
      </c>
      <c r="X200" s="23"/>
      <c r="Y200" s="23"/>
      <c r="Z200" s="23">
        <v>0</v>
      </c>
      <c r="AA200" s="23">
        <v>0</v>
      </c>
      <c r="AB200" s="23">
        <v>0</v>
      </c>
      <c r="AC200" s="23">
        <v>5.0000000000000001E-3</v>
      </c>
      <c r="AD200" s="23">
        <v>7.0000000000000001E-3</v>
      </c>
      <c r="AE200" s="23">
        <v>0</v>
      </c>
      <c r="AF200" s="23">
        <v>0</v>
      </c>
      <c r="AG200" s="23">
        <v>0</v>
      </c>
      <c r="AH200" s="23">
        <v>0</v>
      </c>
      <c r="AI200" s="23"/>
      <c r="AJ200" s="23">
        <v>0</v>
      </c>
      <c r="AK200" s="65">
        <v>1401</v>
      </c>
      <c r="AL200" s="65">
        <v>14</v>
      </c>
    </row>
    <row r="201" spans="1:38">
      <c r="A201" s="38">
        <v>1502</v>
      </c>
      <c r="B201" s="16" t="s">
        <v>383</v>
      </c>
      <c r="C201" s="16" t="s">
        <v>657</v>
      </c>
      <c r="D201" s="38">
        <v>14052</v>
      </c>
      <c r="E201" s="16" t="s">
        <v>662</v>
      </c>
      <c r="F201" s="16"/>
      <c r="G201" s="23">
        <v>0</v>
      </c>
      <c r="H201" s="23">
        <v>11</v>
      </c>
      <c r="I201" s="23">
        <v>16</v>
      </c>
      <c r="J201" s="23">
        <v>63.9</v>
      </c>
      <c r="K201" s="23">
        <v>0</v>
      </c>
      <c r="L201" s="23">
        <v>0</v>
      </c>
      <c r="M201" s="23">
        <v>0</v>
      </c>
      <c r="N201" s="23">
        <v>0</v>
      </c>
      <c r="O201" s="23">
        <v>36</v>
      </c>
      <c r="P201" s="23">
        <v>0.1</v>
      </c>
      <c r="Q201" s="23">
        <v>0.10000000000000142</v>
      </c>
      <c r="R201" s="23">
        <v>250</v>
      </c>
      <c r="S201" s="23">
        <v>252.4</v>
      </c>
      <c r="T201" s="23">
        <v>0</v>
      </c>
      <c r="U201" s="23">
        <v>0.02</v>
      </c>
      <c r="V201" s="23">
        <v>0</v>
      </c>
      <c r="W201" s="23">
        <v>0.02</v>
      </c>
      <c r="X201" s="23"/>
      <c r="Y201" s="23"/>
      <c r="Z201" s="23">
        <v>0.02</v>
      </c>
      <c r="AA201" s="23">
        <v>0</v>
      </c>
      <c r="AB201" s="23">
        <v>0</v>
      </c>
      <c r="AC201" s="23">
        <v>8.0000000000000002E-3</v>
      </c>
      <c r="AD201" s="23">
        <v>1E-3</v>
      </c>
      <c r="AE201" s="23">
        <v>0</v>
      </c>
      <c r="AF201" s="23">
        <v>0</v>
      </c>
      <c r="AG201" s="23">
        <v>0</v>
      </c>
      <c r="AH201" s="23">
        <v>0</v>
      </c>
      <c r="AI201" s="23"/>
      <c r="AJ201" s="23">
        <v>0</v>
      </c>
      <c r="AK201" s="65">
        <v>1401</v>
      </c>
      <c r="AL201" s="65">
        <v>14</v>
      </c>
    </row>
    <row r="202" spans="1:38">
      <c r="A202" s="38">
        <v>1503</v>
      </c>
      <c r="B202" s="16" t="s">
        <v>384</v>
      </c>
      <c r="C202" s="16" t="s">
        <v>657</v>
      </c>
      <c r="D202" s="38">
        <v>14037</v>
      </c>
      <c r="E202" s="16" t="s">
        <v>663</v>
      </c>
      <c r="F202" s="16"/>
      <c r="G202" s="23">
        <v>0</v>
      </c>
      <c r="H202" s="23">
        <v>11</v>
      </c>
      <c r="I202" s="23">
        <v>16</v>
      </c>
      <c r="J202" s="23">
        <v>66.599999999999994</v>
      </c>
      <c r="K202" s="23">
        <v>0.01</v>
      </c>
      <c r="L202" s="23">
        <v>0</v>
      </c>
      <c r="M202" s="23">
        <v>0</v>
      </c>
      <c r="N202" s="23">
        <v>0</v>
      </c>
      <c r="O202" s="23">
        <v>33.4</v>
      </c>
      <c r="P202" s="23">
        <v>0</v>
      </c>
      <c r="Q202" s="23">
        <v>0</v>
      </c>
      <c r="R202" s="23">
        <v>231</v>
      </c>
      <c r="S202" s="23">
        <v>233.79999999999998</v>
      </c>
      <c r="T202" s="23">
        <v>0</v>
      </c>
      <c r="U202" s="23">
        <v>0.04</v>
      </c>
      <c r="V202" s="23">
        <v>0</v>
      </c>
      <c r="W202" s="23">
        <v>0.04</v>
      </c>
      <c r="X202" s="23"/>
      <c r="Y202" s="23"/>
      <c r="Z202" s="23">
        <v>0.04</v>
      </c>
      <c r="AA202" s="23">
        <v>0</v>
      </c>
      <c r="AB202" s="23">
        <v>0</v>
      </c>
      <c r="AC202" s="23">
        <v>6.0000000000000001E-3</v>
      </c>
      <c r="AD202" s="23">
        <v>4.0000000000000001E-3</v>
      </c>
      <c r="AE202" s="23">
        <v>0</v>
      </c>
      <c r="AF202" s="23">
        <v>0</v>
      </c>
      <c r="AG202" s="23">
        <v>0</v>
      </c>
      <c r="AH202" s="23">
        <v>0</v>
      </c>
      <c r="AI202" s="23"/>
      <c r="AJ202" s="23">
        <v>0</v>
      </c>
      <c r="AK202" s="65">
        <v>1401</v>
      </c>
      <c r="AL202" s="65">
        <v>14</v>
      </c>
    </row>
    <row r="203" spans="1:38">
      <c r="A203" s="38">
        <v>1504</v>
      </c>
      <c r="B203" s="16" t="s">
        <v>385</v>
      </c>
      <c r="C203" s="16" t="s">
        <v>607</v>
      </c>
      <c r="D203" s="38">
        <v>14037</v>
      </c>
      <c r="E203" s="16" t="s">
        <v>663</v>
      </c>
      <c r="F203" s="16"/>
      <c r="G203" s="23">
        <v>0</v>
      </c>
      <c r="H203" s="23">
        <v>11</v>
      </c>
      <c r="I203" s="23">
        <v>16</v>
      </c>
      <c r="J203" s="23">
        <v>66.599999999999994</v>
      </c>
      <c r="K203" s="23">
        <v>0.01</v>
      </c>
      <c r="L203" s="23">
        <v>0</v>
      </c>
      <c r="M203" s="23">
        <v>0</v>
      </c>
      <c r="N203" s="23">
        <v>0</v>
      </c>
      <c r="O203" s="23">
        <v>33.4</v>
      </c>
      <c r="P203" s="23">
        <v>0</v>
      </c>
      <c r="Q203" s="23">
        <v>0</v>
      </c>
      <c r="R203" s="23">
        <v>231</v>
      </c>
      <c r="S203" s="23">
        <v>233.79999999999998</v>
      </c>
      <c r="T203" s="23">
        <v>0</v>
      </c>
      <c r="U203" s="23">
        <v>0.04</v>
      </c>
      <c r="V203" s="23">
        <v>0</v>
      </c>
      <c r="W203" s="23">
        <v>0.04</v>
      </c>
      <c r="X203" s="23"/>
      <c r="Y203" s="23"/>
      <c r="Z203" s="23">
        <v>0</v>
      </c>
      <c r="AA203" s="23">
        <v>6.0000000000000001E-3</v>
      </c>
      <c r="AB203" s="23">
        <v>4.0000000000000001E-3</v>
      </c>
      <c r="AC203" s="23">
        <v>0</v>
      </c>
      <c r="AD203" s="23">
        <v>0</v>
      </c>
      <c r="AE203" s="23">
        <v>0</v>
      </c>
      <c r="AF203" s="23">
        <v>0</v>
      </c>
      <c r="AG203" s="23">
        <v>0</v>
      </c>
      <c r="AH203" s="23">
        <v>0</v>
      </c>
      <c r="AI203" s="23"/>
      <c r="AJ203" s="23">
        <v>0</v>
      </c>
      <c r="AK203" s="65">
        <v>1401</v>
      </c>
      <c r="AL203" s="65">
        <v>14</v>
      </c>
    </row>
    <row r="204" spans="1:38">
      <c r="A204" s="38">
        <v>1505</v>
      </c>
      <c r="B204" s="16" t="s">
        <v>386</v>
      </c>
      <c r="C204" s="16" t="s">
        <v>553</v>
      </c>
      <c r="D204" s="38"/>
      <c r="E204" s="16"/>
      <c r="F204" s="16"/>
      <c r="G204" s="23">
        <v>0</v>
      </c>
      <c r="H204" s="23">
        <v>11</v>
      </c>
      <c r="I204" s="23">
        <v>16</v>
      </c>
      <c r="J204" s="23">
        <v>92.5</v>
      </c>
      <c r="K204" s="23">
        <v>0.25</v>
      </c>
      <c r="L204" s="23">
        <v>0.6</v>
      </c>
      <c r="M204" s="23">
        <v>0</v>
      </c>
      <c r="N204" s="23">
        <v>0.1</v>
      </c>
      <c r="O204" s="23">
        <v>0</v>
      </c>
      <c r="P204" s="23"/>
      <c r="Q204" s="23">
        <v>6.5500000000000007</v>
      </c>
      <c r="R204" s="23">
        <v>37</v>
      </c>
      <c r="S204" s="23">
        <v>28.800000000000004</v>
      </c>
      <c r="T204" s="23">
        <v>8</v>
      </c>
      <c r="U204" s="23">
        <v>0.2</v>
      </c>
      <c r="V204" s="23">
        <v>0</v>
      </c>
      <c r="W204" s="23">
        <v>0.2</v>
      </c>
      <c r="X204" s="23"/>
      <c r="Y204" s="23"/>
      <c r="Z204" s="23">
        <v>0.14000000000000001</v>
      </c>
      <c r="AA204" s="23">
        <v>0</v>
      </c>
      <c r="AB204" s="23">
        <v>0</v>
      </c>
      <c r="AC204" s="23">
        <v>0.02</v>
      </c>
      <c r="AD204" s="23">
        <v>0.04</v>
      </c>
      <c r="AE204" s="23">
        <v>0</v>
      </c>
      <c r="AF204" s="23">
        <v>0</v>
      </c>
      <c r="AG204" s="23">
        <v>0</v>
      </c>
      <c r="AH204" s="23">
        <v>0</v>
      </c>
      <c r="AI204" s="23"/>
      <c r="AJ204" s="23">
        <v>0</v>
      </c>
      <c r="AK204" s="65">
        <v>1401</v>
      </c>
      <c r="AL204" s="65">
        <v>14</v>
      </c>
    </row>
    <row r="205" spans="1:38">
      <c r="A205" s="38">
        <v>1506</v>
      </c>
      <c r="B205" s="16" t="s">
        <v>387</v>
      </c>
      <c r="C205" s="16" t="s">
        <v>669</v>
      </c>
      <c r="D205" s="38"/>
      <c r="E205" s="16"/>
      <c r="F205" s="16"/>
      <c r="G205" s="23">
        <v>0</v>
      </c>
      <c r="H205" s="23">
        <v>11</v>
      </c>
      <c r="I205" s="23">
        <v>16</v>
      </c>
      <c r="J205" s="23">
        <v>71.239999999999995</v>
      </c>
      <c r="K205" s="23">
        <v>5.6000000000000008E-2</v>
      </c>
      <c r="L205" s="23">
        <v>0.12</v>
      </c>
      <c r="M205" s="23">
        <v>0</v>
      </c>
      <c r="N205" s="23">
        <v>0.02</v>
      </c>
      <c r="O205" s="23">
        <v>27.240000000000002</v>
      </c>
      <c r="P205" s="23"/>
      <c r="Q205" s="23">
        <v>6.5500000000000007</v>
      </c>
      <c r="R205" s="23">
        <v>196</v>
      </c>
      <c r="S205" s="23">
        <v>217.40000000000003</v>
      </c>
      <c r="T205" s="23">
        <v>1.6</v>
      </c>
      <c r="U205" s="23">
        <v>6.2000000000000013E-2</v>
      </c>
      <c r="V205" s="23">
        <v>0</v>
      </c>
      <c r="W205" s="23">
        <v>6.2000000000000013E-2</v>
      </c>
      <c r="X205" s="23"/>
      <c r="Y205" s="23"/>
      <c r="Z205" s="23">
        <v>0.04</v>
      </c>
      <c r="AA205" s="23">
        <v>1.2000000000000001E-3</v>
      </c>
      <c r="AB205" s="23">
        <v>8.0000000000000004E-4</v>
      </c>
      <c r="AC205" s="23">
        <v>7.8000000000000014E-3</v>
      </c>
      <c r="AD205" s="23">
        <v>1.0400000000000001E-2</v>
      </c>
      <c r="AE205" s="23">
        <v>0</v>
      </c>
      <c r="AF205" s="23">
        <v>0</v>
      </c>
      <c r="AG205" s="23">
        <v>0</v>
      </c>
      <c r="AH205" s="23">
        <v>0</v>
      </c>
      <c r="AI205" s="23"/>
      <c r="AJ205" s="23">
        <v>0</v>
      </c>
      <c r="AK205" s="65">
        <v>1401</v>
      </c>
      <c r="AL205" s="65">
        <v>14</v>
      </c>
    </row>
    <row r="206" spans="1:38">
      <c r="A206" s="38">
        <v>1601</v>
      </c>
      <c r="B206" s="16" t="s">
        <v>388</v>
      </c>
      <c r="C206" s="16" t="s">
        <v>657</v>
      </c>
      <c r="D206" s="38">
        <v>14084</v>
      </c>
      <c r="E206" s="16" t="s">
        <v>672</v>
      </c>
      <c r="F206" s="16"/>
      <c r="G206" s="23">
        <v>0</v>
      </c>
      <c r="H206" s="23">
        <v>11</v>
      </c>
      <c r="I206" s="23">
        <v>16</v>
      </c>
      <c r="J206" s="23">
        <v>86.58</v>
      </c>
      <c r="K206" s="23">
        <v>0.24</v>
      </c>
      <c r="L206" s="23">
        <v>7.0000000000000007E-2</v>
      </c>
      <c r="M206" s="23">
        <v>0</v>
      </c>
      <c r="N206" s="23">
        <v>0</v>
      </c>
      <c r="O206" s="23">
        <v>10.4</v>
      </c>
      <c r="P206" s="23">
        <v>2.72</v>
      </c>
      <c r="Q206" s="23">
        <v>2.7100000000000009</v>
      </c>
      <c r="R206" s="23">
        <v>83</v>
      </c>
      <c r="S206" s="23">
        <v>83.92</v>
      </c>
      <c r="T206" s="23">
        <v>8</v>
      </c>
      <c r="U206" s="23">
        <v>0.37</v>
      </c>
      <c r="V206" s="23">
        <v>0</v>
      </c>
      <c r="W206" s="23">
        <v>0.37</v>
      </c>
      <c r="X206" s="23"/>
      <c r="Y206" s="23"/>
      <c r="Z206" s="23">
        <v>0.13</v>
      </c>
      <c r="AA206" s="23">
        <v>1</v>
      </c>
      <c r="AB206" s="23">
        <v>0</v>
      </c>
      <c r="AC206" s="23">
        <v>5.0000000000000001E-3</v>
      </c>
      <c r="AD206" s="23">
        <v>2.3E-2</v>
      </c>
      <c r="AE206" s="23">
        <v>0</v>
      </c>
      <c r="AF206" s="23">
        <v>0</v>
      </c>
      <c r="AG206" s="23">
        <v>0</v>
      </c>
      <c r="AH206" s="23">
        <v>0</v>
      </c>
      <c r="AI206" s="23"/>
      <c r="AJ206" s="23">
        <v>0</v>
      </c>
      <c r="AK206" s="65">
        <v>1401</v>
      </c>
      <c r="AL206" s="65">
        <v>14</v>
      </c>
    </row>
    <row r="207" spans="1:38">
      <c r="A207" s="38">
        <v>1602</v>
      </c>
      <c r="B207" s="16" t="s">
        <v>389</v>
      </c>
      <c r="C207" s="16" t="s">
        <v>657</v>
      </c>
      <c r="D207" s="38">
        <v>14536</v>
      </c>
      <c r="E207" s="16" t="s">
        <v>671</v>
      </c>
      <c r="F207" s="16"/>
      <c r="G207" s="23">
        <v>0</v>
      </c>
      <c r="H207" s="23">
        <v>11</v>
      </c>
      <c r="I207" s="23">
        <v>16</v>
      </c>
      <c r="J207" s="23">
        <v>72.53</v>
      </c>
      <c r="K207" s="23">
        <v>0.3</v>
      </c>
      <c r="L207" s="23">
        <v>0.2</v>
      </c>
      <c r="M207" s="23">
        <v>0</v>
      </c>
      <c r="N207" s="23">
        <v>0</v>
      </c>
      <c r="O207" s="23">
        <v>15.3</v>
      </c>
      <c r="P207" s="23">
        <v>11.67</v>
      </c>
      <c r="Q207" s="23">
        <v>11.669999999999998</v>
      </c>
      <c r="R207" s="23">
        <v>152</v>
      </c>
      <c r="S207" s="23">
        <v>154.57999999999998</v>
      </c>
      <c r="T207" s="23">
        <v>8</v>
      </c>
      <c r="U207" s="23">
        <v>0.24</v>
      </c>
      <c r="V207" s="23">
        <v>0</v>
      </c>
      <c r="W207" s="23">
        <v>0.24</v>
      </c>
      <c r="X207" s="23"/>
      <c r="Y207" s="23"/>
      <c r="Z207" s="23">
        <v>7.0000000000000007E-2</v>
      </c>
      <c r="AA207" s="23">
        <v>0</v>
      </c>
      <c r="AB207" s="23">
        <v>0</v>
      </c>
      <c r="AC207" s="23">
        <v>1.7999999999999999E-2</v>
      </c>
      <c r="AD207" s="23">
        <v>1.7999999999999999E-2</v>
      </c>
      <c r="AE207" s="23">
        <v>0</v>
      </c>
      <c r="AF207" s="23">
        <v>0</v>
      </c>
      <c r="AG207" s="23">
        <v>0</v>
      </c>
      <c r="AH207" s="23">
        <v>0</v>
      </c>
      <c r="AI207" s="23"/>
      <c r="AJ207" s="23">
        <v>0</v>
      </c>
      <c r="AK207" s="65">
        <v>1401</v>
      </c>
      <c r="AL207" s="65">
        <v>14</v>
      </c>
    </row>
    <row r="208" spans="1:38">
      <c r="A208" s="38">
        <v>1603</v>
      </c>
      <c r="B208" s="16" t="s">
        <v>390</v>
      </c>
      <c r="C208" s="16" t="s">
        <v>657</v>
      </c>
      <c r="D208" s="38">
        <v>14084</v>
      </c>
      <c r="E208" s="16" t="s">
        <v>672</v>
      </c>
      <c r="F208" s="16"/>
      <c r="G208" s="23">
        <v>0</v>
      </c>
      <c r="H208" s="23">
        <v>11</v>
      </c>
      <c r="I208" s="23">
        <v>16</v>
      </c>
      <c r="J208" s="23">
        <v>86.58</v>
      </c>
      <c r="K208" s="23">
        <v>0.24</v>
      </c>
      <c r="L208" s="23">
        <v>7.0000000000000007E-2</v>
      </c>
      <c r="M208" s="23">
        <v>0</v>
      </c>
      <c r="N208" s="23">
        <v>0</v>
      </c>
      <c r="O208" s="23">
        <v>10.4</v>
      </c>
      <c r="P208" s="23">
        <v>2.72</v>
      </c>
      <c r="Q208" s="23">
        <v>2.7100000000000009</v>
      </c>
      <c r="R208" s="23">
        <v>83</v>
      </c>
      <c r="S208" s="23">
        <v>83.92</v>
      </c>
      <c r="T208" s="23">
        <v>8</v>
      </c>
      <c r="U208" s="23">
        <v>0.37</v>
      </c>
      <c r="V208" s="23">
        <v>0</v>
      </c>
      <c r="W208" s="23">
        <v>0.37</v>
      </c>
      <c r="X208" s="23"/>
      <c r="Y208" s="23"/>
      <c r="Z208" s="23">
        <v>0</v>
      </c>
      <c r="AA208" s="23">
        <v>5.0000000000000001E-3</v>
      </c>
      <c r="AB208" s="23">
        <v>2.3E-2</v>
      </c>
      <c r="AC208" s="23">
        <v>0</v>
      </c>
      <c r="AD208" s="23">
        <v>0</v>
      </c>
      <c r="AE208" s="23">
        <v>0</v>
      </c>
      <c r="AF208" s="23">
        <v>0</v>
      </c>
      <c r="AG208" s="23">
        <v>0</v>
      </c>
      <c r="AH208" s="23">
        <v>0</v>
      </c>
      <c r="AI208" s="23"/>
      <c r="AJ208" s="23">
        <v>0</v>
      </c>
      <c r="AK208" s="65">
        <v>1401</v>
      </c>
      <c r="AL208" s="65">
        <v>14</v>
      </c>
    </row>
    <row r="209" spans="1:38">
      <c r="A209" s="38">
        <v>1701</v>
      </c>
      <c r="B209" s="16" t="s">
        <v>391</v>
      </c>
      <c r="C209" s="16" t="s">
        <v>657</v>
      </c>
      <c r="D209" s="38">
        <v>14003</v>
      </c>
      <c r="E209" s="16" t="s">
        <v>673</v>
      </c>
      <c r="F209" s="16"/>
      <c r="G209" s="23">
        <v>0</v>
      </c>
      <c r="H209" s="23">
        <v>11</v>
      </c>
      <c r="I209" s="23">
        <v>16</v>
      </c>
      <c r="J209" s="23">
        <v>91.96</v>
      </c>
      <c r="K209" s="23">
        <v>0.16</v>
      </c>
      <c r="L209" s="23">
        <v>0.46</v>
      </c>
      <c r="M209" s="23">
        <v>0</v>
      </c>
      <c r="N209" s="23">
        <v>0</v>
      </c>
      <c r="O209" s="23">
        <v>3.9</v>
      </c>
      <c r="P209" s="23">
        <v>3.55</v>
      </c>
      <c r="Q209" s="23">
        <v>3.5200000000000062</v>
      </c>
      <c r="R209" s="23">
        <v>43</v>
      </c>
      <c r="S209" s="23">
        <v>43.220000000000027</v>
      </c>
      <c r="T209" s="23">
        <v>4</v>
      </c>
      <c r="U209" s="23">
        <v>0.02</v>
      </c>
      <c r="V209" s="23">
        <v>0</v>
      </c>
      <c r="W209" s="23">
        <v>0.02</v>
      </c>
      <c r="X209" s="23"/>
      <c r="Y209" s="23"/>
      <c r="Z209" s="23">
        <v>0.01</v>
      </c>
      <c r="AA209" s="23">
        <v>6</v>
      </c>
      <c r="AB209" s="23">
        <v>0</v>
      </c>
      <c r="AC209" s="23">
        <v>5.0000000000000001E-3</v>
      </c>
      <c r="AD209" s="23">
        <v>2.5000000000000001E-2</v>
      </c>
      <c r="AE209" s="23">
        <v>0</v>
      </c>
      <c r="AF209" s="23">
        <v>0</v>
      </c>
      <c r="AG209" s="23">
        <v>0</v>
      </c>
      <c r="AH209" s="23">
        <v>0</v>
      </c>
      <c r="AI209" s="23"/>
      <c r="AJ209" s="23">
        <v>0.02</v>
      </c>
      <c r="AK209" s="65">
        <v>1401</v>
      </c>
      <c r="AL209" s="65">
        <v>14</v>
      </c>
    </row>
    <row r="210" spans="1:38">
      <c r="A210" s="38">
        <v>1702</v>
      </c>
      <c r="B210" s="16" t="s">
        <v>392</v>
      </c>
      <c r="C210" s="16" t="s">
        <v>561</v>
      </c>
      <c r="D210" s="38">
        <v>452</v>
      </c>
      <c r="E210" s="16" t="s">
        <v>674</v>
      </c>
      <c r="F210" s="16"/>
      <c r="G210" s="23">
        <v>0</v>
      </c>
      <c r="H210" s="23">
        <v>11</v>
      </c>
      <c r="I210" s="23">
        <v>16</v>
      </c>
      <c r="J210" s="23"/>
      <c r="K210" s="23"/>
      <c r="L210" s="23">
        <v>0.3</v>
      </c>
      <c r="M210" s="23">
        <v>0</v>
      </c>
      <c r="N210" s="23">
        <v>0.2</v>
      </c>
      <c r="O210" s="23">
        <v>0</v>
      </c>
      <c r="P210" s="23">
        <v>3.7</v>
      </c>
      <c r="Q210" s="23">
        <v>3.5</v>
      </c>
      <c r="R210" s="23">
        <v>41</v>
      </c>
      <c r="S210" s="23">
        <v>15.6</v>
      </c>
      <c r="T210" s="23">
        <v>5</v>
      </c>
      <c r="U210" s="23">
        <v>0</v>
      </c>
      <c r="V210" s="23">
        <v>0</v>
      </c>
      <c r="W210" s="23">
        <v>0</v>
      </c>
      <c r="X210" s="23"/>
      <c r="Y210" s="23"/>
      <c r="Z210" s="23">
        <v>0</v>
      </c>
      <c r="AA210" s="23">
        <v>6</v>
      </c>
      <c r="AB210" s="23">
        <v>0</v>
      </c>
      <c r="AC210" s="23">
        <v>0</v>
      </c>
      <c r="AD210" s="23">
        <v>0</v>
      </c>
      <c r="AE210" s="23">
        <v>0</v>
      </c>
      <c r="AF210" s="23">
        <v>0</v>
      </c>
      <c r="AG210" s="23">
        <v>0</v>
      </c>
      <c r="AH210" s="23">
        <v>0</v>
      </c>
      <c r="AI210" s="23"/>
      <c r="AJ210" s="23">
        <v>0</v>
      </c>
      <c r="AK210" s="65">
        <v>1401</v>
      </c>
      <c r="AL210" s="65">
        <v>14</v>
      </c>
    </row>
    <row r="211" spans="1:38">
      <c r="A211" s="38">
        <v>1703</v>
      </c>
      <c r="B211" s="16" t="s">
        <v>393</v>
      </c>
      <c r="C211" s="16" t="s">
        <v>670</v>
      </c>
      <c r="D211" s="38"/>
      <c r="E211" s="16"/>
      <c r="F211" s="16"/>
      <c r="G211" s="23">
        <v>0</v>
      </c>
      <c r="H211" s="23">
        <v>11</v>
      </c>
      <c r="I211" s="23">
        <v>16</v>
      </c>
      <c r="J211" s="23">
        <v>91.96</v>
      </c>
      <c r="K211" s="23">
        <v>0.16</v>
      </c>
      <c r="L211" s="23">
        <v>0.38</v>
      </c>
      <c r="M211" s="23">
        <v>0</v>
      </c>
      <c r="N211" s="23">
        <v>0.1</v>
      </c>
      <c r="O211" s="23">
        <v>1.95</v>
      </c>
      <c r="P211" s="23"/>
      <c r="Q211" s="23">
        <v>5.4500000000000064</v>
      </c>
      <c r="R211" s="23">
        <v>42</v>
      </c>
      <c r="S211" s="23">
        <v>37.17000000000003</v>
      </c>
      <c r="T211" s="23">
        <v>4.5</v>
      </c>
      <c r="U211" s="23">
        <v>0.01</v>
      </c>
      <c r="V211" s="23">
        <v>0</v>
      </c>
      <c r="W211" s="23">
        <v>0.01</v>
      </c>
      <c r="X211" s="23"/>
      <c r="Y211" s="23"/>
      <c r="Z211" s="23">
        <v>5.0000000000000001E-3</v>
      </c>
      <c r="AA211" s="23">
        <v>6</v>
      </c>
      <c r="AB211" s="23">
        <v>0</v>
      </c>
      <c r="AC211" s="23">
        <v>2.5000000000000001E-3</v>
      </c>
      <c r="AD211" s="23">
        <v>1.2500000000000001E-2</v>
      </c>
      <c r="AE211" s="23">
        <v>0</v>
      </c>
      <c r="AF211" s="23">
        <v>0</v>
      </c>
      <c r="AG211" s="23">
        <v>0</v>
      </c>
      <c r="AH211" s="23">
        <v>0</v>
      </c>
      <c r="AI211" s="23"/>
      <c r="AJ211" s="23">
        <v>0.01</v>
      </c>
      <c r="AK211" s="65">
        <v>1401</v>
      </c>
      <c r="AL211" s="65">
        <v>14</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393"/>
  <sheetViews>
    <sheetView zoomScaleNormal="100" zoomScalePageLayoutView="140" workbookViewId="0">
      <pane xSplit="6" ySplit="1" topLeftCell="AB291" activePane="bottomRight" state="frozen"/>
      <selection pane="topRight" activeCell="G1" sqref="G1"/>
      <selection pane="bottomLeft" activeCell="A2" sqref="A2"/>
      <selection pane="bottomRight" activeCell="AH284" sqref="AH284"/>
    </sheetView>
  </sheetViews>
  <sheetFormatPr baseColWidth="10" defaultColWidth="8.83203125" defaultRowHeight="15"/>
  <cols>
    <col min="1" max="1" width="17" style="56" customWidth="1"/>
    <col min="2" max="2" width="17.1640625" style="125" customWidth="1"/>
    <col min="3" max="3" width="8.83203125" style="1"/>
    <col min="4" max="4" width="8.83203125" style="56"/>
    <col min="5" max="5" width="35" style="52" customWidth="1"/>
    <col min="6" max="8" width="8.83203125" style="56"/>
    <col min="9" max="9" width="13" style="56" customWidth="1"/>
    <col min="10" max="21" width="8.83203125" style="56"/>
    <col min="22" max="25" width="8.83203125" style="56" customWidth="1"/>
    <col min="26" max="36" width="8.83203125" style="56"/>
    <col min="37" max="16384" width="8.83203125" style="1"/>
  </cols>
  <sheetData>
    <row r="1" spans="1:47" ht="138.75" customHeight="1">
      <c r="A1" s="2" t="s">
        <v>103</v>
      </c>
      <c r="B1" s="2" t="s">
        <v>104</v>
      </c>
      <c r="C1" s="2" t="s">
        <v>1</v>
      </c>
      <c r="D1" s="2" t="s">
        <v>2</v>
      </c>
      <c r="E1" s="2" t="s">
        <v>3</v>
      </c>
      <c r="F1" s="22" t="s">
        <v>92</v>
      </c>
      <c r="G1" s="2" t="s">
        <v>105</v>
      </c>
      <c r="H1" s="2" t="s">
        <v>106</v>
      </c>
      <c r="I1" s="2" t="s">
        <v>162</v>
      </c>
      <c r="J1" s="2" t="s">
        <v>166</v>
      </c>
      <c r="K1" s="2" t="s">
        <v>167</v>
      </c>
      <c r="L1" s="2" t="s">
        <v>709</v>
      </c>
      <c r="M1" s="2" t="s">
        <v>710</v>
      </c>
      <c r="N1" s="2" t="s">
        <v>711</v>
      </c>
      <c r="O1" s="2" t="s">
        <v>712</v>
      </c>
      <c r="P1" s="2" t="s">
        <v>168</v>
      </c>
      <c r="Q1" s="19" t="s">
        <v>713</v>
      </c>
      <c r="R1" s="2" t="s">
        <v>169</v>
      </c>
      <c r="S1" s="19" t="s">
        <v>714</v>
      </c>
      <c r="T1" s="2" t="s">
        <v>170</v>
      </c>
      <c r="U1" s="2" t="s">
        <v>171</v>
      </c>
      <c r="V1" s="19" t="s">
        <v>183</v>
      </c>
      <c r="W1" s="19" t="s">
        <v>184</v>
      </c>
      <c r="X1" s="2" t="s">
        <v>172</v>
      </c>
      <c r="Y1" s="2" t="s">
        <v>173</v>
      </c>
      <c r="Z1" s="2" t="s">
        <v>174</v>
      </c>
      <c r="AA1" s="2" t="s">
        <v>175</v>
      </c>
      <c r="AB1" s="2" t="s">
        <v>176</v>
      </c>
      <c r="AC1" s="2" t="s">
        <v>177</v>
      </c>
      <c r="AD1" s="2" t="s">
        <v>178</v>
      </c>
      <c r="AE1" s="2" t="s">
        <v>179</v>
      </c>
      <c r="AF1" s="2" t="s">
        <v>180</v>
      </c>
      <c r="AG1" s="2" t="s">
        <v>563</v>
      </c>
      <c r="AH1" s="2" t="s">
        <v>562</v>
      </c>
      <c r="AI1" s="2" t="s">
        <v>181</v>
      </c>
      <c r="AJ1" s="2" t="s">
        <v>182</v>
      </c>
      <c r="AK1" s="2" t="s">
        <v>123</v>
      </c>
      <c r="AL1" s="2" t="s">
        <v>124</v>
      </c>
      <c r="AM1" s="2" t="s">
        <v>125</v>
      </c>
      <c r="AN1" s="2" t="s">
        <v>126</v>
      </c>
      <c r="AO1" s="2" t="s">
        <v>127</v>
      </c>
      <c r="AP1" s="2" t="s">
        <v>128</v>
      </c>
      <c r="AQ1" s="2" t="s">
        <v>129</v>
      </c>
      <c r="AR1" s="2" t="s">
        <v>130</v>
      </c>
      <c r="AS1" s="2" t="s">
        <v>131</v>
      </c>
      <c r="AT1" s="2" t="s">
        <v>132</v>
      </c>
      <c r="AU1" s="2" t="s">
        <v>133</v>
      </c>
    </row>
    <row r="2" spans="1:47">
      <c r="A2" s="3"/>
      <c r="B2" s="76"/>
      <c r="C2" s="16"/>
      <c r="D2" s="3"/>
      <c r="E2" s="77"/>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spans="1:47" s="13" customFormat="1" ht="16">
      <c r="A3" s="6"/>
      <c r="B3" s="78"/>
      <c r="C3" s="59" t="s">
        <v>676</v>
      </c>
      <c r="D3" s="6">
        <v>1033</v>
      </c>
      <c r="E3" s="79" t="s">
        <v>394</v>
      </c>
      <c r="F3" s="6"/>
      <c r="G3" s="61">
        <v>0</v>
      </c>
      <c r="H3" s="61"/>
      <c r="I3" s="61"/>
      <c r="J3" s="61">
        <v>12</v>
      </c>
      <c r="K3" s="61">
        <v>0.6</v>
      </c>
      <c r="L3" s="61">
        <v>7</v>
      </c>
      <c r="M3" s="61">
        <v>0.5</v>
      </c>
      <c r="N3" s="61">
        <v>3.7</v>
      </c>
      <c r="O3" s="61">
        <v>0</v>
      </c>
      <c r="P3" s="61"/>
      <c r="Q3" s="61">
        <v>76.2</v>
      </c>
      <c r="R3" s="61">
        <v>345</v>
      </c>
      <c r="S3" s="61"/>
      <c r="T3" s="61">
        <v>9</v>
      </c>
      <c r="U3" s="61">
        <v>1.7</v>
      </c>
      <c r="V3" s="61"/>
      <c r="W3" s="61"/>
      <c r="X3" s="61"/>
      <c r="Y3" s="61"/>
      <c r="Z3" s="61">
        <v>1.06</v>
      </c>
      <c r="AA3" s="69">
        <v>10</v>
      </c>
      <c r="AB3" s="69">
        <v>0</v>
      </c>
      <c r="AC3" s="69">
        <v>0.25</v>
      </c>
      <c r="AD3" s="69">
        <v>0.02</v>
      </c>
      <c r="AE3" s="69">
        <v>0</v>
      </c>
      <c r="AF3" s="69">
        <v>0</v>
      </c>
      <c r="AG3" s="69">
        <v>0</v>
      </c>
      <c r="AH3" s="69">
        <v>0</v>
      </c>
      <c r="AI3" s="69"/>
      <c r="AJ3" s="69">
        <v>0</v>
      </c>
    </row>
    <row r="4" spans="1:47" s="13" customFormat="1" ht="16">
      <c r="A4" s="6"/>
      <c r="B4" s="78"/>
      <c r="C4" s="59" t="s">
        <v>676</v>
      </c>
      <c r="D4" s="6">
        <v>1034</v>
      </c>
      <c r="E4" s="79" t="s">
        <v>395</v>
      </c>
      <c r="F4" s="6"/>
      <c r="G4" s="61">
        <v>0</v>
      </c>
      <c r="H4" s="61"/>
      <c r="I4" s="61"/>
      <c r="J4" s="61">
        <v>12.2</v>
      </c>
      <c r="K4" s="61">
        <v>0.4</v>
      </c>
      <c r="L4" s="61">
        <v>7.6</v>
      </c>
      <c r="M4" s="61">
        <v>1</v>
      </c>
      <c r="N4" s="61">
        <v>0.7</v>
      </c>
      <c r="O4" s="61">
        <v>0</v>
      </c>
      <c r="P4" s="61"/>
      <c r="Q4" s="61">
        <v>78.099999999999994</v>
      </c>
      <c r="R4" s="61">
        <v>353</v>
      </c>
      <c r="S4" s="61"/>
      <c r="T4" s="61">
        <v>21</v>
      </c>
      <c r="U4" s="61">
        <v>0.9</v>
      </c>
      <c r="V4" s="61"/>
      <c r="W4" s="61"/>
      <c r="X4" s="61"/>
      <c r="Y4" s="61"/>
      <c r="Z4" s="61">
        <v>1.32</v>
      </c>
      <c r="AA4" s="69">
        <v>9</v>
      </c>
      <c r="AB4" s="69">
        <v>0</v>
      </c>
      <c r="AC4" s="69">
        <v>7.0000000000000007E-2</v>
      </c>
      <c r="AD4" s="69">
        <v>0.11</v>
      </c>
      <c r="AE4" s="69">
        <v>0</v>
      </c>
      <c r="AF4" s="69">
        <v>0</v>
      </c>
      <c r="AG4" s="69">
        <v>0</v>
      </c>
      <c r="AH4" s="69">
        <v>0</v>
      </c>
      <c r="AI4" s="69"/>
      <c r="AJ4" s="69">
        <v>0</v>
      </c>
    </row>
    <row r="5" spans="1:47" s="13" customFormat="1">
      <c r="A5" s="6"/>
      <c r="B5" s="78"/>
      <c r="C5" s="59"/>
      <c r="D5" s="6"/>
      <c r="E5" s="79"/>
      <c r="F5" s="6"/>
      <c r="G5" s="61"/>
      <c r="H5" s="61"/>
      <c r="I5" s="61"/>
      <c r="J5" s="61"/>
      <c r="K5" s="61"/>
      <c r="L5" s="61"/>
      <c r="M5" s="61"/>
      <c r="N5" s="61"/>
      <c r="O5" s="61"/>
      <c r="P5" s="61"/>
      <c r="Q5" s="61"/>
      <c r="R5" s="61"/>
      <c r="S5" s="61"/>
      <c r="T5" s="61"/>
      <c r="U5" s="61"/>
      <c r="V5" s="61"/>
      <c r="W5" s="61"/>
      <c r="X5" s="61"/>
      <c r="Y5" s="61"/>
      <c r="Z5" s="61"/>
      <c r="AA5" s="69"/>
      <c r="AB5" s="69"/>
      <c r="AC5" s="69"/>
      <c r="AD5" s="69"/>
      <c r="AE5" s="69"/>
      <c r="AF5" s="69"/>
      <c r="AG5" s="69"/>
      <c r="AH5" s="69"/>
      <c r="AI5" s="69"/>
      <c r="AJ5" s="69"/>
    </row>
    <row r="6" spans="1:47" s="84" customFormat="1" ht="64">
      <c r="A6" s="80">
        <v>101</v>
      </c>
      <c r="B6" s="81" t="s">
        <v>185</v>
      </c>
      <c r="C6" s="82"/>
      <c r="D6" s="80"/>
      <c r="E6" s="83"/>
      <c r="F6" s="80"/>
      <c r="G6" s="80">
        <f>AVERAGE(G3:G4)</f>
        <v>0</v>
      </c>
      <c r="H6" s="80"/>
      <c r="I6" s="80"/>
      <c r="J6" s="80">
        <f t="shared" ref="J6:O6" si="0">AVERAGE(J3:J4)</f>
        <v>12.1</v>
      </c>
      <c r="K6" s="80">
        <f t="shared" si="0"/>
        <v>0.5</v>
      </c>
      <c r="L6" s="80">
        <f t="shared" si="0"/>
        <v>7.3</v>
      </c>
      <c r="M6" s="80">
        <f t="shared" si="0"/>
        <v>0.75</v>
      </c>
      <c r="N6" s="80">
        <f t="shared" si="0"/>
        <v>2.2000000000000002</v>
      </c>
      <c r="O6" s="80">
        <f t="shared" si="0"/>
        <v>0</v>
      </c>
      <c r="P6" s="80"/>
      <c r="Q6" s="80">
        <f>100-J6-K6-L6-M6-N6-O6</f>
        <v>77.150000000000006</v>
      </c>
      <c r="R6" s="80">
        <f t="shared" ref="R6" si="1">AVERAGE(R3:R4)</f>
        <v>349</v>
      </c>
      <c r="S6" s="80"/>
      <c r="T6" s="80">
        <f t="shared" ref="T6" si="2">AVERAGE(T3:T4)</f>
        <v>15</v>
      </c>
      <c r="U6" s="80">
        <f t="shared" ref="U6" si="3">AVERAGE(U3:U4)</f>
        <v>1.3</v>
      </c>
      <c r="V6" s="80"/>
      <c r="W6" s="80"/>
      <c r="X6" s="80"/>
      <c r="Y6" s="80"/>
      <c r="Z6" s="80">
        <f t="shared" ref="Z6" si="4">AVERAGE(Z3:Z4)</f>
        <v>1.19</v>
      </c>
      <c r="AA6" s="80">
        <f t="shared" ref="AA6" si="5">AVERAGE(AA3:AA4)</f>
        <v>9.5</v>
      </c>
      <c r="AB6" s="80">
        <f t="shared" ref="AB6" si="6">AVERAGE(AB3:AB4)</f>
        <v>0</v>
      </c>
      <c r="AC6" s="80">
        <f t="shared" ref="AC6" si="7">AVERAGE(AC3:AC4)</f>
        <v>0.16</v>
      </c>
      <c r="AD6" s="80">
        <f t="shared" ref="AD6" si="8">AVERAGE(AD3:AD4)</f>
        <v>6.5000000000000002E-2</v>
      </c>
      <c r="AE6" s="80">
        <f t="shared" ref="AE6" si="9">AVERAGE(AE3:AE4)</f>
        <v>0</v>
      </c>
      <c r="AF6" s="80">
        <f t="shared" ref="AF6" si="10">AVERAGE(AF3:AF4)</f>
        <v>0</v>
      </c>
      <c r="AG6" s="80">
        <f>+AE6+AF6/12</f>
        <v>0</v>
      </c>
      <c r="AH6" s="80">
        <f>+AE6+AF6/6</f>
        <v>0</v>
      </c>
      <c r="AI6" s="80"/>
      <c r="AJ6" s="80">
        <f t="shared" ref="AJ6" si="11">AVERAGE(AJ3:AJ4)</f>
        <v>0</v>
      </c>
    </row>
    <row r="7" spans="1:47" s="13" customFormat="1">
      <c r="A7" s="6"/>
      <c r="B7" s="78"/>
      <c r="C7" s="59"/>
      <c r="D7" s="6"/>
      <c r="E7" s="79"/>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row>
    <row r="8" spans="1:47" s="13" customFormat="1">
      <c r="A8" s="6"/>
      <c r="B8" s="78"/>
      <c r="C8" s="59"/>
      <c r="D8" s="6"/>
      <c r="E8" s="79"/>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row>
    <row r="9" spans="1:47" s="13" customFormat="1" ht="16">
      <c r="A9" s="6"/>
      <c r="B9" s="78"/>
      <c r="C9" s="59" t="s">
        <v>676</v>
      </c>
      <c r="D9" s="63">
        <v>1018</v>
      </c>
      <c r="E9" s="85" t="s">
        <v>396</v>
      </c>
      <c r="F9" s="6"/>
      <c r="G9" s="61">
        <v>0</v>
      </c>
      <c r="H9" s="61"/>
      <c r="I9" s="61"/>
      <c r="J9" s="61">
        <v>13.6</v>
      </c>
      <c r="K9" s="61">
        <v>1.2</v>
      </c>
      <c r="L9" s="61">
        <v>7.94</v>
      </c>
      <c r="M9" s="61">
        <v>4.5</v>
      </c>
      <c r="N9" s="61">
        <v>9.4</v>
      </c>
      <c r="O9" s="61">
        <v>0</v>
      </c>
      <c r="P9" s="61"/>
      <c r="Q9" s="61">
        <v>63.4</v>
      </c>
      <c r="R9" s="61">
        <v>345</v>
      </c>
      <c r="S9" s="61"/>
      <c r="T9" s="61">
        <v>24</v>
      </c>
      <c r="U9" s="61">
        <v>2.6</v>
      </c>
      <c r="V9" s="61"/>
      <c r="W9" s="61"/>
      <c r="X9" s="61"/>
      <c r="Y9" s="61"/>
      <c r="Z9" s="61">
        <v>1.88</v>
      </c>
      <c r="AA9" s="69">
        <v>71</v>
      </c>
      <c r="AB9" s="69">
        <v>0</v>
      </c>
      <c r="AC9" s="69">
        <v>0.25</v>
      </c>
      <c r="AD9" s="69">
        <v>0.1</v>
      </c>
      <c r="AE9" s="69">
        <v>0</v>
      </c>
      <c r="AF9" s="69">
        <v>0</v>
      </c>
      <c r="AG9" s="69">
        <v>0</v>
      </c>
      <c r="AH9" s="69">
        <v>0</v>
      </c>
      <c r="AI9" s="69"/>
      <c r="AJ9" s="69">
        <v>0</v>
      </c>
    </row>
    <row r="10" spans="1:47" s="13" customFormat="1" ht="16">
      <c r="A10" s="6"/>
      <c r="B10" s="78"/>
      <c r="C10" s="59" t="s">
        <v>676</v>
      </c>
      <c r="D10" s="63">
        <v>1019</v>
      </c>
      <c r="E10" s="85" t="s">
        <v>397</v>
      </c>
      <c r="F10" s="6"/>
      <c r="G10" s="61">
        <v>0</v>
      </c>
      <c r="H10" s="61"/>
      <c r="I10" s="61"/>
      <c r="J10" s="61">
        <v>12.7</v>
      </c>
      <c r="K10" s="61">
        <v>1</v>
      </c>
      <c r="L10" s="61">
        <v>8.3000000000000007</v>
      </c>
      <c r="M10" s="61">
        <v>3.7</v>
      </c>
      <c r="N10" s="61">
        <v>11.9</v>
      </c>
      <c r="O10" s="61">
        <v>0</v>
      </c>
      <c r="P10" s="61"/>
      <c r="Q10" s="61">
        <v>62.5</v>
      </c>
      <c r="R10" s="61">
        <v>340</v>
      </c>
      <c r="S10" s="61"/>
      <c r="T10" s="61">
        <v>7</v>
      </c>
      <c r="U10" s="61">
        <v>3.9</v>
      </c>
      <c r="V10" s="61"/>
      <c r="W10" s="61"/>
      <c r="X10" s="61"/>
      <c r="Y10" s="61"/>
      <c r="Z10" s="61">
        <v>2.2999999999999998</v>
      </c>
      <c r="AA10" s="69">
        <v>33</v>
      </c>
      <c r="AB10" s="69">
        <v>0</v>
      </c>
      <c r="AC10" s="69">
        <v>0.5</v>
      </c>
      <c r="AD10" s="69">
        <v>0.12</v>
      </c>
      <c r="AE10" s="69">
        <v>0</v>
      </c>
      <c r="AF10" s="69">
        <v>241</v>
      </c>
      <c r="AG10" s="69">
        <v>20</v>
      </c>
      <c r="AH10" s="69">
        <v>40</v>
      </c>
      <c r="AI10" s="69"/>
      <c r="AJ10" s="69">
        <v>0</v>
      </c>
    </row>
    <row r="11" spans="1:47" s="13" customFormat="1">
      <c r="A11" s="6"/>
      <c r="B11" s="78"/>
      <c r="C11" s="59"/>
      <c r="D11" s="63"/>
      <c r="E11" s="85"/>
      <c r="F11" s="6"/>
      <c r="G11" s="61"/>
      <c r="H11" s="61"/>
      <c r="I11" s="61"/>
      <c r="J11" s="61"/>
      <c r="K11" s="61"/>
      <c r="L11" s="61"/>
      <c r="M11" s="61"/>
      <c r="N11" s="61"/>
      <c r="O11" s="61"/>
      <c r="P11" s="61"/>
      <c r="Q11" s="61"/>
      <c r="R11" s="61"/>
      <c r="S11" s="61"/>
      <c r="T11" s="61"/>
      <c r="U11" s="61"/>
      <c r="V11" s="61"/>
      <c r="W11" s="61"/>
      <c r="X11" s="61"/>
      <c r="Y11" s="61"/>
      <c r="Z11" s="61"/>
      <c r="AA11" s="69"/>
      <c r="AB11" s="69"/>
      <c r="AC11" s="69"/>
      <c r="AD11" s="69"/>
      <c r="AE11" s="69"/>
      <c r="AF11" s="69"/>
      <c r="AG11" s="69"/>
      <c r="AH11" s="69"/>
      <c r="AI11" s="69"/>
      <c r="AJ11" s="69"/>
    </row>
    <row r="12" spans="1:47" s="84" customFormat="1" ht="16">
      <c r="A12" s="80">
        <v>105</v>
      </c>
      <c r="B12" s="81" t="s">
        <v>189</v>
      </c>
      <c r="C12" s="82"/>
      <c r="D12" s="80"/>
      <c r="E12" s="83"/>
      <c r="F12" s="80"/>
      <c r="G12" s="80">
        <f>AVERAGE(G9:G10)</f>
        <v>0</v>
      </c>
      <c r="H12" s="80"/>
      <c r="I12" s="80"/>
      <c r="J12" s="80">
        <f t="shared" ref="J12" si="12">AVERAGE(J9:J10)</f>
        <v>13.149999999999999</v>
      </c>
      <c r="K12" s="80">
        <f t="shared" ref="K12" si="13">AVERAGE(K9:K10)</f>
        <v>1.1000000000000001</v>
      </c>
      <c r="L12" s="80">
        <f t="shared" ref="L12" si="14">AVERAGE(L9:L10)</f>
        <v>8.120000000000001</v>
      </c>
      <c r="M12" s="80">
        <f t="shared" ref="M12" si="15">AVERAGE(M9:M10)</f>
        <v>4.0999999999999996</v>
      </c>
      <c r="N12" s="80">
        <f t="shared" ref="N12" si="16">AVERAGE(N9:N10)</f>
        <v>10.65</v>
      </c>
      <c r="O12" s="80">
        <f t="shared" ref="O12" si="17">AVERAGE(O9:O10)</f>
        <v>0</v>
      </c>
      <c r="P12" s="80"/>
      <c r="Q12" s="80">
        <f>100-J12-K12-L12-M12-N12-O12</f>
        <v>62.88</v>
      </c>
      <c r="R12" s="80">
        <f t="shared" ref="R12" si="18">AVERAGE(R9:R10)</f>
        <v>342.5</v>
      </c>
      <c r="S12" s="80"/>
      <c r="T12" s="80">
        <f t="shared" ref="T12" si="19">AVERAGE(T9:T10)</f>
        <v>15.5</v>
      </c>
      <c r="U12" s="80">
        <f t="shared" ref="U12" si="20">AVERAGE(U9:U10)</f>
        <v>3.25</v>
      </c>
      <c r="V12" s="80"/>
      <c r="W12" s="80"/>
      <c r="X12" s="80"/>
      <c r="Y12" s="80"/>
      <c r="Z12" s="80">
        <f t="shared" ref="Z12" si="21">AVERAGE(Z9:Z10)</f>
        <v>2.09</v>
      </c>
      <c r="AA12" s="80">
        <f t="shared" ref="AA12" si="22">AVERAGE(AA9:AA10)</f>
        <v>52</v>
      </c>
      <c r="AB12" s="80">
        <f t="shared" ref="AB12" si="23">AVERAGE(AB9:AB10)</f>
        <v>0</v>
      </c>
      <c r="AC12" s="80">
        <f t="shared" ref="AC12" si="24">AVERAGE(AC9:AC10)</f>
        <v>0.375</v>
      </c>
      <c r="AD12" s="80">
        <f t="shared" ref="AD12" si="25">AVERAGE(AD9:AD10)</f>
        <v>0.11</v>
      </c>
      <c r="AE12" s="80">
        <f t="shared" ref="AE12" si="26">AVERAGE(AE9:AE10)</f>
        <v>0</v>
      </c>
      <c r="AF12" s="80">
        <f t="shared" ref="AF12" si="27">AVERAGE(AF9:AF10)</f>
        <v>120.5</v>
      </c>
      <c r="AG12" s="80">
        <f>+AE12+AF12/12</f>
        <v>10.041666666666666</v>
      </c>
      <c r="AH12" s="80">
        <f>+AE12+AF12/6</f>
        <v>20.083333333333332</v>
      </c>
      <c r="AI12" s="80"/>
      <c r="AJ12" s="80">
        <f t="shared" ref="AJ12" si="28">AVERAGE(AJ9:AJ10)</f>
        <v>0</v>
      </c>
    </row>
    <row r="13" spans="1:47" s="13" customFormat="1">
      <c r="A13" s="6"/>
      <c r="B13" s="78"/>
      <c r="C13" s="59"/>
      <c r="D13" s="6"/>
      <c r="E13" s="79"/>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spans="1:47" s="13" customFormat="1" ht="16">
      <c r="A14" s="6"/>
      <c r="B14" s="78"/>
      <c r="C14" s="59" t="s">
        <v>676</v>
      </c>
      <c r="D14" s="63">
        <v>1024</v>
      </c>
      <c r="E14" s="86" t="s">
        <v>403</v>
      </c>
      <c r="F14" s="6"/>
      <c r="G14" s="61">
        <v>0</v>
      </c>
      <c r="H14" s="61"/>
      <c r="I14" s="61"/>
      <c r="J14" s="61">
        <v>11</v>
      </c>
      <c r="K14" s="61">
        <v>2.7</v>
      </c>
      <c r="L14" s="61">
        <v>10.5</v>
      </c>
      <c r="M14" s="61">
        <v>5.3</v>
      </c>
      <c r="N14" s="61">
        <v>8.8000000000000007</v>
      </c>
      <c r="O14" s="61">
        <v>0</v>
      </c>
      <c r="P14" s="61"/>
      <c r="Q14" s="61">
        <v>61.8</v>
      </c>
      <c r="R14" s="61">
        <v>354</v>
      </c>
      <c r="S14" s="61"/>
      <c r="T14" s="61">
        <v>32</v>
      </c>
      <c r="U14" s="61">
        <v>32.4</v>
      </c>
      <c r="V14" s="61"/>
      <c r="W14" s="61"/>
      <c r="X14" s="61"/>
      <c r="Y14" s="61"/>
      <c r="Z14" s="61">
        <v>4.1399999999999997</v>
      </c>
      <c r="AA14" s="69">
        <v>162</v>
      </c>
      <c r="AB14" s="69">
        <v>3</v>
      </c>
      <c r="AC14" s="69">
        <v>0.27</v>
      </c>
      <c r="AD14" s="69">
        <v>0.17</v>
      </c>
      <c r="AE14" s="69">
        <v>0</v>
      </c>
      <c r="AF14" s="69">
        <v>0</v>
      </c>
      <c r="AG14" s="69">
        <v>0</v>
      </c>
      <c r="AH14" s="69">
        <v>0</v>
      </c>
      <c r="AI14" s="69"/>
      <c r="AJ14" s="69">
        <v>0</v>
      </c>
    </row>
    <row r="15" spans="1:47" s="13" customFormat="1" ht="16">
      <c r="A15" s="6"/>
      <c r="B15" s="78"/>
      <c r="C15" s="59" t="s">
        <v>676</v>
      </c>
      <c r="D15" s="63">
        <v>1026</v>
      </c>
      <c r="E15" s="86" t="s">
        <v>404</v>
      </c>
      <c r="F15" s="6"/>
      <c r="G15" s="61">
        <v>0</v>
      </c>
      <c r="H15" s="61"/>
      <c r="I15" s="61"/>
      <c r="J15" s="61">
        <v>11.3</v>
      </c>
      <c r="K15" s="61">
        <v>3.5</v>
      </c>
      <c r="L15" s="61">
        <v>7.4</v>
      </c>
      <c r="M15" s="61">
        <v>2</v>
      </c>
      <c r="N15" s="61">
        <v>22.6</v>
      </c>
      <c r="O15" s="61">
        <v>0</v>
      </c>
      <c r="P15" s="61"/>
      <c r="Q15" s="61">
        <v>53.3</v>
      </c>
      <c r="R15" s="61">
        <v>306</v>
      </c>
      <c r="S15" s="61"/>
      <c r="T15" s="61">
        <v>344</v>
      </c>
      <c r="U15" s="61">
        <v>18.5</v>
      </c>
      <c r="V15" s="61"/>
      <c r="W15" s="61"/>
      <c r="X15" s="61"/>
      <c r="Y15" s="61"/>
      <c r="Z15" s="61">
        <v>1.7</v>
      </c>
      <c r="AA15" s="69">
        <v>93</v>
      </c>
      <c r="AB15" s="69">
        <v>0</v>
      </c>
      <c r="AC15" s="69">
        <v>0.19</v>
      </c>
      <c r="AD15" s="69">
        <v>0.04</v>
      </c>
      <c r="AE15" s="69">
        <v>0</v>
      </c>
      <c r="AF15" s="69">
        <v>2</v>
      </c>
      <c r="AG15" s="69">
        <v>0</v>
      </c>
      <c r="AH15" s="69">
        <v>0</v>
      </c>
      <c r="AI15" s="69"/>
      <c r="AJ15" s="69">
        <v>0</v>
      </c>
    </row>
    <row r="16" spans="1:47" s="13" customFormat="1">
      <c r="A16" s="6"/>
      <c r="B16" s="78"/>
      <c r="C16" s="59"/>
      <c r="D16" s="63"/>
      <c r="E16" s="86"/>
      <c r="F16" s="6"/>
      <c r="G16" s="61"/>
      <c r="H16" s="61"/>
      <c r="I16" s="61"/>
      <c r="J16" s="61"/>
      <c r="K16" s="61"/>
      <c r="L16" s="61"/>
      <c r="M16" s="61"/>
      <c r="N16" s="61"/>
      <c r="O16" s="61"/>
      <c r="P16" s="61"/>
      <c r="Q16" s="61"/>
      <c r="R16" s="61"/>
      <c r="S16" s="61"/>
      <c r="T16" s="61"/>
      <c r="U16" s="61"/>
      <c r="V16" s="61"/>
      <c r="W16" s="61"/>
      <c r="X16" s="61"/>
      <c r="Y16" s="61"/>
      <c r="Z16" s="61"/>
      <c r="AA16" s="69"/>
      <c r="AB16" s="69"/>
      <c r="AC16" s="69"/>
      <c r="AD16" s="69"/>
      <c r="AE16" s="69"/>
      <c r="AF16" s="69"/>
      <c r="AG16" s="69"/>
      <c r="AH16" s="69"/>
      <c r="AI16" s="69"/>
      <c r="AJ16" s="69"/>
    </row>
    <row r="17" spans="1:36" s="84" customFormat="1" ht="16">
      <c r="A17" s="80">
        <v>118</v>
      </c>
      <c r="B17" s="81" t="s">
        <v>201</v>
      </c>
      <c r="C17" s="82"/>
      <c r="D17" s="80"/>
      <c r="E17" s="83"/>
      <c r="F17" s="80"/>
      <c r="G17" s="80">
        <f>AVERAGE(G14:G15)</f>
        <v>0</v>
      </c>
      <c r="H17" s="80"/>
      <c r="I17" s="80"/>
      <c r="J17" s="80">
        <f t="shared" ref="J17" si="29">AVERAGE(J14:J15)</f>
        <v>11.15</v>
      </c>
      <c r="K17" s="80">
        <f t="shared" ref="K17" si="30">AVERAGE(K14:K15)</f>
        <v>3.1</v>
      </c>
      <c r="L17" s="80">
        <f t="shared" ref="L17" si="31">AVERAGE(L14:L15)</f>
        <v>8.9499999999999993</v>
      </c>
      <c r="M17" s="80">
        <f t="shared" ref="M17" si="32">AVERAGE(M14:M15)</f>
        <v>3.65</v>
      </c>
      <c r="N17" s="80">
        <f t="shared" ref="N17" si="33">AVERAGE(N14:N15)</f>
        <v>15.700000000000001</v>
      </c>
      <c r="O17" s="80">
        <f t="shared" ref="O17" si="34">AVERAGE(O14:O15)</f>
        <v>0</v>
      </c>
      <c r="P17" s="80"/>
      <c r="Q17" s="80">
        <f>100-J17-K17-L17-M17-N17-O17</f>
        <v>57.449999999999989</v>
      </c>
      <c r="R17" s="80">
        <f t="shared" ref="R17" si="35">AVERAGE(R14:R15)</f>
        <v>330</v>
      </c>
      <c r="S17" s="80"/>
      <c r="T17" s="80">
        <f t="shared" ref="T17" si="36">AVERAGE(T14:T15)</f>
        <v>188</v>
      </c>
      <c r="U17" s="80">
        <f t="shared" ref="U17" si="37">AVERAGE(U14:U15)</f>
        <v>25.45</v>
      </c>
      <c r="V17" s="80"/>
      <c r="W17" s="80"/>
      <c r="X17" s="80"/>
      <c r="Y17" s="80"/>
      <c r="Z17" s="80">
        <f t="shared" ref="Z17" si="38">AVERAGE(Z14:Z15)</f>
        <v>2.92</v>
      </c>
      <c r="AA17" s="80">
        <f t="shared" ref="AA17" si="39">AVERAGE(AA14:AA15)</f>
        <v>127.5</v>
      </c>
      <c r="AB17" s="80">
        <f t="shared" ref="AB17" si="40">AVERAGE(AB14:AB15)</f>
        <v>1.5</v>
      </c>
      <c r="AC17" s="80">
        <f t="shared" ref="AC17" si="41">AVERAGE(AC14:AC15)</f>
        <v>0.23</v>
      </c>
      <c r="AD17" s="80">
        <f t="shared" ref="AD17" si="42">AVERAGE(AD14:AD15)</f>
        <v>0.10500000000000001</v>
      </c>
      <c r="AE17" s="80">
        <f t="shared" ref="AE17" si="43">AVERAGE(AE14:AE15)</f>
        <v>0</v>
      </c>
      <c r="AF17" s="80">
        <f t="shared" ref="AF17" si="44">AVERAGE(AF14:AF15)</f>
        <v>1</v>
      </c>
      <c r="AG17" s="80">
        <f>+AE17+AF17/12</f>
        <v>8.3333333333333329E-2</v>
      </c>
      <c r="AH17" s="80">
        <f>+AE17+AF17/6</f>
        <v>0.16666666666666666</v>
      </c>
      <c r="AI17" s="80"/>
      <c r="AJ17" s="80">
        <f t="shared" ref="AJ17" si="45">AVERAGE(AJ14:AJ15)</f>
        <v>0</v>
      </c>
    </row>
    <row r="18" spans="1:36" s="13" customFormat="1">
      <c r="A18" s="6"/>
      <c r="B18" s="78"/>
      <c r="C18" s="59"/>
      <c r="D18" s="6"/>
      <c r="E18" s="79"/>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spans="1:36" s="13" customFormat="1" ht="16">
      <c r="A19" s="6"/>
      <c r="B19" s="78"/>
      <c r="C19" s="59" t="s">
        <v>676</v>
      </c>
      <c r="D19" s="63">
        <v>1037</v>
      </c>
      <c r="E19" s="86" t="s">
        <v>407</v>
      </c>
      <c r="F19" s="6"/>
      <c r="G19" s="61">
        <v>0</v>
      </c>
      <c r="H19" s="61"/>
      <c r="I19" s="61"/>
      <c r="J19" s="61">
        <v>11.6</v>
      </c>
      <c r="K19" s="61">
        <v>1.8</v>
      </c>
      <c r="L19" s="61">
        <v>9.3000000000000007</v>
      </c>
      <c r="M19" s="61">
        <v>3.5</v>
      </c>
      <c r="N19" s="61">
        <v>14</v>
      </c>
      <c r="O19" s="61">
        <v>0</v>
      </c>
      <c r="P19" s="61"/>
      <c r="Q19" s="61">
        <v>59.9</v>
      </c>
      <c r="R19" s="61">
        <v>336</v>
      </c>
      <c r="S19" s="61"/>
      <c r="T19" s="61">
        <v>10</v>
      </c>
      <c r="U19" s="61">
        <v>3</v>
      </c>
      <c r="V19" s="61"/>
      <c r="W19" s="61"/>
      <c r="X19" s="61"/>
      <c r="Y19" s="61"/>
      <c r="Z19" s="61">
        <v>1.97</v>
      </c>
      <c r="AA19" s="69">
        <v>64</v>
      </c>
      <c r="AB19" s="69">
        <v>0</v>
      </c>
      <c r="AC19" s="69">
        <v>0.24</v>
      </c>
      <c r="AD19" s="69">
        <v>0.11</v>
      </c>
      <c r="AE19" s="69">
        <v>0</v>
      </c>
      <c r="AF19" s="69">
        <v>4</v>
      </c>
      <c r="AG19" s="69">
        <v>0</v>
      </c>
      <c r="AH19" s="69">
        <v>1</v>
      </c>
      <c r="AI19" s="69"/>
      <c r="AJ19" s="69">
        <v>0</v>
      </c>
    </row>
    <row r="20" spans="1:36" s="13" customFormat="1" ht="16">
      <c r="A20" s="6"/>
      <c r="B20" s="78"/>
      <c r="C20" s="59" t="s">
        <v>676</v>
      </c>
      <c r="D20" s="63">
        <v>1039</v>
      </c>
      <c r="E20" s="86" t="s">
        <v>409</v>
      </c>
      <c r="F20" s="6"/>
      <c r="G20" s="61">
        <v>0</v>
      </c>
      <c r="H20" s="61"/>
      <c r="I20" s="61"/>
      <c r="J20" s="61">
        <v>11.8</v>
      </c>
      <c r="K20" s="61">
        <v>1.5</v>
      </c>
      <c r="L20" s="61">
        <v>10.8</v>
      </c>
      <c r="M20" s="61">
        <v>3.5</v>
      </c>
      <c r="N20" s="61">
        <v>11.9</v>
      </c>
      <c r="O20" s="61">
        <v>0</v>
      </c>
      <c r="P20" s="61"/>
      <c r="Q20" s="61">
        <v>60.5</v>
      </c>
      <c r="R20" s="61">
        <v>341</v>
      </c>
      <c r="S20" s="61"/>
      <c r="T20" s="61">
        <v>18</v>
      </c>
      <c r="U20" s="61">
        <v>6.4</v>
      </c>
      <c r="V20" s="61"/>
      <c r="W20" s="61"/>
      <c r="X20" s="61"/>
      <c r="Y20" s="61"/>
      <c r="Z20" s="61">
        <v>1.69</v>
      </c>
      <c r="AA20" s="69">
        <v>64</v>
      </c>
      <c r="AB20" s="69">
        <v>0</v>
      </c>
      <c r="AC20" s="69">
        <v>0.24</v>
      </c>
      <c r="AD20" s="69">
        <v>0.11</v>
      </c>
      <c r="AE20" s="69">
        <v>0</v>
      </c>
      <c r="AF20" s="69">
        <v>17</v>
      </c>
      <c r="AG20" s="69">
        <v>1</v>
      </c>
      <c r="AH20" s="69">
        <v>3</v>
      </c>
      <c r="AI20" s="69"/>
      <c r="AJ20" s="69">
        <v>0</v>
      </c>
    </row>
    <row r="21" spans="1:36" s="13" customFormat="1">
      <c r="A21" s="6"/>
      <c r="B21" s="78"/>
      <c r="C21" s="59"/>
      <c r="D21" s="63"/>
      <c r="E21" s="86"/>
      <c r="F21" s="6"/>
      <c r="G21" s="61"/>
      <c r="H21" s="61"/>
      <c r="I21" s="61"/>
      <c r="J21" s="61"/>
      <c r="K21" s="61"/>
      <c r="L21" s="61"/>
      <c r="M21" s="61"/>
      <c r="N21" s="61"/>
      <c r="O21" s="61"/>
      <c r="P21" s="61"/>
      <c r="Q21" s="61"/>
      <c r="R21" s="61"/>
      <c r="S21" s="61"/>
      <c r="T21" s="61"/>
      <c r="U21" s="61"/>
      <c r="V21" s="61"/>
      <c r="W21" s="61"/>
      <c r="X21" s="61"/>
      <c r="Y21" s="61"/>
      <c r="Z21" s="61"/>
      <c r="AA21" s="69"/>
      <c r="AB21" s="69"/>
      <c r="AC21" s="69"/>
      <c r="AD21" s="69"/>
      <c r="AE21" s="69"/>
      <c r="AF21" s="69"/>
      <c r="AG21" s="69"/>
      <c r="AH21" s="69"/>
      <c r="AI21" s="69"/>
      <c r="AJ21" s="69"/>
    </row>
    <row r="22" spans="1:36" s="84" customFormat="1" ht="16">
      <c r="A22" s="80">
        <v>120</v>
      </c>
      <c r="B22" s="81" t="s">
        <v>203</v>
      </c>
      <c r="C22" s="82"/>
      <c r="D22" s="80"/>
      <c r="E22" s="83"/>
      <c r="F22" s="80"/>
      <c r="G22" s="80">
        <f>AVERAGE(G19:G20)</f>
        <v>0</v>
      </c>
      <c r="H22" s="80"/>
      <c r="I22" s="80"/>
      <c r="J22" s="80">
        <f t="shared" ref="J22" si="46">AVERAGE(J19:J20)</f>
        <v>11.7</v>
      </c>
      <c r="K22" s="80">
        <f t="shared" ref="K22" si="47">AVERAGE(K19:K20)</f>
        <v>1.65</v>
      </c>
      <c r="L22" s="80">
        <f t="shared" ref="L22" si="48">AVERAGE(L19:L20)</f>
        <v>10.050000000000001</v>
      </c>
      <c r="M22" s="80">
        <f t="shared" ref="M22" si="49">AVERAGE(M19:M20)</f>
        <v>3.5</v>
      </c>
      <c r="N22" s="80">
        <f t="shared" ref="N22" si="50">AVERAGE(N19:N20)</f>
        <v>12.95</v>
      </c>
      <c r="O22" s="80">
        <f t="shared" ref="O22" si="51">AVERAGE(O19:O20)</f>
        <v>0</v>
      </c>
      <c r="P22" s="80"/>
      <c r="Q22" s="80">
        <f>100-J22-K22-L22-M22-N22-O22</f>
        <v>60.149999999999991</v>
      </c>
      <c r="R22" s="80">
        <f t="shared" ref="R22" si="52">AVERAGE(R19:R20)</f>
        <v>338.5</v>
      </c>
      <c r="S22" s="80"/>
      <c r="T22" s="80">
        <f t="shared" ref="T22" si="53">AVERAGE(T19:T20)</f>
        <v>14</v>
      </c>
      <c r="U22" s="80">
        <f t="shared" ref="U22" si="54">AVERAGE(U19:U20)</f>
        <v>4.7</v>
      </c>
      <c r="V22" s="80"/>
      <c r="W22" s="80"/>
      <c r="X22" s="80"/>
      <c r="Y22" s="80"/>
      <c r="Z22" s="80">
        <f t="shared" ref="Z22" si="55">AVERAGE(Z19:Z20)</f>
        <v>1.83</v>
      </c>
      <c r="AA22" s="80">
        <f t="shared" ref="AA22" si="56">AVERAGE(AA19:AA20)</f>
        <v>64</v>
      </c>
      <c r="AB22" s="80">
        <f t="shared" ref="AB22" si="57">AVERAGE(AB19:AB20)</f>
        <v>0</v>
      </c>
      <c r="AC22" s="80">
        <f t="shared" ref="AC22" si="58">AVERAGE(AC19:AC20)</f>
        <v>0.24</v>
      </c>
      <c r="AD22" s="80">
        <f t="shared" ref="AD22" si="59">AVERAGE(AD19:AD20)</f>
        <v>0.11</v>
      </c>
      <c r="AE22" s="80">
        <f t="shared" ref="AE22" si="60">AVERAGE(AE19:AE20)</f>
        <v>0</v>
      </c>
      <c r="AF22" s="80">
        <f t="shared" ref="AF22" si="61">AVERAGE(AF19:AF20)</f>
        <v>10.5</v>
      </c>
      <c r="AG22" s="80">
        <f>+AE22+AF22/12</f>
        <v>0.875</v>
      </c>
      <c r="AH22" s="80">
        <f>+AE22+AF22/6</f>
        <v>1.75</v>
      </c>
      <c r="AI22" s="80"/>
      <c r="AJ22" s="80">
        <f t="shared" ref="AJ22" si="62">AVERAGE(AJ19:AJ20)</f>
        <v>0</v>
      </c>
    </row>
    <row r="23" spans="1:36" s="13" customFormat="1">
      <c r="A23" s="6"/>
      <c r="B23" s="78"/>
      <c r="C23" s="59"/>
      <c r="D23" s="6"/>
      <c r="E23" s="79"/>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spans="1:36" s="13" customFormat="1">
      <c r="A24" s="6"/>
      <c r="B24" s="78"/>
      <c r="C24" s="59"/>
      <c r="D24" s="6"/>
      <c r="E24" s="79"/>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spans="1:36" s="13" customFormat="1" ht="16">
      <c r="A25" s="6"/>
      <c r="B25" s="78"/>
      <c r="C25" s="59" t="s">
        <v>676</v>
      </c>
      <c r="D25" s="63">
        <v>1038</v>
      </c>
      <c r="E25" s="86" t="s">
        <v>408</v>
      </c>
      <c r="F25" s="6"/>
      <c r="G25" s="61">
        <v>0</v>
      </c>
      <c r="H25" s="61"/>
      <c r="I25" s="61"/>
      <c r="J25" s="61">
        <v>11.6</v>
      </c>
      <c r="K25" s="61">
        <v>1.8</v>
      </c>
      <c r="L25" s="61">
        <v>9.3000000000000007</v>
      </c>
      <c r="M25" s="61">
        <v>3.5</v>
      </c>
      <c r="N25" s="61">
        <v>14</v>
      </c>
      <c r="O25" s="61">
        <v>0</v>
      </c>
      <c r="P25" s="61"/>
      <c r="Q25" s="61">
        <v>59.9</v>
      </c>
      <c r="R25" s="61">
        <v>336</v>
      </c>
      <c r="S25" s="61"/>
      <c r="T25" s="61">
        <v>10</v>
      </c>
      <c r="U25" s="61">
        <v>3</v>
      </c>
      <c r="V25" s="61"/>
      <c r="W25" s="61"/>
      <c r="X25" s="61"/>
      <c r="Y25" s="61"/>
      <c r="Z25" s="61">
        <v>1.97</v>
      </c>
      <c r="AA25" s="69">
        <v>25</v>
      </c>
      <c r="AB25" s="69">
        <v>0</v>
      </c>
      <c r="AC25" s="69">
        <v>0.24</v>
      </c>
      <c r="AD25" s="69">
        <v>0.11</v>
      </c>
      <c r="AE25" s="69">
        <v>0</v>
      </c>
      <c r="AF25" s="69">
        <v>0</v>
      </c>
      <c r="AG25" s="69">
        <v>0</v>
      </c>
      <c r="AH25" s="69">
        <v>0</v>
      </c>
      <c r="AI25" s="69"/>
      <c r="AJ25" s="69">
        <v>0</v>
      </c>
    </row>
    <row r="26" spans="1:36" s="13" customFormat="1" ht="16">
      <c r="A26" s="6"/>
      <c r="B26" s="78"/>
      <c r="C26" s="59" t="s">
        <v>676</v>
      </c>
      <c r="D26" s="63">
        <v>1040</v>
      </c>
      <c r="E26" s="86" t="s">
        <v>410</v>
      </c>
      <c r="F26" s="6"/>
      <c r="G26" s="61">
        <v>0</v>
      </c>
      <c r="H26" s="61"/>
      <c r="I26" s="61"/>
      <c r="J26" s="61">
        <v>11.8</v>
      </c>
      <c r="K26" s="61">
        <v>1.5</v>
      </c>
      <c r="L26" s="61">
        <v>10.8</v>
      </c>
      <c r="M26" s="61">
        <v>3.5</v>
      </c>
      <c r="N26" s="61">
        <v>11.9</v>
      </c>
      <c r="O26" s="61">
        <v>0</v>
      </c>
      <c r="P26" s="61"/>
      <c r="Q26" s="61">
        <v>60.5</v>
      </c>
      <c r="R26" s="61">
        <v>341</v>
      </c>
      <c r="S26" s="61"/>
      <c r="T26" s="61">
        <v>18</v>
      </c>
      <c r="U26" s="61">
        <v>6.4</v>
      </c>
      <c r="V26" s="61"/>
      <c r="W26" s="61"/>
      <c r="X26" s="61"/>
      <c r="Y26" s="61"/>
      <c r="Z26" s="61">
        <v>1.69</v>
      </c>
      <c r="AA26" s="69">
        <v>25</v>
      </c>
      <c r="AB26" s="69">
        <v>0</v>
      </c>
      <c r="AC26" s="69">
        <v>0.24</v>
      </c>
      <c r="AD26" s="69">
        <v>0.11</v>
      </c>
      <c r="AE26" s="69">
        <v>0</v>
      </c>
      <c r="AF26" s="69">
        <v>8.2899999999999991</v>
      </c>
      <c r="AG26" s="69">
        <v>1</v>
      </c>
      <c r="AH26" s="69">
        <v>1</v>
      </c>
      <c r="AI26" s="69"/>
      <c r="AJ26" s="69">
        <v>0</v>
      </c>
    </row>
    <row r="27" spans="1:36" s="13" customFormat="1">
      <c r="A27" s="6"/>
      <c r="B27" s="78"/>
      <c r="C27" s="59"/>
      <c r="D27" s="63"/>
      <c r="E27" s="86"/>
      <c r="F27" s="6"/>
      <c r="G27" s="61"/>
      <c r="H27" s="61"/>
      <c r="I27" s="61"/>
      <c r="J27" s="61"/>
      <c r="K27" s="61"/>
      <c r="L27" s="61"/>
      <c r="M27" s="61"/>
      <c r="N27" s="61"/>
      <c r="O27" s="61"/>
      <c r="P27" s="61"/>
      <c r="Q27" s="61"/>
      <c r="R27" s="61"/>
      <c r="S27" s="61"/>
      <c r="T27" s="61"/>
      <c r="U27" s="61"/>
      <c r="V27" s="61"/>
      <c r="W27" s="61"/>
      <c r="X27" s="61"/>
      <c r="Y27" s="61"/>
      <c r="Z27" s="61"/>
      <c r="AA27" s="69"/>
      <c r="AB27" s="69"/>
      <c r="AC27" s="69"/>
      <c r="AD27" s="69"/>
      <c r="AE27" s="69"/>
      <c r="AF27" s="69"/>
      <c r="AG27" s="69"/>
      <c r="AH27" s="69"/>
      <c r="AI27" s="69"/>
      <c r="AJ27" s="69"/>
    </row>
    <row r="28" spans="1:36" s="84" customFormat="1" ht="16">
      <c r="A28" s="80">
        <v>121</v>
      </c>
      <c r="B28" s="81" t="s">
        <v>204</v>
      </c>
      <c r="C28" s="82"/>
      <c r="D28" s="80"/>
      <c r="E28" s="83"/>
      <c r="F28" s="80"/>
      <c r="G28" s="80">
        <f>AVERAGE(G25:G26)</f>
        <v>0</v>
      </c>
      <c r="H28" s="80"/>
      <c r="I28" s="80"/>
      <c r="J28" s="80">
        <f t="shared" ref="J28" si="63">AVERAGE(J25:J26)</f>
        <v>11.7</v>
      </c>
      <c r="K28" s="80">
        <f t="shared" ref="K28" si="64">AVERAGE(K25:K26)</f>
        <v>1.65</v>
      </c>
      <c r="L28" s="80">
        <f t="shared" ref="L28" si="65">AVERAGE(L25:L26)</f>
        <v>10.050000000000001</v>
      </c>
      <c r="M28" s="80">
        <f t="shared" ref="M28" si="66">AVERAGE(M25:M26)</f>
        <v>3.5</v>
      </c>
      <c r="N28" s="80">
        <f t="shared" ref="N28" si="67">AVERAGE(N25:N26)</f>
        <v>12.95</v>
      </c>
      <c r="O28" s="80">
        <f t="shared" ref="O28" si="68">AVERAGE(O25:O26)</f>
        <v>0</v>
      </c>
      <c r="P28" s="80"/>
      <c r="Q28" s="80">
        <f>100-J28-K28-L28-M28-N28-O28</f>
        <v>60.149999999999991</v>
      </c>
      <c r="R28" s="80">
        <f t="shared" ref="R28" si="69">AVERAGE(R25:R26)</f>
        <v>338.5</v>
      </c>
      <c r="S28" s="80"/>
      <c r="T28" s="80">
        <f t="shared" ref="T28" si="70">AVERAGE(T25:T26)</f>
        <v>14</v>
      </c>
      <c r="U28" s="80">
        <f t="shared" ref="U28" si="71">AVERAGE(U25:U26)</f>
        <v>4.7</v>
      </c>
      <c r="V28" s="80"/>
      <c r="W28" s="80"/>
      <c r="X28" s="80"/>
      <c r="Y28" s="80"/>
      <c r="Z28" s="80">
        <f t="shared" ref="Z28:AA28" si="72">AVERAGE(Z25:Z26)</f>
        <v>1.83</v>
      </c>
      <c r="AA28" s="80">
        <f t="shared" si="72"/>
        <v>25</v>
      </c>
      <c r="AB28" s="80">
        <f t="shared" ref="AB28" si="73">AVERAGE(AB25:AB26)</f>
        <v>0</v>
      </c>
      <c r="AC28" s="80">
        <f t="shared" ref="AC28" si="74">AVERAGE(AC25:AC26)</f>
        <v>0.24</v>
      </c>
      <c r="AD28" s="80">
        <f t="shared" ref="AD28" si="75">AVERAGE(AD25:AD26)</f>
        <v>0.11</v>
      </c>
      <c r="AE28" s="80">
        <f t="shared" ref="AE28" si="76">AVERAGE(AE25:AE26)</f>
        <v>0</v>
      </c>
      <c r="AF28" s="80">
        <f t="shared" ref="AF28" si="77">AVERAGE(AF25:AF26)</f>
        <v>4.1449999999999996</v>
      </c>
      <c r="AG28" s="80">
        <f>+AE28+AF28/12</f>
        <v>0.34541666666666665</v>
      </c>
      <c r="AH28" s="80">
        <f>+AE28+AF28/6</f>
        <v>0.6908333333333333</v>
      </c>
      <c r="AI28" s="80"/>
      <c r="AJ28" s="80">
        <f t="shared" ref="AJ28" si="78">AVERAGE(AJ25:AJ26)</f>
        <v>0</v>
      </c>
    </row>
    <row r="29" spans="1:36" s="13" customFormat="1">
      <c r="A29" s="6"/>
      <c r="B29" s="78"/>
      <c r="C29" s="59"/>
      <c r="D29" s="6"/>
      <c r="E29" s="79"/>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spans="1:36" s="13" customFormat="1" ht="16">
      <c r="A30" s="6"/>
      <c r="B30" s="78"/>
      <c r="C30" s="59" t="s">
        <v>676</v>
      </c>
      <c r="D30" s="87">
        <v>15002</v>
      </c>
      <c r="E30" s="88" t="s">
        <v>411</v>
      </c>
      <c r="F30" s="6"/>
      <c r="G30" s="61">
        <v>0</v>
      </c>
      <c r="H30" s="61"/>
      <c r="I30" s="61"/>
      <c r="J30" s="69">
        <v>89.8</v>
      </c>
      <c r="K30" s="69">
        <v>0.4</v>
      </c>
      <c r="L30" s="69">
        <v>1.3</v>
      </c>
      <c r="M30" s="69">
        <v>0.9</v>
      </c>
      <c r="N30" s="69">
        <v>1.3</v>
      </c>
      <c r="O30" s="69">
        <v>0</v>
      </c>
      <c r="P30" s="69"/>
      <c r="Q30" s="69">
        <v>6.3</v>
      </c>
      <c r="R30" s="69">
        <v>41</v>
      </c>
      <c r="S30" s="69"/>
      <c r="T30" s="69">
        <v>33</v>
      </c>
      <c r="U30" s="69">
        <v>0.5</v>
      </c>
      <c r="V30" s="69"/>
      <c r="W30" s="69"/>
      <c r="X30" s="69"/>
      <c r="Y30" s="69"/>
      <c r="Z30" s="69">
        <v>0.27</v>
      </c>
      <c r="AA30" s="69">
        <v>5</v>
      </c>
      <c r="AB30" s="69">
        <v>0</v>
      </c>
      <c r="AC30" s="69">
        <v>0.02</v>
      </c>
      <c r="AD30" s="69">
        <v>0.05</v>
      </c>
      <c r="AE30" s="69">
        <v>7</v>
      </c>
      <c r="AF30" s="69">
        <v>3</v>
      </c>
      <c r="AG30" s="69">
        <v>7</v>
      </c>
      <c r="AH30" s="69">
        <v>7</v>
      </c>
      <c r="AI30" s="69"/>
      <c r="AJ30" s="69">
        <v>0.09</v>
      </c>
    </row>
    <row r="31" spans="1:36" s="13" customFormat="1" ht="16">
      <c r="A31" s="6"/>
      <c r="B31" s="78"/>
      <c r="C31" s="59" t="s">
        <v>676</v>
      </c>
      <c r="D31" s="87">
        <v>15012</v>
      </c>
      <c r="E31" s="88" t="s">
        <v>412</v>
      </c>
      <c r="F31" s="6"/>
      <c r="G31" s="61">
        <v>0</v>
      </c>
      <c r="H31" s="61"/>
      <c r="I31" s="61"/>
      <c r="J31" s="69">
        <v>87.9</v>
      </c>
      <c r="K31" s="69">
        <v>0.3</v>
      </c>
      <c r="L31" s="69">
        <v>0.5</v>
      </c>
      <c r="M31" s="69">
        <v>0.1</v>
      </c>
      <c r="N31" s="69">
        <v>1</v>
      </c>
      <c r="O31" s="69">
        <v>0</v>
      </c>
      <c r="P31" s="69"/>
      <c r="Q31" s="69">
        <v>10.199999999999999</v>
      </c>
      <c r="R31" s="69">
        <v>46</v>
      </c>
      <c r="S31" s="69"/>
      <c r="T31" s="69">
        <v>18</v>
      </c>
      <c r="U31" s="69">
        <v>0.4</v>
      </c>
      <c r="V31" s="69"/>
      <c r="W31" s="69"/>
      <c r="X31" s="69"/>
      <c r="Y31" s="69"/>
      <c r="Z31" s="69">
        <v>0.12</v>
      </c>
      <c r="AA31" s="69">
        <v>4</v>
      </c>
      <c r="AB31" s="69">
        <v>0.1</v>
      </c>
      <c r="AC31" s="69">
        <v>0.01</v>
      </c>
      <c r="AD31" s="69">
        <v>0.01</v>
      </c>
      <c r="AE31" s="69">
        <v>0</v>
      </c>
      <c r="AF31" s="69">
        <v>1</v>
      </c>
      <c r="AG31" s="69">
        <v>0</v>
      </c>
      <c r="AH31" s="69">
        <v>0</v>
      </c>
      <c r="AI31" s="69"/>
      <c r="AJ31" s="69">
        <v>0</v>
      </c>
    </row>
    <row r="32" spans="1:36" s="13" customFormat="1">
      <c r="A32" s="6"/>
      <c r="B32" s="78"/>
      <c r="C32" s="59"/>
      <c r="D32" s="87"/>
      <c r="E32" s="88"/>
      <c r="F32" s="6"/>
      <c r="G32" s="61"/>
      <c r="H32" s="61"/>
      <c r="I32" s="61"/>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row>
    <row r="33" spans="1:36" s="84" customFormat="1" ht="16">
      <c r="A33" s="80">
        <v>123</v>
      </c>
      <c r="B33" s="81" t="s">
        <v>206</v>
      </c>
      <c r="C33" s="82"/>
      <c r="D33" s="80"/>
      <c r="E33" s="83"/>
      <c r="F33" s="80"/>
      <c r="G33" s="80">
        <f>AVERAGE(G30:G31)</f>
        <v>0</v>
      </c>
      <c r="H33" s="80"/>
      <c r="I33" s="80"/>
      <c r="J33" s="80">
        <f t="shared" ref="J33" si="79">AVERAGE(J30:J31)</f>
        <v>88.85</v>
      </c>
      <c r="K33" s="80">
        <f t="shared" ref="K33" si="80">AVERAGE(K30:K31)</f>
        <v>0.35</v>
      </c>
      <c r="L33" s="80">
        <f t="shared" ref="L33" si="81">AVERAGE(L30:L31)</f>
        <v>0.9</v>
      </c>
      <c r="M33" s="80">
        <f t="shared" ref="M33" si="82">AVERAGE(M30:M31)</f>
        <v>0.5</v>
      </c>
      <c r="N33" s="80">
        <f t="shared" ref="N33" si="83">AVERAGE(N30:N31)</f>
        <v>1.1499999999999999</v>
      </c>
      <c r="O33" s="80">
        <f t="shared" ref="O33" si="84">AVERAGE(O30:O31)</f>
        <v>0</v>
      </c>
      <c r="P33" s="80"/>
      <c r="Q33" s="80">
        <f>100-J33-K33-L33-M33-N33-O33</f>
        <v>8.2500000000000053</v>
      </c>
      <c r="R33" s="80">
        <f t="shared" ref="R33" si="85">AVERAGE(R30:R31)</f>
        <v>43.5</v>
      </c>
      <c r="S33" s="80"/>
      <c r="T33" s="80">
        <f t="shared" ref="T33" si="86">AVERAGE(T30:T31)</f>
        <v>25.5</v>
      </c>
      <c r="U33" s="80">
        <f t="shared" ref="U33" si="87">AVERAGE(U30:U31)</f>
        <v>0.45</v>
      </c>
      <c r="V33" s="80"/>
      <c r="W33" s="80"/>
      <c r="X33" s="80"/>
      <c r="Y33" s="80"/>
      <c r="Z33" s="80">
        <f t="shared" ref="Z33" si="88">AVERAGE(Z30:Z31)</f>
        <v>0.19500000000000001</v>
      </c>
      <c r="AA33" s="80">
        <f t="shared" ref="AA33" si="89">AVERAGE(AA30:AA31)</f>
        <v>4.5</v>
      </c>
      <c r="AB33" s="80">
        <f t="shared" ref="AB33" si="90">AVERAGE(AB30:AB31)</f>
        <v>0.05</v>
      </c>
      <c r="AC33" s="80">
        <f t="shared" ref="AC33" si="91">AVERAGE(AC30:AC31)</f>
        <v>1.4999999999999999E-2</v>
      </c>
      <c r="AD33" s="80">
        <f t="shared" ref="AD33" si="92">AVERAGE(AD30:AD31)</f>
        <v>3.0000000000000002E-2</v>
      </c>
      <c r="AE33" s="80">
        <f t="shared" ref="AE33" si="93">AVERAGE(AE30:AE31)</f>
        <v>3.5</v>
      </c>
      <c r="AF33" s="80">
        <f t="shared" ref="AF33" si="94">AVERAGE(AF30:AF31)</f>
        <v>2</v>
      </c>
      <c r="AG33" s="80">
        <f>+AE33+AF33/12</f>
        <v>3.6666666666666665</v>
      </c>
      <c r="AH33" s="80">
        <f>+AE33+AF33/6</f>
        <v>3.8333333333333335</v>
      </c>
      <c r="AI33" s="80"/>
      <c r="AJ33" s="80">
        <f t="shared" ref="AJ33" si="95">AVERAGE(AJ30:AJ31)</f>
        <v>4.4999999999999998E-2</v>
      </c>
    </row>
    <row r="34" spans="1:36" s="13" customFormat="1">
      <c r="A34" s="6"/>
      <c r="B34" s="78"/>
      <c r="C34" s="59"/>
      <c r="D34" s="6"/>
      <c r="E34" s="79"/>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spans="1:36" s="13" customFormat="1" ht="32">
      <c r="A35" s="6"/>
      <c r="B35" s="78"/>
      <c r="C35" s="59" t="s">
        <v>676</v>
      </c>
      <c r="D35" s="63">
        <v>1043</v>
      </c>
      <c r="E35" s="86" t="s">
        <v>413</v>
      </c>
      <c r="F35" s="6"/>
      <c r="G35" s="61">
        <v>0</v>
      </c>
      <c r="H35" s="61"/>
      <c r="I35" s="61"/>
      <c r="J35" s="61">
        <v>12.2</v>
      </c>
      <c r="K35" s="61">
        <v>0.7</v>
      </c>
      <c r="L35" s="61">
        <v>11.2</v>
      </c>
      <c r="M35" s="61">
        <v>1.6</v>
      </c>
      <c r="N35" s="61">
        <v>3.6</v>
      </c>
      <c r="O35" s="61">
        <v>0</v>
      </c>
      <c r="P35" s="61"/>
      <c r="Q35" s="61">
        <v>70.7</v>
      </c>
      <c r="R35" s="61">
        <v>349</v>
      </c>
      <c r="S35" s="61"/>
      <c r="T35" s="61">
        <v>35</v>
      </c>
      <c r="U35" s="61">
        <v>5.6</v>
      </c>
      <c r="V35" s="61"/>
      <c r="W35" s="61"/>
      <c r="X35" s="61"/>
      <c r="Y35" s="61"/>
      <c r="Z35" s="61">
        <v>0.87</v>
      </c>
      <c r="AA35" s="69">
        <v>577</v>
      </c>
      <c r="AB35" s="69">
        <v>0</v>
      </c>
      <c r="AC35" s="69">
        <v>0.91</v>
      </c>
      <c r="AD35" s="69">
        <v>0.56999999999999995</v>
      </c>
      <c r="AE35" s="69">
        <v>93</v>
      </c>
      <c r="AF35" s="69">
        <v>2</v>
      </c>
      <c r="AG35" s="69">
        <v>93</v>
      </c>
      <c r="AH35" s="69">
        <v>93</v>
      </c>
      <c r="AI35" s="69"/>
      <c r="AJ35" s="69">
        <v>0.7</v>
      </c>
    </row>
    <row r="36" spans="1:36" s="13" customFormat="1" ht="16">
      <c r="A36" s="6"/>
      <c r="B36" s="78"/>
      <c r="C36" s="59" t="s">
        <v>676</v>
      </c>
      <c r="D36" s="63">
        <v>1020</v>
      </c>
      <c r="E36" s="86" t="s">
        <v>414</v>
      </c>
      <c r="F36" s="6"/>
      <c r="G36" s="61">
        <v>0</v>
      </c>
      <c r="H36" s="61"/>
      <c r="I36" s="61"/>
      <c r="J36" s="61">
        <v>12.7</v>
      </c>
      <c r="K36" s="61">
        <v>0.7</v>
      </c>
      <c r="L36" s="61">
        <v>6.8</v>
      </c>
      <c r="M36" s="61">
        <v>3</v>
      </c>
      <c r="N36" s="61">
        <v>4.5</v>
      </c>
      <c r="O36" s="61">
        <v>0</v>
      </c>
      <c r="P36" s="61"/>
      <c r="Q36" s="61">
        <v>72.3</v>
      </c>
      <c r="R36" s="61">
        <v>352</v>
      </c>
      <c r="S36" s="61"/>
      <c r="T36" s="61">
        <v>20</v>
      </c>
      <c r="U36" s="61">
        <v>3.6</v>
      </c>
      <c r="V36" s="61"/>
      <c r="W36" s="61"/>
      <c r="X36" s="61"/>
      <c r="Y36" s="61"/>
      <c r="Z36" s="61">
        <v>4.3600000000000003</v>
      </c>
      <c r="AA36" s="69">
        <v>523</v>
      </c>
      <c r="AB36" s="69">
        <v>0</v>
      </c>
      <c r="AC36" s="69">
        <v>0.5</v>
      </c>
      <c r="AD36" s="69">
        <v>0.31</v>
      </c>
      <c r="AE36" s="69">
        <v>71.400000000000006</v>
      </c>
      <c r="AF36" s="69">
        <v>0</v>
      </c>
      <c r="AG36" s="69">
        <v>71</v>
      </c>
      <c r="AH36" s="69">
        <v>71</v>
      </c>
      <c r="AI36" s="69"/>
      <c r="AJ36" s="69">
        <v>0</v>
      </c>
    </row>
    <row r="37" spans="1:36" s="13" customFormat="1">
      <c r="A37" s="6"/>
      <c r="B37" s="78"/>
      <c r="C37" s="59"/>
      <c r="D37" s="63"/>
      <c r="E37" s="86"/>
      <c r="F37" s="6"/>
      <c r="G37" s="61"/>
      <c r="H37" s="61"/>
      <c r="I37" s="61"/>
      <c r="J37" s="61"/>
      <c r="K37" s="61"/>
      <c r="L37" s="61"/>
      <c r="M37" s="61"/>
      <c r="N37" s="61"/>
      <c r="O37" s="61"/>
      <c r="P37" s="61"/>
      <c r="Q37" s="61"/>
      <c r="R37" s="61"/>
      <c r="S37" s="61"/>
      <c r="T37" s="61"/>
      <c r="U37" s="61"/>
      <c r="V37" s="61"/>
      <c r="W37" s="61"/>
      <c r="X37" s="61"/>
      <c r="Y37" s="61"/>
      <c r="Z37" s="61"/>
      <c r="AA37" s="69"/>
      <c r="AB37" s="69"/>
      <c r="AC37" s="69"/>
      <c r="AD37" s="69"/>
      <c r="AE37" s="69"/>
      <c r="AF37" s="69"/>
      <c r="AG37" s="69"/>
      <c r="AH37" s="69"/>
      <c r="AI37" s="69"/>
      <c r="AJ37" s="69"/>
    </row>
    <row r="38" spans="1:36" s="84" customFormat="1" ht="32">
      <c r="A38" s="80">
        <v>124</v>
      </c>
      <c r="B38" s="81" t="s">
        <v>207</v>
      </c>
      <c r="C38" s="82"/>
      <c r="D38" s="80"/>
      <c r="E38" s="83"/>
      <c r="F38" s="80"/>
      <c r="G38" s="80">
        <f>AVERAGE(G35:G36)</f>
        <v>0</v>
      </c>
      <c r="H38" s="80"/>
      <c r="I38" s="80"/>
      <c r="J38" s="80">
        <f t="shared" ref="J38" si="96">AVERAGE(J35:J36)</f>
        <v>12.45</v>
      </c>
      <c r="K38" s="80">
        <f t="shared" ref="K38" si="97">AVERAGE(K35:K36)</f>
        <v>0.7</v>
      </c>
      <c r="L38" s="80">
        <f t="shared" ref="L38" si="98">AVERAGE(L35:L36)</f>
        <v>9</v>
      </c>
      <c r="M38" s="80">
        <f t="shared" ref="M38" si="99">AVERAGE(M35:M36)</f>
        <v>2.2999999999999998</v>
      </c>
      <c r="N38" s="80">
        <f t="shared" ref="N38" si="100">AVERAGE(N35:N36)</f>
        <v>4.05</v>
      </c>
      <c r="O38" s="80">
        <f t="shared" ref="O38" si="101">AVERAGE(O35:O36)</f>
        <v>0</v>
      </c>
      <c r="P38" s="80"/>
      <c r="Q38" s="80">
        <f>100-J38-K38-L38-M38-N38-O38</f>
        <v>71.5</v>
      </c>
      <c r="R38" s="80">
        <f t="shared" ref="R38" si="102">AVERAGE(R35:R36)</f>
        <v>350.5</v>
      </c>
      <c r="S38" s="80"/>
      <c r="T38" s="80">
        <f t="shared" ref="T38" si="103">AVERAGE(T35:T36)</f>
        <v>27.5</v>
      </c>
      <c r="U38" s="80">
        <f t="shared" ref="U38" si="104">AVERAGE(U35:U36)</f>
        <v>4.5999999999999996</v>
      </c>
      <c r="V38" s="80"/>
      <c r="W38" s="80"/>
      <c r="X38" s="80"/>
      <c r="Y38" s="80"/>
      <c r="Z38" s="80">
        <f t="shared" ref="Z38" si="105">AVERAGE(Z35:Z36)</f>
        <v>2.6150000000000002</v>
      </c>
      <c r="AA38" s="80">
        <f t="shared" ref="AA38" si="106">AVERAGE(AA35:AA36)</f>
        <v>550</v>
      </c>
      <c r="AB38" s="80">
        <f t="shared" ref="AB38" si="107">AVERAGE(AB35:AB36)</f>
        <v>0</v>
      </c>
      <c r="AC38" s="80">
        <f t="shared" ref="AC38" si="108">AVERAGE(AC35:AC36)</f>
        <v>0.70500000000000007</v>
      </c>
      <c r="AD38" s="80">
        <f t="shared" ref="AD38" si="109">AVERAGE(AD35:AD36)</f>
        <v>0.43999999999999995</v>
      </c>
      <c r="AE38" s="80">
        <f t="shared" ref="AE38" si="110">AVERAGE(AE35:AE36)</f>
        <v>82.2</v>
      </c>
      <c r="AF38" s="80">
        <f t="shared" ref="AF38" si="111">AVERAGE(AF35:AF36)</f>
        <v>1</v>
      </c>
      <c r="AG38" s="80">
        <f>+AE38+AF38/12</f>
        <v>82.283333333333331</v>
      </c>
      <c r="AH38" s="80">
        <f>+AE38+AF38/6</f>
        <v>82.366666666666674</v>
      </c>
      <c r="AI38" s="80"/>
      <c r="AJ38" s="80">
        <f t="shared" ref="AJ38" si="112">AVERAGE(AJ35:AJ36)</f>
        <v>0.35</v>
      </c>
    </row>
    <row r="39" spans="1:36" s="13" customFormat="1">
      <c r="A39" s="6"/>
      <c r="B39" s="78"/>
      <c r="C39" s="59"/>
      <c r="D39" s="6"/>
      <c r="E39" s="79"/>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1:36" s="13" customFormat="1" ht="16">
      <c r="A40" s="6"/>
      <c r="B40" s="78"/>
      <c r="C40" s="59" t="s">
        <v>676</v>
      </c>
      <c r="D40" s="63" t="s">
        <v>415</v>
      </c>
      <c r="E40" s="89" t="s">
        <v>416</v>
      </c>
      <c r="F40" s="6"/>
      <c r="G40" s="61">
        <v>0</v>
      </c>
      <c r="H40" s="61"/>
      <c r="I40" s="61"/>
      <c r="J40" s="69">
        <v>7</v>
      </c>
      <c r="K40" s="69">
        <v>4.37</v>
      </c>
      <c r="L40" s="69">
        <v>37</v>
      </c>
      <c r="M40" s="69">
        <v>20.2</v>
      </c>
      <c r="N40" s="69">
        <v>9.41</v>
      </c>
      <c r="O40" s="61">
        <v>0</v>
      </c>
      <c r="P40" s="69"/>
      <c r="Q40" s="69">
        <v>22</v>
      </c>
      <c r="R40" s="69">
        <v>437</v>
      </c>
      <c r="S40" s="69"/>
      <c r="T40" s="69">
        <v>200</v>
      </c>
      <c r="U40" s="69">
        <v>6.25</v>
      </c>
      <c r="V40" s="69"/>
      <c r="W40" s="69"/>
      <c r="X40" s="69"/>
      <c r="Y40" s="69"/>
      <c r="Z40" s="69">
        <v>3.84</v>
      </c>
      <c r="AA40" s="69">
        <v>338</v>
      </c>
      <c r="AB40" s="69">
        <v>0</v>
      </c>
      <c r="AC40" s="69">
        <v>0.8</v>
      </c>
      <c r="AD40" s="69">
        <v>0.3</v>
      </c>
      <c r="AE40" s="69">
        <v>0</v>
      </c>
      <c r="AF40" s="69">
        <v>71</v>
      </c>
      <c r="AG40" s="69">
        <v>6</v>
      </c>
      <c r="AH40" s="69">
        <v>12</v>
      </c>
      <c r="AI40" s="69"/>
      <c r="AJ40" s="69">
        <v>0</v>
      </c>
    </row>
    <row r="41" spans="1:36" s="13" customFormat="1" ht="16">
      <c r="A41" s="6"/>
      <c r="B41" s="78"/>
      <c r="C41" s="59" t="s">
        <v>676</v>
      </c>
      <c r="D41" s="63" t="s">
        <v>417</v>
      </c>
      <c r="E41" s="89" t="s">
        <v>418</v>
      </c>
      <c r="F41" s="6"/>
      <c r="G41" s="61">
        <v>0</v>
      </c>
      <c r="H41" s="61"/>
      <c r="I41" s="61"/>
      <c r="J41" s="69">
        <v>7</v>
      </c>
      <c r="K41" s="69">
        <v>5.9</v>
      </c>
      <c r="L41" s="69">
        <v>45</v>
      </c>
      <c r="M41" s="69">
        <v>8.68</v>
      </c>
      <c r="N41" s="69">
        <v>15.6</v>
      </c>
      <c r="O41" s="61">
        <v>0</v>
      </c>
      <c r="P41" s="69"/>
      <c r="Q41" s="69">
        <v>17.8</v>
      </c>
      <c r="R41" s="69">
        <v>361</v>
      </c>
      <c r="S41" s="69"/>
      <c r="T41" s="69">
        <v>240</v>
      </c>
      <c r="U41" s="69">
        <v>9.1</v>
      </c>
      <c r="V41" s="69"/>
      <c r="W41" s="69"/>
      <c r="X41" s="69"/>
      <c r="Y41" s="69"/>
      <c r="Z41" s="69">
        <v>4</v>
      </c>
      <c r="AA41" s="69">
        <v>282</v>
      </c>
      <c r="AB41" s="69">
        <v>0</v>
      </c>
      <c r="AC41" s="69">
        <v>0.8</v>
      </c>
      <c r="AD41" s="69">
        <v>0.4</v>
      </c>
      <c r="AE41" s="69">
        <v>0</v>
      </c>
      <c r="AF41" s="69">
        <v>23</v>
      </c>
      <c r="AG41" s="69">
        <v>2</v>
      </c>
      <c r="AH41" s="69">
        <v>4</v>
      </c>
      <c r="AI41" s="69"/>
      <c r="AJ41" s="69">
        <v>0</v>
      </c>
    </row>
    <row r="42" spans="1:36" s="13" customFormat="1">
      <c r="A42" s="6"/>
      <c r="B42" s="78"/>
      <c r="C42" s="59"/>
      <c r="D42" s="63"/>
      <c r="E42" s="89"/>
      <c r="F42" s="6"/>
      <c r="G42" s="61"/>
      <c r="H42" s="61"/>
      <c r="I42" s="61"/>
      <c r="J42" s="69"/>
      <c r="K42" s="69"/>
      <c r="L42" s="69"/>
      <c r="M42" s="69"/>
      <c r="N42" s="69"/>
      <c r="O42" s="61"/>
      <c r="P42" s="69"/>
      <c r="Q42" s="69"/>
      <c r="R42" s="69"/>
      <c r="S42" s="69"/>
      <c r="T42" s="69"/>
      <c r="U42" s="69"/>
      <c r="V42" s="69"/>
      <c r="W42" s="69"/>
      <c r="X42" s="69"/>
      <c r="Y42" s="69"/>
      <c r="Z42" s="69"/>
      <c r="AA42" s="69"/>
      <c r="AB42" s="69"/>
      <c r="AC42" s="69"/>
      <c r="AD42" s="69"/>
      <c r="AE42" s="69"/>
      <c r="AF42" s="69"/>
      <c r="AG42" s="69"/>
      <c r="AH42" s="69"/>
      <c r="AI42" s="69"/>
      <c r="AJ42" s="69"/>
    </row>
    <row r="43" spans="1:36" s="84" customFormat="1" ht="16">
      <c r="A43" s="80">
        <v>125</v>
      </c>
      <c r="B43" s="81" t="s">
        <v>208</v>
      </c>
      <c r="C43" s="82"/>
      <c r="D43" s="80"/>
      <c r="E43" s="83"/>
      <c r="F43" s="80"/>
      <c r="G43" s="80">
        <f>AVERAGE(G40:G41)</f>
        <v>0</v>
      </c>
      <c r="H43" s="80"/>
      <c r="I43" s="80"/>
      <c r="J43" s="80">
        <f t="shared" ref="J43" si="113">AVERAGE(J40:J41)</f>
        <v>7</v>
      </c>
      <c r="K43" s="80">
        <f t="shared" ref="K43" si="114">AVERAGE(K40:K41)</f>
        <v>5.1349999999999998</v>
      </c>
      <c r="L43" s="80">
        <f t="shared" ref="L43" si="115">AVERAGE(L40:L41)</f>
        <v>41</v>
      </c>
      <c r="M43" s="80">
        <f t="shared" ref="M43" si="116">AVERAGE(M40:M41)</f>
        <v>14.44</v>
      </c>
      <c r="N43" s="80">
        <f t="shared" ref="N43" si="117">AVERAGE(N40:N41)</f>
        <v>12.504999999999999</v>
      </c>
      <c r="O43" s="80">
        <f t="shared" ref="O43" si="118">AVERAGE(O40:O41)</f>
        <v>0</v>
      </c>
      <c r="P43" s="80"/>
      <c r="Q43" s="80">
        <f>100-J43-K43-L43-M43-N43-O43</f>
        <v>19.919999999999998</v>
      </c>
      <c r="R43" s="80">
        <f t="shared" ref="R43" si="119">AVERAGE(R40:R41)</f>
        <v>399</v>
      </c>
      <c r="S43" s="80"/>
      <c r="T43" s="80">
        <f t="shared" ref="T43" si="120">AVERAGE(T40:T41)</f>
        <v>220</v>
      </c>
      <c r="U43" s="80">
        <f t="shared" ref="U43" si="121">AVERAGE(U40:U41)</f>
        <v>7.6749999999999998</v>
      </c>
      <c r="V43" s="80"/>
      <c r="W43" s="80"/>
      <c r="X43" s="80"/>
      <c r="Y43" s="80"/>
      <c r="Z43" s="80">
        <f t="shared" ref="Z43" si="122">AVERAGE(Z40:Z41)</f>
        <v>3.92</v>
      </c>
      <c r="AA43" s="80">
        <f t="shared" ref="AA43" si="123">AVERAGE(AA40:AA41)</f>
        <v>310</v>
      </c>
      <c r="AB43" s="80">
        <f t="shared" ref="AB43" si="124">AVERAGE(AB40:AB41)</f>
        <v>0</v>
      </c>
      <c r="AC43" s="80">
        <f t="shared" ref="AC43" si="125">AVERAGE(AC40:AC41)</f>
        <v>0.8</v>
      </c>
      <c r="AD43" s="80">
        <f t="shared" ref="AD43" si="126">AVERAGE(AD40:AD41)</f>
        <v>0.35</v>
      </c>
      <c r="AE43" s="80">
        <f t="shared" ref="AE43" si="127">AVERAGE(AE40:AE41)</f>
        <v>0</v>
      </c>
      <c r="AF43" s="80">
        <f t="shared" ref="AF43" si="128">AVERAGE(AF40:AF41)</f>
        <v>47</v>
      </c>
      <c r="AG43" s="80">
        <f>+AE43+AF43/12</f>
        <v>3.9166666666666665</v>
      </c>
      <c r="AH43" s="80">
        <f>+AE43+AF43/6</f>
        <v>7.833333333333333</v>
      </c>
      <c r="AI43" s="80"/>
      <c r="AJ43" s="80">
        <f t="shared" ref="AJ43" si="129">AVERAGE(AJ40:AJ41)</f>
        <v>0</v>
      </c>
    </row>
    <row r="44" spans="1:36">
      <c r="A44" s="3"/>
      <c r="B44" s="76"/>
      <c r="C44" s="16"/>
      <c r="D44" s="3"/>
      <c r="E44" s="77"/>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spans="1:36" s="95" customFormat="1" ht="32">
      <c r="A45" s="90"/>
      <c r="B45" s="91"/>
      <c r="C45" s="59" t="s">
        <v>676</v>
      </c>
      <c r="D45" s="92">
        <v>1008</v>
      </c>
      <c r="E45" s="93" t="s">
        <v>419</v>
      </c>
      <c r="F45" s="90"/>
      <c r="G45" s="94">
        <v>0</v>
      </c>
      <c r="H45" s="94"/>
      <c r="I45" s="94"/>
      <c r="J45" s="94">
        <v>3.5</v>
      </c>
      <c r="K45" s="94">
        <v>2.8</v>
      </c>
      <c r="L45" s="94">
        <v>7.5</v>
      </c>
      <c r="M45" s="94">
        <v>0.7</v>
      </c>
      <c r="N45" s="94">
        <v>2.95</v>
      </c>
      <c r="O45" s="94">
        <v>0</v>
      </c>
      <c r="P45" s="94"/>
      <c r="Q45" s="94">
        <v>82.6</v>
      </c>
      <c r="R45" s="94">
        <v>372</v>
      </c>
      <c r="S45" s="94"/>
      <c r="T45" s="94">
        <v>3.2</v>
      </c>
      <c r="U45" s="94">
        <v>10.199999999999999</v>
      </c>
      <c r="V45" s="94"/>
      <c r="W45" s="94"/>
      <c r="X45" s="94"/>
      <c r="Y45" s="94"/>
      <c r="Z45" s="94">
        <v>0.2</v>
      </c>
      <c r="AA45" s="94">
        <v>422</v>
      </c>
      <c r="AB45" s="94">
        <v>0</v>
      </c>
      <c r="AC45" s="94">
        <v>1</v>
      </c>
      <c r="AD45" s="94">
        <v>1.5</v>
      </c>
      <c r="AE45" s="94">
        <v>0</v>
      </c>
      <c r="AF45" s="94">
        <v>128</v>
      </c>
      <c r="AG45" s="94">
        <v>11</v>
      </c>
      <c r="AH45" s="94">
        <v>21</v>
      </c>
      <c r="AI45" s="94"/>
      <c r="AJ45" s="94">
        <v>0</v>
      </c>
    </row>
    <row r="46" spans="1:36" s="95" customFormat="1" ht="16">
      <c r="A46" s="90"/>
      <c r="B46" s="91"/>
      <c r="C46" s="59" t="s">
        <v>676</v>
      </c>
      <c r="D46" s="92">
        <v>1009</v>
      </c>
      <c r="E46" s="93" t="s">
        <v>420</v>
      </c>
      <c r="F46" s="90"/>
      <c r="G46" s="94">
        <v>0</v>
      </c>
      <c r="H46" s="94"/>
      <c r="I46" s="94"/>
      <c r="J46" s="94">
        <v>3.5</v>
      </c>
      <c r="K46" s="94">
        <v>2.8</v>
      </c>
      <c r="L46" s="94">
        <v>7.5</v>
      </c>
      <c r="M46" s="94">
        <v>0.7</v>
      </c>
      <c r="N46" s="94">
        <v>2.6</v>
      </c>
      <c r="O46" s="94">
        <v>0</v>
      </c>
      <c r="P46" s="94"/>
      <c r="Q46" s="94">
        <v>83</v>
      </c>
      <c r="R46" s="94">
        <v>373</v>
      </c>
      <c r="S46" s="94"/>
      <c r="T46" s="94">
        <v>3</v>
      </c>
      <c r="U46" s="94">
        <v>0.4</v>
      </c>
      <c r="V46" s="94"/>
      <c r="W46" s="94"/>
      <c r="X46" s="94"/>
      <c r="Y46" s="94"/>
      <c r="Z46" s="94">
        <v>0.2</v>
      </c>
      <c r="AA46" s="96">
        <v>4</v>
      </c>
      <c r="AB46" s="96">
        <v>0</v>
      </c>
      <c r="AC46" s="96">
        <v>0</v>
      </c>
      <c r="AD46" s="96">
        <v>0.08</v>
      </c>
      <c r="AE46" s="96">
        <v>0</v>
      </c>
      <c r="AF46" s="96">
        <v>125</v>
      </c>
      <c r="AG46" s="96">
        <v>10</v>
      </c>
      <c r="AH46" s="96">
        <v>21</v>
      </c>
      <c r="AI46" s="96"/>
      <c r="AJ46" s="96">
        <v>0</v>
      </c>
    </row>
    <row r="47" spans="1:36" s="95" customFormat="1" ht="32">
      <c r="A47" s="90"/>
      <c r="B47" s="91"/>
      <c r="C47" s="59" t="s">
        <v>676</v>
      </c>
      <c r="D47" s="92">
        <v>1010</v>
      </c>
      <c r="E47" s="93" t="s">
        <v>421</v>
      </c>
      <c r="F47" s="90"/>
      <c r="G47" s="94">
        <v>0</v>
      </c>
      <c r="H47" s="94"/>
      <c r="I47" s="94"/>
      <c r="J47" s="94">
        <v>3.8</v>
      </c>
      <c r="K47" s="94">
        <v>2.1</v>
      </c>
      <c r="L47" s="94">
        <v>11.5</v>
      </c>
      <c r="M47" s="94">
        <v>1.9</v>
      </c>
      <c r="N47" s="94">
        <v>9.9</v>
      </c>
      <c r="O47" s="94">
        <v>0</v>
      </c>
      <c r="P47" s="94"/>
      <c r="Q47" s="94">
        <v>70.7</v>
      </c>
      <c r="R47" s="94">
        <v>366</v>
      </c>
      <c r="S47" s="94"/>
      <c r="T47" s="94">
        <v>30</v>
      </c>
      <c r="U47" s="94">
        <v>7.6</v>
      </c>
      <c r="V47" s="94"/>
      <c r="W47" s="94"/>
      <c r="X47" s="94"/>
      <c r="Y47" s="94"/>
      <c r="Z47" s="94">
        <v>2</v>
      </c>
      <c r="AA47" s="96">
        <v>53</v>
      </c>
      <c r="AB47" s="96">
        <v>0</v>
      </c>
      <c r="AC47" s="96">
        <v>1</v>
      </c>
      <c r="AD47" s="96">
        <v>1.24</v>
      </c>
      <c r="AE47" s="96">
        <v>0</v>
      </c>
      <c r="AF47" s="96">
        <v>0</v>
      </c>
      <c r="AG47" s="96">
        <v>0</v>
      </c>
      <c r="AH47" s="96">
        <v>0</v>
      </c>
      <c r="AI47" s="96"/>
      <c r="AJ47" s="96">
        <v>0</v>
      </c>
    </row>
    <row r="48" spans="1:36" s="95" customFormat="1">
      <c r="A48" s="90"/>
      <c r="B48" s="91"/>
      <c r="C48" s="97"/>
      <c r="D48" s="92"/>
      <c r="E48" s="93"/>
      <c r="F48" s="90"/>
      <c r="G48" s="94"/>
      <c r="H48" s="94"/>
      <c r="I48" s="94"/>
      <c r="J48" s="94"/>
      <c r="K48" s="94"/>
      <c r="L48" s="94"/>
      <c r="M48" s="94"/>
      <c r="N48" s="94"/>
      <c r="O48" s="94"/>
      <c r="P48" s="94"/>
      <c r="Q48" s="94"/>
      <c r="R48" s="94"/>
      <c r="S48" s="94"/>
      <c r="T48" s="94"/>
      <c r="U48" s="94"/>
      <c r="V48" s="94"/>
      <c r="W48" s="94"/>
      <c r="X48" s="94"/>
      <c r="Y48" s="94"/>
      <c r="Z48" s="94"/>
      <c r="AA48" s="96"/>
      <c r="AB48" s="96"/>
      <c r="AC48" s="96"/>
      <c r="AD48" s="96"/>
      <c r="AE48" s="96"/>
      <c r="AF48" s="96"/>
      <c r="AG48" s="96"/>
      <c r="AH48" s="96"/>
      <c r="AI48" s="96"/>
      <c r="AJ48" s="96"/>
    </row>
    <row r="49" spans="1:36" s="84" customFormat="1" ht="16">
      <c r="A49" s="80">
        <v>128</v>
      </c>
      <c r="B49" s="81" t="s">
        <v>211</v>
      </c>
      <c r="C49" s="82"/>
      <c r="D49" s="80"/>
      <c r="E49" s="83"/>
      <c r="F49" s="80"/>
      <c r="G49" s="80">
        <f>AVERAGE(G45:G47)</f>
        <v>0</v>
      </c>
      <c r="H49" s="80"/>
      <c r="I49" s="80"/>
      <c r="J49" s="80">
        <f t="shared" ref="J49:O49" si="130">AVERAGE(J45:J47)</f>
        <v>3.6</v>
      </c>
      <c r="K49" s="80">
        <f t="shared" si="130"/>
        <v>2.5666666666666664</v>
      </c>
      <c r="L49" s="80">
        <f t="shared" si="130"/>
        <v>8.8333333333333339</v>
      </c>
      <c r="M49" s="80">
        <f t="shared" si="130"/>
        <v>1.0999999999999999</v>
      </c>
      <c r="N49" s="80">
        <f t="shared" si="130"/>
        <v>5.15</v>
      </c>
      <c r="O49" s="80">
        <f t="shared" si="130"/>
        <v>0</v>
      </c>
      <c r="P49" s="80"/>
      <c r="Q49" s="80">
        <f>100-J49-K49-L49-M49-N49-O49</f>
        <v>78.750000000000014</v>
      </c>
      <c r="R49" s="80">
        <f t="shared" ref="R49" si="131">AVERAGE(R45:R47)</f>
        <v>370.33333333333331</v>
      </c>
      <c r="S49" s="80"/>
      <c r="T49" s="80">
        <f t="shared" ref="T49:AJ49" si="132">AVERAGE(T45:T47)</f>
        <v>12.066666666666668</v>
      </c>
      <c r="U49" s="80">
        <f t="shared" si="132"/>
        <v>6.0666666666666664</v>
      </c>
      <c r="V49" s="80"/>
      <c r="W49" s="80"/>
      <c r="X49" s="80"/>
      <c r="Y49" s="80"/>
      <c r="Z49" s="80">
        <f t="shared" si="132"/>
        <v>0.79999999999999993</v>
      </c>
      <c r="AA49" s="80">
        <f t="shared" si="132"/>
        <v>159.66666666666666</v>
      </c>
      <c r="AB49" s="80">
        <f t="shared" si="132"/>
        <v>0</v>
      </c>
      <c r="AC49" s="80">
        <f t="shared" si="132"/>
        <v>0.66666666666666663</v>
      </c>
      <c r="AD49" s="80">
        <f t="shared" si="132"/>
        <v>0.94000000000000006</v>
      </c>
      <c r="AE49" s="80">
        <f t="shared" si="132"/>
        <v>0</v>
      </c>
      <c r="AF49" s="80">
        <f t="shared" si="132"/>
        <v>84.333333333333329</v>
      </c>
      <c r="AG49" s="80">
        <f>+AE49+AF49/12</f>
        <v>7.0277777777777777</v>
      </c>
      <c r="AH49" s="80">
        <f>+AE49+AF49/6</f>
        <v>14.055555555555555</v>
      </c>
      <c r="AI49" s="80"/>
      <c r="AJ49" s="80">
        <f t="shared" si="132"/>
        <v>0</v>
      </c>
    </row>
    <row r="50" spans="1:36">
      <c r="A50" s="3"/>
      <c r="B50" s="76"/>
      <c r="C50" s="16"/>
      <c r="D50" s="3"/>
      <c r="E50" s="77"/>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spans="1:36" s="13" customFormat="1" ht="16">
      <c r="A51" s="6"/>
      <c r="B51" s="78"/>
      <c r="C51" s="59" t="s">
        <v>676</v>
      </c>
      <c r="D51" s="63">
        <v>3001</v>
      </c>
      <c r="E51" s="86" t="s">
        <v>422</v>
      </c>
      <c r="F51" s="6"/>
      <c r="G51" s="61">
        <v>0</v>
      </c>
      <c r="H51" s="61"/>
      <c r="I51" s="61"/>
      <c r="J51" s="69">
        <v>10.9</v>
      </c>
      <c r="K51" s="69">
        <v>3.29</v>
      </c>
      <c r="L51" s="69">
        <v>25.7</v>
      </c>
      <c r="M51" s="69">
        <v>1.53</v>
      </c>
      <c r="N51" s="69">
        <v>22.9</v>
      </c>
      <c r="O51" s="61">
        <v>0</v>
      </c>
      <c r="P51" s="69"/>
      <c r="Q51" s="69">
        <v>35.6</v>
      </c>
      <c r="R51" s="69">
        <v>305</v>
      </c>
      <c r="S51" s="69"/>
      <c r="T51" s="69">
        <v>96</v>
      </c>
      <c r="U51" s="69">
        <v>5.19</v>
      </c>
      <c r="V51" s="69"/>
      <c r="W51" s="69"/>
      <c r="X51" s="69"/>
      <c r="Y51" s="69"/>
      <c r="Z51" s="69">
        <v>3.55</v>
      </c>
      <c r="AA51" s="69">
        <v>250</v>
      </c>
      <c r="AB51" s="69">
        <v>1.4</v>
      </c>
      <c r="AC51" s="69">
        <v>0.56000000000000005</v>
      </c>
      <c r="AD51" s="69">
        <v>0.33</v>
      </c>
      <c r="AE51" s="69">
        <v>0</v>
      </c>
      <c r="AF51" s="69">
        <v>29</v>
      </c>
      <c r="AG51" s="69">
        <v>2</v>
      </c>
      <c r="AH51" s="69">
        <v>5</v>
      </c>
      <c r="AI51" s="69"/>
      <c r="AJ51" s="69">
        <v>0</v>
      </c>
    </row>
    <row r="52" spans="1:36" s="13" customFormat="1" ht="16">
      <c r="A52" s="6"/>
      <c r="B52" s="78"/>
      <c r="C52" s="59" t="s">
        <v>676</v>
      </c>
      <c r="D52" s="6">
        <v>3004</v>
      </c>
      <c r="E52" s="79" t="s">
        <v>599</v>
      </c>
      <c r="F52" s="6"/>
      <c r="G52" s="61">
        <v>0</v>
      </c>
      <c r="H52" s="61"/>
      <c r="I52" s="61"/>
      <c r="J52" s="69">
        <v>12.1</v>
      </c>
      <c r="K52" s="69">
        <v>3.6</v>
      </c>
      <c r="L52" s="69">
        <v>20.5</v>
      </c>
      <c r="M52" s="69">
        <v>2</v>
      </c>
      <c r="N52" s="69">
        <v>21.2</v>
      </c>
      <c r="O52" s="61">
        <v>0</v>
      </c>
      <c r="P52" s="69"/>
      <c r="Q52" s="69">
        <v>40.6</v>
      </c>
      <c r="R52" s="69">
        <v>305</v>
      </c>
      <c r="S52" s="69"/>
      <c r="T52" s="69">
        <v>106</v>
      </c>
      <c r="U52" s="69">
        <v>6.4</v>
      </c>
      <c r="V52" s="69"/>
      <c r="W52" s="69"/>
      <c r="X52" s="69"/>
      <c r="Y52" s="69"/>
      <c r="Z52" s="69">
        <v>2.78</v>
      </c>
      <c r="AA52" s="69">
        <v>272</v>
      </c>
      <c r="AB52" s="69">
        <v>0.3</v>
      </c>
      <c r="AC52" s="69">
        <v>0.35</v>
      </c>
      <c r="AD52" s="69">
        <v>0.18</v>
      </c>
      <c r="AE52" s="69">
        <v>0</v>
      </c>
      <c r="AF52" s="69">
        <v>6</v>
      </c>
      <c r="AG52" s="69">
        <v>1</v>
      </c>
      <c r="AH52" s="69">
        <v>1</v>
      </c>
      <c r="AI52" s="69"/>
      <c r="AJ52" s="69">
        <v>0</v>
      </c>
    </row>
    <row r="53" spans="1:36" s="13" customFormat="1" ht="16">
      <c r="A53" s="6"/>
      <c r="B53" s="78"/>
      <c r="C53" s="59" t="s">
        <v>676</v>
      </c>
      <c r="D53" s="69">
        <v>3005</v>
      </c>
      <c r="E53" s="98" t="s">
        <v>600</v>
      </c>
      <c r="F53" s="6"/>
      <c r="G53" s="61">
        <v>0</v>
      </c>
      <c r="H53" s="61"/>
      <c r="I53" s="61"/>
      <c r="J53" s="69">
        <v>13.6</v>
      </c>
      <c r="K53" s="69">
        <v>4.5</v>
      </c>
      <c r="L53" s="69">
        <v>22.4</v>
      </c>
      <c r="M53" s="69">
        <v>1.63</v>
      </c>
      <c r="N53" s="69">
        <v>18.2</v>
      </c>
      <c r="O53" s="61">
        <v>0</v>
      </c>
      <c r="P53" s="69"/>
      <c r="Q53" s="69">
        <v>39.700000000000003</v>
      </c>
      <c r="R53" s="69">
        <v>299</v>
      </c>
      <c r="S53" s="69"/>
      <c r="T53" s="69">
        <v>64</v>
      </c>
      <c r="U53" s="69">
        <v>9.9</v>
      </c>
      <c r="V53" s="69"/>
      <c r="W53" s="69"/>
      <c r="X53" s="69"/>
      <c r="Y53" s="69"/>
      <c r="Z53" s="69">
        <v>2.6</v>
      </c>
      <c r="AA53" s="69">
        <v>381</v>
      </c>
      <c r="AB53" s="69">
        <v>1</v>
      </c>
      <c r="AC53" s="69">
        <v>0.53</v>
      </c>
      <c r="AD53" s="69">
        <v>0.16</v>
      </c>
      <c r="AE53" s="69">
        <v>0</v>
      </c>
      <c r="AF53" s="69">
        <v>0</v>
      </c>
      <c r="AG53" s="69">
        <v>0</v>
      </c>
      <c r="AH53" s="69">
        <v>0</v>
      </c>
      <c r="AI53" s="69"/>
      <c r="AJ53" s="69">
        <v>0</v>
      </c>
    </row>
    <row r="54" spans="1:36" s="13" customFormat="1">
      <c r="A54" s="6"/>
      <c r="B54" s="78"/>
      <c r="C54" s="59"/>
      <c r="D54" s="69"/>
      <c r="E54" s="98"/>
      <c r="F54" s="6"/>
      <c r="G54" s="61"/>
      <c r="H54" s="61"/>
      <c r="I54" s="61"/>
      <c r="J54" s="69"/>
      <c r="K54" s="69"/>
      <c r="L54" s="69"/>
      <c r="M54" s="69"/>
      <c r="N54" s="69"/>
      <c r="O54" s="61"/>
      <c r="P54" s="69"/>
      <c r="Q54" s="69"/>
      <c r="R54" s="69"/>
      <c r="S54" s="69"/>
      <c r="T54" s="69"/>
      <c r="U54" s="69"/>
      <c r="V54" s="69"/>
      <c r="W54" s="69"/>
      <c r="X54" s="69"/>
      <c r="Y54" s="69"/>
      <c r="Z54" s="69"/>
      <c r="AA54" s="69"/>
      <c r="AB54" s="69"/>
      <c r="AC54" s="69"/>
      <c r="AD54" s="69"/>
      <c r="AE54" s="69"/>
      <c r="AF54" s="69"/>
      <c r="AG54" s="69"/>
      <c r="AH54" s="69"/>
      <c r="AI54" s="69"/>
      <c r="AJ54" s="69"/>
    </row>
    <row r="55" spans="1:36" s="84" customFormat="1" ht="16">
      <c r="A55" s="80">
        <v>129</v>
      </c>
      <c r="B55" s="81" t="s">
        <v>212</v>
      </c>
      <c r="C55" s="82"/>
      <c r="D55" s="80"/>
      <c r="E55" s="83"/>
      <c r="F55" s="80"/>
      <c r="G55" s="80">
        <f>AVERAGE(G51:G53)</f>
        <v>0</v>
      </c>
      <c r="H55" s="80"/>
      <c r="I55" s="80"/>
      <c r="J55" s="80">
        <f t="shared" ref="J55" si="133">AVERAGE(J51:J53)</f>
        <v>12.200000000000001</v>
      </c>
      <c r="K55" s="80">
        <f t="shared" ref="K55" si="134">AVERAGE(K51:K53)</f>
        <v>3.7966666666666669</v>
      </c>
      <c r="L55" s="80">
        <f t="shared" ref="L55" si="135">AVERAGE(L51:L53)</f>
        <v>22.866666666666664</v>
      </c>
      <c r="M55" s="80">
        <f t="shared" ref="M55" si="136">AVERAGE(M51:M53)</f>
        <v>1.72</v>
      </c>
      <c r="N55" s="80">
        <f t="shared" ref="N55" si="137">AVERAGE(N51:N53)</f>
        <v>20.766666666666666</v>
      </c>
      <c r="O55" s="80">
        <f t="shared" ref="O55" si="138">AVERAGE(O51:O53)</f>
        <v>0</v>
      </c>
      <c r="P55" s="80"/>
      <c r="Q55" s="80">
        <f>100-J55-K55-L55-M55-N55-O55</f>
        <v>38.650000000000006</v>
      </c>
      <c r="R55" s="80">
        <f t="shared" ref="R55" si="139">AVERAGE(R51:R53)</f>
        <v>303</v>
      </c>
      <c r="S55" s="80"/>
      <c r="T55" s="80">
        <f t="shared" ref="T55" si="140">AVERAGE(T51:T53)</f>
        <v>88.666666666666671</v>
      </c>
      <c r="U55" s="80">
        <f t="shared" ref="U55" si="141">AVERAGE(U51:U53)</f>
        <v>7.163333333333334</v>
      </c>
      <c r="V55" s="80"/>
      <c r="W55" s="80"/>
      <c r="X55" s="80"/>
      <c r="Y55" s="80"/>
      <c r="Z55" s="80">
        <f t="shared" ref="Z55" si="142">AVERAGE(Z51:Z53)</f>
        <v>2.9766666666666666</v>
      </c>
      <c r="AA55" s="80">
        <f t="shared" ref="AA55" si="143">AVERAGE(AA51:AA53)</f>
        <v>301</v>
      </c>
      <c r="AB55" s="80">
        <f t="shared" ref="AB55" si="144">AVERAGE(AB51:AB53)</f>
        <v>0.9</v>
      </c>
      <c r="AC55" s="80">
        <f t="shared" ref="AC55" si="145">AVERAGE(AC51:AC53)</f>
        <v>0.48</v>
      </c>
      <c r="AD55" s="80">
        <f t="shared" ref="AD55" si="146">AVERAGE(AD51:AD53)</f>
        <v>0.22333333333333336</v>
      </c>
      <c r="AE55" s="80">
        <f t="shared" ref="AE55" si="147">AVERAGE(AE51:AE53)</f>
        <v>0</v>
      </c>
      <c r="AF55" s="80">
        <f t="shared" ref="AF55" si="148">AVERAGE(AF51:AF53)</f>
        <v>11.666666666666666</v>
      </c>
      <c r="AG55" s="80">
        <f>+AE55+AF55/12</f>
        <v>0.97222222222222221</v>
      </c>
      <c r="AH55" s="80">
        <f>+AE55+AF55/6</f>
        <v>1.9444444444444444</v>
      </c>
      <c r="AI55" s="80"/>
      <c r="AJ55" s="80">
        <f t="shared" ref="AJ55" si="149">AVERAGE(AJ51:AJ53)</f>
        <v>0</v>
      </c>
    </row>
    <row r="56" spans="1:36" s="13" customFormat="1">
      <c r="A56" s="6"/>
      <c r="B56" s="78"/>
      <c r="C56" s="59"/>
      <c r="D56" s="6"/>
      <c r="E56" s="79"/>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spans="1:36">
      <c r="A57" s="3"/>
      <c r="B57" s="76"/>
      <c r="C57" s="16"/>
      <c r="D57" s="3"/>
      <c r="E57" s="77"/>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spans="1:36" s="13" customFormat="1" ht="16">
      <c r="A58" s="6"/>
      <c r="B58" s="78"/>
      <c r="C58" s="59" t="s">
        <v>676</v>
      </c>
      <c r="D58" s="63">
        <v>3008</v>
      </c>
      <c r="E58" s="86" t="s">
        <v>431</v>
      </c>
      <c r="F58" s="6"/>
      <c r="G58" s="61">
        <v>0</v>
      </c>
      <c r="H58" s="61"/>
      <c r="I58" s="61"/>
      <c r="J58" s="69">
        <v>10.3</v>
      </c>
      <c r="K58" s="69">
        <v>3.4</v>
      </c>
      <c r="L58" s="69">
        <v>23.1</v>
      </c>
      <c r="M58" s="69">
        <v>1.4</v>
      </c>
      <c r="N58" s="69">
        <v>16.399999999999999</v>
      </c>
      <c r="O58" s="61">
        <v>0</v>
      </c>
      <c r="P58" s="69"/>
      <c r="Q58" s="69">
        <v>45.3</v>
      </c>
      <c r="R58" s="69">
        <v>319</v>
      </c>
      <c r="S58" s="69"/>
      <c r="T58" s="69">
        <v>59</v>
      </c>
      <c r="U58" s="69">
        <v>7.13</v>
      </c>
      <c r="V58" s="69"/>
      <c r="W58" s="69"/>
      <c r="X58" s="69"/>
      <c r="Y58" s="69"/>
      <c r="Z58" s="69">
        <v>2.4900000000000002</v>
      </c>
      <c r="AA58" s="69">
        <v>23</v>
      </c>
      <c r="AB58" s="69">
        <v>0</v>
      </c>
      <c r="AC58" s="69">
        <v>0.59</v>
      </c>
      <c r="AD58" s="69">
        <v>0.17</v>
      </c>
      <c r="AE58" s="69">
        <v>0</v>
      </c>
      <c r="AF58" s="69">
        <v>5</v>
      </c>
      <c r="AG58" s="69">
        <v>0</v>
      </c>
      <c r="AH58" s="69">
        <v>1</v>
      </c>
      <c r="AI58" s="69"/>
      <c r="AJ58" s="69">
        <v>0</v>
      </c>
    </row>
    <row r="59" spans="1:36" s="13" customFormat="1" ht="16">
      <c r="A59" s="6"/>
      <c r="B59" s="78"/>
      <c r="C59" s="59" t="s">
        <v>676</v>
      </c>
      <c r="D59" s="69">
        <v>3020</v>
      </c>
      <c r="E59" s="98" t="s">
        <v>602</v>
      </c>
      <c r="F59" s="6"/>
      <c r="G59" s="61">
        <v>0</v>
      </c>
      <c r="H59" s="61"/>
      <c r="I59" s="61"/>
      <c r="J59" s="69">
        <v>9.9499999999999993</v>
      </c>
      <c r="K59" s="69">
        <v>3</v>
      </c>
      <c r="L59" s="69">
        <v>28.4</v>
      </c>
      <c r="M59" s="69">
        <v>0.6</v>
      </c>
      <c r="N59" s="69">
        <v>16.8</v>
      </c>
      <c r="O59" s="61">
        <v>0</v>
      </c>
      <c r="P59" s="69"/>
      <c r="Q59" s="69">
        <v>41.3</v>
      </c>
      <c r="R59" s="69">
        <v>318</v>
      </c>
      <c r="S59" s="69"/>
      <c r="T59" s="69">
        <v>83</v>
      </c>
      <c r="U59" s="69">
        <v>7.4</v>
      </c>
      <c r="V59" s="69"/>
      <c r="W59" s="69"/>
      <c r="X59" s="69"/>
      <c r="Y59" s="69"/>
      <c r="Z59" s="69">
        <v>4</v>
      </c>
      <c r="AA59" s="69">
        <v>132</v>
      </c>
      <c r="AB59" s="69">
        <v>6.8</v>
      </c>
      <c r="AC59" s="69">
        <v>0.4</v>
      </c>
      <c r="AD59" s="69">
        <v>0.19</v>
      </c>
      <c r="AE59" s="69">
        <v>0</v>
      </c>
      <c r="AF59" s="69">
        <v>10</v>
      </c>
      <c r="AG59" s="69">
        <v>1</v>
      </c>
      <c r="AH59" s="69">
        <v>2</v>
      </c>
      <c r="AI59" s="69"/>
      <c r="AJ59" s="69">
        <v>0</v>
      </c>
    </row>
    <row r="60" spans="1:36" s="13" customFormat="1">
      <c r="A60" s="6"/>
      <c r="B60" s="78"/>
      <c r="C60" s="59"/>
      <c r="D60" s="69"/>
      <c r="E60" s="98"/>
      <c r="F60" s="6"/>
      <c r="G60" s="61"/>
      <c r="H60" s="61"/>
      <c r="I60" s="61"/>
      <c r="J60" s="69"/>
      <c r="K60" s="69"/>
      <c r="L60" s="69"/>
      <c r="M60" s="69"/>
      <c r="N60" s="69"/>
      <c r="O60" s="61"/>
      <c r="P60" s="69"/>
      <c r="Q60" s="69"/>
      <c r="R60" s="69"/>
      <c r="S60" s="69"/>
      <c r="T60" s="69"/>
      <c r="U60" s="69"/>
      <c r="V60" s="69"/>
      <c r="W60" s="69"/>
      <c r="X60" s="69"/>
      <c r="Y60" s="69"/>
      <c r="Z60" s="69"/>
      <c r="AA60" s="69"/>
      <c r="AB60" s="69"/>
      <c r="AC60" s="69"/>
      <c r="AD60" s="69"/>
      <c r="AE60" s="69"/>
      <c r="AF60" s="69"/>
      <c r="AG60" s="69"/>
      <c r="AH60" s="69"/>
      <c r="AI60" s="69"/>
      <c r="AJ60" s="69"/>
    </row>
    <row r="61" spans="1:36" s="84" customFormat="1" ht="16">
      <c r="A61" s="80">
        <v>142</v>
      </c>
      <c r="B61" s="81" t="s">
        <v>225</v>
      </c>
      <c r="C61" s="82"/>
      <c r="D61" s="80"/>
      <c r="E61" s="83"/>
      <c r="F61" s="80"/>
      <c r="G61" s="80">
        <f>AVERAGE(G58:G59)</f>
        <v>0</v>
      </c>
      <c r="H61" s="80"/>
      <c r="I61" s="80"/>
      <c r="J61" s="80">
        <f t="shared" ref="J61" si="150">AVERAGE(J58:J59)</f>
        <v>10.125</v>
      </c>
      <c r="K61" s="80">
        <f t="shared" ref="K61" si="151">AVERAGE(K58:K59)</f>
        <v>3.2</v>
      </c>
      <c r="L61" s="80">
        <f t="shared" ref="L61" si="152">AVERAGE(L58:L59)</f>
        <v>25.75</v>
      </c>
      <c r="M61" s="80">
        <f t="shared" ref="M61" si="153">AVERAGE(M58:M59)</f>
        <v>1</v>
      </c>
      <c r="N61" s="80">
        <f t="shared" ref="N61" si="154">AVERAGE(N58:N59)</f>
        <v>16.600000000000001</v>
      </c>
      <c r="O61" s="80">
        <f t="shared" ref="O61" si="155">AVERAGE(O58:O59)</f>
        <v>0</v>
      </c>
      <c r="P61" s="80"/>
      <c r="Q61" s="80">
        <f>100-J61-K61-L61-M61-N61-O61</f>
        <v>43.324999999999996</v>
      </c>
      <c r="R61" s="80">
        <f t="shared" ref="R61" si="156">AVERAGE(R58:R59)</f>
        <v>318.5</v>
      </c>
      <c r="S61" s="80"/>
      <c r="T61" s="80">
        <f t="shared" ref="T61" si="157">AVERAGE(T58:T59)</f>
        <v>71</v>
      </c>
      <c r="U61" s="80">
        <f t="shared" ref="U61" si="158">AVERAGE(U58:U59)</f>
        <v>7.2650000000000006</v>
      </c>
      <c r="V61" s="80"/>
      <c r="W61" s="80"/>
      <c r="X61" s="80"/>
      <c r="Y61" s="80"/>
      <c r="Z61" s="80">
        <f t="shared" ref="Z61" si="159">AVERAGE(Z58:Z59)</f>
        <v>3.2450000000000001</v>
      </c>
      <c r="AA61" s="80">
        <f t="shared" ref="AA61" si="160">AVERAGE(AA58:AA59)</f>
        <v>77.5</v>
      </c>
      <c r="AB61" s="80">
        <f t="shared" ref="AB61" si="161">AVERAGE(AB58:AB59)</f>
        <v>3.4</v>
      </c>
      <c r="AC61" s="80">
        <f t="shared" ref="AC61" si="162">AVERAGE(AC58:AC59)</f>
        <v>0.495</v>
      </c>
      <c r="AD61" s="80">
        <f t="shared" ref="AD61" si="163">AVERAGE(AD58:AD59)</f>
        <v>0.18</v>
      </c>
      <c r="AE61" s="80">
        <f t="shared" ref="AE61" si="164">AVERAGE(AE58:AE59)</f>
        <v>0</v>
      </c>
      <c r="AF61" s="80">
        <f t="shared" ref="AF61" si="165">AVERAGE(AF58:AF59)</f>
        <v>7.5</v>
      </c>
      <c r="AG61" s="80">
        <f>+AE61+AF61/12</f>
        <v>0.625</v>
      </c>
      <c r="AH61" s="80">
        <f>+AE61+AF61/6</f>
        <v>1.25</v>
      </c>
      <c r="AI61" s="80"/>
      <c r="AJ61" s="80">
        <f t="shared" ref="AJ61" si="166">AVERAGE(AJ58:AJ59)</f>
        <v>0</v>
      </c>
    </row>
    <row r="62" spans="1:36">
      <c r="A62" s="3"/>
      <c r="B62" s="76"/>
      <c r="C62" s="16"/>
      <c r="D62" s="3"/>
      <c r="E62" s="77"/>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s="95" customFormat="1" ht="32">
      <c r="A63" s="90"/>
      <c r="B63" s="91"/>
      <c r="C63" s="59" t="s">
        <v>676</v>
      </c>
      <c r="D63" s="92">
        <v>1012</v>
      </c>
      <c r="E63" s="93" t="s">
        <v>432</v>
      </c>
      <c r="F63" s="90"/>
      <c r="G63" s="94">
        <v>0</v>
      </c>
      <c r="H63" s="94"/>
      <c r="I63" s="94"/>
      <c r="J63" s="94">
        <v>25.9</v>
      </c>
      <c r="K63" s="94">
        <v>1.9</v>
      </c>
      <c r="L63" s="94">
        <v>7.1</v>
      </c>
      <c r="M63" s="94">
        <v>15.3</v>
      </c>
      <c r="N63" s="94">
        <v>1.1000000000000001</v>
      </c>
      <c r="O63" s="94">
        <v>0</v>
      </c>
      <c r="P63" s="94"/>
      <c r="Q63" s="94">
        <v>48.8</v>
      </c>
      <c r="R63" s="94">
        <v>363</v>
      </c>
      <c r="S63" s="94"/>
      <c r="T63" s="94">
        <v>63</v>
      </c>
      <c r="U63" s="94">
        <v>1</v>
      </c>
      <c r="V63" s="94"/>
      <c r="W63" s="94"/>
      <c r="X63" s="94"/>
      <c r="Y63" s="94"/>
      <c r="Z63" s="94">
        <v>0.5</v>
      </c>
      <c r="AA63" s="96">
        <v>9</v>
      </c>
      <c r="AB63" s="96">
        <v>0</v>
      </c>
      <c r="AC63" s="96">
        <v>0.06</v>
      </c>
      <c r="AD63" s="96">
        <v>0.14000000000000001</v>
      </c>
      <c r="AE63" s="96">
        <v>46</v>
      </c>
      <c r="AF63" s="96">
        <v>42.5</v>
      </c>
      <c r="AG63" s="96">
        <v>50</v>
      </c>
      <c r="AH63" s="96">
        <v>53</v>
      </c>
      <c r="AI63" s="96"/>
      <c r="AJ63" s="96">
        <v>0.15</v>
      </c>
    </row>
    <row r="64" spans="1:36" s="95" customFormat="1" ht="16">
      <c r="A64" s="90"/>
      <c r="B64" s="91"/>
      <c r="C64" s="59" t="s">
        <v>676</v>
      </c>
      <c r="D64" s="92">
        <v>1013</v>
      </c>
      <c r="E64" s="93" t="s">
        <v>433</v>
      </c>
      <c r="F64" s="90"/>
      <c r="G64" s="94">
        <v>0</v>
      </c>
      <c r="H64" s="94"/>
      <c r="I64" s="94"/>
      <c r="J64" s="94">
        <v>20</v>
      </c>
      <c r="K64" s="94">
        <v>1.8</v>
      </c>
      <c r="L64" s="94">
        <v>4</v>
      </c>
      <c r="M64" s="94">
        <v>12.3</v>
      </c>
      <c r="N64" s="94">
        <v>3.1</v>
      </c>
      <c r="O64" s="94">
        <v>0</v>
      </c>
      <c r="P64" s="94"/>
      <c r="Q64" s="94">
        <v>58.8</v>
      </c>
      <c r="R64" s="94">
        <v>368</v>
      </c>
      <c r="S64" s="94"/>
      <c r="T64" s="94">
        <v>75</v>
      </c>
      <c r="U64" s="94">
        <v>2</v>
      </c>
      <c r="V64" s="94"/>
      <c r="W64" s="94"/>
      <c r="X64" s="94"/>
      <c r="Y64" s="94"/>
      <c r="Z64" s="94">
        <v>0.5</v>
      </c>
      <c r="AA64" s="96">
        <v>0</v>
      </c>
      <c r="AB64" s="96">
        <v>0</v>
      </c>
      <c r="AC64" s="96">
        <v>0.1</v>
      </c>
      <c r="AD64" s="96">
        <v>0.1</v>
      </c>
      <c r="AE64" s="96">
        <v>5</v>
      </c>
      <c r="AF64" s="96">
        <v>41</v>
      </c>
      <c r="AG64" s="96">
        <v>8</v>
      </c>
      <c r="AH64" s="96">
        <v>12</v>
      </c>
      <c r="AI64" s="96"/>
      <c r="AJ64" s="96">
        <v>0.2</v>
      </c>
    </row>
    <row r="65" spans="1:36" s="95" customFormat="1" ht="16">
      <c r="A65" s="90"/>
      <c r="B65" s="91"/>
      <c r="C65" s="59" t="s">
        <v>676</v>
      </c>
      <c r="D65" s="92">
        <v>1014</v>
      </c>
      <c r="E65" s="93" t="s">
        <v>434</v>
      </c>
      <c r="F65" s="90"/>
      <c r="G65" s="94">
        <v>0</v>
      </c>
      <c r="H65" s="94"/>
      <c r="I65" s="94"/>
      <c r="J65" s="94">
        <v>15</v>
      </c>
      <c r="K65" s="94">
        <v>1.6</v>
      </c>
      <c r="L65" s="94">
        <v>6.5</v>
      </c>
      <c r="M65" s="94">
        <v>26.7</v>
      </c>
      <c r="N65" s="94">
        <v>1.1000000000000001</v>
      </c>
      <c r="O65" s="94">
        <v>0</v>
      </c>
      <c r="P65" s="94"/>
      <c r="Q65" s="94">
        <v>49.1</v>
      </c>
      <c r="R65" s="94">
        <v>465</v>
      </c>
      <c r="S65" s="94"/>
      <c r="T65" s="94">
        <v>140</v>
      </c>
      <c r="U65" s="94">
        <v>1.4</v>
      </c>
      <c r="V65" s="94"/>
      <c r="W65" s="94"/>
      <c r="X65" s="94"/>
      <c r="Y65" s="94"/>
      <c r="Z65" s="94">
        <v>0.6</v>
      </c>
      <c r="AA65" s="96">
        <v>9</v>
      </c>
      <c r="AB65" s="96">
        <v>0</v>
      </c>
      <c r="AC65" s="96">
        <v>0.04</v>
      </c>
      <c r="AD65" s="96">
        <v>0.13</v>
      </c>
      <c r="AE65" s="96">
        <v>309</v>
      </c>
      <c r="AF65" s="96">
        <v>173</v>
      </c>
      <c r="AG65" s="96">
        <v>323</v>
      </c>
      <c r="AH65" s="96">
        <v>338</v>
      </c>
      <c r="AI65" s="96"/>
      <c r="AJ65" s="96">
        <v>0.9</v>
      </c>
    </row>
    <row r="66" spans="1:36" s="95" customFormat="1" ht="16">
      <c r="A66" s="90"/>
      <c r="B66" s="91"/>
      <c r="C66" s="59" t="s">
        <v>676</v>
      </c>
      <c r="D66" s="92">
        <v>1015</v>
      </c>
      <c r="E66" s="93" t="s">
        <v>435</v>
      </c>
      <c r="F66" s="90"/>
      <c r="G66" s="94">
        <v>0</v>
      </c>
      <c r="H66" s="94"/>
      <c r="I66" s="94"/>
      <c r="J66" s="94">
        <v>30</v>
      </c>
      <c r="K66" s="94">
        <v>1.3</v>
      </c>
      <c r="L66" s="94">
        <v>10</v>
      </c>
      <c r="M66" s="94">
        <v>6.3</v>
      </c>
      <c r="N66" s="94">
        <v>1.2</v>
      </c>
      <c r="O66" s="94">
        <v>0</v>
      </c>
      <c r="P66" s="94"/>
      <c r="Q66" s="94">
        <v>51.2</v>
      </c>
      <c r="R66" s="94">
        <v>304</v>
      </c>
      <c r="S66" s="94"/>
      <c r="T66" s="94">
        <v>70</v>
      </c>
      <c r="U66" s="94">
        <v>2</v>
      </c>
      <c r="V66" s="94"/>
      <c r="W66" s="94"/>
      <c r="X66" s="94"/>
      <c r="Y66" s="94"/>
      <c r="Z66" s="94">
        <v>0.9</v>
      </c>
      <c r="AA66" s="96">
        <v>16</v>
      </c>
      <c r="AB66" s="96">
        <v>0</v>
      </c>
      <c r="AC66" s="96">
        <v>0.1</v>
      </c>
      <c r="AD66" s="96">
        <v>0.25</v>
      </c>
      <c r="AE66" s="96">
        <v>73</v>
      </c>
      <c r="AF66" s="96">
        <v>0</v>
      </c>
      <c r="AG66" s="96">
        <v>73</v>
      </c>
      <c r="AH66" s="96">
        <v>73</v>
      </c>
      <c r="AI66" s="96"/>
      <c r="AJ66" s="96">
        <v>1.6</v>
      </c>
    </row>
    <row r="67" spans="1:36" s="95" customFormat="1" ht="16">
      <c r="A67" s="90"/>
      <c r="B67" s="91"/>
      <c r="C67" s="59" t="s">
        <v>676</v>
      </c>
      <c r="D67" s="92">
        <v>1016</v>
      </c>
      <c r="E67" s="93" t="s">
        <v>436</v>
      </c>
      <c r="F67" s="90"/>
      <c r="G67" s="94">
        <v>0</v>
      </c>
      <c r="H67" s="94"/>
      <c r="I67" s="94"/>
      <c r="J67" s="94">
        <v>15.7</v>
      </c>
      <c r="K67" s="94">
        <v>1.9</v>
      </c>
      <c r="L67" s="94">
        <v>13</v>
      </c>
      <c r="M67" s="94">
        <v>16.8</v>
      </c>
      <c r="N67" s="94">
        <v>1.1000000000000001</v>
      </c>
      <c r="O67" s="94">
        <v>0</v>
      </c>
      <c r="P67" s="94"/>
      <c r="Q67" s="94">
        <v>51.5</v>
      </c>
      <c r="R67" s="94">
        <v>412</v>
      </c>
      <c r="S67" s="94"/>
      <c r="T67" s="94">
        <v>45</v>
      </c>
      <c r="U67" s="94">
        <v>1.5</v>
      </c>
      <c r="V67" s="94"/>
      <c r="W67" s="94"/>
      <c r="X67" s="94"/>
      <c r="Y67" s="94"/>
      <c r="Z67" s="94">
        <v>0.3</v>
      </c>
      <c r="AA67" s="96">
        <v>7</v>
      </c>
      <c r="AB67" s="96">
        <v>0</v>
      </c>
      <c r="AC67" s="96">
        <v>0.03</v>
      </c>
      <c r="AD67" s="96">
        <v>0.5</v>
      </c>
      <c r="AE67" s="96">
        <v>0</v>
      </c>
      <c r="AF67" s="96">
        <v>0</v>
      </c>
      <c r="AG67" s="96">
        <v>0</v>
      </c>
      <c r="AH67" s="96">
        <v>0</v>
      </c>
      <c r="AI67" s="96"/>
      <c r="AJ67" s="96">
        <v>0.2</v>
      </c>
    </row>
    <row r="68" spans="1:36" s="95" customFormat="1">
      <c r="A68" s="90"/>
      <c r="B68" s="91"/>
      <c r="C68" s="97"/>
      <c r="D68" s="92"/>
      <c r="E68" s="93"/>
      <c r="F68" s="90"/>
      <c r="G68" s="94"/>
      <c r="H68" s="94"/>
      <c r="I68" s="94"/>
      <c r="J68" s="94"/>
      <c r="K68" s="94"/>
      <c r="L68" s="94"/>
      <c r="M68" s="94"/>
      <c r="N68" s="94"/>
      <c r="O68" s="94"/>
      <c r="P68" s="94"/>
      <c r="Q68" s="94"/>
      <c r="R68" s="94"/>
      <c r="S68" s="94"/>
      <c r="T68" s="94"/>
      <c r="U68" s="94"/>
      <c r="V68" s="94"/>
      <c r="W68" s="94"/>
      <c r="X68" s="94"/>
      <c r="Y68" s="94"/>
      <c r="Z68" s="94"/>
      <c r="AA68" s="96"/>
      <c r="AB68" s="96"/>
      <c r="AC68" s="96"/>
      <c r="AD68" s="96"/>
      <c r="AE68" s="96"/>
      <c r="AF68" s="96"/>
      <c r="AG68" s="96"/>
      <c r="AH68" s="96"/>
      <c r="AI68" s="96"/>
      <c r="AJ68" s="96"/>
    </row>
    <row r="69" spans="1:36" s="84" customFormat="1" ht="16">
      <c r="A69" s="80">
        <v>143</v>
      </c>
      <c r="B69" s="81" t="s">
        <v>226</v>
      </c>
      <c r="C69" s="82"/>
      <c r="D69" s="80"/>
      <c r="E69" s="83"/>
      <c r="F69" s="80"/>
      <c r="G69" s="80">
        <f>AVERAGE(G63:G67)</f>
        <v>0</v>
      </c>
      <c r="H69" s="80"/>
      <c r="I69" s="80"/>
      <c r="J69" s="80">
        <f t="shared" ref="J69:O69" si="167">AVERAGE(J63:J67)</f>
        <v>21.32</v>
      </c>
      <c r="K69" s="80">
        <f t="shared" si="167"/>
        <v>1.7</v>
      </c>
      <c r="L69" s="80">
        <f t="shared" si="167"/>
        <v>8.120000000000001</v>
      </c>
      <c r="M69" s="80">
        <f t="shared" si="167"/>
        <v>15.479999999999999</v>
      </c>
      <c r="N69" s="80">
        <f t="shared" si="167"/>
        <v>1.5200000000000002</v>
      </c>
      <c r="O69" s="80">
        <f t="shared" si="167"/>
        <v>0</v>
      </c>
      <c r="P69" s="80"/>
      <c r="Q69" s="80">
        <f>100-J69-K69-L69-M69-N69-O69</f>
        <v>51.86</v>
      </c>
      <c r="R69" s="80">
        <f t="shared" ref="R69" si="168">AVERAGE(R63:R67)</f>
        <v>382.4</v>
      </c>
      <c r="S69" s="80"/>
      <c r="T69" s="80">
        <f t="shared" ref="T69:AJ69" si="169">AVERAGE(T63:T67)</f>
        <v>78.599999999999994</v>
      </c>
      <c r="U69" s="80">
        <f t="shared" si="169"/>
        <v>1.58</v>
      </c>
      <c r="V69" s="80"/>
      <c r="W69" s="80"/>
      <c r="X69" s="80"/>
      <c r="Y69" s="80"/>
      <c r="Z69" s="80">
        <f t="shared" si="169"/>
        <v>0.55999999999999994</v>
      </c>
      <c r="AA69" s="80">
        <f t="shared" si="169"/>
        <v>8.1999999999999993</v>
      </c>
      <c r="AB69" s="80">
        <f t="shared" si="169"/>
        <v>0</v>
      </c>
      <c r="AC69" s="80">
        <f t="shared" si="169"/>
        <v>6.6000000000000017E-2</v>
      </c>
      <c r="AD69" s="80">
        <f t="shared" si="169"/>
        <v>0.22400000000000003</v>
      </c>
      <c r="AE69" s="80">
        <f t="shared" si="169"/>
        <v>86.6</v>
      </c>
      <c r="AF69" s="80">
        <f t="shared" si="169"/>
        <v>51.3</v>
      </c>
      <c r="AG69" s="80">
        <f>+AE69+AF69/12</f>
        <v>90.875</v>
      </c>
      <c r="AH69" s="80">
        <f>+AE69+AF69/6</f>
        <v>95.149999999999991</v>
      </c>
      <c r="AI69" s="80"/>
      <c r="AJ69" s="80">
        <f t="shared" si="169"/>
        <v>0.6100000000000001</v>
      </c>
    </row>
    <row r="70" spans="1:36" s="13" customFormat="1">
      <c r="A70" s="6"/>
      <c r="B70" s="78"/>
      <c r="C70" s="59"/>
      <c r="D70" s="6"/>
      <c r="E70" s="79"/>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row>
    <row r="71" spans="1:36">
      <c r="A71" s="3"/>
      <c r="B71" s="76"/>
      <c r="C71" s="16"/>
      <c r="D71" s="3"/>
      <c r="E71" s="77"/>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spans="1:36" s="95" customFormat="1" ht="16">
      <c r="A72" s="90"/>
      <c r="B72" s="91"/>
      <c r="C72" s="59" t="s">
        <v>676</v>
      </c>
      <c r="D72" s="99">
        <v>1003</v>
      </c>
      <c r="E72" s="100" t="s">
        <v>437</v>
      </c>
      <c r="F72" s="90"/>
      <c r="G72" s="94">
        <v>0</v>
      </c>
      <c r="H72" s="94"/>
      <c r="I72" s="94"/>
      <c r="J72" s="94">
        <v>4.5</v>
      </c>
      <c r="K72" s="94">
        <v>1.9</v>
      </c>
      <c r="L72" s="94">
        <v>6.6</v>
      </c>
      <c r="M72" s="94">
        <v>24.9</v>
      </c>
      <c r="N72" s="94">
        <v>3.3</v>
      </c>
      <c r="O72" s="94">
        <v>0</v>
      </c>
      <c r="P72" s="94"/>
      <c r="Q72" s="94">
        <v>58.9</v>
      </c>
      <c r="R72" s="94">
        <v>492</v>
      </c>
      <c r="S72" s="94"/>
      <c r="T72" s="94">
        <v>38</v>
      </c>
      <c r="U72" s="94">
        <v>1.4</v>
      </c>
      <c r="V72" s="94"/>
      <c r="W72" s="94"/>
      <c r="X72" s="94"/>
      <c r="Y72" s="94"/>
      <c r="Z72" s="94">
        <v>0.83</v>
      </c>
      <c r="AA72" s="94">
        <v>21</v>
      </c>
      <c r="AB72" s="94">
        <v>3</v>
      </c>
      <c r="AC72" s="94">
        <v>0.16</v>
      </c>
      <c r="AD72" s="94">
        <v>0.06</v>
      </c>
      <c r="AE72" s="94">
        <v>7</v>
      </c>
      <c r="AF72" s="94">
        <v>15</v>
      </c>
      <c r="AG72" s="94">
        <v>8</v>
      </c>
      <c r="AH72" s="94">
        <v>10</v>
      </c>
      <c r="AI72" s="94"/>
      <c r="AJ72" s="94">
        <v>0</v>
      </c>
    </row>
    <row r="73" spans="1:36" s="95" customFormat="1" ht="16">
      <c r="A73" s="90"/>
      <c r="B73" s="91"/>
      <c r="C73" s="59" t="s">
        <v>676</v>
      </c>
      <c r="D73" s="99">
        <v>1004</v>
      </c>
      <c r="E73" s="100" t="s">
        <v>438</v>
      </c>
      <c r="F73" s="90"/>
      <c r="G73" s="94">
        <v>0</v>
      </c>
      <c r="H73" s="94"/>
      <c r="I73" s="94"/>
      <c r="J73" s="94">
        <v>4.3</v>
      </c>
      <c r="K73" s="94">
        <v>1.1000000000000001</v>
      </c>
      <c r="L73" s="94">
        <v>6.1</v>
      </c>
      <c r="M73" s="94">
        <v>17.2</v>
      </c>
      <c r="N73" s="94">
        <v>2.1</v>
      </c>
      <c r="O73" s="94">
        <v>0</v>
      </c>
      <c r="P73" s="94"/>
      <c r="Q73" s="94">
        <v>69.3</v>
      </c>
      <c r="R73" s="94">
        <v>460</v>
      </c>
      <c r="S73" s="94"/>
      <c r="T73" s="94">
        <v>45</v>
      </c>
      <c r="U73" s="94">
        <v>1.4</v>
      </c>
      <c r="V73" s="94"/>
      <c r="W73" s="94"/>
      <c r="X73" s="94"/>
      <c r="Y73" s="94"/>
      <c r="Z73" s="94">
        <v>0.6</v>
      </c>
      <c r="AA73" s="94">
        <v>23</v>
      </c>
      <c r="AB73" s="94">
        <v>7</v>
      </c>
      <c r="AC73" s="94">
        <v>0.09</v>
      </c>
      <c r="AD73" s="94">
        <v>0.03</v>
      </c>
      <c r="AE73" s="94">
        <v>38.5</v>
      </c>
      <c r="AF73" s="94">
        <v>20</v>
      </c>
      <c r="AG73" s="94">
        <v>40</v>
      </c>
      <c r="AH73" s="94">
        <v>42</v>
      </c>
      <c r="AI73" s="94"/>
      <c r="AJ73" s="94">
        <v>0.1</v>
      </c>
    </row>
    <row r="74" spans="1:36" s="95" customFormat="1">
      <c r="A74" s="90"/>
      <c r="B74" s="91"/>
      <c r="C74" s="97"/>
      <c r="D74" s="99"/>
      <c r="E74" s="100"/>
      <c r="F74" s="90"/>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row>
    <row r="75" spans="1:36" s="84" customFormat="1" ht="16">
      <c r="A75" s="80">
        <v>144</v>
      </c>
      <c r="B75" s="81" t="s">
        <v>227</v>
      </c>
      <c r="C75" s="82"/>
      <c r="D75" s="80"/>
      <c r="E75" s="83"/>
      <c r="F75" s="80"/>
      <c r="G75" s="80">
        <f>AVERAGE(G72:G73)</f>
        <v>0</v>
      </c>
      <c r="H75" s="80"/>
      <c r="I75" s="80"/>
      <c r="J75" s="80">
        <f t="shared" ref="J75" si="170">AVERAGE(J72:J73)</f>
        <v>4.4000000000000004</v>
      </c>
      <c r="K75" s="80">
        <f t="shared" ref="K75" si="171">AVERAGE(K72:K73)</f>
        <v>1.5</v>
      </c>
      <c r="L75" s="80">
        <f t="shared" ref="L75" si="172">AVERAGE(L72:L73)</f>
        <v>6.35</v>
      </c>
      <c r="M75" s="80">
        <f t="shared" ref="M75" si="173">AVERAGE(M72:M73)</f>
        <v>21.049999999999997</v>
      </c>
      <c r="N75" s="80">
        <f t="shared" ref="N75" si="174">AVERAGE(N72:N73)</f>
        <v>2.7</v>
      </c>
      <c r="O75" s="80">
        <f t="shared" ref="O75" si="175">AVERAGE(O72:O73)</f>
        <v>0</v>
      </c>
      <c r="P75" s="80"/>
      <c r="Q75" s="80">
        <f>100-J75-K75-L75-M75-N75-O75</f>
        <v>64</v>
      </c>
      <c r="R75" s="80">
        <f t="shared" ref="R75" si="176">AVERAGE(R72:R73)</f>
        <v>476</v>
      </c>
      <c r="S75" s="80"/>
      <c r="T75" s="80">
        <f t="shared" ref="T75" si="177">AVERAGE(T72:T73)</f>
        <v>41.5</v>
      </c>
      <c r="U75" s="80">
        <f t="shared" ref="U75" si="178">AVERAGE(U72:U73)</f>
        <v>1.4</v>
      </c>
      <c r="V75" s="80"/>
      <c r="W75" s="80"/>
      <c r="X75" s="80"/>
      <c r="Y75" s="80"/>
      <c r="Z75" s="80">
        <f t="shared" ref="Z75" si="179">AVERAGE(Z72:Z73)</f>
        <v>0.71499999999999997</v>
      </c>
      <c r="AA75" s="80">
        <f t="shared" ref="AA75" si="180">AVERAGE(AA72:AA73)</f>
        <v>22</v>
      </c>
      <c r="AB75" s="80">
        <f t="shared" ref="AB75" si="181">AVERAGE(AB72:AB73)</f>
        <v>5</v>
      </c>
      <c r="AC75" s="80">
        <f t="shared" ref="AC75" si="182">AVERAGE(AC72:AC73)</f>
        <v>0.125</v>
      </c>
      <c r="AD75" s="80">
        <f t="shared" ref="AD75" si="183">AVERAGE(AD72:AD73)</f>
        <v>4.4999999999999998E-2</v>
      </c>
      <c r="AE75" s="80">
        <f t="shared" ref="AE75" si="184">AVERAGE(AE72:AE73)</f>
        <v>22.75</v>
      </c>
      <c r="AF75" s="80">
        <f t="shared" ref="AF75" si="185">AVERAGE(AF72:AF73)</f>
        <v>17.5</v>
      </c>
      <c r="AG75" s="80">
        <f>+AE75+AF75/12</f>
        <v>24.208333333333332</v>
      </c>
      <c r="AH75" s="80">
        <f>+AE75+AF75/6</f>
        <v>25.666666666666668</v>
      </c>
      <c r="AI75" s="80"/>
      <c r="AJ75" s="80">
        <f t="shared" ref="AJ75" si="186">AVERAGE(AJ72:AJ73)</f>
        <v>0.05</v>
      </c>
    </row>
    <row r="76" spans="1:36">
      <c r="A76" s="3"/>
      <c r="B76" s="76"/>
      <c r="C76" s="16"/>
      <c r="D76" s="3"/>
      <c r="E76" s="77"/>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spans="1:36">
      <c r="A77" s="3"/>
      <c r="B77" s="76"/>
      <c r="C77" s="16"/>
      <c r="D77" s="3"/>
      <c r="E77" s="77"/>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spans="1:36" s="95" customFormat="1" ht="16">
      <c r="A78" s="90"/>
      <c r="B78" s="91"/>
      <c r="C78" s="59" t="s">
        <v>676</v>
      </c>
      <c r="D78" s="92">
        <v>1011</v>
      </c>
      <c r="E78" s="93" t="s">
        <v>440</v>
      </c>
      <c r="F78" s="90"/>
      <c r="G78" s="94">
        <v>0</v>
      </c>
      <c r="H78" s="94"/>
      <c r="I78" s="94"/>
      <c r="J78" s="94">
        <v>29</v>
      </c>
      <c r="K78" s="94">
        <v>1.5</v>
      </c>
      <c r="L78" s="94">
        <v>7</v>
      </c>
      <c r="M78" s="94">
        <v>6.8</v>
      </c>
      <c r="N78" s="94">
        <v>2.9</v>
      </c>
      <c r="O78" s="94">
        <v>0</v>
      </c>
      <c r="P78" s="94"/>
      <c r="Q78" s="94">
        <v>52.8</v>
      </c>
      <c r="R78" s="94">
        <v>306</v>
      </c>
      <c r="S78" s="94"/>
      <c r="T78" s="94">
        <v>90</v>
      </c>
      <c r="U78" s="94">
        <v>2.5</v>
      </c>
      <c r="V78" s="94"/>
      <c r="W78" s="94"/>
      <c r="X78" s="94"/>
      <c r="Y78" s="94"/>
      <c r="Z78" s="94">
        <v>0.6</v>
      </c>
      <c r="AA78" s="96">
        <v>12</v>
      </c>
      <c r="AB78" s="96">
        <v>0</v>
      </c>
      <c r="AC78" s="96">
        <v>0.2</v>
      </c>
      <c r="AD78" s="96">
        <v>0.03</v>
      </c>
      <c r="AE78" s="96">
        <v>0</v>
      </c>
      <c r="AF78" s="96">
        <v>1</v>
      </c>
      <c r="AG78" s="96">
        <v>0</v>
      </c>
      <c r="AH78" s="96">
        <v>0</v>
      </c>
      <c r="AI78" s="96"/>
      <c r="AJ78" s="96">
        <v>0</v>
      </c>
    </row>
    <row r="79" spans="1:36" s="95" customFormat="1" ht="16">
      <c r="A79" s="90"/>
      <c r="B79" s="91"/>
      <c r="C79" s="59" t="s">
        <v>676</v>
      </c>
      <c r="D79" s="92">
        <v>1036</v>
      </c>
      <c r="E79" s="93" t="s">
        <v>441</v>
      </c>
      <c r="F79" s="90"/>
      <c r="G79" s="94">
        <v>0</v>
      </c>
      <c r="H79" s="94"/>
      <c r="I79" s="94"/>
      <c r="J79" s="94">
        <v>21</v>
      </c>
      <c r="K79" s="94">
        <v>3</v>
      </c>
      <c r="L79" s="94">
        <v>7.5</v>
      </c>
      <c r="M79" s="94">
        <v>15</v>
      </c>
      <c r="N79" s="94">
        <v>2.1</v>
      </c>
      <c r="O79" s="94">
        <v>0</v>
      </c>
      <c r="P79" s="94"/>
      <c r="Q79" s="94">
        <v>51.4</v>
      </c>
      <c r="R79" s="94">
        <v>375</v>
      </c>
      <c r="S79" s="94"/>
      <c r="T79" s="94">
        <v>56</v>
      </c>
      <c r="U79" s="94">
        <v>1.5</v>
      </c>
      <c r="V79" s="94"/>
      <c r="W79" s="94"/>
      <c r="X79" s="94"/>
      <c r="Y79" s="94"/>
      <c r="Z79" s="94">
        <v>0.7</v>
      </c>
      <c r="AA79" s="96">
        <v>19</v>
      </c>
      <c r="AB79" s="96">
        <v>0</v>
      </c>
      <c r="AC79" s="96">
        <v>0.09</v>
      </c>
      <c r="AD79" s="96">
        <v>0.1</v>
      </c>
      <c r="AE79" s="96">
        <v>87</v>
      </c>
      <c r="AF79" s="96">
        <v>90</v>
      </c>
      <c r="AG79" s="96">
        <v>95</v>
      </c>
      <c r="AH79" s="96">
        <v>102</v>
      </c>
      <c r="AI79" s="96"/>
      <c r="AJ79" s="96">
        <v>0.4</v>
      </c>
    </row>
    <row r="80" spans="1:36" s="95" customFormat="1">
      <c r="A80" s="90"/>
      <c r="B80" s="91"/>
      <c r="C80" s="97"/>
      <c r="D80" s="92"/>
      <c r="E80" s="93"/>
      <c r="F80" s="90"/>
      <c r="G80" s="94"/>
      <c r="H80" s="94"/>
      <c r="I80" s="94"/>
      <c r="J80" s="94"/>
      <c r="K80" s="94"/>
      <c r="L80" s="94"/>
      <c r="M80" s="94"/>
      <c r="N80" s="94"/>
      <c r="O80" s="94"/>
      <c r="P80" s="94"/>
      <c r="Q80" s="94"/>
      <c r="R80" s="94"/>
      <c r="S80" s="94"/>
      <c r="T80" s="94"/>
      <c r="U80" s="94"/>
      <c r="V80" s="94"/>
      <c r="W80" s="94"/>
      <c r="X80" s="94"/>
      <c r="Y80" s="94"/>
      <c r="Z80" s="94"/>
      <c r="AA80" s="96"/>
      <c r="AB80" s="96"/>
      <c r="AC80" s="96"/>
      <c r="AD80" s="96"/>
      <c r="AE80" s="96"/>
      <c r="AF80" s="96"/>
      <c r="AG80" s="96"/>
      <c r="AH80" s="96"/>
      <c r="AI80" s="96"/>
      <c r="AJ80" s="96"/>
    </row>
    <row r="81" spans="1:36" s="84" customFormat="1" ht="16">
      <c r="A81" s="80">
        <v>148</v>
      </c>
      <c r="B81" s="81" t="s">
        <v>231</v>
      </c>
      <c r="C81" s="82"/>
      <c r="D81" s="80"/>
      <c r="E81" s="83"/>
      <c r="F81" s="80"/>
      <c r="G81" s="80">
        <f>AVERAGE(G78:G79)</f>
        <v>0</v>
      </c>
      <c r="H81" s="80"/>
      <c r="I81" s="80"/>
      <c r="J81" s="80">
        <f t="shared" ref="J81" si="187">AVERAGE(J78:J79)</f>
        <v>25</v>
      </c>
      <c r="K81" s="80">
        <f t="shared" ref="K81" si="188">AVERAGE(K78:K79)</f>
        <v>2.25</v>
      </c>
      <c r="L81" s="80">
        <f t="shared" ref="L81" si="189">AVERAGE(L78:L79)</f>
        <v>7.25</v>
      </c>
      <c r="M81" s="80">
        <f t="shared" ref="M81" si="190">AVERAGE(M78:M79)</f>
        <v>10.9</v>
      </c>
      <c r="N81" s="80">
        <f t="shared" ref="N81" si="191">AVERAGE(N78:N79)</f>
        <v>2.5</v>
      </c>
      <c r="O81" s="80">
        <f t="shared" ref="O81" si="192">AVERAGE(O78:O79)</f>
        <v>0</v>
      </c>
      <c r="P81" s="80"/>
      <c r="Q81" s="80">
        <f>100-J81-K81-L81-M81-N81-O81</f>
        <v>52.1</v>
      </c>
      <c r="R81" s="80">
        <f t="shared" ref="R81" si="193">AVERAGE(R78:R79)</f>
        <v>340.5</v>
      </c>
      <c r="S81" s="80"/>
      <c r="T81" s="80">
        <f t="shared" ref="T81" si="194">AVERAGE(T78:T79)</f>
        <v>73</v>
      </c>
      <c r="U81" s="80">
        <f t="shared" ref="U81" si="195">AVERAGE(U78:U79)</f>
        <v>2</v>
      </c>
      <c r="V81" s="80"/>
      <c r="W81" s="80"/>
      <c r="X81" s="80"/>
      <c r="Y81" s="80"/>
      <c r="Z81" s="80">
        <f t="shared" ref="Z81" si="196">AVERAGE(Z78:Z79)</f>
        <v>0.64999999999999991</v>
      </c>
      <c r="AA81" s="80">
        <f t="shared" ref="AA81" si="197">AVERAGE(AA78:AA79)</f>
        <v>15.5</v>
      </c>
      <c r="AB81" s="80">
        <f t="shared" ref="AB81" si="198">AVERAGE(AB78:AB79)</f>
        <v>0</v>
      </c>
      <c r="AC81" s="80">
        <f t="shared" ref="AC81" si="199">AVERAGE(AC78:AC79)</f>
        <v>0.14500000000000002</v>
      </c>
      <c r="AD81" s="80">
        <f t="shared" ref="AD81" si="200">AVERAGE(AD78:AD79)</f>
        <v>6.5000000000000002E-2</v>
      </c>
      <c r="AE81" s="80">
        <f t="shared" ref="AE81" si="201">AVERAGE(AE78:AE79)</f>
        <v>43.5</v>
      </c>
      <c r="AF81" s="80">
        <f t="shared" ref="AF81" si="202">AVERAGE(AF78:AF79)</f>
        <v>45.5</v>
      </c>
      <c r="AG81" s="80">
        <f>+AE81+AF81/12</f>
        <v>47.291666666666664</v>
      </c>
      <c r="AH81" s="80">
        <f>+AE81+AF81/6</f>
        <v>51.083333333333336</v>
      </c>
      <c r="AI81" s="80"/>
      <c r="AJ81" s="80">
        <f t="shared" ref="AJ81" si="203">AVERAGE(AJ78:AJ79)</f>
        <v>0.2</v>
      </c>
    </row>
    <row r="82" spans="1:36">
      <c r="A82" s="3"/>
      <c r="B82" s="76"/>
      <c r="C82" s="16"/>
      <c r="D82" s="3"/>
      <c r="E82" s="77"/>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spans="1:36">
      <c r="A83" s="3"/>
      <c r="B83" s="76"/>
      <c r="C83" s="16"/>
      <c r="D83" s="3"/>
      <c r="E83" s="77"/>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row>
    <row r="84" spans="1:36" s="13" customFormat="1" ht="16">
      <c r="A84" s="6"/>
      <c r="B84" s="78"/>
      <c r="C84" s="59" t="s">
        <v>676</v>
      </c>
      <c r="D84" s="63">
        <v>1030</v>
      </c>
      <c r="E84" s="86" t="s">
        <v>442</v>
      </c>
      <c r="F84" s="6"/>
      <c r="G84" s="61">
        <v>0</v>
      </c>
      <c r="H84" s="61"/>
      <c r="I84" s="61"/>
      <c r="J84" s="61">
        <v>7.1</v>
      </c>
      <c r="K84" s="61">
        <v>0.7</v>
      </c>
      <c r="L84" s="61">
        <v>13.7</v>
      </c>
      <c r="M84" s="61">
        <v>1.5</v>
      </c>
      <c r="N84" s="61">
        <v>3.3</v>
      </c>
      <c r="O84" s="61">
        <v>0</v>
      </c>
      <c r="P84" s="61"/>
      <c r="Q84" s="61">
        <v>73.8</v>
      </c>
      <c r="R84" s="61">
        <v>370</v>
      </c>
      <c r="S84" s="61"/>
      <c r="T84" s="61">
        <v>21</v>
      </c>
      <c r="U84" s="61">
        <v>1.9</v>
      </c>
      <c r="V84" s="61"/>
      <c r="W84" s="61"/>
      <c r="X84" s="61"/>
      <c r="Y84" s="61"/>
      <c r="Z84" s="61">
        <v>0.6</v>
      </c>
      <c r="AA84" s="69">
        <v>17</v>
      </c>
      <c r="AB84" s="69">
        <v>0</v>
      </c>
      <c r="AC84" s="69">
        <v>7.0000000000000007E-2</v>
      </c>
      <c r="AD84" s="69">
        <v>0.03</v>
      </c>
      <c r="AE84" s="69">
        <v>0</v>
      </c>
      <c r="AF84" s="69">
        <v>0</v>
      </c>
      <c r="AG84" s="69">
        <v>0</v>
      </c>
      <c r="AH84" s="69">
        <v>0</v>
      </c>
      <c r="AI84" s="69"/>
      <c r="AJ84" s="69">
        <v>0</v>
      </c>
    </row>
    <row r="85" spans="1:36" s="13" customFormat="1" ht="16">
      <c r="A85" s="6"/>
      <c r="B85" s="78"/>
      <c r="C85" s="59" t="s">
        <v>676</v>
      </c>
      <c r="D85" s="63">
        <v>1031</v>
      </c>
      <c r="E85" s="86" t="s">
        <v>443</v>
      </c>
      <c r="F85" s="6"/>
      <c r="G85" s="61">
        <v>0</v>
      </c>
      <c r="H85" s="61"/>
      <c r="I85" s="61"/>
      <c r="J85" s="61">
        <v>10.6</v>
      </c>
      <c r="K85" s="61">
        <v>1.1000000000000001</v>
      </c>
      <c r="L85" s="61">
        <v>12.7</v>
      </c>
      <c r="M85" s="61">
        <v>1.4</v>
      </c>
      <c r="N85" s="61">
        <v>3.2</v>
      </c>
      <c r="O85" s="61">
        <v>0</v>
      </c>
      <c r="P85" s="61"/>
      <c r="Q85" s="61">
        <v>71</v>
      </c>
      <c r="R85" s="61">
        <v>354</v>
      </c>
      <c r="S85" s="61"/>
      <c r="T85" s="61">
        <v>18</v>
      </c>
      <c r="U85" s="61">
        <v>1</v>
      </c>
      <c r="V85" s="61"/>
      <c r="W85" s="61"/>
      <c r="X85" s="61"/>
      <c r="Y85" s="61"/>
      <c r="Z85" s="61">
        <v>0.6</v>
      </c>
      <c r="AA85" s="69">
        <v>16</v>
      </c>
      <c r="AB85" s="69">
        <v>0</v>
      </c>
      <c r="AC85" s="69">
        <v>7.0000000000000007E-2</v>
      </c>
      <c r="AD85" s="69">
        <v>0.06</v>
      </c>
      <c r="AE85" s="69">
        <v>0</v>
      </c>
      <c r="AF85" s="69">
        <v>0</v>
      </c>
      <c r="AG85" s="69">
        <v>0</v>
      </c>
      <c r="AH85" s="69">
        <v>0</v>
      </c>
      <c r="AI85" s="69"/>
      <c r="AJ85" s="69">
        <v>0</v>
      </c>
    </row>
    <row r="86" spans="1:36" s="13" customFormat="1">
      <c r="A86" s="6"/>
      <c r="B86" s="78"/>
      <c r="C86" s="59"/>
      <c r="D86" s="63"/>
      <c r="E86" s="86"/>
      <c r="F86" s="6"/>
      <c r="G86" s="61"/>
      <c r="H86" s="61"/>
      <c r="I86" s="61"/>
      <c r="J86" s="61"/>
      <c r="K86" s="61"/>
      <c r="L86" s="61"/>
      <c r="M86" s="61"/>
      <c r="N86" s="61"/>
      <c r="O86" s="61"/>
      <c r="P86" s="61"/>
      <c r="Q86" s="61"/>
      <c r="R86" s="61"/>
      <c r="S86" s="61"/>
      <c r="T86" s="61"/>
      <c r="U86" s="61"/>
      <c r="V86" s="61"/>
      <c r="W86" s="61"/>
      <c r="X86" s="61"/>
      <c r="Y86" s="61"/>
      <c r="Z86" s="61"/>
      <c r="AA86" s="69"/>
      <c r="AB86" s="69"/>
      <c r="AC86" s="69"/>
      <c r="AD86" s="69"/>
      <c r="AE86" s="69"/>
      <c r="AF86" s="69"/>
      <c r="AG86" s="69"/>
      <c r="AH86" s="69"/>
      <c r="AI86" s="69"/>
      <c r="AJ86" s="69"/>
    </row>
    <row r="87" spans="1:36" s="84" customFormat="1" ht="48">
      <c r="A87" s="80">
        <v>149</v>
      </c>
      <c r="B87" s="81" t="s">
        <v>232</v>
      </c>
      <c r="C87" s="82"/>
      <c r="D87" s="80"/>
      <c r="E87" s="83"/>
      <c r="F87" s="80"/>
      <c r="G87" s="80">
        <f>AVERAGE(G84:G85)</f>
        <v>0</v>
      </c>
      <c r="H87" s="80"/>
      <c r="I87" s="80"/>
      <c r="J87" s="80">
        <f t="shared" ref="J87" si="204">AVERAGE(J84:J85)</f>
        <v>8.85</v>
      </c>
      <c r="K87" s="80">
        <f t="shared" ref="K87" si="205">AVERAGE(K84:K85)</f>
        <v>0.9</v>
      </c>
      <c r="L87" s="80">
        <f t="shared" ref="L87" si="206">AVERAGE(L84:L85)</f>
        <v>13.2</v>
      </c>
      <c r="M87" s="80">
        <f t="shared" ref="M87" si="207">AVERAGE(M84:M85)</f>
        <v>1.45</v>
      </c>
      <c r="N87" s="80">
        <f t="shared" ref="N87" si="208">AVERAGE(N84:N85)</f>
        <v>3.25</v>
      </c>
      <c r="O87" s="80">
        <f t="shared" ref="O87" si="209">AVERAGE(O84:O85)</f>
        <v>0</v>
      </c>
      <c r="P87" s="80"/>
      <c r="Q87" s="80">
        <f>100-J87-K87-L87-M87-N87-O87</f>
        <v>72.349999999999994</v>
      </c>
      <c r="R87" s="80">
        <f t="shared" ref="R87" si="210">AVERAGE(R84:R85)</f>
        <v>362</v>
      </c>
      <c r="S87" s="80"/>
      <c r="T87" s="80">
        <f t="shared" ref="T87" si="211">AVERAGE(T84:T85)</f>
        <v>19.5</v>
      </c>
      <c r="U87" s="80">
        <f t="shared" ref="U87" si="212">AVERAGE(U84:U85)</f>
        <v>1.45</v>
      </c>
      <c r="V87" s="80"/>
      <c r="W87" s="80"/>
      <c r="X87" s="80"/>
      <c r="Y87" s="80"/>
      <c r="Z87" s="80">
        <f t="shared" ref="Z87" si="213">AVERAGE(Z84:Z85)</f>
        <v>0.6</v>
      </c>
      <c r="AA87" s="80">
        <f t="shared" ref="AA87" si="214">AVERAGE(AA84:AA85)</f>
        <v>16.5</v>
      </c>
      <c r="AB87" s="80">
        <f t="shared" ref="AB87" si="215">AVERAGE(AB84:AB85)</f>
        <v>0</v>
      </c>
      <c r="AC87" s="80">
        <f t="shared" ref="AC87" si="216">AVERAGE(AC84:AC85)</f>
        <v>7.0000000000000007E-2</v>
      </c>
      <c r="AD87" s="80">
        <f t="shared" ref="AD87" si="217">AVERAGE(AD84:AD85)</f>
        <v>4.4999999999999998E-2</v>
      </c>
      <c r="AE87" s="80">
        <f t="shared" ref="AE87" si="218">AVERAGE(AE84:AE85)</f>
        <v>0</v>
      </c>
      <c r="AF87" s="80">
        <f t="shared" ref="AF87" si="219">AVERAGE(AF84:AF85)</f>
        <v>0</v>
      </c>
      <c r="AG87" s="80">
        <f>+AE87+AF87/12</f>
        <v>0</v>
      </c>
      <c r="AH87" s="80">
        <f>+AE87+AF87/6</f>
        <v>0</v>
      </c>
      <c r="AI87" s="80"/>
      <c r="AJ87" s="80">
        <f t="shared" ref="AJ87" si="220">AVERAGE(AJ84:AJ85)</f>
        <v>0</v>
      </c>
    </row>
    <row r="88" spans="1:36">
      <c r="A88" s="3"/>
      <c r="B88" s="76"/>
      <c r="C88" s="16"/>
      <c r="D88" s="3"/>
      <c r="E88" s="77"/>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spans="1:36">
      <c r="A89" s="3"/>
      <c r="B89" s="76"/>
      <c r="C89" s="16"/>
      <c r="D89" s="3"/>
      <c r="E89" s="77"/>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spans="1:36" s="13" customFormat="1" ht="16">
      <c r="A90" s="6"/>
      <c r="B90" s="78"/>
      <c r="C90" s="59" t="s">
        <v>676</v>
      </c>
      <c r="D90" s="63">
        <v>7001</v>
      </c>
      <c r="E90" s="86" t="s">
        <v>444</v>
      </c>
      <c r="F90" s="61">
        <v>15.000000000000002</v>
      </c>
      <c r="G90" s="61">
        <v>0</v>
      </c>
      <c r="H90" s="61"/>
      <c r="I90" s="61"/>
      <c r="J90" s="69">
        <v>58.2</v>
      </c>
      <c r="K90" s="69">
        <v>0.9</v>
      </c>
      <c r="L90" s="69">
        <v>18.600000000000001</v>
      </c>
      <c r="M90" s="69">
        <v>24.1</v>
      </c>
      <c r="N90" s="69">
        <v>0</v>
      </c>
      <c r="O90" s="61">
        <v>0</v>
      </c>
      <c r="P90" s="69"/>
      <c r="Q90" s="69">
        <v>0</v>
      </c>
      <c r="R90" s="69">
        <v>284</v>
      </c>
      <c r="S90" s="69"/>
      <c r="T90" s="69">
        <v>16</v>
      </c>
      <c r="U90" s="69">
        <v>2.2000000000000002</v>
      </c>
      <c r="V90" s="69"/>
      <c r="W90" s="69"/>
      <c r="X90" s="69"/>
      <c r="Y90" s="69"/>
      <c r="Z90" s="69">
        <v>3</v>
      </c>
      <c r="AA90" s="69">
        <v>0</v>
      </c>
      <c r="AB90" s="69">
        <v>0.5</v>
      </c>
      <c r="AC90" s="69">
        <v>0</v>
      </c>
      <c r="AD90" s="69">
        <v>0.18</v>
      </c>
      <c r="AE90" s="69">
        <v>29</v>
      </c>
      <c r="AF90" s="69">
        <v>13</v>
      </c>
      <c r="AG90" s="69">
        <v>29</v>
      </c>
      <c r="AH90" s="69">
        <v>31</v>
      </c>
      <c r="AI90" s="69"/>
      <c r="AJ90" s="69">
        <v>1.63</v>
      </c>
    </row>
    <row r="91" spans="1:36" s="13" customFormat="1" ht="16">
      <c r="A91" s="6"/>
      <c r="B91" s="78"/>
      <c r="C91" s="59" t="s">
        <v>676</v>
      </c>
      <c r="D91" s="63">
        <v>7002</v>
      </c>
      <c r="E91" s="86" t="s">
        <v>445</v>
      </c>
      <c r="F91" s="61">
        <v>9.9999999999999982</v>
      </c>
      <c r="G91" s="61">
        <v>0</v>
      </c>
      <c r="H91" s="61"/>
      <c r="I91" s="61"/>
      <c r="J91" s="69">
        <v>75.599999999999994</v>
      </c>
      <c r="K91" s="69">
        <v>1.2</v>
      </c>
      <c r="L91" s="69">
        <v>20.6</v>
      </c>
      <c r="M91" s="69">
        <v>2.2999999999999998</v>
      </c>
      <c r="N91" s="69">
        <v>0</v>
      </c>
      <c r="O91" s="61">
        <v>0</v>
      </c>
      <c r="P91" s="69"/>
      <c r="Q91" s="69">
        <v>0.4</v>
      </c>
      <c r="R91" s="69">
        <v>104</v>
      </c>
      <c r="S91" s="69"/>
      <c r="T91" s="69">
        <v>5</v>
      </c>
      <c r="U91" s="69">
        <v>2.2999999999999998</v>
      </c>
      <c r="V91" s="69"/>
      <c r="W91" s="69"/>
      <c r="X91" s="69"/>
      <c r="Y91" s="69"/>
      <c r="Z91" s="69">
        <v>4.22</v>
      </c>
      <c r="AA91" s="69">
        <v>2</v>
      </c>
      <c r="AB91" s="69">
        <v>0.5</v>
      </c>
      <c r="AC91" s="69">
        <v>0</v>
      </c>
      <c r="AD91" s="69">
        <v>0.23</v>
      </c>
      <c r="AE91" s="69">
        <v>6</v>
      </c>
      <c r="AF91" s="69">
        <v>10</v>
      </c>
      <c r="AG91" s="69">
        <v>6</v>
      </c>
      <c r="AH91" s="69">
        <v>7</v>
      </c>
      <c r="AI91" s="69"/>
      <c r="AJ91" s="69">
        <v>2.42</v>
      </c>
    </row>
    <row r="92" spans="1:36" s="13" customFormat="1" ht="16">
      <c r="A92" s="6"/>
      <c r="B92" s="78"/>
      <c r="C92" s="59" t="s">
        <v>676</v>
      </c>
      <c r="D92" s="63">
        <v>7004</v>
      </c>
      <c r="E92" s="86" t="s">
        <v>447</v>
      </c>
      <c r="F92" s="61">
        <v>9.9999999999999982</v>
      </c>
      <c r="G92" s="61">
        <v>0</v>
      </c>
      <c r="H92" s="61"/>
      <c r="I92" s="61"/>
      <c r="J92" s="69">
        <v>70.3</v>
      </c>
      <c r="K92" s="69">
        <v>1</v>
      </c>
      <c r="L92" s="69">
        <v>19.7</v>
      </c>
      <c r="M92" s="69">
        <v>7.2</v>
      </c>
      <c r="N92" s="69">
        <v>0</v>
      </c>
      <c r="O92" s="61">
        <v>0</v>
      </c>
      <c r="P92" s="69"/>
      <c r="Q92" s="69">
        <v>1.8</v>
      </c>
      <c r="R92" s="69">
        <v>151</v>
      </c>
      <c r="S92" s="69"/>
      <c r="T92" s="69">
        <v>4</v>
      </c>
      <c r="U92" s="69">
        <v>12.4</v>
      </c>
      <c r="V92" s="69"/>
      <c r="W92" s="69"/>
      <c r="X92" s="69"/>
      <c r="Y92" s="69"/>
      <c r="Z92" s="69">
        <v>3.85</v>
      </c>
      <c r="AA92" s="69">
        <v>2</v>
      </c>
      <c r="AB92" s="69">
        <v>0.6</v>
      </c>
      <c r="AC92" s="69">
        <v>0</v>
      </c>
      <c r="AD92" s="69">
        <v>0.21</v>
      </c>
      <c r="AE92" s="69">
        <v>9</v>
      </c>
      <c r="AF92" s="69">
        <v>5</v>
      </c>
      <c r="AG92" s="69">
        <v>10</v>
      </c>
      <c r="AH92" s="69">
        <v>10</v>
      </c>
      <c r="AI92" s="69"/>
      <c r="AJ92" s="69">
        <v>1.9</v>
      </c>
    </row>
    <row r="93" spans="1:36" s="13" customFormat="1">
      <c r="A93" s="6"/>
      <c r="B93" s="78"/>
      <c r="C93" s="59"/>
      <c r="D93" s="63"/>
      <c r="E93" s="86"/>
      <c r="F93" s="6">
        <f>AVERAGE(F90:F92)</f>
        <v>11.666666666666666</v>
      </c>
      <c r="G93" s="61"/>
      <c r="H93" s="61"/>
      <c r="I93" s="61"/>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row>
    <row r="94" spans="1:36" s="13" customFormat="1">
      <c r="A94" s="6"/>
      <c r="B94" s="78"/>
      <c r="C94" s="59"/>
      <c r="D94" s="63"/>
      <c r="E94" s="86"/>
      <c r="F94" s="6"/>
      <c r="G94" s="61">
        <v>0</v>
      </c>
      <c r="H94" s="61"/>
      <c r="I94" s="61"/>
      <c r="J94" s="6">
        <f t="shared" ref="J94:O96" si="221">+J90*(100-$G90)/100</f>
        <v>58.2</v>
      </c>
      <c r="K94" s="6">
        <f t="shared" si="221"/>
        <v>0.9</v>
      </c>
      <c r="L94" s="6">
        <f t="shared" si="221"/>
        <v>18.600000000000001</v>
      </c>
      <c r="M94" s="6">
        <f t="shared" si="221"/>
        <v>24.1</v>
      </c>
      <c r="N94" s="6">
        <f t="shared" si="221"/>
        <v>0</v>
      </c>
      <c r="O94" s="6">
        <f t="shared" si="221"/>
        <v>0</v>
      </c>
      <c r="P94" s="69"/>
      <c r="Q94" s="6">
        <f t="shared" ref="Q94:R96" si="222">+Q90*(100-$G90)/100</f>
        <v>0</v>
      </c>
      <c r="R94" s="6">
        <f t="shared" si="222"/>
        <v>284</v>
      </c>
      <c r="S94" s="69"/>
      <c r="T94" s="6">
        <f t="shared" ref="T94:AH94" si="223">+T90*(100-$G90)/100</f>
        <v>16</v>
      </c>
      <c r="U94" s="6">
        <f t="shared" si="223"/>
        <v>2.2000000000000002</v>
      </c>
      <c r="V94" s="6"/>
      <c r="W94" s="6"/>
      <c r="X94" s="6"/>
      <c r="Y94" s="6"/>
      <c r="Z94" s="6">
        <f t="shared" si="223"/>
        <v>3</v>
      </c>
      <c r="AA94" s="6">
        <f t="shared" si="223"/>
        <v>0</v>
      </c>
      <c r="AB94" s="6">
        <f t="shared" si="223"/>
        <v>0.5</v>
      </c>
      <c r="AC94" s="6">
        <f t="shared" si="223"/>
        <v>0</v>
      </c>
      <c r="AD94" s="6">
        <f t="shared" si="223"/>
        <v>0.18</v>
      </c>
      <c r="AE94" s="6">
        <f t="shared" si="223"/>
        <v>29</v>
      </c>
      <c r="AF94" s="6">
        <f t="shared" si="223"/>
        <v>13</v>
      </c>
      <c r="AG94" s="6">
        <f t="shared" si="223"/>
        <v>29</v>
      </c>
      <c r="AH94" s="6">
        <f t="shared" si="223"/>
        <v>31</v>
      </c>
      <c r="AI94" s="6"/>
      <c r="AJ94" s="6">
        <f>+AJ90*(100-$G90)/100</f>
        <v>1.63</v>
      </c>
    </row>
    <row r="95" spans="1:36" s="13" customFormat="1">
      <c r="A95" s="6"/>
      <c r="B95" s="78"/>
      <c r="C95" s="59"/>
      <c r="D95" s="63"/>
      <c r="E95" s="86"/>
      <c r="F95" s="6"/>
      <c r="G95" s="61">
        <v>0</v>
      </c>
      <c r="H95" s="61"/>
      <c r="I95" s="61"/>
      <c r="J95" s="6">
        <f t="shared" si="221"/>
        <v>75.599999999999994</v>
      </c>
      <c r="K95" s="6">
        <f t="shared" si="221"/>
        <v>1.2</v>
      </c>
      <c r="L95" s="6">
        <f t="shared" si="221"/>
        <v>20.6</v>
      </c>
      <c r="M95" s="6">
        <f t="shared" si="221"/>
        <v>2.2999999999999998</v>
      </c>
      <c r="N95" s="6">
        <f t="shared" si="221"/>
        <v>0</v>
      </c>
      <c r="O95" s="6">
        <f t="shared" si="221"/>
        <v>0</v>
      </c>
      <c r="P95" s="69"/>
      <c r="Q95" s="6">
        <f t="shared" si="222"/>
        <v>0.4</v>
      </c>
      <c r="R95" s="6">
        <f t="shared" si="222"/>
        <v>104</v>
      </c>
      <c r="S95" s="69"/>
      <c r="T95" s="6">
        <f t="shared" ref="T95:AH95" si="224">+T91*(100-$G91)/100</f>
        <v>5</v>
      </c>
      <c r="U95" s="6">
        <f t="shared" si="224"/>
        <v>2.2999999999999998</v>
      </c>
      <c r="V95" s="6"/>
      <c r="W95" s="6"/>
      <c r="X95" s="6"/>
      <c r="Y95" s="6"/>
      <c r="Z95" s="6">
        <f t="shared" si="224"/>
        <v>4.22</v>
      </c>
      <c r="AA95" s="6">
        <f t="shared" si="224"/>
        <v>2</v>
      </c>
      <c r="AB95" s="6">
        <f t="shared" si="224"/>
        <v>0.5</v>
      </c>
      <c r="AC95" s="6">
        <f t="shared" si="224"/>
        <v>0</v>
      </c>
      <c r="AD95" s="6">
        <f t="shared" si="224"/>
        <v>0.23</v>
      </c>
      <c r="AE95" s="6">
        <f t="shared" si="224"/>
        <v>6</v>
      </c>
      <c r="AF95" s="6">
        <f t="shared" si="224"/>
        <v>10</v>
      </c>
      <c r="AG95" s="6">
        <f t="shared" si="224"/>
        <v>6</v>
      </c>
      <c r="AH95" s="6">
        <f t="shared" si="224"/>
        <v>7</v>
      </c>
      <c r="AI95" s="6"/>
      <c r="AJ95" s="6">
        <f>+AJ91*(100-$G91)/100</f>
        <v>2.42</v>
      </c>
    </row>
    <row r="96" spans="1:36" s="13" customFormat="1">
      <c r="A96" s="6"/>
      <c r="B96" s="78"/>
      <c r="C96" s="59"/>
      <c r="D96" s="63"/>
      <c r="E96" s="86"/>
      <c r="F96" s="6"/>
      <c r="G96" s="61">
        <v>0</v>
      </c>
      <c r="H96" s="61"/>
      <c r="I96" s="61"/>
      <c r="J96" s="6">
        <f t="shared" si="221"/>
        <v>70.3</v>
      </c>
      <c r="K96" s="6">
        <f t="shared" si="221"/>
        <v>1</v>
      </c>
      <c r="L96" s="6">
        <f t="shared" si="221"/>
        <v>19.7</v>
      </c>
      <c r="M96" s="6">
        <f t="shared" si="221"/>
        <v>7.2</v>
      </c>
      <c r="N96" s="6">
        <f t="shared" si="221"/>
        <v>0</v>
      </c>
      <c r="O96" s="6">
        <f t="shared" si="221"/>
        <v>0</v>
      </c>
      <c r="P96" s="69"/>
      <c r="Q96" s="6">
        <f t="shared" si="222"/>
        <v>1.8</v>
      </c>
      <c r="R96" s="6">
        <f t="shared" si="222"/>
        <v>151</v>
      </c>
      <c r="S96" s="69"/>
      <c r="T96" s="6">
        <f t="shared" ref="T96:AH96" si="225">+T92*(100-$G92)/100</f>
        <v>4</v>
      </c>
      <c r="U96" s="6">
        <f t="shared" si="225"/>
        <v>12.4</v>
      </c>
      <c r="V96" s="6"/>
      <c r="W96" s="6"/>
      <c r="X96" s="6"/>
      <c r="Y96" s="6"/>
      <c r="Z96" s="6">
        <f t="shared" si="225"/>
        <v>3.85</v>
      </c>
      <c r="AA96" s="6">
        <f t="shared" si="225"/>
        <v>2</v>
      </c>
      <c r="AB96" s="6">
        <f t="shared" si="225"/>
        <v>0.6</v>
      </c>
      <c r="AC96" s="6">
        <f t="shared" si="225"/>
        <v>0</v>
      </c>
      <c r="AD96" s="6">
        <f t="shared" si="225"/>
        <v>0.21</v>
      </c>
      <c r="AE96" s="6">
        <f t="shared" si="225"/>
        <v>9</v>
      </c>
      <c r="AF96" s="6">
        <f t="shared" si="225"/>
        <v>5</v>
      </c>
      <c r="AG96" s="6">
        <f t="shared" si="225"/>
        <v>10</v>
      </c>
      <c r="AH96" s="6">
        <f t="shared" si="225"/>
        <v>10</v>
      </c>
      <c r="AI96" s="6"/>
      <c r="AJ96" s="6">
        <f>+AJ92*(100-$G92)/100</f>
        <v>1.9</v>
      </c>
    </row>
    <row r="97" spans="1:36" s="13" customFormat="1">
      <c r="A97" s="6"/>
      <c r="B97" s="78"/>
      <c r="C97" s="59"/>
      <c r="D97" s="63"/>
      <c r="E97" s="86"/>
      <c r="F97" s="6"/>
      <c r="G97" s="61"/>
      <c r="H97" s="61"/>
      <c r="I97" s="61"/>
      <c r="J97" s="6"/>
      <c r="K97" s="6"/>
      <c r="L97" s="6"/>
      <c r="M97" s="6"/>
      <c r="N97" s="6"/>
      <c r="O97" s="6"/>
      <c r="P97" s="69"/>
      <c r="Q97" s="6"/>
      <c r="R97" s="6"/>
      <c r="S97" s="69"/>
      <c r="T97" s="6"/>
      <c r="U97" s="6"/>
      <c r="V97" s="6"/>
      <c r="W97" s="6"/>
      <c r="X97" s="6"/>
      <c r="Y97" s="6"/>
      <c r="Z97" s="6"/>
      <c r="AA97" s="6"/>
      <c r="AB97" s="6"/>
      <c r="AC97" s="6"/>
      <c r="AD97" s="6"/>
      <c r="AE97" s="6"/>
      <c r="AF97" s="6"/>
      <c r="AG97" s="6"/>
      <c r="AH97" s="6"/>
      <c r="AI97" s="6"/>
      <c r="AJ97" s="6"/>
    </row>
    <row r="98" spans="1:36" s="84" customFormat="1" ht="16">
      <c r="A98" s="80">
        <v>201</v>
      </c>
      <c r="B98" s="81" t="s">
        <v>233</v>
      </c>
      <c r="C98" s="82"/>
      <c r="D98" s="101"/>
      <c r="E98" s="102" t="s">
        <v>609</v>
      </c>
      <c r="F98" s="80">
        <f>AVERAGE(G90:G92)</f>
        <v>0</v>
      </c>
      <c r="G98" s="103">
        <f>AVERAGE(G94:G96)</f>
        <v>0</v>
      </c>
      <c r="H98" s="103"/>
      <c r="I98" s="103"/>
      <c r="J98" s="103">
        <f t="shared" ref="J98:O98" si="226">AVERAGE(J94:J96)</f>
        <v>68.033333333333346</v>
      </c>
      <c r="K98" s="103">
        <f t="shared" si="226"/>
        <v>1.0333333333333334</v>
      </c>
      <c r="L98" s="103">
        <f t="shared" si="226"/>
        <v>19.633333333333336</v>
      </c>
      <c r="M98" s="103">
        <f t="shared" si="226"/>
        <v>11.200000000000001</v>
      </c>
      <c r="N98" s="103">
        <f t="shared" si="226"/>
        <v>0</v>
      </c>
      <c r="O98" s="103">
        <f t="shared" si="226"/>
        <v>0</v>
      </c>
      <c r="P98" s="104"/>
      <c r="Q98" s="80">
        <f>100-F98-J98-K98-L98-M98-N98-O98</f>
        <v>9.9999999999981881E-2</v>
      </c>
      <c r="R98" s="103">
        <f t="shared" ref="R98" si="227">AVERAGE(R94:R96)</f>
        <v>179.66666666666666</v>
      </c>
      <c r="S98" s="104"/>
      <c r="T98" s="103">
        <f t="shared" ref="T98:AF98" si="228">AVERAGE(T94:T96)</f>
        <v>8.3333333333333339</v>
      </c>
      <c r="U98" s="103">
        <f t="shared" si="228"/>
        <v>5.6333333333333329</v>
      </c>
      <c r="V98" s="103"/>
      <c r="W98" s="103"/>
      <c r="X98" s="103"/>
      <c r="Y98" s="103"/>
      <c r="Z98" s="103">
        <f t="shared" si="228"/>
        <v>3.69</v>
      </c>
      <c r="AA98" s="103">
        <f t="shared" si="228"/>
        <v>1.3333333333333333</v>
      </c>
      <c r="AB98" s="103">
        <f t="shared" si="228"/>
        <v>0.53333333333333333</v>
      </c>
      <c r="AC98" s="103">
        <f t="shared" si="228"/>
        <v>0</v>
      </c>
      <c r="AD98" s="103">
        <f t="shared" si="228"/>
        <v>0.20666666666666667</v>
      </c>
      <c r="AE98" s="103">
        <f t="shared" si="228"/>
        <v>14.666666666666666</v>
      </c>
      <c r="AF98" s="103">
        <f t="shared" si="228"/>
        <v>9.3333333333333339</v>
      </c>
      <c r="AG98" s="80">
        <f>+AE98+AF98/12</f>
        <v>15.444444444444445</v>
      </c>
      <c r="AH98" s="80">
        <f>+AE98+AF98/6</f>
        <v>16.222222222222221</v>
      </c>
      <c r="AI98" s="104"/>
      <c r="AJ98" s="103">
        <f>AVERAGE(AJ94:AJ96)</f>
        <v>1.9833333333333332</v>
      </c>
    </row>
    <row r="99" spans="1:36" s="13" customFormat="1">
      <c r="A99" s="6"/>
      <c r="B99" s="78"/>
      <c r="C99" s="59"/>
      <c r="D99" s="6"/>
      <c r="E99" s="79"/>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row>
    <row r="100" spans="1:36" s="13" customFormat="1">
      <c r="A100" s="6"/>
      <c r="B100" s="78"/>
      <c r="C100" s="59"/>
      <c r="D100" s="6"/>
      <c r="E100" s="79"/>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row>
    <row r="101" spans="1:36" s="13" customFormat="1" ht="16">
      <c r="A101" s="6"/>
      <c r="B101" s="78"/>
      <c r="C101" s="59" t="s">
        <v>676</v>
      </c>
      <c r="D101" s="63">
        <v>7014</v>
      </c>
      <c r="E101" s="86" t="s">
        <v>451</v>
      </c>
      <c r="F101" s="61">
        <v>29.000000000000004</v>
      </c>
      <c r="G101" s="61">
        <v>0</v>
      </c>
      <c r="H101" s="61"/>
      <c r="I101" s="61"/>
      <c r="J101" s="69">
        <v>74.599999999999994</v>
      </c>
      <c r="K101" s="69">
        <v>1</v>
      </c>
      <c r="L101" s="69">
        <v>19.5</v>
      </c>
      <c r="M101" s="69">
        <v>4.3</v>
      </c>
      <c r="N101" s="69">
        <v>0</v>
      </c>
      <c r="O101" s="61">
        <v>0</v>
      </c>
      <c r="P101" s="69"/>
      <c r="Q101" s="69">
        <v>0.6</v>
      </c>
      <c r="R101" s="69">
        <v>119</v>
      </c>
      <c r="S101" s="69"/>
      <c r="T101" s="69">
        <v>10</v>
      </c>
      <c r="U101" s="69">
        <v>7.2</v>
      </c>
      <c r="V101" s="69"/>
      <c r="W101" s="69"/>
      <c r="X101" s="69"/>
      <c r="Y101" s="69"/>
      <c r="Z101" s="69">
        <v>3.66</v>
      </c>
      <c r="AA101" s="69">
        <v>2</v>
      </c>
      <c r="AB101" s="69">
        <v>0.4</v>
      </c>
      <c r="AC101" s="69">
        <v>0.17</v>
      </c>
      <c r="AD101" s="69">
        <v>0.23</v>
      </c>
      <c r="AE101" s="69">
        <v>7</v>
      </c>
      <c r="AF101" s="69">
        <v>0</v>
      </c>
      <c r="AG101" s="69">
        <v>7</v>
      </c>
      <c r="AH101" s="69">
        <v>7</v>
      </c>
      <c r="AI101" s="69"/>
      <c r="AJ101" s="69">
        <v>3.09</v>
      </c>
    </row>
    <row r="102" spans="1:36" s="13" customFormat="1" ht="16">
      <c r="A102" s="6"/>
      <c r="B102" s="78"/>
      <c r="C102" s="59" t="s">
        <v>676</v>
      </c>
      <c r="D102" s="63">
        <v>7016</v>
      </c>
      <c r="E102" s="86" t="s">
        <v>452</v>
      </c>
      <c r="F102" s="61">
        <v>26</v>
      </c>
      <c r="G102" s="61">
        <v>0</v>
      </c>
      <c r="H102" s="61"/>
      <c r="I102" s="61"/>
      <c r="J102" s="69">
        <v>68.2</v>
      </c>
      <c r="K102" s="69">
        <v>1</v>
      </c>
      <c r="L102" s="69">
        <v>18.600000000000001</v>
      </c>
      <c r="M102" s="69">
        <v>8.6</v>
      </c>
      <c r="N102" s="69">
        <v>0</v>
      </c>
      <c r="O102" s="61">
        <v>0</v>
      </c>
      <c r="P102" s="69"/>
      <c r="Q102" s="69">
        <v>3.5</v>
      </c>
      <c r="R102" s="69">
        <v>166</v>
      </c>
      <c r="S102" s="69"/>
      <c r="T102" s="69">
        <v>10</v>
      </c>
      <c r="U102" s="69">
        <v>1.9</v>
      </c>
      <c r="V102" s="69"/>
      <c r="W102" s="69"/>
      <c r="X102" s="69"/>
      <c r="Y102" s="69"/>
      <c r="Z102" s="69">
        <v>3.26</v>
      </c>
      <c r="AA102" s="69">
        <v>1</v>
      </c>
      <c r="AB102" s="69">
        <v>0.8</v>
      </c>
      <c r="AC102" s="69">
        <v>0.16</v>
      </c>
      <c r="AD102" s="69">
        <v>0.18</v>
      </c>
      <c r="AE102" s="69">
        <v>18</v>
      </c>
      <c r="AF102" s="69">
        <v>0</v>
      </c>
      <c r="AG102" s="69">
        <v>18</v>
      </c>
      <c r="AH102" s="69">
        <v>18</v>
      </c>
      <c r="AI102" s="69"/>
      <c r="AJ102" s="69">
        <v>2.34</v>
      </c>
    </row>
    <row r="103" spans="1:36" s="13" customFormat="1" ht="16">
      <c r="A103" s="6"/>
      <c r="B103" s="78"/>
      <c r="C103" s="59" t="s">
        <v>676</v>
      </c>
      <c r="D103" s="63">
        <v>7019</v>
      </c>
      <c r="E103" s="86" t="s">
        <v>453</v>
      </c>
      <c r="F103" s="61">
        <v>0</v>
      </c>
      <c r="G103" s="61">
        <v>0</v>
      </c>
      <c r="H103" s="61"/>
      <c r="I103" s="61"/>
      <c r="J103" s="69">
        <v>60</v>
      </c>
      <c r="K103" s="69">
        <v>1</v>
      </c>
      <c r="L103" s="69">
        <v>17</v>
      </c>
      <c r="M103" s="69">
        <v>22.7</v>
      </c>
      <c r="N103" s="69">
        <v>0</v>
      </c>
      <c r="O103" s="61">
        <v>0</v>
      </c>
      <c r="P103" s="69"/>
      <c r="Q103" s="69">
        <v>0</v>
      </c>
      <c r="R103" s="69">
        <v>269</v>
      </c>
      <c r="S103" s="69"/>
      <c r="T103" s="69">
        <v>12</v>
      </c>
      <c r="U103" s="69">
        <v>1.7</v>
      </c>
      <c r="V103" s="69"/>
      <c r="W103" s="69"/>
      <c r="X103" s="69"/>
      <c r="Y103" s="69"/>
      <c r="Z103" s="69">
        <v>3.33</v>
      </c>
      <c r="AA103" s="69">
        <v>18</v>
      </c>
      <c r="AB103" s="69">
        <v>0</v>
      </c>
      <c r="AC103" s="69">
        <v>0.12</v>
      </c>
      <c r="AD103" s="69">
        <v>0.23</v>
      </c>
      <c r="AE103" s="69">
        <v>0</v>
      </c>
      <c r="AF103" s="69">
        <v>0</v>
      </c>
      <c r="AG103" s="69">
        <v>0</v>
      </c>
      <c r="AH103" s="69">
        <v>0</v>
      </c>
      <c r="AI103" s="69"/>
      <c r="AJ103" s="69">
        <v>2.39</v>
      </c>
    </row>
    <row r="104" spans="1:36" s="13" customFormat="1">
      <c r="A104" s="6"/>
      <c r="B104" s="78"/>
      <c r="C104" s="59"/>
      <c r="D104" s="63"/>
      <c r="E104" s="86"/>
      <c r="F104" s="6">
        <f>AVERAGE(F101:F103)</f>
        <v>18.333333333333332</v>
      </c>
      <c r="G104" s="61"/>
      <c r="H104" s="61"/>
      <c r="I104" s="61"/>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row>
    <row r="105" spans="1:36" s="13" customFormat="1">
      <c r="A105" s="6"/>
      <c r="B105" s="78"/>
      <c r="C105" s="59"/>
      <c r="D105" s="63"/>
      <c r="E105" s="86"/>
      <c r="F105" s="6"/>
      <c r="G105" s="61">
        <v>0</v>
      </c>
      <c r="H105" s="61"/>
      <c r="I105" s="61"/>
      <c r="J105" s="6">
        <f t="shared" ref="J105:O107" si="229">+J101*(100-$G101)/(100)</f>
        <v>74.599999999999994</v>
      </c>
      <c r="K105" s="6">
        <f t="shared" si="229"/>
        <v>1</v>
      </c>
      <c r="L105" s="6">
        <f t="shared" si="229"/>
        <v>19.5</v>
      </c>
      <c r="M105" s="6">
        <f t="shared" si="229"/>
        <v>4.3</v>
      </c>
      <c r="N105" s="6">
        <f t="shared" si="229"/>
        <v>0</v>
      </c>
      <c r="O105" s="6">
        <f t="shared" si="229"/>
        <v>0</v>
      </c>
      <c r="P105" s="69"/>
      <c r="Q105" s="6">
        <f t="shared" ref="Q105:R107" si="230">+Q101*(100-$G101)/(100)</f>
        <v>0.6</v>
      </c>
      <c r="R105" s="6">
        <f t="shared" si="230"/>
        <v>119</v>
      </c>
      <c r="S105" s="69"/>
      <c r="T105" s="6">
        <f t="shared" ref="T105:AH105" si="231">+T101*(100-$G101)/(100)</f>
        <v>10</v>
      </c>
      <c r="U105" s="6">
        <f t="shared" si="231"/>
        <v>7.2</v>
      </c>
      <c r="V105" s="6"/>
      <c r="W105" s="6"/>
      <c r="X105" s="6"/>
      <c r="Y105" s="6"/>
      <c r="Z105" s="6">
        <f t="shared" si="231"/>
        <v>3.66</v>
      </c>
      <c r="AA105" s="6">
        <f t="shared" si="231"/>
        <v>2</v>
      </c>
      <c r="AB105" s="6">
        <f t="shared" si="231"/>
        <v>0.4</v>
      </c>
      <c r="AC105" s="6">
        <f t="shared" si="231"/>
        <v>0.17</v>
      </c>
      <c r="AD105" s="6">
        <f t="shared" si="231"/>
        <v>0.23</v>
      </c>
      <c r="AE105" s="6">
        <f t="shared" si="231"/>
        <v>7</v>
      </c>
      <c r="AF105" s="6">
        <f t="shared" si="231"/>
        <v>0</v>
      </c>
      <c r="AG105" s="6">
        <f t="shared" si="231"/>
        <v>7</v>
      </c>
      <c r="AH105" s="6">
        <f t="shared" si="231"/>
        <v>7</v>
      </c>
      <c r="AI105" s="6"/>
      <c r="AJ105" s="6">
        <f>+AJ101*(100-$G101)/(100)</f>
        <v>3.09</v>
      </c>
    </row>
    <row r="106" spans="1:36" s="13" customFormat="1">
      <c r="A106" s="6"/>
      <c r="B106" s="78"/>
      <c r="C106" s="59"/>
      <c r="D106" s="63"/>
      <c r="E106" s="86"/>
      <c r="F106" s="6"/>
      <c r="G106" s="61">
        <v>0</v>
      </c>
      <c r="H106" s="61"/>
      <c r="I106" s="61"/>
      <c r="J106" s="6">
        <f t="shared" si="229"/>
        <v>68.2</v>
      </c>
      <c r="K106" s="6">
        <f t="shared" si="229"/>
        <v>1</v>
      </c>
      <c r="L106" s="6">
        <f t="shared" si="229"/>
        <v>18.600000000000001</v>
      </c>
      <c r="M106" s="6">
        <f t="shared" si="229"/>
        <v>8.6</v>
      </c>
      <c r="N106" s="6">
        <f t="shared" si="229"/>
        <v>0</v>
      </c>
      <c r="O106" s="6">
        <f t="shared" si="229"/>
        <v>0</v>
      </c>
      <c r="P106" s="69"/>
      <c r="Q106" s="6">
        <f t="shared" si="230"/>
        <v>3.5</v>
      </c>
      <c r="R106" s="6">
        <f t="shared" si="230"/>
        <v>166</v>
      </c>
      <c r="S106" s="69"/>
      <c r="T106" s="6">
        <f t="shared" ref="T106:AH106" si="232">+T102*(100-$G102)/(100)</f>
        <v>10</v>
      </c>
      <c r="U106" s="6">
        <f t="shared" si="232"/>
        <v>1.9</v>
      </c>
      <c r="V106" s="6"/>
      <c r="W106" s="6"/>
      <c r="X106" s="6"/>
      <c r="Y106" s="6"/>
      <c r="Z106" s="6">
        <f t="shared" si="232"/>
        <v>3.26</v>
      </c>
      <c r="AA106" s="6">
        <f t="shared" si="232"/>
        <v>1</v>
      </c>
      <c r="AB106" s="6">
        <f t="shared" si="232"/>
        <v>0.8</v>
      </c>
      <c r="AC106" s="6">
        <f t="shared" si="232"/>
        <v>0.16</v>
      </c>
      <c r="AD106" s="6">
        <f t="shared" si="232"/>
        <v>0.18</v>
      </c>
      <c r="AE106" s="6">
        <f t="shared" si="232"/>
        <v>18</v>
      </c>
      <c r="AF106" s="6">
        <f t="shared" si="232"/>
        <v>0</v>
      </c>
      <c r="AG106" s="6">
        <f t="shared" si="232"/>
        <v>18</v>
      </c>
      <c r="AH106" s="6">
        <f t="shared" si="232"/>
        <v>18</v>
      </c>
      <c r="AI106" s="6"/>
      <c r="AJ106" s="6">
        <f>+AJ102*(100-$G102)/(100)</f>
        <v>2.34</v>
      </c>
    </row>
    <row r="107" spans="1:36" s="13" customFormat="1">
      <c r="A107" s="6"/>
      <c r="B107" s="78"/>
      <c r="C107" s="59"/>
      <c r="D107" s="63"/>
      <c r="E107" s="86"/>
      <c r="F107" s="6"/>
      <c r="G107" s="61">
        <v>0</v>
      </c>
      <c r="H107" s="61"/>
      <c r="I107" s="61"/>
      <c r="J107" s="6">
        <f t="shared" si="229"/>
        <v>60</v>
      </c>
      <c r="K107" s="6">
        <f t="shared" si="229"/>
        <v>1</v>
      </c>
      <c r="L107" s="6">
        <f t="shared" si="229"/>
        <v>17</v>
      </c>
      <c r="M107" s="6">
        <f t="shared" si="229"/>
        <v>22.7</v>
      </c>
      <c r="N107" s="6">
        <f t="shared" si="229"/>
        <v>0</v>
      </c>
      <c r="O107" s="6">
        <f t="shared" si="229"/>
        <v>0</v>
      </c>
      <c r="P107" s="69"/>
      <c r="Q107" s="6">
        <f t="shared" si="230"/>
        <v>0</v>
      </c>
      <c r="R107" s="6">
        <f t="shared" si="230"/>
        <v>269</v>
      </c>
      <c r="S107" s="69"/>
      <c r="T107" s="6">
        <f t="shared" ref="T107:AH107" si="233">+T103*(100-$G103)/(100)</f>
        <v>12</v>
      </c>
      <c r="U107" s="6">
        <f t="shared" si="233"/>
        <v>1.7</v>
      </c>
      <c r="V107" s="6"/>
      <c r="W107" s="6"/>
      <c r="X107" s="6"/>
      <c r="Y107" s="6"/>
      <c r="Z107" s="6">
        <f t="shared" si="233"/>
        <v>3.33</v>
      </c>
      <c r="AA107" s="6">
        <f t="shared" si="233"/>
        <v>18</v>
      </c>
      <c r="AB107" s="6">
        <f t="shared" si="233"/>
        <v>0</v>
      </c>
      <c r="AC107" s="6">
        <f t="shared" si="233"/>
        <v>0.12</v>
      </c>
      <c r="AD107" s="6">
        <f t="shared" si="233"/>
        <v>0.23</v>
      </c>
      <c r="AE107" s="6">
        <f t="shared" si="233"/>
        <v>0</v>
      </c>
      <c r="AF107" s="6">
        <f t="shared" si="233"/>
        <v>0</v>
      </c>
      <c r="AG107" s="6">
        <f t="shared" si="233"/>
        <v>0</v>
      </c>
      <c r="AH107" s="6">
        <f t="shared" si="233"/>
        <v>0</v>
      </c>
      <c r="AI107" s="6"/>
      <c r="AJ107" s="6">
        <f>+AJ103*(100-$G103)/(100)</f>
        <v>2.39</v>
      </c>
    </row>
    <row r="108" spans="1:36" s="13" customFormat="1">
      <c r="A108" s="6"/>
      <c r="B108" s="78"/>
      <c r="C108" s="59"/>
      <c r="D108" s="63"/>
      <c r="E108" s="86"/>
      <c r="F108" s="6"/>
      <c r="G108" s="61"/>
      <c r="H108" s="61"/>
      <c r="I108" s="61"/>
      <c r="J108" s="6"/>
      <c r="K108" s="6"/>
      <c r="L108" s="6"/>
      <c r="M108" s="6"/>
      <c r="N108" s="6"/>
      <c r="O108" s="6"/>
      <c r="P108" s="69"/>
      <c r="Q108" s="6"/>
      <c r="R108" s="6"/>
      <c r="S108" s="69"/>
      <c r="T108" s="6"/>
      <c r="U108" s="6"/>
      <c r="V108" s="6"/>
      <c r="W108" s="6"/>
      <c r="X108" s="6"/>
      <c r="Y108" s="6"/>
      <c r="Z108" s="6"/>
      <c r="AA108" s="6"/>
      <c r="AB108" s="6"/>
      <c r="AC108" s="6"/>
      <c r="AD108" s="6"/>
      <c r="AE108" s="6"/>
      <c r="AF108" s="6"/>
      <c r="AG108" s="6"/>
      <c r="AH108" s="6"/>
      <c r="AI108" s="6"/>
      <c r="AJ108" s="6"/>
    </row>
    <row r="109" spans="1:36" s="84" customFormat="1" ht="16">
      <c r="A109" s="80">
        <v>205</v>
      </c>
      <c r="B109" s="81" t="s">
        <v>237</v>
      </c>
      <c r="C109" s="82"/>
      <c r="D109" s="101"/>
      <c r="E109" s="102" t="s">
        <v>609</v>
      </c>
      <c r="F109" s="80">
        <f>AVERAGE(G101:G103)</f>
        <v>0</v>
      </c>
      <c r="G109" s="103">
        <f>AVERAGE(G105:G107)</f>
        <v>0</v>
      </c>
      <c r="H109" s="103"/>
      <c r="I109" s="103"/>
      <c r="J109" s="103">
        <f t="shared" ref="J109" si="234">AVERAGE(J105:J107)</f>
        <v>67.600000000000009</v>
      </c>
      <c r="K109" s="103">
        <f t="shared" ref="K109" si="235">AVERAGE(K105:K107)</f>
        <v>1</v>
      </c>
      <c r="L109" s="103">
        <f t="shared" ref="L109" si="236">AVERAGE(L105:L107)</f>
        <v>18.366666666666667</v>
      </c>
      <c r="M109" s="103">
        <f t="shared" ref="M109" si="237">AVERAGE(M105:M107)</f>
        <v>11.866666666666665</v>
      </c>
      <c r="N109" s="103">
        <f t="shared" ref="N109" si="238">AVERAGE(N105:N107)</f>
        <v>0</v>
      </c>
      <c r="O109" s="103">
        <f t="shared" ref="O109" si="239">AVERAGE(O105:O107)</f>
        <v>0</v>
      </c>
      <c r="P109" s="104"/>
      <c r="Q109" s="80">
        <f>100-F109-J109-K109-L109-M109-N109-O109</f>
        <v>1.166666666666659</v>
      </c>
      <c r="R109" s="103">
        <f t="shared" ref="R109" si="240">AVERAGE(R105:R107)</f>
        <v>184.66666666666666</v>
      </c>
      <c r="S109" s="104"/>
      <c r="T109" s="103">
        <f t="shared" ref="T109" si="241">AVERAGE(T105:T107)</f>
        <v>10.666666666666666</v>
      </c>
      <c r="U109" s="103">
        <f t="shared" ref="U109" si="242">AVERAGE(U105:U107)</f>
        <v>3.5999999999999996</v>
      </c>
      <c r="V109" s="103"/>
      <c r="W109" s="103"/>
      <c r="X109" s="103"/>
      <c r="Y109" s="103"/>
      <c r="Z109" s="103">
        <f t="shared" ref="Z109" si="243">AVERAGE(Z105:Z107)</f>
        <v>3.4166666666666665</v>
      </c>
      <c r="AA109" s="103">
        <f t="shared" ref="AA109" si="244">AVERAGE(AA105:AA107)</f>
        <v>7</v>
      </c>
      <c r="AB109" s="103">
        <f t="shared" ref="AB109" si="245">AVERAGE(AB105:AB107)</f>
        <v>0.40000000000000008</v>
      </c>
      <c r="AC109" s="103">
        <f t="shared" ref="AC109" si="246">AVERAGE(AC105:AC107)</f>
        <v>0.15</v>
      </c>
      <c r="AD109" s="103">
        <f t="shared" ref="AD109" si="247">AVERAGE(AD105:AD107)</f>
        <v>0.21333333333333335</v>
      </c>
      <c r="AE109" s="103">
        <f t="shared" ref="AE109" si="248">AVERAGE(AE105:AE107)</f>
        <v>8.3333333333333339</v>
      </c>
      <c r="AF109" s="103">
        <f t="shared" ref="AF109" si="249">AVERAGE(AF105:AF107)</f>
        <v>0</v>
      </c>
      <c r="AG109" s="80">
        <f>+AE109+AF109/12</f>
        <v>8.3333333333333339</v>
      </c>
      <c r="AH109" s="80">
        <f>+AE109+AF109/6</f>
        <v>8.3333333333333339</v>
      </c>
      <c r="AI109" s="104"/>
      <c r="AJ109" s="103">
        <f>AVERAGE(AJ105:AJ107)</f>
        <v>2.6066666666666669</v>
      </c>
    </row>
    <row r="110" spans="1:36" s="13" customFormat="1">
      <c r="A110" s="6"/>
      <c r="B110" s="78"/>
      <c r="C110" s="59"/>
      <c r="D110" s="6"/>
      <c r="E110" s="79"/>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row>
    <row r="111" spans="1:36" s="13" customFormat="1" ht="16">
      <c r="A111" s="6"/>
      <c r="B111" s="78" t="s">
        <v>19</v>
      </c>
      <c r="C111" s="59"/>
      <c r="D111" s="6"/>
      <c r="E111" s="79"/>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row>
    <row r="112" spans="1:36" s="13" customFormat="1" ht="16">
      <c r="A112" s="6"/>
      <c r="B112" s="61">
        <v>1.0000000000000009</v>
      </c>
      <c r="C112" s="59" t="s">
        <v>676</v>
      </c>
      <c r="D112" s="63">
        <v>7015</v>
      </c>
      <c r="E112" s="86" t="s">
        <v>456</v>
      </c>
      <c r="F112" s="129">
        <f>1/2/3</f>
        <v>0.16666666666666666</v>
      </c>
      <c r="G112" s="61">
        <v>0</v>
      </c>
      <c r="H112" s="61"/>
      <c r="I112" s="61"/>
      <c r="J112" s="69">
        <v>74.8</v>
      </c>
      <c r="K112" s="69">
        <v>1.3</v>
      </c>
      <c r="L112" s="69">
        <v>20.2</v>
      </c>
      <c r="M112" s="69">
        <v>3.9</v>
      </c>
      <c r="N112" s="69">
        <v>0</v>
      </c>
      <c r="O112" s="61">
        <v>0</v>
      </c>
      <c r="P112" s="69"/>
      <c r="Q112" s="69">
        <v>0</v>
      </c>
      <c r="R112" s="69">
        <v>115</v>
      </c>
      <c r="S112" s="69"/>
      <c r="T112" s="69">
        <v>12</v>
      </c>
      <c r="U112" s="69">
        <v>6.6</v>
      </c>
      <c r="V112" s="69"/>
      <c r="W112" s="69"/>
      <c r="X112" s="69"/>
      <c r="Y112" s="69"/>
      <c r="Z112" s="69">
        <v>3.48</v>
      </c>
      <c r="AA112" s="69">
        <v>178</v>
      </c>
      <c r="AB112" s="69">
        <v>14</v>
      </c>
      <c r="AC112" s="69">
        <v>0.2</v>
      </c>
      <c r="AD112" s="69">
        <v>0.37</v>
      </c>
      <c r="AE112" s="69">
        <v>15700</v>
      </c>
      <c r="AF112" s="69">
        <v>0</v>
      </c>
      <c r="AG112" s="69">
        <v>15700</v>
      </c>
      <c r="AH112" s="69">
        <v>15700</v>
      </c>
      <c r="AI112" s="69"/>
      <c r="AJ112" s="69">
        <v>64</v>
      </c>
    </row>
    <row r="113" spans="1:36" s="13" customFormat="1" ht="16">
      <c r="A113" s="6"/>
      <c r="B113" s="61">
        <v>0</v>
      </c>
      <c r="C113" s="59" t="s">
        <v>676</v>
      </c>
      <c r="D113" s="63">
        <v>7018</v>
      </c>
      <c r="E113" s="86" t="s">
        <v>457</v>
      </c>
      <c r="F113" s="129">
        <f>1/2/3</f>
        <v>0.16666666666666666</v>
      </c>
      <c r="G113" s="61">
        <v>0</v>
      </c>
      <c r="H113" s="61"/>
      <c r="I113" s="61"/>
      <c r="J113" s="69">
        <v>67.599999999999994</v>
      </c>
      <c r="K113" s="69">
        <v>1.5</v>
      </c>
      <c r="L113" s="69">
        <v>20.399999999999999</v>
      </c>
      <c r="M113" s="69">
        <v>7.5</v>
      </c>
      <c r="N113" s="69">
        <v>0</v>
      </c>
      <c r="O113" s="61">
        <v>0</v>
      </c>
      <c r="P113" s="69"/>
      <c r="Q113" s="69">
        <v>3.1</v>
      </c>
      <c r="R113" s="69">
        <v>161</v>
      </c>
      <c r="S113" s="69"/>
      <c r="T113" s="69">
        <v>10</v>
      </c>
      <c r="U113" s="69">
        <v>8.3000000000000007</v>
      </c>
      <c r="V113" s="69"/>
      <c r="W113" s="69"/>
      <c r="X113" s="69"/>
      <c r="Y113" s="69"/>
      <c r="Z113" s="69">
        <v>4.22</v>
      </c>
      <c r="AA113" s="69">
        <v>759</v>
      </c>
      <c r="AB113" s="69">
        <v>20</v>
      </c>
      <c r="AC113" s="69">
        <v>0.3</v>
      </c>
      <c r="AD113" s="69">
        <v>2.25</v>
      </c>
      <c r="AE113" s="69">
        <v>31400</v>
      </c>
      <c r="AF113" s="69">
        <v>46</v>
      </c>
      <c r="AG113" s="69">
        <v>31400</v>
      </c>
      <c r="AH113" s="69">
        <v>31400</v>
      </c>
      <c r="AI113" s="69"/>
      <c r="AJ113" s="69">
        <v>90</v>
      </c>
    </row>
    <row r="114" spans="1:36" s="13" customFormat="1" ht="16">
      <c r="A114" s="6"/>
      <c r="B114" s="61">
        <v>1.0000000000000009</v>
      </c>
      <c r="C114" s="59" t="s">
        <v>676</v>
      </c>
      <c r="D114" s="63">
        <v>7003</v>
      </c>
      <c r="E114" s="86" t="s">
        <v>446</v>
      </c>
      <c r="F114" s="129">
        <f>1/2/3</f>
        <v>0.16666666666666666</v>
      </c>
      <c r="G114" s="61">
        <v>0</v>
      </c>
      <c r="H114" s="61"/>
      <c r="I114" s="61"/>
      <c r="J114" s="69">
        <v>73.900000000000006</v>
      </c>
      <c r="K114" s="69">
        <v>1.3</v>
      </c>
      <c r="L114" s="69">
        <v>20</v>
      </c>
      <c r="M114" s="69">
        <v>4.2</v>
      </c>
      <c r="N114" s="69">
        <v>0</v>
      </c>
      <c r="O114" s="61">
        <v>0</v>
      </c>
      <c r="P114" s="69"/>
      <c r="Q114" s="69">
        <v>0.7</v>
      </c>
      <c r="R114" s="69">
        <v>120</v>
      </c>
      <c r="S114" s="69"/>
      <c r="T114" s="69">
        <v>6</v>
      </c>
      <c r="U114" s="69">
        <v>10.1</v>
      </c>
      <c r="V114" s="69"/>
      <c r="W114" s="69"/>
      <c r="X114" s="69"/>
      <c r="Y114" s="69"/>
      <c r="Z114" s="69">
        <v>4.12</v>
      </c>
      <c r="AA114" s="69">
        <v>268</v>
      </c>
      <c r="AB114" s="69">
        <v>14</v>
      </c>
      <c r="AC114" s="69">
        <v>0.23</v>
      </c>
      <c r="AD114" s="69">
        <v>2.63</v>
      </c>
      <c r="AE114" s="69">
        <v>19466</v>
      </c>
      <c r="AF114" s="69">
        <v>811</v>
      </c>
      <c r="AG114" s="69">
        <v>19534</v>
      </c>
      <c r="AH114" s="69">
        <v>19601</v>
      </c>
      <c r="AI114" s="69"/>
      <c r="AJ114" s="69">
        <v>112.84</v>
      </c>
    </row>
    <row r="115" spans="1:36" s="13" customFormat="1" ht="32">
      <c r="A115" s="6"/>
      <c r="B115" s="6">
        <v>16</v>
      </c>
      <c r="C115" s="59" t="s">
        <v>607</v>
      </c>
      <c r="D115" s="63">
        <v>13323</v>
      </c>
      <c r="E115" s="86" t="s">
        <v>675</v>
      </c>
      <c r="F115" s="130">
        <f>1/2</f>
        <v>0.5</v>
      </c>
      <c r="G115" s="6">
        <v>0</v>
      </c>
      <c r="H115" s="6"/>
      <c r="I115" s="6"/>
      <c r="J115" s="6">
        <v>77.89</v>
      </c>
      <c r="K115" s="6">
        <v>1.33</v>
      </c>
      <c r="L115" s="6">
        <v>17.399999999999999</v>
      </c>
      <c r="M115" s="6">
        <v>3.09</v>
      </c>
      <c r="N115" s="6">
        <v>0</v>
      </c>
      <c r="O115" s="6">
        <v>0</v>
      </c>
      <c r="P115" s="6">
        <v>0.28999999999999998</v>
      </c>
      <c r="Q115" s="6"/>
      <c r="R115" s="6">
        <v>99</v>
      </c>
      <c r="S115" s="6"/>
      <c r="T115" s="6">
        <v>13</v>
      </c>
      <c r="U115" s="6">
        <v>4.5999999999999996</v>
      </c>
      <c r="V115" s="6"/>
      <c r="W115" s="6"/>
      <c r="X115" s="6"/>
      <c r="Y115" s="6"/>
      <c r="Z115" s="6">
        <v>1.92</v>
      </c>
      <c r="AA115" s="6">
        <v>98</v>
      </c>
      <c r="AB115" s="6">
        <v>9.4</v>
      </c>
      <c r="AC115" s="6">
        <v>0.35699999999999998</v>
      </c>
      <c r="AD115" s="6">
        <v>2.84</v>
      </c>
      <c r="AE115" s="6">
        <v>419</v>
      </c>
      <c r="AF115" s="6">
        <v>0</v>
      </c>
      <c r="AG115" s="6">
        <f>+AE115+AF115/12</f>
        <v>419</v>
      </c>
      <c r="AH115" s="6">
        <f>+AE115+AF115/6</f>
        <v>419</v>
      </c>
      <c r="AI115" s="6"/>
      <c r="AJ115" s="6">
        <v>27.5</v>
      </c>
    </row>
    <row r="116" spans="1:36">
      <c r="A116" s="3"/>
      <c r="B116" s="76"/>
      <c r="C116" s="16"/>
      <c r="D116" s="63"/>
      <c r="E116" s="86"/>
      <c r="F116" s="3"/>
      <c r="G116" s="3"/>
      <c r="H116" s="3"/>
      <c r="I116" s="3"/>
      <c r="J116" s="6"/>
      <c r="K116" s="6"/>
      <c r="L116" s="6"/>
      <c r="M116" s="6"/>
      <c r="N116" s="6"/>
      <c r="O116" s="6"/>
      <c r="P116" s="3"/>
      <c r="Q116" s="3"/>
      <c r="R116" s="6"/>
      <c r="S116" s="3"/>
      <c r="T116" s="6"/>
      <c r="U116" s="6"/>
      <c r="V116" s="6"/>
      <c r="W116" s="6"/>
      <c r="X116" s="6"/>
      <c r="Y116" s="6"/>
      <c r="Z116" s="6"/>
      <c r="AA116" s="6"/>
      <c r="AB116" s="6"/>
      <c r="AC116" s="6"/>
      <c r="AD116" s="6"/>
      <c r="AE116" s="6"/>
      <c r="AF116" s="6"/>
      <c r="AG116" s="6"/>
      <c r="AH116" s="6"/>
      <c r="AI116" s="3"/>
      <c r="AJ116" s="6"/>
    </row>
    <row r="117" spans="1:36" s="84" customFormat="1" ht="32">
      <c r="A117" s="80">
        <v>210</v>
      </c>
      <c r="B117" s="81" t="s">
        <v>242</v>
      </c>
      <c r="C117" s="82"/>
      <c r="D117" s="101"/>
      <c r="E117" s="102" t="s">
        <v>609</v>
      </c>
      <c r="F117" s="80">
        <f>AVERAGE(G112:G115)</f>
        <v>0</v>
      </c>
      <c r="G117" s="80">
        <v>0</v>
      </c>
      <c r="H117" s="80"/>
      <c r="I117" s="80"/>
      <c r="J117" s="80">
        <f>+J112*$F$112+J113*$F$113+J114*$F$114+J115*$F$115</f>
        <v>74.995000000000005</v>
      </c>
      <c r="K117" s="80">
        <f t="shared" ref="K117:O117" si="250">+K112*$F$112+K113*$F$113+K114*$F$114+K115*$F$115</f>
        <v>1.3483333333333334</v>
      </c>
      <c r="L117" s="80">
        <f t="shared" si="250"/>
        <v>18.799999999999997</v>
      </c>
      <c r="M117" s="80">
        <f t="shared" si="250"/>
        <v>4.1449999999999996</v>
      </c>
      <c r="N117" s="80">
        <f t="shared" si="250"/>
        <v>0</v>
      </c>
      <c r="O117" s="80">
        <f t="shared" si="250"/>
        <v>0</v>
      </c>
      <c r="P117" s="80"/>
      <c r="Q117" s="80"/>
      <c r="R117" s="80">
        <f>+R112*$F$112+R113*$F$113+R114*$F$114+R115*$F$115</f>
        <v>115.5</v>
      </c>
      <c r="S117" s="80"/>
      <c r="T117" s="80">
        <f t="shared" ref="T117:U117" si="251">+T112*$F$112+T113*$F$113+T114*$F$114+T115*$F$115</f>
        <v>11.166666666666666</v>
      </c>
      <c r="U117" s="80">
        <f t="shared" si="251"/>
        <v>6.4666666666666659</v>
      </c>
      <c r="V117" s="80"/>
      <c r="W117" s="80"/>
      <c r="X117" s="80"/>
      <c r="Y117" s="80"/>
      <c r="Z117" s="80">
        <f t="shared" ref="Z117:AF117" si="252">+Z112*$F$112+Z113*$F$113+Z114*$F$114+Z115*$F$115</f>
        <v>2.9299999999999997</v>
      </c>
      <c r="AA117" s="80">
        <f t="shared" si="252"/>
        <v>249.83333333333331</v>
      </c>
      <c r="AB117" s="80">
        <f t="shared" si="252"/>
        <v>12.7</v>
      </c>
      <c r="AC117" s="80">
        <f t="shared" si="252"/>
        <v>0.30016666666666664</v>
      </c>
      <c r="AD117" s="80">
        <f t="shared" si="252"/>
        <v>2.2949999999999999</v>
      </c>
      <c r="AE117" s="80">
        <f t="shared" si="252"/>
        <v>11303.833333333332</v>
      </c>
      <c r="AF117" s="80">
        <f t="shared" si="252"/>
        <v>142.83333333333331</v>
      </c>
      <c r="AG117" s="80">
        <f>+AE117+AF117/12</f>
        <v>11315.736111111109</v>
      </c>
      <c r="AH117" s="80">
        <f>+AE117+AF117/6</f>
        <v>11327.638888888887</v>
      </c>
      <c r="AI117" s="80"/>
      <c r="AJ117" s="80">
        <f>+AJ112*$F$112+AJ113*$F$113+AJ114*$F$114+AJ115*$F$115</f>
        <v>58.223333333333329</v>
      </c>
    </row>
    <row r="118" spans="1:36">
      <c r="A118" s="3"/>
      <c r="B118" s="76"/>
      <c r="C118" s="16"/>
      <c r="D118" s="3"/>
      <c r="E118" s="77"/>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spans="1:36" s="13" customFormat="1" ht="16">
      <c r="A119" s="6"/>
      <c r="B119" s="78"/>
      <c r="C119" s="59" t="s">
        <v>676</v>
      </c>
      <c r="D119" s="63">
        <v>7022</v>
      </c>
      <c r="E119" s="86" t="s">
        <v>448</v>
      </c>
      <c r="F119" s="6"/>
      <c r="G119" s="61">
        <v>0</v>
      </c>
      <c r="H119" s="61"/>
      <c r="I119" s="61"/>
      <c r="J119" s="69">
        <v>57.5</v>
      </c>
      <c r="K119" s="69">
        <v>2.2999999999999998</v>
      </c>
      <c r="L119" s="69">
        <v>12</v>
      </c>
      <c r="M119" s="69">
        <v>16.3</v>
      </c>
      <c r="N119" s="69">
        <v>2.2000000000000002</v>
      </c>
      <c r="O119" s="61">
        <v>0</v>
      </c>
      <c r="P119" s="69"/>
      <c r="Q119" s="69">
        <v>9.6999999999999993</v>
      </c>
      <c r="R119" s="69">
        <v>238</v>
      </c>
      <c r="S119" s="69"/>
      <c r="T119" s="69">
        <v>42</v>
      </c>
      <c r="U119" s="69">
        <v>1</v>
      </c>
      <c r="V119" s="69"/>
      <c r="W119" s="69"/>
      <c r="X119" s="69"/>
      <c r="Y119" s="69"/>
      <c r="Z119" s="69">
        <v>3.42</v>
      </c>
      <c r="AA119" s="69">
        <v>9</v>
      </c>
      <c r="AB119" s="69">
        <v>0</v>
      </c>
      <c r="AC119" s="69">
        <v>0.03</v>
      </c>
      <c r="AD119" s="69">
        <v>0.1</v>
      </c>
      <c r="AE119" s="69">
        <v>125</v>
      </c>
      <c r="AF119" s="69">
        <v>54</v>
      </c>
      <c r="AG119" s="69">
        <v>129</v>
      </c>
      <c r="AH119" s="69">
        <v>134</v>
      </c>
      <c r="AI119" s="69"/>
      <c r="AJ119" s="69">
        <v>1.42</v>
      </c>
    </row>
    <row r="120" spans="1:36" s="13" customFormat="1" ht="16">
      <c r="A120" s="6"/>
      <c r="B120" s="78"/>
      <c r="C120" s="59" t="s">
        <v>676</v>
      </c>
      <c r="D120" s="63">
        <v>7023</v>
      </c>
      <c r="E120" s="86" t="s">
        <v>458</v>
      </c>
      <c r="F120" s="6"/>
      <c r="G120" s="61">
        <v>0</v>
      </c>
      <c r="H120" s="61"/>
      <c r="I120" s="61"/>
      <c r="J120" s="69">
        <v>60</v>
      </c>
      <c r="K120" s="69">
        <v>1.9</v>
      </c>
      <c r="L120" s="69">
        <v>10</v>
      </c>
      <c r="M120" s="69">
        <v>25</v>
      </c>
      <c r="N120" s="69">
        <v>1.5</v>
      </c>
      <c r="O120" s="61">
        <v>0</v>
      </c>
      <c r="P120" s="69"/>
      <c r="Q120" s="69">
        <v>1.6</v>
      </c>
      <c r="R120" s="69">
        <v>274</v>
      </c>
      <c r="S120" s="69"/>
      <c r="T120" s="69">
        <v>78</v>
      </c>
      <c r="U120" s="69">
        <v>1.5</v>
      </c>
      <c r="V120" s="69"/>
      <c r="W120" s="69"/>
      <c r="X120" s="69"/>
      <c r="Y120" s="69"/>
      <c r="Z120" s="69">
        <v>2.2999999999999998</v>
      </c>
      <c r="AA120" s="69">
        <v>3</v>
      </c>
      <c r="AB120" s="69">
        <v>0</v>
      </c>
      <c r="AC120" s="69">
        <v>0.04</v>
      </c>
      <c r="AD120" s="69">
        <v>0.08</v>
      </c>
      <c r="AE120" s="69">
        <v>7</v>
      </c>
      <c r="AF120" s="69">
        <v>24</v>
      </c>
      <c r="AG120" s="69">
        <v>9</v>
      </c>
      <c r="AH120" s="69">
        <v>11</v>
      </c>
      <c r="AI120" s="69"/>
      <c r="AJ120" s="69">
        <v>1.1000000000000001</v>
      </c>
    </row>
    <row r="121" spans="1:36" s="13" customFormat="1" ht="16">
      <c r="A121" s="6"/>
      <c r="B121" s="78"/>
      <c r="C121" s="59" t="s">
        <v>676</v>
      </c>
      <c r="D121" s="63">
        <v>7025</v>
      </c>
      <c r="E121" s="86" t="s">
        <v>450</v>
      </c>
      <c r="F121" s="6"/>
      <c r="G121" s="61">
        <v>0</v>
      </c>
      <c r="H121" s="61"/>
      <c r="I121" s="61"/>
      <c r="J121" s="69">
        <v>51</v>
      </c>
      <c r="K121" s="69">
        <v>2.5</v>
      </c>
      <c r="L121" s="69">
        <v>11.5</v>
      </c>
      <c r="M121" s="69">
        <v>32</v>
      </c>
      <c r="N121" s="69">
        <v>1.3</v>
      </c>
      <c r="O121" s="61">
        <v>0</v>
      </c>
      <c r="P121" s="69"/>
      <c r="Q121" s="69">
        <v>1.7</v>
      </c>
      <c r="R121" s="69">
        <v>343</v>
      </c>
      <c r="S121" s="69"/>
      <c r="T121" s="69">
        <v>25</v>
      </c>
      <c r="U121" s="69">
        <v>1.1000000000000001</v>
      </c>
      <c r="V121" s="69"/>
      <c r="W121" s="69"/>
      <c r="X121" s="69"/>
      <c r="Y121" s="69"/>
      <c r="Z121" s="69">
        <v>1.7</v>
      </c>
      <c r="AA121" s="69">
        <v>21</v>
      </c>
      <c r="AB121" s="69">
        <v>0</v>
      </c>
      <c r="AC121" s="69">
        <v>0.04</v>
      </c>
      <c r="AD121" s="69">
        <v>0.12</v>
      </c>
      <c r="AE121" s="69">
        <v>25</v>
      </c>
      <c r="AF121" s="69">
        <v>13</v>
      </c>
      <c r="AG121" s="69">
        <v>26</v>
      </c>
      <c r="AH121" s="69">
        <v>27</v>
      </c>
      <c r="AI121" s="69"/>
      <c r="AJ121" s="69">
        <v>0.6</v>
      </c>
    </row>
    <row r="122" spans="1:36" s="13" customFormat="1">
      <c r="A122" s="6"/>
      <c r="B122" s="78"/>
      <c r="C122" s="59"/>
      <c r="D122" s="63"/>
      <c r="E122" s="86"/>
      <c r="F122" s="6"/>
      <c r="G122" s="61"/>
      <c r="H122" s="61"/>
      <c r="I122" s="61"/>
      <c r="J122" s="69"/>
      <c r="K122" s="69"/>
      <c r="L122" s="69"/>
      <c r="M122" s="69"/>
      <c r="N122" s="69"/>
      <c r="O122" s="61"/>
      <c r="P122" s="69"/>
      <c r="Q122" s="69"/>
      <c r="R122" s="69"/>
      <c r="S122" s="69"/>
      <c r="T122" s="69"/>
      <c r="U122" s="69"/>
      <c r="V122" s="69"/>
      <c r="W122" s="69"/>
      <c r="X122" s="69"/>
      <c r="Y122" s="69"/>
      <c r="Z122" s="69"/>
      <c r="AA122" s="69"/>
      <c r="AB122" s="69"/>
      <c r="AC122" s="69"/>
      <c r="AD122" s="69"/>
      <c r="AE122" s="69"/>
      <c r="AF122" s="69"/>
      <c r="AG122" s="69"/>
      <c r="AH122" s="69"/>
      <c r="AI122" s="69"/>
      <c r="AJ122" s="69"/>
    </row>
    <row r="123" spans="1:36" s="84" customFormat="1" ht="32">
      <c r="A123" s="80">
        <v>212</v>
      </c>
      <c r="B123" s="81" t="s">
        <v>243</v>
      </c>
      <c r="C123" s="82"/>
      <c r="D123" s="80"/>
      <c r="E123" s="83"/>
      <c r="F123" s="80"/>
      <c r="G123" s="80">
        <f>AVERAGE(G119:G121)</f>
        <v>0</v>
      </c>
      <c r="H123" s="80"/>
      <c r="I123" s="80"/>
      <c r="J123" s="80">
        <f t="shared" ref="J123:O123" si="253">AVERAGE(J119:J121)</f>
        <v>56.166666666666664</v>
      </c>
      <c r="K123" s="80">
        <f t="shared" si="253"/>
        <v>2.2333333333333329</v>
      </c>
      <c r="L123" s="80">
        <f t="shared" si="253"/>
        <v>11.166666666666666</v>
      </c>
      <c r="M123" s="80">
        <f t="shared" si="253"/>
        <v>24.433333333333334</v>
      </c>
      <c r="N123" s="80">
        <f t="shared" si="253"/>
        <v>1.6666666666666667</v>
      </c>
      <c r="O123" s="80">
        <f t="shared" si="253"/>
        <v>0</v>
      </c>
      <c r="P123" s="80"/>
      <c r="Q123" s="80">
        <f>100-J123-K123-L123-M123-N123-O123</f>
        <v>4.3333333333333366</v>
      </c>
      <c r="R123" s="80">
        <f>AVERAGE(R119:R121)</f>
        <v>285</v>
      </c>
      <c r="S123" s="80"/>
      <c r="T123" s="80">
        <f>AVERAGE(T119:T121)</f>
        <v>48.333333333333336</v>
      </c>
      <c r="U123" s="80">
        <f>AVERAGE(U119:U121)</f>
        <v>1.2</v>
      </c>
      <c r="V123" s="80"/>
      <c r="W123" s="80"/>
      <c r="X123" s="80"/>
      <c r="Y123" s="80"/>
      <c r="Z123" s="80">
        <f t="shared" ref="Z123:AF123" si="254">AVERAGE(Z119:Z121)</f>
        <v>2.4733333333333332</v>
      </c>
      <c r="AA123" s="80">
        <f t="shared" si="254"/>
        <v>11</v>
      </c>
      <c r="AB123" s="80">
        <f t="shared" si="254"/>
        <v>0</v>
      </c>
      <c r="AC123" s="80">
        <f t="shared" si="254"/>
        <v>3.6666666666666674E-2</v>
      </c>
      <c r="AD123" s="80">
        <f t="shared" si="254"/>
        <v>9.9999999999999992E-2</v>
      </c>
      <c r="AE123" s="80">
        <f t="shared" si="254"/>
        <v>52.333333333333336</v>
      </c>
      <c r="AF123" s="80">
        <f t="shared" si="254"/>
        <v>30.333333333333332</v>
      </c>
      <c r="AG123" s="80">
        <f>+AE123+AF123/12</f>
        <v>54.861111111111114</v>
      </c>
      <c r="AH123" s="80">
        <f>+AE123+AF123/6</f>
        <v>57.388888888888893</v>
      </c>
      <c r="AI123" s="80"/>
      <c r="AJ123" s="80">
        <f>AVERAGE(AJ119:AJ121)</f>
        <v>1.04</v>
      </c>
    </row>
    <row r="124" spans="1:36">
      <c r="A124" s="3"/>
      <c r="B124" s="76"/>
      <c r="C124" s="16"/>
      <c r="D124" s="3"/>
      <c r="E124" s="77"/>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spans="1:36" s="95" customFormat="1" ht="16">
      <c r="A125" s="90"/>
      <c r="B125" s="91"/>
      <c r="C125" s="59" t="s">
        <v>676</v>
      </c>
      <c r="D125" s="92">
        <v>7008</v>
      </c>
      <c r="E125" s="93" t="s">
        <v>459</v>
      </c>
      <c r="F125" s="94">
        <v>0</v>
      </c>
      <c r="G125" s="94">
        <v>0</v>
      </c>
      <c r="H125" s="94"/>
      <c r="I125" s="94"/>
      <c r="J125" s="96">
        <v>62.2</v>
      </c>
      <c r="K125" s="96">
        <v>1.1000000000000001</v>
      </c>
      <c r="L125" s="96">
        <v>17.8</v>
      </c>
      <c r="M125" s="96">
        <v>21.2</v>
      </c>
      <c r="N125" s="96">
        <v>0</v>
      </c>
      <c r="O125" s="94">
        <v>0</v>
      </c>
      <c r="P125" s="96"/>
      <c r="Q125" s="96">
        <v>0</v>
      </c>
      <c r="R125" s="96">
        <v>253</v>
      </c>
      <c r="S125" s="96"/>
      <c r="T125" s="96">
        <v>5</v>
      </c>
      <c r="U125" s="96">
        <v>1.9</v>
      </c>
      <c r="V125" s="96"/>
      <c r="W125" s="96"/>
      <c r="X125" s="96"/>
      <c r="Y125" s="96"/>
      <c r="Z125" s="96">
        <v>1.55</v>
      </c>
      <c r="AA125" s="96">
        <v>0</v>
      </c>
      <c r="AB125" s="96">
        <v>0</v>
      </c>
      <c r="AC125" s="96">
        <v>0.35</v>
      </c>
      <c r="AD125" s="96">
        <v>0.45</v>
      </c>
      <c r="AE125" s="96">
        <v>39</v>
      </c>
      <c r="AF125" s="96">
        <v>0</v>
      </c>
      <c r="AG125" s="96">
        <v>39</v>
      </c>
      <c r="AH125" s="96">
        <v>39</v>
      </c>
      <c r="AI125" s="96"/>
      <c r="AJ125" s="96">
        <v>0.6</v>
      </c>
    </row>
    <row r="126" spans="1:36" s="95" customFormat="1" ht="16">
      <c r="A126" s="90"/>
      <c r="B126" s="91"/>
      <c r="C126" s="59" t="s">
        <v>676</v>
      </c>
      <c r="D126" s="92">
        <v>7017</v>
      </c>
      <c r="E126" s="93" t="s">
        <v>460</v>
      </c>
      <c r="F126" s="94">
        <v>0</v>
      </c>
      <c r="G126" s="94">
        <v>0</v>
      </c>
      <c r="H126" s="94"/>
      <c r="I126" s="94"/>
      <c r="J126" s="96">
        <v>75.2</v>
      </c>
      <c r="K126" s="96">
        <v>0.9</v>
      </c>
      <c r="L126" s="96">
        <v>20.5</v>
      </c>
      <c r="M126" s="96">
        <v>3.2</v>
      </c>
      <c r="N126" s="96">
        <v>0</v>
      </c>
      <c r="O126" s="94">
        <v>0</v>
      </c>
      <c r="P126" s="96"/>
      <c r="Q126" s="96">
        <v>0.1</v>
      </c>
      <c r="R126" s="96">
        <v>112</v>
      </c>
      <c r="S126" s="96"/>
      <c r="T126" s="96">
        <v>31</v>
      </c>
      <c r="U126" s="96">
        <v>2.2000000000000002</v>
      </c>
      <c r="V126" s="96"/>
      <c r="W126" s="96"/>
      <c r="X126" s="96"/>
      <c r="Y126" s="96"/>
      <c r="Z126" s="96">
        <v>1.48</v>
      </c>
      <c r="AA126" s="96">
        <v>4</v>
      </c>
      <c r="AB126" s="96">
        <v>1</v>
      </c>
      <c r="AC126" s="96">
        <v>0.02</v>
      </c>
      <c r="AD126" s="96">
        <v>0.18</v>
      </c>
      <c r="AE126" s="96">
        <v>2</v>
      </c>
      <c r="AF126" s="96">
        <v>0</v>
      </c>
      <c r="AG126" s="96">
        <v>2</v>
      </c>
      <c r="AH126" s="96">
        <v>2</v>
      </c>
      <c r="AI126" s="96"/>
      <c r="AJ126" s="96">
        <v>0.27</v>
      </c>
    </row>
    <row r="127" spans="1:36" s="95" customFormat="1" ht="16">
      <c r="A127" s="90"/>
      <c r="B127" s="91"/>
      <c r="C127" s="59" t="s">
        <v>676</v>
      </c>
      <c r="D127" s="92">
        <v>7026</v>
      </c>
      <c r="E127" s="93" t="s">
        <v>461</v>
      </c>
      <c r="F127" s="94">
        <v>46</v>
      </c>
      <c r="G127" s="94">
        <v>0</v>
      </c>
      <c r="H127" s="94"/>
      <c r="I127" s="94"/>
      <c r="J127" s="96">
        <v>69.7</v>
      </c>
      <c r="K127" s="96">
        <v>1</v>
      </c>
      <c r="L127" s="96">
        <v>19.100000000000001</v>
      </c>
      <c r="M127" s="96">
        <v>11.5</v>
      </c>
      <c r="N127" s="96">
        <v>0</v>
      </c>
      <c r="O127" s="94">
        <v>0</v>
      </c>
      <c r="P127" s="96"/>
      <c r="Q127" s="96">
        <v>0</v>
      </c>
      <c r="R127" s="96">
        <v>175</v>
      </c>
      <c r="S127" s="96"/>
      <c r="T127" s="96">
        <v>10</v>
      </c>
      <c r="U127" s="96">
        <v>2.6</v>
      </c>
      <c r="V127" s="96"/>
      <c r="W127" s="96"/>
      <c r="X127" s="96"/>
      <c r="Y127" s="96"/>
      <c r="Z127" s="96">
        <v>1.58</v>
      </c>
      <c r="AA127" s="96">
        <v>8</v>
      </c>
      <c r="AB127" s="96">
        <v>6</v>
      </c>
      <c r="AC127" s="96">
        <v>0.17</v>
      </c>
      <c r="AD127" s="96">
        <v>0.39</v>
      </c>
      <c r="AE127" s="96">
        <v>47</v>
      </c>
      <c r="AF127" s="96">
        <v>0</v>
      </c>
      <c r="AG127" s="96">
        <v>47</v>
      </c>
      <c r="AH127" s="96">
        <v>47</v>
      </c>
      <c r="AI127" s="96"/>
      <c r="AJ127" s="96">
        <v>0.82</v>
      </c>
    </row>
    <row r="128" spans="1:36" s="95" customFormat="1">
      <c r="A128" s="90"/>
      <c r="B128" s="91"/>
      <c r="C128" s="97"/>
      <c r="D128" s="92"/>
      <c r="E128" s="93"/>
      <c r="F128" s="90">
        <f>AVERAGE(F125:F127)</f>
        <v>15.333333333333334</v>
      </c>
      <c r="G128" s="94"/>
      <c r="H128" s="94"/>
      <c r="I128" s="94"/>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row>
    <row r="129" spans="1:36" s="95" customFormat="1">
      <c r="A129" s="90"/>
      <c r="B129" s="91"/>
      <c r="C129" s="97"/>
      <c r="D129" s="92"/>
      <c r="E129" s="93"/>
      <c r="F129" s="90"/>
      <c r="G129" s="94">
        <v>0</v>
      </c>
      <c r="H129" s="94"/>
      <c r="I129" s="94"/>
      <c r="J129" s="90">
        <f t="shared" ref="J129:O131" si="255">+J125*(100-$G125)/100</f>
        <v>62.2</v>
      </c>
      <c r="K129" s="90">
        <f t="shared" si="255"/>
        <v>1.1000000000000001</v>
      </c>
      <c r="L129" s="90">
        <f t="shared" si="255"/>
        <v>17.8</v>
      </c>
      <c r="M129" s="90">
        <f t="shared" si="255"/>
        <v>21.2</v>
      </c>
      <c r="N129" s="90">
        <f t="shared" si="255"/>
        <v>0</v>
      </c>
      <c r="O129" s="90">
        <f t="shared" si="255"/>
        <v>0</v>
      </c>
      <c r="P129" s="96"/>
      <c r="Q129" s="90">
        <f t="shared" ref="Q129:R131" si="256">+Q125*(100-$G125)/100</f>
        <v>0</v>
      </c>
      <c r="R129" s="90">
        <f t="shared" si="256"/>
        <v>253</v>
      </c>
      <c r="S129" s="96"/>
      <c r="T129" s="90">
        <f t="shared" ref="T129:AH129" si="257">+T125*(100-$G125)/100</f>
        <v>5</v>
      </c>
      <c r="U129" s="90">
        <f t="shared" si="257"/>
        <v>1.9</v>
      </c>
      <c r="V129" s="90"/>
      <c r="W129" s="90"/>
      <c r="X129" s="90"/>
      <c r="Y129" s="90"/>
      <c r="Z129" s="90">
        <f t="shared" si="257"/>
        <v>1.55</v>
      </c>
      <c r="AA129" s="90">
        <f t="shared" si="257"/>
        <v>0</v>
      </c>
      <c r="AB129" s="90">
        <f t="shared" si="257"/>
        <v>0</v>
      </c>
      <c r="AC129" s="90">
        <f t="shared" si="257"/>
        <v>0.35</v>
      </c>
      <c r="AD129" s="90">
        <f t="shared" si="257"/>
        <v>0.45</v>
      </c>
      <c r="AE129" s="90">
        <f t="shared" si="257"/>
        <v>39</v>
      </c>
      <c r="AF129" s="90">
        <f t="shared" si="257"/>
        <v>0</v>
      </c>
      <c r="AG129" s="90">
        <f t="shared" si="257"/>
        <v>39</v>
      </c>
      <c r="AH129" s="90">
        <f t="shared" si="257"/>
        <v>39</v>
      </c>
      <c r="AI129" s="90"/>
      <c r="AJ129" s="90">
        <f>+AJ125*(100-$G125)/100</f>
        <v>0.6</v>
      </c>
    </row>
    <row r="130" spans="1:36" s="95" customFormat="1">
      <c r="A130" s="90"/>
      <c r="B130" s="91"/>
      <c r="C130" s="97"/>
      <c r="D130" s="92"/>
      <c r="E130" s="93"/>
      <c r="F130" s="90"/>
      <c r="G130" s="94">
        <v>0</v>
      </c>
      <c r="H130" s="94"/>
      <c r="I130" s="94"/>
      <c r="J130" s="90">
        <f t="shared" si="255"/>
        <v>75.2</v>
      </c>
      <c r="K130" s="90">
        <f t="shared" si="255"/>
        <v>0.9</v>
      </c>
      <c r="L130" s="90">
        <f t="shared" si="255"/>
        <v>20.5</v>
      </c>
      <c r="M130" s="90">
        <f t="shared" si="255"/>
        <v>3.2</v>
      </c>
      <c r="N130" s="90">
        <f t="shared" si="255"/>
        <v>0</v>
      </c>
      <c r="O130" s="90">
        <f t="shared" si="255"/>
        <v>0</v>
      </c>
      <c r="P130" s="96"/>
      <c r="Q130" s="90">
        <f t="shared" si="256"/>
        <v>0.1</v>
      </c>
      <c r="R130" s="90">
        <f t="shared" si="256"/>
        <v>112</v>
      </c>
      <c r="S130" s="96"/>
      <c r="T130" s="90">
        <f t="shared" ref="T130:AH130" si="258">+T126*(100-$G126)/100</f>
        <v>31</v>
      </c>
      <c r="U130" s="90">
        <f t="shared" si="258"/>
        <v>2.2000000000000002</v>
      </c>
      <c r="V130" s="90"/>
      <c r="W130" s="90"/>
      <c r="X130" s="90"/>
      <c r="Y130" s="90"/>
      <c r="Z130" s="90">
        <f t="shared" si="258"/>
        <v>1.48</v>
      </c>
      <c r="AA130" s="90">
        <f t="shared" si="258"/>
        <v>4</v>
      </c>
      <c r="AB130" s="90">
        <f t="shared" si="258"/>
        <v>1</v>
      </c>
      <c r="AC130" s="90">
        <f t="shared" si="258"/>
        <v>0.02</v>
      </c>
      <c r="AD130" s="90">
        <f t="shared" si="258"/>
        <v>0.18</v>
      </c>
      <c r="AE130" s="90">
        <f t="shared" si="258"/>
        <v>2</v>
      </c>
      <c r="AF130" s="90">
        <f t="shared" si="258"/>
        <v>0</v>
      </c>
      <c r="AG130" s="90">
        <f t="shared" si="258"/>
        <v>2</v>
      </c>
      <c r="AH130" s="90">
        <f t="shared" si="258"/>
        <v>2</v>
      </c>
      <c r="AI130" s="90"/>
      <c r="AJ130" s="90">
        <f>+AJ126*(100-$G126)/100</f>
        <v>0.27</v>
      </c>
    </row>
    <row r="131" spans="1:36" s="95" customFormat="1">
      <c r="A131" s="90"/>
      <c r="B131" s="91"/>
      <c r="C131" s="97"/>
      <c r="D131" s="92"/>
      <c r="E131" s="93"/>
      <c r="F131" s="90"/>
      <c r="G131" s="94">
        <v>0</v>
      </c>
      <c r="H131" s="94"/>
      <c r="I131" s="94"/>
      <c r="J131" s="90">
        <f t="shared" si="255"/>
        <v>69.7</v>
      </c>
      <c r="K131" s="90">
        <f t="shared" si="255"/>
        <v>1</v>
      </c>
      <c r="L131" s="90">
        <f t="shared" si="255"/>
        <v>19.100000000000001</v>
      </c>
      <c r="M131" s="90">
        <f t="shared" si="255"/>
        <v>11.5</v>
      </c>
      <c r="N131" s="90">
        <f t="shared" si="255"/>
        <v>0</v>
      </c>
      <c r="O131" s="90">
        <f t="shared" si="255"/>
        <v>0</v>
      </c>
      <c r="P131" s="96"/>
      <c r="Q131" s="90">
        <f t="shared" si="256"/>
        <v>0</v>
      </c>
      <c r="R131" s="90">
        <f t="shared" si="256"/>
        <v>175</v>
      </c>
      <c r="S131" s="96"/>
      <c r="T131" s="90">
        <f t="shared" ref="T131:AH131" si="259">+T127*(100-$G127)/100</f>
        <v>10</v>
      </c>
      <c r="U131" s="90">
        <f t="shared" si="259"/>
        <v>2.6</v>
      </c>
      <c r="V131" s="90"/>
      <c r="W131" s="90"/>
      <c r="X131" s="90"/>
      <c r="Y131" s="90"/>
      <c r="Z131" s="90">
        <f t="shared" si="259"/>
        <v>1.58</v>
      </c>
      <c r="AA131" s="90">
        <f t="shared" si="259"/>
        <v>8</v>
      </c>
      <c r="AB131" s="90">
        <f t="shared" si="259"/>
        <v>6</v>
      </c>
      <c r="AC131" s="90">
        <f t="shared" si="259"/>
        <v>0.17</v>
      </c>
      <c r="AD131" s="90">
        <f t="shared" si="259"/>
        <v>0.39</v>
      </c>
      <c r="AE131" s="90">
        <f t="shared" si="259"/>
        <v>47</v>
      </c>
      <c r="AF131" s="90">
        <f t="shared" si="259"/>
        <v>0</v>
      </c>
      <c r="AG131" s="90">
        <f t="shared" si="259"/>
        <v>47</v>
      </c>
      <c r="AH131" s="90">
        <f t="shared" si="259"/>
        <v>47</v>
      </c>
      <c r="AI131" s="90"/>
      <c r="AJ131" s="90">
        <f>+AJ127*(100-$G127)/100</f>
        <v>0.82</v>
      </c>
    </row>
    <row r="132" spans="1:36" s="95" customFormat="1">
      <c r="A132" s="90"/>
      <c r="B132" s="91"/>
      <c r="C132" s="97"/>
      <c r="D132" s="92"/>
      <c r="E132" s="93"/>
      <c r="F132" s="90"/>
      <c r="G132" s="94"/>
      <c r="H132" s="94"/>
      <c r="I132" s="94"/>
      <c r="J132" s="90"/>
      <c r="K132" s="90"/>
      <c r="L132" s="90"/>
      <c r="M132" s="90"/>
      <c r="N132" s="90"/>
      <c r="O132" s="90"/>
      <c r="P132" s="96"/>
      <c r="Q132" s="90"/>
      <c r="R132" s="90"/>
      <c r="S132" s="96"/>
      <c r="T132" s="90"/>
      <c r="U132" s="90"/>
      <c r="V132" s="90"/>
      <c r="W132" s="90"/>
      <c r="X132" s="90"/>
      <c r="Y132" s="90"/>
      <c r="Z132" s="90"/>
      <c r="AA132" s="90"/>
      <c r="AB132" s="90"/>
      <c r="AC132" s="90"/>
      <c r="AD132" s="90"/>
      <c r="AE132" s="90"/>
      <c r="AF132" s="90"/>
      <c r="AG132" s="90"/>
      <c r="AH132" s="90"/>
      <c r="AI132" s="90"/>
      <c r="AJ132" s="90"/>
    </row>
    <row r="133" spans="1:36" s="84" customFormat="1" ht="32">
      <c r="A133" s="80">
        <v>217</v>
      </c>
      <c r="B133" s="81" t="s">
        <v>248</v>
      </c>
      <c r="C133" s="82"/>
      <c r="D133" s="80"/>
      <c r="E133" s="83" t="s">
        <v>609</v>
      </c>
      <c r="F133" s="80">
        <f>AVERAGE(G125:G127)</f>
        <v>0</v>
      </c>
      <c r="G133" s="103">
        <f>AVERAGE(G129:G131)</f>
        <v>0</v>
      </c>
      <c r="H133" s="103"/>
      <c r="I133" s="103"/>
      <c r="J133" s="103">
        <f t="shared" ref="J133" si="260">AVERAGE(J129:J131)</f>
        <v>69.033333333333346</v>
      </c>
      <c r="K133" s="103">
        <f t="shared" ref="K133" si="261">AVERAGE(K129:K131)</f>
        <v>1</v>
      </c>
      <c r="L133" s="103">
        <f t="shared" ref="L133" si="262">AVERAGE(L129:L131)</f>
        <v>19.133333333333333</v>
      </c>
      <c r="M133" s="103">
        <f t="shared" ref="M133" si="263">AVERAGE(M129:M131)</f>
        <v>11.966666666666667</v>
      </c>
      <c r="N133" s="103">
        <f t="shared" ref="N133" si="264">AVERAGE(N129:N131)</f>
        <v>0</v>
      </c>
      <c r="O133" s="103">
        <f t="shared" ref="O133" si="265">AVERAGE(O129:O131)</f>
        <v>0</v>
      </c>
      <c r="P133" s="104"/>
      <c r="Q133" s="80">
        <v>0</v>
      </c>
      <c r="R133" s="103">
        <f t="shared" ref="R133" si="266">AVERAGE(R129:R131)</f>
        <v>180</v>
      </c>
      <c r="S133" s="104"/>
      <c r="T133" s="103">
        <f t="shared" ref="T133" si="267">AVERAGE(T129:T131)</f>
        <v>15.333333333333334</v>
      </c>
      <c r="U133" s="103">
        <f t="shared" ref="U133" si="268">AVERAGE(U129:U131)</f>
        <v>2.2333333333333329</v>
      </c>
      <c r="V133" s="103"/>
      <c r="W133" s="103"/>
      <c r="X133" s="103"/>
      <c r="Y133" s="103"/>
      <c r="Z133" s="103">
        <f t="shared" ref="Z133" si="269">AVERAGE(Z129:Z131)</f>
        <v>1.5366666666666668</v>
      </c>
      <c r="AA133" s="103">
        <f t="shared" ref="AA133" si="270">AVERAGE(AA129:AA131)</f>
        <v>4</v>
      </c>
      <c r="AB133" s="103">
        <f t="shared" ref="AB133" si="271">AVERAGE(AB129:AB131)</f>
        <v>2.3333333333333335</v>
      </c>
      <c r="AC133" s="103">
        <f t="shared" ref="AC133" si="272">AVERAGE(AC129:AC131)</f>
        <v>0.18000000000000002</v>
      </c>
      <c r="AD133" s="103">
        <f t="shared" ref="AD133" si="273">AVERAGE(AD129:AD131)</f>
        <v>0.34</v>
      </c>
      <c r="AE133" s="103">
        <f t="shared" ref="AE133" si="274">AVERAGE(AE129:AE131)</f>
        <v>29.333333333333332</v>
      </c>
      <c r="AF133" s="103">
        <f t="shared" ref="AF133" si="275">AVERAGE(AF129:AF131)</f>
        <v>0</v>
      </c>
      <c r="AG133" s="80">
        <f>+AE133+AF133/12</f>
        <v>29.333333333333332</v>
      </c>
      <c r="AH133" s="80">
        <f>+AE133+AF133/6</f>
        <v>29.333333333333332</v>
      </c>
      <c r="AI133" s="104"/>
      <c r="AJ133" s="103">
        <f>AVERAGE(AJ129:AJ131)</f>
        <v>0.56333333333333335</v>
      </c>
    </row>
    <row r="134" spans="1:36">
      <c r="A134" s="3"/>
      <c r="B134" s="76"/>
      <c r="C134" s="16"/>
      <c r="D134" s="3"/>
      <c r="E134" s="77"/>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spans="1:36">
      <c r="A135" s="3"/>
      <c r="B135" s="76"/>
      <c r="C135" s="16"/>
      <c r="D135" s="3"/>
      <c r="E135" s="77"/>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spans="1:36" s="13" customFormat="1" ht="16">
      <c r="A136" s="6"/>
      <c r="B136" s="78"/>
      <c r="C136" s="59" t="s">
        <v>676</v>
      </c>
      <c r="D136" s="105">
        <v>8003</v>
      </c>
      <c r="E136" s="106" t="s">
        <v>463</v>
      </c>
      <c r="F136" s="61">
        <v>32.999999999999993</v>
      </c>
      <c r="G136" s="61">
        <v>0</v>
      </c>
      <c r="H136" s="61"/>
      <c r="I136" s="61"/>
      <c r="J136" s="69">
        <v>69.599999999999994</v>
      </c>
      <c r="K136" s="69">
        <v>1.41</v>
      </c>
      <c r="L136" s="69">
        <v>17.7</v>
      </c>
      <c r="M136" s="69">
        <v>11.7</v>
      </c>
      <c r="N136" s="69">
        <v>0</v>
      </c>
      <c r="O136" s="61">
        <v>0</v>
      </c>
      <c r="P136" s="69"/>
      <c r="Q136" s="69">
        <v>0</v>
      </c>
      <c r="R136" s="69">
        <v>176</v>
      </c>
      <c r="S136" s="69"/>
      <c r="T136" s="69">
        <v>20</v>
      </c>
      <c r="U136" s="69">
        <v>0.6</v>
      </c>
      <c r="V136" s="69"/>
      <c r="W136" s="69"/>
      <c r="X136" s="69"/>
      <c r="Y136" s="69"/>
      <c r="Z136" s="69">
        <v>1.62</v>
      </c>
      <c r="AA136" s="69">
        <v>15</v>
      </c>
      <c r="AB136" s="69">
        <v>1.8</v>
      </c>
      <c r="AC136" s="69">
        <v>0.2</v>
      </c>
      <c r="AD136" s="69">
        <v>0.35</v>
      </c>
      <c r="AE136" s="69">
        <v>1043</v>
      </c>
      <c r="AF136" s="69">
        <v>0</v>
      </c>
      <c r="AG136" s="69">
        <v>1043</v>
      </c>
      <c r="AH136" s="69">
        <v>1043</v>
      </c>
      <c r="AI136" s="69"/>
      <c r="AJ136" s="69">
        <v>3</v>
      </c>
    </row>
    <row r="137" spans="1:36" s="13" customFormat="1" ht="16">
      <c r="A137" s="6"/>
      <c r="B137" s="78"/>
      <c r="C137" s="59" t="s">
        <v>676</v>
      </c>
      <c r="D137" s="105">
        <v>8004</v>
      </c>
      <c r="E137" s="106" t="s">
        <v>464</v>
      </c>
      <c r="F137" s="61">
        <v>50</v>
      </c>
      <c r="G137" s="61">
        <v>0</v>
      </c>
      <c r="H137" s="61"/>
      <c r="I137" s="61"/>
      <c r="J137" s="69">
        <v>70.8</v>
      </c>
      <c r="K137" s="69">
        <v>2.6</v>
      </c>
      <c r="L137" s="69">
        <v>18.899999999999999</v>
      </c>
      <c r="M137" s="69">
        <v>4.3</v>
      </c>
      <c r="N137" s="69">
        <v>0</v>
      </c>
      <c r="O137" s="61">
        <v>0</v>
      </c>
      <c r="P137" s="69"/>
      <c r="Q137" s="69">
        <v>0</v>
      </c>
      <c r="R137" s="69">
        <v>114</v>
      </c>
      <c r="S137" s="69"/>
      <c r="T137" s="69">
        <v>67</v>
      </c>
      <c r="U137" s="69">
        <v>1.1000000000000001</v>
      </c>
      <c r="V137" s="69"/>
      <c r="W137" s="69"/>
      <c r="X137" s="69"/>
      <c r="Y137" s="69"/>
      <c r="Z137" s="69">
        <v>0.81</v>
      </c>
      <c r="AA137" s="69">
        <v>8</v>
      </c>
      <c r="AB137" s="69">
        <v>0</v>
      </c>
      <c r="AC137" s="69">
        <v>0.05</v>
      </c>
      <c r="AD137" s="69">
        <v>0.23</v>
      </c>
      <c r="AE137" s="69">
        <v>31</v>
      </c>
      <c r="AF137" s="69">
        <v>0</v>
      </c>
      <c r="AG137" s="69">
        <v>31</v>
      </c>
      <c r="AH137" s="69">
        <v>31</v>
      </c>
      <c r="AI137" s="69"/>
      <c r="AJ137" s="69">
        <v>12.22</v>
      </c>
    </row>
    <row r="138" spans="1:36" s="13" customFormat="1" ht="16">
      <c r="A138" s="6"/>
      <c r="B138" s="78"/>
      <c r="C138" s="59" t="s">
        <v>676</v>
      </c>
      <c r="D138" s="105">
        <v>8012</v>
      </c>
      <c r="E138" s="106" t="s">
        <v>465</v>
      </c>
      <c r="F138" s="61">
        <v>40</v>
      </c>
      <c r="G138" s="61">
        <v>0</v>
      </c>
      <c r="H138" s="61"/>
      <c r="I138" s="61"/>
      <c r="J138" s="69">
        <v>71.2</v>
      </c>
      <c r="K138" s="69">
        <v>2.1</v>
      </c>
      <c r="L138" s="69">
        <v>19.5</v>
      </c>
      <c r="M138" s="69">
        <v>7.4</v>
      </c>
      <c r="N138" s="69">
        <v>0</v>
      </c>
      <c r="O138" s="61">
        <v>0</v>
      </c>
      <c r="P138" s="69"/>
      <c r="Q138" s="69">
        <v>0</v>
      </c>
      <c r="R138" s="69">
        <v>145</v>
      </c>
      <c r="S138" s="69"/>
      <c r="T138" s="69">
        <v>42</v>
      </c>
      <c r="U138" s="69">
        <v>1.3</v>
      </c>
      <c r="V138" s="69"/>
      <c r="W138" s="69"/>
      <c r="X138" s="69"/>
      <c r="Y138" s="69"/>
      <c r="Z138" s="69">
        <v>1.2</v>
      </c>
      <c r="AA138" s="69">
        <v>23</v>
      </c>
      <c r="AB138" s="69">
        <v>0</v>
      </c>
      <c r="AC138" s="69">
        <v>0.01</v>
      </c>
      <c r="AD138" s="69">
        <v>0.05</v>
      </c>
      <c r="AE138" s="69">
        <v>13</v>
      </c>
      <c r="AF138" s="69">
        <v>0</v>
      </c>
      <c r="AG138" s="69">
        <v>13</v>
      </c>
      <c r="AH138" s="69">
        <v>13</v>
      </c>
      <c r="AI138" s="69"/>
      <c r="AJ138" s="69">
        <v>0.5</v>
      </c>
    </row>
    <row r="139" spans="1:36" s="13" customFormat="1" ht="16">
      <c r="A139" s="6"/>
      <c r="B139" s="78"/>
      <c r="C139" s="59" t="s">
        <v>676</v>
      </c>
      <c r="D139" s="105">
        <v>8013</v>
      </c>
      <c r="E139" s="106" t="s">
        <v>466</v>
      </c>
      <c r="F139" s="61">
        <v>32.999999999999993</v>
      </c>
      <c r="G139" s="61">
        <v>0</v>
      </c>
      <c r="H139" s="61"/>
      <c r="I139" s="61"/>
      <c r="J139" s="69">
        <v>74.400000000000006</v>
      </c>
      <c r="K139" s="69">
        <v>1.1000000000000001</v>
      </c>
      <c r="L139" s="69">
        <v>21.6</v>
      </c>
      <c r="M139" s="69">
        <v>0.8</v>
      </c>
      <c r="N139" s="69">
        <v>0</v>
      </c>
      <c r="O139" s="61">
        <v>0</v>
      </c>
      <c r="P139" s="69"/>
      <c r="Q139" s="69">
        <v>0</v>
      </c>
      <c r="R139" s="69">
        <v>94</v>
      </c>
      <c r="S139" s="69"/>
      <c r="T139" s="69">
        <v>8</v>
      </c>
      <c r="U139" s="69">
        <v>0.38</v>
      </c>
      <c r="V139" s="69"/>
      <c r="W139" s="69"/>
      <c r="X139" s="69"/>
      <c r="Y139" s="69"/>
      <c r="Z139" s="69">
        <v>0.46</v>
      </c>
      <c r="AA139" s="69">
        <v>3</v>
      </c>
      <c r="AB139" s="69">
        <v>0</v>
      </c>
      <c r="AC139" s="69">
        <v>0.03</v>
      </c>
      <c r="AD139" s="69">
        <v>0.04</v>
      </c>
      <c r="AE139" s="69">
        <v>1.1000000000000001</v>
      </c>
      <c r="AF139" s="69">
        <v>0</v>
      </c>
      <c r="AG139" s="69">
        <v>1</v>
      </c>
      <c r="AH139" s="69">
        <v>1</v>
      </c>
      <c r="AI139" s="69"/>
      <c r="AJ139" s="69">
        <v>1.49</v>
      </c>
    </row>
    <row r="140" spans="1:36" s="13" customFormat="1" ht="16">
      <c r="A140" s="6"/>
      <c r="B140" s="78"/>
      <c r="C140" s="59" t="s">
        <v>676</v>
      </c>
      <c r="D140" s="105">
        <v>8014</v>
      </c>
      <c r="E140" s="106" t="s">
        <v>467</v>
      </c>
      <c r="F140" s="61">
        <v>42.000000000000007</v>
      </c>
      <c r="G140" s="61">
        <v>0</v>
      </c>
      <c r="H140" s="61"/>
      <c r="I140" s="61"/>
      <c r="J140" s="69">
        <v>68.900000000000006</v>
      </c>
      <c r="K140" s="69">
        <v>1.5</v>
      </c>
      <c r="L140" s="69">
        <v>25</v>
      </c>
      <c r="M140" s="69">
        <v>2</v>
      </c>
      <c r="N140" s="69">
        <v>0</v>
      </c>
      <c r="O140" s="61">
        <v>0</v>
      </c>
      <c r="P140" s="69"/>
      <c r="Q140" s="69">
        <v>0</v>
      </c>
      <c r="R140" s="69">
        <v>118</v>
      </c>
      <c r="S140" s="69"/>
      <c r="T140" s="69">
        <v>5</v>
      </c>
      <c r="U140" s="69">
        <v>0.8</v>
      </c>
      <c r="V140" s="69"/>
      <c r="W140" s="69"/>
      <c r="X140" s="69"/>
      <c r="Y140" s="69"/>
      <c r="Z140" s="69">
        <v>0.46</v>
      </c>
      <c r="AA140" s="69">
        <v>3</v>
      </c>
      <c r="AB140" s="69">
        <v>0</v>
      </c>
      <c r="AC140" s="69">
        <v>0.16</v>
      </c>
      <c r="AD140" s="69">
        <v>0.15</v>
      </c>
      <c r="AE140" s="69">
        <v>18</v>
      </c>
      <c r="AF140" s="69">
        <v>0</v>
      </c>
      <c r="AG140" s="69">
        <v>18</v>
      </c>
      <c r="AH140" s="69">
        <v>18</v>
      </c>
      <c r="AI140" s="69"/>
      <c r="AJ140" s="69">
        <v>4.5999999999999996</v>
      </c>
    </row>
    <row r="141" spans="1:36" s="13" customFormat="1" ht="16">
      <c r="A141" s="6"/>
      <c r="B141" s="78"/>
      <c r="C141" s="59" t="s">
        <v>676</v>
      </c>
      <c r="D141" s="105">
        <v>8001</v>
      </c>
      <c r="E141" s="106" t="s">
        <v>468</v>
      </c>
      <c r="F141" s="61">
        <v>68</v>
      </c>
      <c r="G141" s="61">
        <v>0</v>
      </c>
      <c r="H141" s="61"/>
      <c r="I141" s="61"/>
      <c r="J141" s="69">
        <v>81.599999999999994</v>
      </c>
      <c r="K141" s="69">
        <v>1.2</v>
      </c>
      <c r="L141" s="69">
        <v>17</v>
      </c>
      <c r="M141" s="69">
        <v>0.6</v>
      </c>
      <c r="N141" s="69">
        <v>0</v>
      </c>
      <c r="O141" s="61">
        <v>0</v>
      </c>
      <c r="P141" s="69"/>
      <c r="Q141" s="69">
        <v>0</v>
      </c>
      <c r="R141" s="69">
        <v>73</v>
      </c>
      <c r="S141" s="69"/>
      <c r="T141" s="69">
        <v>15</v>
      </c>
      <c r="U141" s="69">
        <v>0.2</v>
      </c>
      <c r="V141" s="69"/>
      <c r="W141" s="69"/>
      <c r="X141" s="69"/>
      <c r="Y141" s="69"/>
      <c r="Z141" s="69">
        <v>0.37</v>
      </c>
      <c r="AA141" s="69">
        <v>9</v>
      </c>
      <c r="AB141" s="69">
        <v>0.5</v>
      </c>
      <c r="AC141" s="69">
        <v>0.06</v>
      </c>
      <c r="AD141" s="69">
        <v>7.0000000000000007E-2</v>
      </c>
      <c r="AE141" s="69">
        <v>2</v>
      </c>
      <c r="AF141" s="69">
        <v>0</v>
      </c>
      <c r="AG141" s="69">
        <v>2</v>
      </c>
      <c r="AH141" s="69">
        <v>2</v>
      </c>
      <c r="AI141" s="69"/>
      <c r="AJ141" s="69">
        <v>1.55</v>
      </c>
    </row>
    <row r="142" spans="1:36" s="13" customFormat="1" ht="16">
      <c r="A142" s="6"/>
      <c r="B142" s="78"/>
      <c r="C142" s="59" t="s">
        <v>676</v>
      </c>
      <c r="D142" s="105">
        <v>8005</v>
      </c>
      <c r="E142" s="106" t="s">
        <v>469</v>
      </c>
      <c r="F142" s="61">
        <v>8.9999999999999964</v>
      </c>
      <c r="G142" s="61">
        <v>0</v>
      </c>
      <c r="H142" s="61"/>
      <c r="I142" s="61"/>
      <c r="J142" s="69">
        <v>80.5</v>
      </c>
      <c r="K142" s="69">
        <v>1.1000000000000001</v>
      </c>
      <c r="L142" s="69">
        <v>15.9</v>
      </c>
      <c r="M142" s="69">
        <v>1</v>
      </c>
      <c r="N142" s="69">
        <v>0</v>
      </c>
      <c r="O142" s="61">
        <v>0</v>
      </c>
      <c r="P142" s="69"/>
      <c r="Q142" s="69">
        <v>0</v>
      </c>
      <c r="R142" s="69">
        <v>73</v>
      </c>
      <c r="S142" s="69"/>
      <c r="T142" s="69">
        <v>180</v>
      </c>
      <c r="U142" s="69">
        <v>2.6</v>
      </c>
      <c r="V142" s="69"/>
      <c r="W142" s="69"/>
      <c r="X142" s="69"/>
      <c r="Y142" s="69"/>
      <c r="Z142" s="69">
        <v>1.1200000000000001</v>
      </c>
      <c r="AA142" s="69">
        <v>2</v>
      </c>
      <c r="AB142" s="69">
        <v>0.2</v>
      </c>
      <c r="AC142" s="69"/>
      <c r="AD142" s="69">
        <v>0.28000000000000003</v>
      </c>
      <c r="AE142" s="69">
        <v>9</v>
      </c>
      <c r="AF142" s="69">
        <v>0</v>
      </c>
      <c r="AG142" s="69">
        <v>9</v>
      </c>
      <c r="AH142" s="69">
        <v>9</v>
      </c>
      <c r="AI142" s="69"/>
      <c r="AJ142" s="69">
        <v>1.64</v>
      </c>
    </row>
    <row r="143" spans="1:36" s="13" customFormat="1" ht="16">
      <c r="A143" s="6"/>
      <c r="B143" s="78"/>
      <c r="C143" s="59" t="s">
        <v>676</v>
      </c>
      <c r="D143" s="105">
        <v>8006</v>
      </c>
      <c r="E143" s="106" t="s">
        <v>470</v>
      </c>
      <c r="F143" s="61">
        <v>60</v>
      </c>
      <c r="G143" s="61">
        <v>0</v>
      </c>
      <c r="H143" s="61"/>
      <c r="I143" s="61"/>
      <c r="J143" s="69">
        <v>78.3</v>
      </c>
      <c r="K143" s="69">
        <v>1.2</v>
      </c>
      <c r="L143" s="69">
        <v>17.8</v>
      </c>
      <c r="M143" s="69">
        <v>3.5</v>
      </c>
      <c r="N143" s="69">
        <v>0</v>
      </c>
      <c r="O143" s="61">
        <v>0</v>
      </c>
      <c r="P143" s="69"/>
      <c r="Q143" s="69">
        <v>0</v>
      </c>
      <c r="R143" s="69">
        <v>102</v>
      </c>
      <c r="S143" s="69"/>
      <c r="T143" s="69">
        <v>23</v>
      </c>
      <c r="U143" s="69">
        <v>0.5</v>
      </c>
      <c r="V143" s="69"/>
      <c r="W143" s="69"/>
      <c r="X143" s="69"/>
      <c r="Y143" s="69"/>
      <c r="Z143" s="69">
        <v>1.07</v>
      </c>
      <c r="AA143" s="69">
        <v>14</v>
      </c>
      <c r="AB143" s="69">
        <v>0</v>
      </c>
      <c r="AC143" s="69">
        <v>7.0000000000000007E-2</v>
      </c>
      <c r="AD143" s="69">
        <v>0.03</v>
      </c>
      <c r="AE143" s="69">
        <v>9</v>
      </c>
      <c r="AF143" s="69">
        <v>0</v>
      </c>
      <c r="AG143" s="69">
        <v>9</v>
      </c>
      <c r="AH143" s="69">
        <v>9</v>
      </c>
      <c r="AI143" s="69"/>
      <c r="AJ143" s="69">
        <v>3.5</v>
      </c>
    </row>
    <row r="144" spans="1:36" s="13" customFormat="1">
      <c r="A144" s="6"/>
      <c r="B144" s="78"/>
      <c r="C144" s="59"/>
      <c r="D144" s="105"/>
      <c r="E144" s="106"/>
      <c r="F144" s="6">
        <f>AVERAGE(F136:F143)</f>
        <v>41.875</v>
      </c>
      <c r="G144" s="61"/>
      <c r="H144" s="61"/>
      <c r="I144" s="61"/>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row>
    <row r="145" spans="1:36" s="13" customFormat="1">
      <c r="A145" s="6"/>
      <c r="B145" s="78"/>
      <c r="C145" s="59"/>
      <c r="D145" s="105"/>
      <c r="E145" s="106"/>
      <c r="F145" s="6"/>
      <c r="G145" s="61">
        <v>0</v>
      </c>
      <c r="H145" s="61"/>
      <c r="I145" s="61"/>
      <c r="J145" s="6">
        <f t="shared" ref="J145:O152" si="276">+J136*(100-$G136)/100</f>
        <v>69.599999999999994</v>
      </c>
      <c r="K145" s="6">
        <f t="shared" si="276"/>
        <v>1.41</v>
      </c>
      <c r="L145" s="6">
        <f t="shared" si="276"/>
        <v>17.7</v>
      </c>
      <c r="M145" s="6">
        <f t="shared" si="276"/>
        <v>11.7</v>
      </c>
      <c r="N145" s="6">
        <f t="shared" si="276"/>
        <v>0</v>
      </c>
      <c r="O145" s="6">
        <f t="shared" si="276"/>
        <v>0</v>
      </c>
      <c r="P145" s="69"/>
      <c r="Q145" s="6">
        <f t="shared" ref="Q145:R152" si="277">+Q136*(100-$G136)/100</f>
        <v>0</v>
      </c>
      <c r="R145" s="6">
        <f t="shared" si="277"/>
        <v>176</v>
      </c>
      <c r="S145" s="69"/>
      <c r="T145" s="6">
        <f t="shared" ref="T145:U152" si="278">+T136*(100-$G136)/100</f>
        <v>20</v>
      </c>
      <c r="U145" s="6">
        <f t="shared" si="278"/>
        <v>0.6</v>
      </c>
      <c r="V145" s="6"/>
      <c r="W145" s="6"/>
      <c r="X145" s="6"/>
      <c r="Y145" s="6"/>
      <c r="Z145" s="6">
        <f t="shared" ref="Z145:AH145" si="279">+Z136*(100-$G136)/100</f>
        <v>1.62</v>
      </c>
      <c r="AA145" s="6">
        <f t="shared" si="279"/>
        <v>15</v>
      </c>
      <c r="AB145" s="6">
        <f t="shared" si="279"/>
        <v>1.8</v>
      </c>
      <c r="AC145" s="6">
        <f t="shared" si="279"/>
        <v>0.2</v>
      </c>
      <c r="AD145" s="6">
        <f t="shared" si="279"/>
        <v>0.35</v>
      </c>
      <c r="AE145" s="6">
        <f t="shared" si="279"/>
        <v>1043</v>
      </c>
      <c r="AF145" s="6">
        <f t="shared" si="279"/>
        <v>0</v>
      </c>
      <c r="AG145" s="6">
        <f t="shared" si="279"/>
        <v>1043</v>
      </c>
      <c r="AH145" s="6">
        <f t="shared" si="279"/>
        <v>1043</v>
      </c>
      <c r="AI145" s="69"/>
      <c r="AJ145" s="6">
        <f t="shared" ref="AJ145:AJ152" si="280">+AJ136*(100-$G136)/100</f>
        <v>3</v>
      </c>
    </row>
    <row r="146" spans="1:36" s="13" customFormat="1">
      <c r="A146" s="6"/>
      <c r="B146" s="78"/>
      <c r="C146" s="59"/>
      <c r="D146" s="105"/>
      <c r="E146" s="106"/>
      <c r="F146" s="6"/>
      <c r="G146" s="61">
        <v>0</v>
      </c>
      <c r="H146" s="61"/>
      <c r="I146" s="61"/>
      <c r="J146" s="6">
        <f t="shared" si="276"/>
        <v>70.8</v>
      </c>
      <c r="K146" s="6">
        <f t="shared" si="276"/>
        <v>2.6</v>
      </c>
      <c r="L146" s="6">
        <f t="shared" si="276"/>
        <v>18.899999999999999</v>
      </c>
      <c r="M146" s="6">
        <f t="shared" si="276"/>
        <v>4.3</v>
      </c>
      <c r="N146" s="6">
        <f t="shared" si="276"/>
        <v>0</v>
      </c>
      <c r="O146" s="6">
        <f t="shared" si="276"/>
        <v>0</v>
      </c>
      <c r="P146" s="69"/>
      <c r="Q146" s="6">
        <f t="shared" si="277"/>
        <v>0</v>
      </c>
      <c r="R146" s="6">
        <f t="shared" si="277"/>
        <v>114</v>
      </c>
      <c r="S146" s="69"/>
      <c r="T146" s="6">
        <f t="shared" si="278"/>
        <v>67</v>
      </c>
      <c r="U146" s="6">
        <f t="shared" si="278"/>
        <v>1.1000000000000001</v>
      </c>
      <c r="V146" s="6"/>
      <c r="W146" s="6"/>
      <c r="X146" s="6"/>
      <c r="Y146" s="6"/>
      <c r="Z146" s="6">
        <f t="shared" ref="Z146:AH146" si="281">+Z137*(100-$G137)/100</f>
        <v>0.81</v>
      </c>
      <c r="AA146" s="6">
        <f t="shared" si="281"/>
        <v>8</v>
      </c>
      <c r="AB146" s="6">
        <f t="shared" si="281"/>
        <v>0</v>
      </c>
      <c r="AC146" s="6">
        <f t="shared" si="281"/>
        <v>0.05</v>
      </c>
      <c r="AD146" s="6">
        <f t="shared" si="281"/>
        <v>0.23</v>
      </c>
      <c r="AE146" s="6">
        <f t="shared" si="281"/>
        <v>31</v>
      </c>
      <c r="AF146" s="6">
        <f t="shared" si="281"/>
        <v>0</v>
      </c>
      <c r="AG146" s="6">
        <f t="shared" si="281"/>
        <v>31</v>
      </c>
      <c r="AH146" s="6">
        <f t="shared" si="281"/>
        <v>31</v>
      </c>
      <c r="AI146" s="69"/>
      <c r="AJ146" s="6">
        <f t="shared" si="280"/>
        <v>12.22</v>
      </c>
    </row>
    <row r="147" spans="1:36" s="13" customFormat="1">
      <c r="A147" s="6"/>
      <c r="B147" s="78"/>
      <c r="C147" s="59"/>
      <c r="D147" s="105"/>
      <c r="E147" s="106"/>
      <c r="F147" s="6"/>
      <c r="G147" s="61">
        <v>0</v>
      </c>
      <c r="H147" s="61"/>
      <c r="I147" s="61"/>
      <c r="J147" s="6">
        <f t="shared" si="276"/>
        <v>71.2</v>
      </c>
      <c r="K147" s="6">
        <f t="shared" si="276"/>
        <v>2.1</v>
      </c>
      <c r="L147" s="6">
        <f t="shared" si="276"/>
        <v>19.5</v>
      </c>
      <c r="M147" s="6">
        <f t="shared" si="276"/>
        <v>7.4</v>
      </c>
      <c r="N147" s="6">
        <f t="shared" si="276"/>
        <v>0</v>
      </c>
      <c r="O147" s="6">
        <f t="shared" si="276"/>
        <v>0</v>
      </c>
      <c r="P147" s="69"/>
      <c r="Q147" s="6">
        <f t="shared" si="277"/>
        <v>0</v>
      </c>
      <c r="R147" s="6">
        <f t="shared" si="277"/>
        <v>145</v>
      </c>
      <c r="S147" s="69"/>
      <c r="T147" s="6">
        <f t="shared" si="278"/>
        <v>42</v>
      </c>
      <c r="U147" s="6">
        <f t="shared" si="278"/>
        <v>1.3</v>
      </c>
      <c r="V147" s="6"/>
      <c r="W147" s="6"/>
      <c r="X147" s="6"/>
      <c r="Y147" s="6"/>
      <c r="Z147" s="6">
        <f t="shared" ref="Z147:AH147" si="282">+Z138*(100-$G138)/100</f>
        <v>1.2</v>
      </c>
      <c r="AA147" s="6">
        <f t="shared" si="282"/>
        <v>23</v>
      </c>
      <c r="AB147" s="6">
        <f t="shared" si="282"/>
        <v>0</v>
      </c>
      <c r="AC147" s="6">
        <f t="shared" si="282"/>
        <v>0.01</v>
      </c>
      <c r="AD147" s="6">
        <f t="shared" si="282"/>
        <v>0.05</v>
      </c>
      <c r="AE147" s="6">
        <f t="shared" si="282"/>
        <v>13</v>
      </c>
      <c r="AF147" s="6">
        <f t="shared" si="282"/>
        <v>0</v>
      </c>
      <c r="AG147" s="6">
        <f t="shared" si="282"/>
        <v>13</v>
      </c>
      <c r="AH147" s="6">
        <f t="shared" si="282"/>
        <v>13</v>
      </c>
      <c r="AI147" s="69"/>
      <c r="AJ147" s="6">
        <f t="shared" si="280"/>
        <v>0.5</v>
      </c>
    </row>
    <row r="148" spans="1:36" s="13" customFormat="1">
      <c r="A148" s="6"/>
      <c r="B148" s="78"/>
      <c r="C148" s="59"/>
      <c r="D148" s="105"/>
      <c r="E148" s="106"/>
      <c r="F148" s="6"/>
      <c r="G148" s="61">
        <v>0</v>
      </c>
      <c r="H148" s="61"/>
      <c r="I148" s="61"/>
      <c r="J148" s="6">
        <f t="shared" si="276"/>
        <v>74.400000000000006</v>
      </c>
      <c r="K148" s="6">
        <f t="shared" si="276"/>
        <v>1.1000000000000001</v>
      </c>
      <c r="L148" s="6">
        <f t="shared" si="276"/>
        <v>21.6</v>
      </c>
      <c r="M148" s="6">
        <f t="shared" si="276"/>
        <v>0.8</v>
      </c>
      <c r="N148" s="6">
        <f t="shared" si="276"/>
        <v>0</v>
      </c>
      <c r="O148" s="6">
        <f t="shared" si="276"/>
        <v>0</v>
      </c>
      <c r="P148" s="69"/>
      <c r="Q148" s="6">
        <f t="shared" si="277"/>
        <v>0</v>
      </c>
      <c r="R148" s="6">
        <f t="shared" si="277"/>
        <v>94</v>
      </c>
      <c r="S148" s="69"/>
      <c r="T148" s="6">
        <f t="shared" si="278"/>
        <v>8</v>
      </c>
      <c r="U148" s="6">
        <f t="shared" si="278"/>
        <v>0.38</v>
      </c>
      <c r="V148" s="6"/>
      <c r="W148" s="6"/>
      <c r="X148" s="6"/>
      <c r="Y148" s="6"/>
      <c r="Z148" s="6">
        <f t="shared" ref="Z148:AH148" si="283">+Z139*(100-$G139)/100</f>
        <v>0.46</v>
      </c>
      <c r="AA148" s="6">
        <f t="shared" si="283"/>
        <v>3</v>
      </c>
      <c r="AB148" s="6">
        <f t="shared" si="283"/>
        <v>0</v>
      </c>
      <c r="AC148" s="6">
        <f t="shared" si="283"/>
        <v>0.03</v>
      </c>
      <c r="AD148" s="6">
        <f t="shared" si="283"/>
        <v>0.04</v>
      </c>
      <c r="AE148" s="6">
        <f t="shared" si="283"/>
        <v>1.1000000000000001</v>
      </c>
      <c r="AF148" s="6">
        <f t="shared" si="283"/>
        <v>0</v>
      </c>
      <c r="AG148" s="6">
        <f t="shared" si="283"/>
        <v>1</v>
      </c>
      <c r="AH148" s="6">
        <f t="shared" si="283"/>
        <v>1</v>
      </c>
      <c r="AI148" s="69"/>
      <c r="AJ148" s="6">
        <f t="shared" si="280"/>
        <v>1.49</v>
      </c>
    </row>
    <row r="149" spans="1:36" s="13" customFormat="1">
      <c r="A149" s="6"/>
      <c r="B149" s="78"/>
      <c r="C149" s="59"/>
      <c r="D149" s="105"/>
      <c r="E149" s="106"/>
      <c r="F149" s="6"/>
      <c r="G149" s="61">
        <v>0</v>
      </c>
      <c r="H149" s="61"/>
      <c r="I149" s="61"/>
      <c r="J149" s="6">
        <f t="shared" si="276"/>
        <v>68.900000000000006</v>
      </c>
      <c r="K149" s="6">
        <f t="shared" si="276"/>
        <v>1.5</v>
      </c>
      <c r="L149" s="6">
        <f t="shared" si="276"/>
        <v>25</v>
      </c>
      <c r="M149" s="6">
        <f t="shared" si="276"/>
        <v>2</v>
      </c>
      <c r="N149" s="6">
        <f t="shared" si="276"/>
        <v>0</v>
      </c>
      <c r="O149" s="6">
        <f t="shared" si="276"/>
        <v>0</v>
      </c>
      <c r="P149" s="69"/>
      <c r="Q149" s="6">
        <f t="shared" si="277"/>
        <v>0</v>
      </c>
      <c r="R149" s="6">
        <f t="shared" si="277"/>
        <v>118</v>
      </c>
      <c r="S149" s="69"/>
      <c r="T149" s="6">
        <f t="shared" si="278"/>
        <v>5</v>
      </c>
      <c r="U149" s="6">
        <f t="shared" si="278"/>
        <v>0.8</v>
      </c>
      <c r="V149" s="6"/>
      <c r="W149" s="6"/>
      <c r="X149" s="6"/>
      <c r="Y149" s="6"/>
      <c r="Z149" s="6">
        <f t="shared" ref="Z149:AH149" si="284">+Z140*(100-$G140)/100</f>
        <v>0.46</v>
      </c>
      <c r="AA149" s="6">
        <f t="shared" si="284"/>
        <v>3</v>
      </c>
      <c r="AB149" s="6">
        <f t="shared" si="284"/>
        <v>0</v>
      </c>
      <c r="AC149" s="6">
        <f t="shared" si="284"/>
        <v>0.16</v>
      </c>
      <c r="AD149" s="6">
        <f t="shared" si="284"/>
        <v>0.15</v>
      </c>
      <c r="AE149" s="6">
        <f t="shared" si="284"/>
        <v>18</v>
      </c>
      <c r="AF149" s="6">
        <f t="shared" si="284"/>
        <v>0</v>
      </c>
      <c r="AG149" s="6">
        <f t="shared" si="284"/>
        <v>18</v>
      </c>
      <c r="AH149" s="6">
        <f t="shared" si="284"/>
        <v>18</v>
      </c>
      <c r="AI149" s="69"/>
      <c r="AJ149" s="6">
        <f t="shared" si="280"/>
        <v>4.5999999999999996</v>
      </c>
    </row>
    <row r="150" spans="1:36" s="13" customFormat="1">
      <c r="A150" s="6"/>
      <c r="B150" s="78"/>
      <c r="C150" s="59"/>
      <c r="D150" s="105"/>
      <c r="E150" s="106"/>
      <c r="F150" s="6"/>
      <c r="G150" s="61">
        <v>0</v>
      </c>
      <c r="H150" s="61"/>
      <c r="I150" s="61"/>
      <c r="J150" s="6">
        <f t="shared" si="276"/>
        <v>81.599999999999994</v>
      </c>
      <c r="K150" s="6">
        <f t="shared" si="276"/>
        <v>1.2</v>
      </c>
      <c r="L150" s="6">
        <f t="shared" si="276"/>
        <v>17</v>
      </c>
      <c r="M150" s="6">
        <f t="shared" si="276"/>
        <v>0.6</v>
      </c>
      <c r="N150" s="6">
        <f t="shared" si="276"/>
        <v>0</v>
      </c>
      <c r="O150" s="6">
        <f t="shared" si="276"/>
        <v>0</v>
      </c>
      <c r="P150" s="69"/>
      <c r="Q150" s="6">
        <f t="shared" si="277"/>
        <v>0</v>
      </c>
      <c r="R150" s="6">
        <f t="shared" si="277"/>
        <v>73</v>
      </c>
      <c r="S150" s="69"/>
      <c r="T150" s="6">
        <f t="shared" si="278"/>
        <v>15</v>
      </c>
      <c r="U150" s="6">
        <f t="shared" si="278"/>
        <v>0.2</v>
      </c>
      <c r="V150" s="6"/>
      <c r="W150" s="6"/>
      <c r="X150" s="6"/>
      <c r="Y150" s="6"/>
      <c r="Z150" s="6">
        <f t="shared" ref="Z150:AH150" si="285">+Z141*(100-$G141)/100</f>
        <v>0.37</v>
      </c>
      <c r="AA150" s="6">
        <f t="shared" si="285"/>
        <v>9</v>
      </c>
      <c r="AB150" s="6">
        <f t="shared" si="285"/>
        <v>0.5</v>
      </c>
      <c r="AC150" s="6">
        <f t="shared" si="285"/>
        <v>0.06</v>
      </c>
      <c r="AD150" s="6">
        <f t="shared" si="285"/>
        <v>7.0000000000000007E-2</v>
      </c>
      <c r="AE150" s="6">
        <f t="shared" si="285"/>
        <v>2</v>
      </c>
      <c r="AF150" s="6">
        <f t="shared" si="285"/>
        <v>0</v>
      </c>
      <c r="AG150" s="6">
        <f t="shared" si="285"/>
        <v>2</v>
      </c>
      <c r="AH150" s="6">
        <f t="shared" si="285"/>
        <v>2</v>
      </c>
      <c r="AI150" s="69"/>
      <c r="AJ150" s="6">
        <f t="shared" si="280"/>
        <v>1.55</v>
      </c>
    </row>
    <row r="151" spans="1:36" s="13" customFormat="1">
      <c r="A151" s="6"/>
      <c r="B151" s="78"/>
      <c r="C151" s="59"/>
      <c r="D151" s="105"/>
      <c r="E151" s="106"/>
      <c r="F151" s="6"/>
      <c r="G151" s="61">
        <v>0</v>
      </c>
      <c r="H151" s="61"/>
      <c r="I151" s="61"/>
      <c r="J151" s="6">
        <f t="shared" si="276"/>
        <v>80.5</v>
      </c>
      <c r="K151" s="6">
        <f t="shared" si="276"/>
        <v>1.1000000000000001</v>
      </c>
      <c r="L151" s="6">
        <f t="shared" si="276"/>
        <v>15.9</v>
      </c>
      <c r="M151" s="6">
        <f t="shared" si="276"/>
        <v>1</v>
      </c>
      <c r="N151" s="6">
        <f t="shared" si="276"/>
        <v>0</v>
      </c>
      <c r="O151" s="6">
        <f t="shared" si="276"/>
        <v>0</v>
      </c>
      <c r="P151" s="69"/>
      <c r="Q151" s="6">
        <f t="shared" si="277"/>
        <v>0</v>
      </c>
      <c r="R151" s="6">
        <f t="shared" si="277"/>
        <v>73</v>
      </c>
      <c r="S151" s="69"/>
      <c r="T151" s="6">
        <f t="shared" si="278"/>
        <v>180</v>
      </c>
      <c r="U151" s="6">
        <f t="shared" si="278"/>
        <v>2.6</v>
      </c>
      <c r="V151" s="6"/>
      <c r="W151" s="6"/>
      <c r="X151" s="6"/>
      <c r="Y151" s="6"/>
      <c r="Z151" s="6">
        <f t="shared" ref="Z151:AH151" si="286">+Z142*(100-$G142)/100</f>
        <v>1.1200000000000001</v>
      </c>
      <c r="AA151" s="6">
        <f t="shared" si="286"/>
        <v>2</v>
      </c>
      <c r="AB151" s="6">
        <f t="shared" si="286"/>
        <v>0.2</v>
      </c>
      <c r="AC151" s="6">
        <f t="shared" si="286"/>
        <v>0</v>
      </c>
      <c r="AD151" s="6">
        <f t="shared" si="286"/>
        <v>0.28000000000000003</v>
      </c>
      <c r="AE151" s="6">
        <f t="shared" si="286"/>
        <v>9</v>
      </c>
      <c r="AF151" s="6">
        <f t="shared" si="286"/>
        <v>0</v>
      </c>
      <c r="AG151" s="6">
        <f t="shared" si="286"/>
        <v>9</v>
      </c>
      <c r="AH151" s="6">
        <f t="shared" si="286"/>
        <v>9</v>
      </c>
      <c r="AI151" s="69"/>
      <c r="AJ151" s="6">
        <f t="shared" si="280"/>
        <v>1.64</v>
      </c>
    </row>
    <row r="152" spans="1:36" s="13" customFormat="1">
      <c r="A152" s="6"/>
      <c r="B152" s="78"/>
      <c r="C152" s="59"/>
      <c r="D152" s="105"/>
      <c r="E152" s="106"/>
      <c r="F152" s="6"/>
      <c r="G152" s="61">
        <v>0</v>
      </c>
      <c r="H152" s="61"/>
      <c r="I152" s="61"/>
      <c r="J152" s="6">
        <f t="shared" si="276"/>
        <v>78.3</v>
      </c>
      <c r="K152" s="6">
        <f t="shared" si="276"/>
        <v>1.2</v>
      </c>
      <c r="L152" s="6">
        <f t="shared" si="276"/>
        <v>17.8</v>
      </c>
      <c r="M152" s="6">
        <f t="shared" si="276"/>
        <v>3.5</v>
      </c>
      <c r="N152" s="6">
        <f t="shared" si="276"/>
        <v>0</v>
      </c>
      <c r="O152" s="6">
        <f t="shared" si="276"/>
        <v>0</v>
      </c>
      <c r="P152" s="69"/>
      <c r="Q152" s="6">
        <f t="shared" si="277"/>
        <v>0</v>
      </c>
      <c r="R152" s="6">
        <f t="shared" si="277"/>
        <v>102</v>
      </c>
      <c r="S152" s="69"/>
      <c r="T152" s="6">
        <f t="shared" si="278"/>
        <v>23</v>
      </c>
      <c r="U152" s="6">
        <f t="shared" si="278"/>
        <v>0.5</v>
      </c>
      <c r="V152" s="6"/>
      <c r="W152" s="6"/>
      <c r="X152" s="6"/>
      <c r="Y152" s="6"/>
      <c r="Z152" s="6">
        <f t="shared" ref="Z152:AH152" si="287">+Z143*(100-$G143)/100</f>
        <v>1.07</v>
      </c>
      <c r="AA152" s="6">
        <f t="shared" si="287"/>
        <v>14</v>
      </c>
      <c r="AB152" s="6">
        <f t="shared" si="287"/>
        <v>0</v>
      </c>
      <c r="AC152" s="6">
        <f t="shared" si="287"/>
        <v>7.0000000000000007E-2</v>
      </c>
      <c r="AD152" s="6">
        <f t="shared" si="287"/>
        <v>0.03</v>
      </c>
      <c r="AE152" s="6">
        <f t="shared" si="287"/>
        <v>9</v>
      </c>
      <c r="AF152" s="6">
        <f t="shared" si="287"/>
        <v>0</v>
      </c>
      <c r="AG152" s="6">
        <f t="shared" si="287"/>
        <v>9</v>
      </c>
      <c r="AH152" s="6">
        <f t="shared" si="287"/>
        <v>9</v>
      </c>
      <c r="AI152" s="69"/>
      <c r="AJ152" s="6">
        <f t="shared" si="280"/>
        <v>3.5</v>
      </c>
    </row>
    <row r="153" spans="1:36" s="13" customFormat="1">
      <c r="A153" s="6"/>
      <c r="B153" s="78"/>
      <c r="C153" s="59"/>
      <c r="D153" s="105"/>
      <c r="E153" s="106"/>
      <c r="F153" s="6"/>
      <c r="G153" s="61"/>
      <c r="H153" s="61"/>
      <c r="I153" s="61"/>
      <c r="J153" s="6"/>
      <c r="K153" s="6"/>
      <c r="L153" s="6"/>
      <c r="M153" s="6"/>
      <c r="N153" s="6"/>
      <c r="O153" s="6"/>
      <c r="P153" s="69"/>
      <c r="Q153" s="6"/>
      <c r="R153" s="6"/>
      <c r="S153" s="69"/>
      <c r="T153" s="6"/>
      <c r="U153" s="6"/>
      <c r="V153" s="6"/>
      <c r="W153" s="6"/>
      <c r="X153" s="6"/>
      <c r="Y153" s="6"/>
      <c r="Z153" s="6"/>
      <c r="AA153" s="6"/>
      <c r="AB153" s="6"/>
      <c r="AC153" s="6"/>
      <c r="AD153" s="6"/>
      <c r="AE153" s="6"/>
      <c r="AF153" s="6"/>
      <c r="AG153" s="6"/>
      <c r="AH153" s="6"/>
      <c r="AI153" s="69"/>
      <c r="AJ153" s="6"/>
    </row>
    <row r="154" spans="1:36" s="84" customFormat="1" ht="16">
      <c r="A154" s="80">
        <v>301</v>
      </c>
      <c r="B154" s="81" t="s">
        <v>249</v>
      </c>
      <c r="C154" s="82"/>
      <c r="D154" s="80"/>
      <c r="E154" s="83" t="s">
        <v>609</v>
      </c>
      <c r="F154" s="80">
        <f>AVERAGE(G136:G143)</f>
        <v>0</v>
      </c>
      <c r="G154" s="80">
        <f>AVERAGE(G145:G152)</f>
        <v>0</v>
      </c>
      <c r="H154" s="80"/>
      <c r="I154" s="80"/>
      <c r="J154" s="80">
        <f t="shared" ref="J154:O154" si="288">AVERAGE(J145:J152)</f>
        <v>74.412499999999994</v>
      </c>
      <c r="K154" s="80">
        <f t="shared" si="288"/>
        <v>1.5262499999999997</v>
      </c>
      <c r="L154" s="80">
        <f t="shared" si="288"/>
        <v>19.175000000000001</v>
      </c>
      <c r="M154" s="80">
        <f t="shared" si="288"/>
        <v>3.9125000000000001</v>
      </c>
      <c r="N154" s="80">
        <f t="shared" si="288"/>
        <v>0</v>
      </c>
      <c r="O154" s="80">
        <f t="shared" si="288"/>
        <v>0</v>
      </c>
      <c r="P154" s="80"/>
      <c r="Q154" s="80">
        <f>100-F154-J154-K154-L154-M154-N154-O154</f>
        <v>0.97375000000000389</v>
      </c>
      <c r="R154" s="80">
        <f>AVERAGE(R145:R152)</f>
        <v>111.875</v>
      </c>
      <c r="S154" s="80"/>
      <c r="T154" s="80">
        <f>AVERAGE(T145:T152)</f>
        <v>45</v>
      </c>
      <c r="U154" s="80">
        <f>AVERAGE(U145:U152)</f>
        <v>0.93500000000000005</v>
      </c>
      <c r="V154" s="80"/>
      <c r="W154" s="80"/>
      <c r="X154" s="80"/>
      <c r="Y154" s="80"/>
      <c r="Z154" s="80">
        <f t="shared" ref="Z154:AF154" si="289">AVERAGE(Z145:Z152)</f>
        <v>0.88875000000000004</v>
      </c>
      <c r="AA154" s="80">
        <f t="shared" si="289"/>
        <v>9.625</v>
      </c>
      <c r="AB154" s="80">
        <f t="shared" si="289"/>
        <v>0.3125</v>
      </c>
      <c r="AC154" s="80">
        <f t="shared" si="289"/>
        <v>7.2500000000000009E-2</v>
      </c>
      <c r="AD154" s="80">
        <f t="shared" si="289"/>
        <v>0.15000000000000002</v>
      </c>
      <c r="AE154" s="80">
        <f t="shared" si="289"/>
        <v>140.76249999999999</v>
      </c>
      <c r="AF154" s="80">
        <f t="shared" si="289"/>
        <v>0</v>
      </c>
      <c r="AG154" s="80">
        <f>+AE154+AF154/12</f>
        <v>140.76249999999999</v>
      </c>
      <c r="AH154" s="80">
        <f>+AE154+AF154/6</f>
        <v>140.76249999999999</v>
      </c>
      <c r="AI154" s="80"/>
      <c r="AJ154" s="80">
        <f>AVERAGE(AJ145:AJ152)</f>
        <v>3.5625000000000004</v>
      </c>
    </row>
    <row r="155" spans="1:36">
      <c r="A155" s="3"/>
      <c r="B155" s="76"/>
      <c r="C155" s="16"/>
      <c r="D155" s="3"/>
      <c r="E155" s="77"/>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spans="1:36">
      <c r="A156" s="3"/>
      <c r="B156" s="76"/>
      <c r="C156" s="16"/>
      <c r="D156" s="3"/>
      <c r="E156" s="77"/>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spans="1:36" ht="16">
      <c r="A157" s="3"/>
      <c r="B157" s="76"/>
      <c r="C157" s="59" t="s">
        <v>676</v>
      </c>
      <c r="D157" s="105">
        <v>8001</v>
      </c>
      <c r="E157" s="106" t="s">
        <v>468</v>
      </c>
      <c r="F157" s="3"/>
      <c r="G157" s="3">
        <v>0</v>
      </c>
      <c r="H157" s="3"/>
      <c r="I157" s="3"/>
      <c r="J157" s="3">
        <f t="shared" ref="J157:O159" si="290">J141</f>
        <v>81.599999999999994</v>
      </c>
      <c r="K157" s="3">
        <f t="shared" si="290"/>
        <v>1.2</v>
      </c>
      <c r="L157" s="3">
        <f t="shared" si="290"/>
        <v>17</v>
      </c>
      <c r="M157" s="3">
        <f t="shared" si="290"/>
        <v>0.6</v>
      </c>
      <c r="N157" s="3">
        <f t="shared" si="290"/>
        <v>0</v>
      </c>
      <c r="O157" s="3">
        <f t="shared" si="290"/>
        <v>0</v>
      </c>
      <c r="P157" s="3"/>
      <c r="Q157" s="3">
        <f t="shared" ref="Q157:R159" si="291">Q141</f>
        <v>0</v>
      </c>
      <c r="R157" s="3">
        <f t="shared" si="291"/>
        <v>73</v>
      </c>
      <c r="S157" s="3"/>
      <c r="T157" s="3">
        <f t="shared" ref="T157:U159" si="292">T141</f>
        <v>15</v>
      </c>
      <c r="U157" s="3">
        <f t="shared" si="292"/>
        <v>0.2</v>
      </c>
      <c r="V157" s="3"/>
      <c r="W157" s="3"/>
      <c r="X157" s="3"/>
      <c r="Y157" s="3"/>
      <c r="Z157" s="3">
        <f t="shared" ref="Z157:AH157" si="293">Z141</f>
        <v>0.37</v>
      </c>
      <c r="AA157" s="3">
        <f t="shared" si="293"/>
        <v>9</v>
      </c>
      <c r="AB157" s="3">
        <f t="shared" si="293"/>
        <v>0.5</v>
      </c>
      <c r="AC157" s="3">
        <f t="shared" si="293"/>
        <v>0.06</v>
      </c>
      <c r="AD157" s="3">
        <f t="shared" si="293"/>
        <v>7.0000000000000007E-2</v>
      </c>
      <c r="AE157" s="3">
        <f t="shared" si="293"/>
        <v>2</v>
      </c>
      <c r="AF157" s="3">
        <f t="shared" si="293"/>
        <v>0</v>
      </c>
      <c r="AG157" s="3">
        <f t="shared" si="293"/>
        <v>2</v>
      </c>
      <c r="AH157" s="3">
        <f t="shared" si="293"/>
        <v>2</v>
      </c>
      <c r="AI157" s="3"/>
      <c r="AJ157" s="3">
        <f>AJ141</f>
        <v>1.55</v>
      </c>
    </row>
    <row r="158" spans="1:36" ht="16">
      <c r="A158" s="3"/>
      <c r="B158" s="76"/>
      <c r="C158" s="59" t="s">
        <v>676</v>
      </c>
      <c r="D158" s="105">
        <v>8005</v>
      </c>
      <c r="E158" s="106" t="s">
        <v>469</v>
      </c>
      <c r="F158" s="3"/>
      <c r="G158" s="3">
        <v>0</v>
      </c>
      <c r="H158" s="3"/>
      <c r="I158" s="3"/>
      <c r="J158" s="3">
        <f t="shared" si="290"/>
        <v>80.5</v>
      </c>
      <c r="K158" s="3">
        <f t="shared" si="290"/>
        <v>1.1000000000000001</v>
      </c>
      <c r="L158" s="3">
        <f t="shared" si="290"/>
        <v>15.9</v>
      </c>
      <c r="M158" s="3">
        <f t="shared" si="290"/>
        <v>1</v>
      </c>
      <c r="N158" s="3">
        <f t="shared" si="290"/>
        <v>0</v>
      </c>
      <c r="O158" s="3">
        <f t="shared" si="290"/>
        <v>0</v>
      </c>
      <c r="P158" s="3"/>
      <c r="Q158" s="3">
        <f t="shared" si="291"/>
        <v>0</v>
      </c>
      <c r="R158" s="3">
        <f t="shared" si="291"/>
        <v>73</v>
      </c>
      <c r="S158" s="3"/>
      <c r="T158" s="3">
        <f t="shared" si="292"/>
        <v>180</v>
      </c>
      <c r="U158" s="3">
        <f t="shared" si="292"/>
        <v>2.6</v>
      </c>
      <c r="V158" s="3"/>
      <c r="W158" s="3"/>
      <c r="X158" s="3"/>
      <c r="Y158" s="3"/>
      <c r="Z158" s="3">
        <f t="shared" ref="Z158:AH158" si="294">Z142</f>
        <v>1.1200000000000001</v>
      </c>
      <c r="AA158" s="3">
        <f t="shared" si="294"/>
        <v>2</v>
      </c>
      <c r="AB158" s="3">
        <f t="shared" si="294"/>
        <v>0.2</v>
      </c>
      <c r="AC158" s="3">
        <f t="shared" si="294"/>
        <v>0</v>
      </c>
      <c r="AD158" s="3">
        <f t="shared" si="294"/>
        <v>0.28000000000000003</v>
      </c>
      <c r="AE158" s="3">
        <f t="shared" si="294"/>
        <v>9</v>
      </c>
      <c r="AF158" s="3">
        <f t="shared" si="294"/>
        <v>0</v>
      </c>
      <c r="AG158" s="3">
        <f t="shared" si="294"/>
        <v>9</v>
      </c>
      <c r="AH158" s="3">
        <f t="shared" si="294"/>
        <v>9</v>
      </c>
      <c r="AI158" s="3"/>
      <c r="AJ158" s="3">
        <f>AJ142</f>
        <v>1.64</v>
      </c>
    </row>
    <row r="159" spans="1:36" ht="16">
      <c r="A159" s="3"/>
      <c r="B159" s="76"/>
      <c r="C159" s="59" t="s">
        <v>676</v>
      </c>
      <c r="D159" s="105">
        <v>8006</v>
      </c>
      <c r="E159" s="106" t="s">
        <v>470</v>
      </c>
      <c r="F159" s="3"/>
      <c r="G159" s="3">
        <v>0</v>
      </c>
      <c r="H159" s="3"/>
      <c r="I159" s="3"/>
      <c r="J159" s="3">
        <f t="shared" si="290"/>
        <v>78.3</v>
      </c>
      <c r="K159" s="3">
        <f t="shared" si="290"/>
        <v>1.2</v>
      </c>
      <c r="L159" s="3">
        <f t="shared" si="290"/>
        <v>17.8</v>
      </c>
      <c r="M159" s="3">
        <f t="shared" si="290"/>
        <v>3.5</v>
      </c>
      <c r="N159" s="3">
        <f t="shared" si="290"/>
        <v>0</v>
      </c>
      <c r="O159" s="3">
        <f t="shared" si="290"/>
        <v>0</v>
      </c>
      <c r="P159" s="3"/>
      <c r="Q159" s="3">
        <f t="shared" si="291"/>
        <v>0</v>
      </c>
      <c r="R159" s="3">
        <f t="shared" si="291"/>
        <v>102</v>
      </c>
      <c r="S159" s="3"/>
      <c r="T159" s="3">
        <f t="shared" si="292"/>
        <v>23</v>
      </c>
      <c r="U159" s="3">
        <f t="shared" si="292"/>
        <v>0.5</v>
      </c>
      <c r="V159" s="3"/>
      <c r="W159" s="3"/>
      <c r="X159" s="3"/>
      <c r="Y159" s="3"/>
      <c r="Z159" s="3">
        <f t="shared" ref="Z159:AH159" si="295">Z143</f>
        <v>1.07</v>
      </c>
      <c r="AA159" s="3">
        <f t="shared" si="295"/>
        <v>14</v>
      </c>
      <c r="AB159" s="3">
        <f t="shared" si="295"/>
        <v>0</v>
      </c>
      <c r="AC159" s="3">
        <f t="shared" si="295"/>
        <v>7.0000000000000007E-2</v>
      </c>
      <c r="AD159" s="3">
        <f t="shared" si="295"/>
        <v>0.03</v>
      </c>
      <c r="AE159" s="3">
        <f t="shared" si="295"/>
        <v>9</v>
      </c>
      <c r="AF159" s="3">
        <f t="shared" si="295"/>
        <v>0</v>
      </c>
      <c r="AG159" s="3">
        <f t="shared" si="295"/>
        <v>9</v>
      </c>
      <c r="AH159" s="3">
        <f t="shared" si="295"/>
        <v>9</v>
      </c>
      <c r="AI159" s="3"/>
      <c r="AJ159" s="3">
        <f>AJ143</f>
        <v>3.5</v>
      </c>
    </row>
    <row r="160" spans="1:36">
      <c r="A160" s="3"/>
      <c r="B160" s="76"/>
      <c r="C160" s="16"/>
      <c r="D160" s="63"/>
      <c r="E160" s="77"/>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spans="1:36" s="84" customFormat="1" ht="16">
      <c r="A161" s="80">
        <v>302</v>
      </c>
      <c r="B161" s="81" t="s">
        <v>250</v>
      </c>
      <c r="C161" s="82"/>
      <c r="D161" s="80"/>
      <c r="E161" s="83"/>
      <c r="F161" s="80"/>
      <c r="G161" s="80">
        <f>AVERAGE(G157:G159)</f>
        <v>0</v>
      </c>
      <c r="H161" s="80"/>
      <c r="I161" s="80"/>
      <c r="J161" s="80">
        <f t="shared" ref="J161:O161" si="296">AVERAGE(J157:J159)</f>
        <v>80.133333333333326</v>
      </c>
      <c r="K161" s="80">
        <f t="shared" si="296"/>
        <v>1.1666666666666667</v>
      </c>
      <c r="L161" s="80">
        <f t="shared" si="296"/>
        <v>16.900000000000002</v>
      </c>
      <c r="M161" s="80">
        <f t="shared" si="296"/>
        <v>1.7</v>
      </c>
      <c r="N161" s="80">
        <f t="shared" si="296"/>
        <v>0</v>
      </c>
      <c r="O161" s="80">
        <f t="shared" si="296"/>
        <v>0</v>
      </c>
      <c r="P161" s="80"/>
      <c r="Q161" s="80">
        <f>100-J161-K161-L161-M161-N161-O161</f>
        <v>0.10000000000000431</v>
      </c>
      <c r="R161" s="80">
        <f>AVERAGE(R157:R159)</f>
        <v>82.666666666666671</v>
      </c>
      <c r="S161" s="80"/>
      <c r="T161" s="80">
        <f>AVERAGE(T157:T159)</f>
        <v>72.666666666666671</v>
      </c>
      <c r="U161" s="80">
        <f>AVERAGE(U157:U159)</f>
        <v>1.1000000000000001</v>
      </c>
      <c r="V161" s="80"/>
      <c r="W161" s="80"/>
      <c r="X161" s="80"/>
      <c r="Y161" s="80"/>
      <c r="Z161" s="80">
        <f t="shared" ref="Z161:AF161" si="297">AVERAGE(Z157:Z159)</f>
        <v>0.8533333333333335</v>
      </c>
      <c r="AA161" s="80">
        <f t="shared" si="297"/>
        <v>8.3333333333333339</v>
      </c>
      <c r="AB161" s="80">
        <f t="shared" si="297"/>
        <v>0.23333333333333331</v>
      </c>
      <c r="AC161" s="80">
        <f t="shared" si="297"/>
        <v>4.3333333333333335E-2</v>
      </c>
      <c r="AD161" s="80">
        <f t="shared" si="297"/>
        <v>0.12666666666666668</v>
      </c>
      <c r="AE161" s="80">
        <f t="shared" si="297"/>
        <v>6.666666666666667</v>
      </c>
      <c r="AF161" s="80">
        <f t="shared" si="297"/>
        <v>0</v>
      </c>
      <c r="AG161" s="80">
        <f>+AE161+AF161/12</f>
        <v>6.666666666666667</v>
      </c>
      <c r="AH161" s="80">
        <f>+AE161+AF161/6</f>
        <v>6.666666666666667</v>
      </c>
      <c r="AI161" s="80"/>
      <c r="AJ161" s="80">
        <f>AVERAGE(AJ157:AJ159)</f>
        <v>2.23</v>
      </c>
    </row>
    <row r="162" spans="1:36">
      <c r="A162" s="3"/>
      <c r="B162" s="76"/>
      <c r="C162" s="16"/>
      <c r="D162" s="3"/>
      <c r="E162" s="77"/>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spans="1:36" ht="16">
      <c r="A163" s="3"/>
      <c r="B163" s="76"/>
      <c r="C163" s="59" t="s">
        <v>676</v>
      </c>
      <c r="D163" s="105">
        <v>8003</v>
      </c>
      <c r="E163" s="106" t="s">
        <v>463</v>
      </c>
      <c r="F163" s="3"/>
      <c r="G163" s="3">
        <f>G136</f>
        <v>0</v>
      </c>
      <c r="H163" s="3"/>
      <c r="I163" s="3"/>
      <c r="J163" s="3">
        <f t="shared" ref="J163:O164" si="298">J136</f>
        <v>69.599999999999994</v>
      </c>
      <c r="K163" s="3">
        <f t="shared" si="298"/>
        <v>1.41</v>
      </c>
      <c r="L163" s="3">
        <f t="shared" si="298"/>
        <v>17.7</v>
      </c>
      <c r="M163" s="3">
        <f t="shared" si="298"/>
        <v>11.7</v>
      </c>
      <c r="N163" s="3">
        <f t="shared" si="298"/>
        <v>0</v>
      </c>
      <c r="O163" s="3">
        <f t="shared" si="298"/>
        <v>0</v>
      </c>
      <c r="P163" s="3"/>
      <c r="Q163" s="3">
        <f>Q136</f>
        <v>0</v>
      </c>
      <c r="R163" s="3">
        <f>R136</f>
        <v>176</v>
      </c>
      <c r="S163" s="3"/>
      <c r="T163" s="3">
        <f>T136</f>
        <v>20</v>
      </c>
      <c r="U163" s="3">
        <f>U136</f>
        <v>0.6</v>
      </c>
      <c r="V163" s="3"/>
      <c r="W163" s="3"/>
      <c r="X163" s="3"/>
      <c r="Y163" s="3"/>
      <c r="Z163" s="3">
        <f t="shared" ref="Z163:AH163" si="299">Z136</f>
        <v>1.62</v>
      </c>
      <c r="AA163" s="3">
        <f t="shared" si="299"/>
        <v>15</v>
      </c>
      <c r="AB163" s="3">
        <f t="shared" si="299"/>
        <v>1.8</v>
      </c>
      <c r="AC163" s="3">
        <f t="shared" si="299"/>
        <v>0.2</v>
      </c>
      <c r="AD163" s="3">
        <f t="shared" si="299"/>
        <v>0.35</v>
      </c>
      <c r="AE163" s="3">
        <f t="shared" si="299"/>
        <v>1043</v>
      </c>
      <c r="AF163" s="3">
        <f t="shared" si="299"/>
        <v>0</v>
      </c>
      <c r="AG163" s="3">
        <f t="shared" si="299"/>
        <v>1043</v>
      </c>
      <c r="AH163" s="3">
        <f t="shared" si="299"/>
        <v>1043</v>
      </c>
      <c r="AI163" s="3"/>
      <c r="AJ163" s="3">
        <f>AJ136</f>
        <v>3</v>
      </c>
    </row>
    <row r="164" spans="1:36" ht="16">
      <c r="A164" s="3"/>
      <c r="B164" s="76"/>
      <c r="C164" s="59" t="s">
        <v>676</v>
      </c>
      <c r="D164" s="105">
        <v>8004</v>
      </c>
      <c r="E164" s="106" t="s">
        <v>464</v>
      </c>
      <c r="F164" s="3"/>
      <c r="G164" s="3">
        <f>G137</f>
        <v>0</v>
      </c>
      <c r="H164" s="3"/>
      <c r="I164" s="3"/>
      <c r="J164" s="3">
        <f t="shared" si="298"/>
        <v>70.8</v>
      </c>
      <c r="K164" s="3">
        <f t="shared" si="298"/>
        <v>2.6</v>
      </c>
      <c r="L164" s="3">
        <f t="shared" si="298"/>
        <v>18.899999999999999</v>
      </c>
      <c r="M164" s="3">
        <f t="shared" si="298"/>
        <v>4.3</v>
      </c>
      <c r="N164" s="3">
        <f t="shared" si="298"/>
        <v>0</v>
      </c>
      <c r="O164" s="3">
        <f t="shared" si="298"/>
        <v>0</v>
      </c>
      <c r="P164" s="3"/>
      <c r="Q164" s="3">
        <f>Q137</f>
        <v>0</v>
      </c>
      <c r="R164" s="3">
        <f>R137</f>
        <v>114</v>
      </c>
      <c r="S164" s="3"/>
      <c r="T164" s="3">
        <f>T137</f>
        <v>67</v>
      </c>
      <c r="U164" s="3">
        <f>U137</f>
        <v>1.1000000000000001</v>
      </c>
      <c r="V164" s="3"/>
      <c r="W164" s="3"/>
      <c r="X164" s="3"/>
      <c r="Y164" s="3"/>
      <c r="Z164" s="3">
        <f t="shared" ref="Z164:AH164" si="300">Z137</f>
        <v>0.81</v>
      </c>
      <c r="AA164" s="3">
        <f t="shared" si="300"/>
        <v>8</v>
      </c>
      <c r="AB164" s="3">
        <f t="shared" si="300"/>
        <v>0</v>
      </c>
      <c r="AC164" s="3">
        <f t="shared" si="300"/>
        <v>0.05</v>
      </c>
      <c r="AD164" s="3">
        <f t="shared" si="300"/>
        <v>0.23</v>
      </c>
      <c r="AE164" s="3">
        <f t="shared" si="300"/>
        <v>31</v>
      </c>
      <c r="AF164" s="3">
        <f t="shared" si="300"/>
        <v>0</v>
      </c>
      <c r="AG164" s="3">
        <f t="shared" si="300"/>
        <v>31</v>
      </c>
      <c r="AH164" s="3">
        <f t="shared" si="300"/>
        <v>31</v>
      </c>
      <c r="AI164" s="3"/>
      <c r="AJ164" s="3">
        <f>AJ137</f>
        <v>12.22</v>
      </c>
    </row>
    <row r="165" spans="1:36" ht="16">
      <c r="A165" s="3"/>
      <c r="B165" s="76"/>
      <c r="C165" s="59" t="s">
        <v>676</v>
      </c>
      <c r="D165" s="105">
        <v>8013</v>
      </c>
      <c r="E165" s="106" t="s">
        <v>466</v>
      </c>
      <c r="F165" s="3"/>
      <c r="G165" s="3">
        <f>G139</f>
        <v>0</v>
      </c>
      <c r="H165" s="3"/>
      <c r="I165" s="3"/>
      <c r="J165" s="3">
        <f t="shared" ref="J165:O166" si="301">J139</f>
        <v>74.400000000000006</v>
      </c>
      <c r="K165" s="3">
        <f t="shared" si="301"/>
        <v>1.1000000000000001</v>
      </c>
      <c r="L165" s="3">
        <f t="shared" si="301"/>
        <v>21.6</v>
      </c>
      <c r="M165" s="3">
        <f t="shared" si="301"/>
        <v>0.8</v>
      </c>
      <c r="N165" s="3">
        <f t="shared" si="301"/>
        <v>0</v>
      </c>
      <c r="O165" s="3">
        <f t="shared" si="301"/>
        <v>0</v>
      </c>
      <c r="P165" s="3"/>
      <c r="Q165" s="3">
        <f>Q139</f>
        <v>0</v>
      </c>
      <c r="R165" s="3">
        <f>R139</f>
        <v>94</v>
      </c>
      <c r="S165" s="3"/>
      <c r="T165" s="3">
        <f>T139</f>
        <v>8</v>
      </c>
      <c r="U165" s="3">
        <f>U139</f>
        <v>0.38</v>
      </c>
      <c r="V165" s="3"/>
      <c r="W165" s="3"/>
      <c r="X165" s="3"/>
      <c r="Y165" s="3"/>
      <c r="Z165" s="3">
        <f t="shared" ref="Z165:AH165" si="302">Z139</f>
        <v>0.46</v>
      </c>
      <c r="AA165" s="3">
        <f t="shared" si="302"/>
        <v>3</v>
      </c>
      <c r="AB165" s="3">
        <f t="shared" si="302"/>
        <v>0</v>
      </c>
      <c r="AC165" s="3">
        <f t="shared" si="302"/>
        <v>0.03</v>
      </c>
      <c r="AD165" s="3">
        <f t="shared" si="302"/>
        <v>0.04</v>
      </c>
      <c r="AE165" s="3">
        <f t="shared" si="302"/>
        <v>1.1000000000000001</v>
      </c>
      <c r="AF165" s="3">
        <f t="shared" si="302"/>
        <v>0</v>
      </c>
      <c r="AG165" s="3">
        <f t="shared" si="302"/>
        <v>1</v>
      </c>
      <c r="AH165" s="3">
        <f t="shared" si="302"/>
        <v>1</v>
      </c>
      <c r="AI165" s="3"/>
      <c r="AJ165" s="3">
        <f>AJ139</f>
        <v>1.49</v>
      </c>
    </row>
    <row r="166" spans="1:36" ht="16">
      <c r="A166" s="3"/>
      <c r="B166" s="76"/>
      <c r="C166" s="59" t="s">
        <v>676</v>
      </c>
      <c r="D166" s="105">
        <v>8014</v>
      </c>
      <c r="E166" s="106" t="s">
        <v>467</v>
      </c>
      <c r="F166" s="3"/>
      <c r="G166" s="3">
        <f>G140</f>
        <v>0</v>
      </c>
      <c r="H166" s="3"/>
      <c r="I166" s="3"/>
      <c r="J166" s="3">
        <f t="shared" si="301"/>
        <v>68.900000000000006</v>
      </c>
      <c r="K166" s="3">
        <f t="shared" si="301"/>
        <v>1.5</v>
      </c>
      <c r="L166" s="3">
        <f t="shared" si="301"/>
        <v>25</v>
      </c>
      <c r="M166" s="3">
        <f t="shared" si="301"/>
        <v>2</v>
      </c>
      <c r="N166" s="3">
        <f t="shared" si="301"/>
        <v>0</v>
      </c>
      <c r="O166" s="3">
        <f t="shared" si="301"/>
        <v>0</v>
      </c>
      <c r="P166" s="3"/>
      <c r="Q166" s="3">
        <f>Q140</f>
        <v>0</v>
      </c>
      <c r="R166" s="3">
        <f>R140</f>
        <v>118</v>
      </c>
      <c r="S166" s="3"/>
      <c r="T166" s="3">
        <f>T140</f>
        <v>5</v>
      </c>
      <c r="U166" s="3">
        <f>U140</f>
        <v>0.8</v>
      </c>
      <c r="V166" s="3"/>
      <c r="W166" s="3"/>
      <c r="X166" s="3"/>
      <c r="Y166" s="3"/>
      <c r="Z166" s="3">
        <f t="shared" ref="Z166:AH166" si="303">Z140</f>
        <v>0.46</v>
      </c>
      <c r="AA166" s="3">
        <f t="shared" si="303"/>
        <v>3</v>
      </c>
      <c r="AB166" s="3">
        <f t="shared" si="303"/>
        <v>0</v>
      </c>
      <c r="AC166" s="3">
        <f t="shared" si="303"/>
        <v>0.16</v>
      </c>
      <c r="AD166" s="3">
        <f t="shared" si="303"/>
        <v>0.15</v>
      </c>
      <c r="AE166" s="3">
        <f t="shared" si="303"/>
        <v>18</v>
      </c>
      <c r="AF166" s="3">
        <f t="shared" si="303"/>
        <v>0</v>
      </c>
      <c r="AG166" s="3">
        <f t="shared" si="303"/>
        <v>18</v>
      </c>
      <c r="AH166" s="3">
        <f t="shared" si="303"/>
        <v>18</v>
      </c>
      <c r="AI166" s="3"/>
      <c r="AJ166" s="3">
        <f>AJ140</f>
        <v>4.5999999999999996</v>
      </c>
    </row>
    <row r="167" spans="1:36">
      <c r="A167" s="3"/>
      <c r="B167" s="76"/>
      <c r="C167" s="16"/>
      <c r="D167" s="105"/>
      <c r="E167" s="106"/>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spans="1:36">
      <c r="A168" s="3"/>
      <c r="B168" s="76"/>
      <c r="C168" s="16"/>
      <c r="D168" s="105"/>
      <c r="E168" s="106"/>
      <c r="F168" s="3"/>
      <c r="G168" s="3">
        <v>0</v>
      </c>
      <c r="H168" s="3"/>
      <c r="I168" s="3"/>
      <c r="J168" s="3">
        <f>+J163*(100-$G163)/100</f>
        <v>69.599999999999994</v>
      </c>
      <c r="K168" s="3">
        <f t="shared" ref="K168:O168" si="304">+K163*(100-$G163)/100</f>
        <v>1.41</v>
      </c>
      <c r="L168" s="3">
        <f t="shared" si="304"/>
        <v>17.7</v>
      </c>
      <c r="M168" s="3">
        <f t="shared" si="304"/>
        <v>11.7</v>
      </c>
      <c r="N168" s="3">
        <f t="shared" si="304"/>
        <v>0</v>
      </c>
      <c r="O168" s="3">
        <f t="shared" si="304"/>
        <v>0</v>
      </c>
      <c r="P168" s="3"/>
      <c r="Q168" s="3">
        <f t="shared" ref="Q168:R168" si="305">+Q163*(100-$G163)/100</f>
        <v>0</v>
      </c>
      <c r="R168" s="3">
        <f t="shared" si="305"/>
        <v>176</v>
      </c>
      <c r="S168" s="3"/>
      <c r="T168" s="3">
        <f t="shared" ref="T168:AJ168" si="306">+T163*(100-$G163)/100</f>
        <v>20</v>
      </c>
      <c r="U168" s="3">
        <f t="shared" si="306"/>
        <v>0.6</v>
      </c>
      <c r="V168" s="3"/>
      <c r="W168" s="3"/>
      <c r="X168" s="3"/>
      <c r="Y168" s="3"/>
      <c r="Z168" s="3">
        <f t="shared" si="306"/>
        <v>1.62</v>
      </c>
      <c r="AA168" s="3">
        <f t="shared" si="306"/>
        <v>15</v>
      </c>
      <c r="AB168" s="3">
        <f t="shared" si="306"/>
        <v>1.8</v>
      </c>
      <c r="AC168" s="3">
        <f t="shared" si="306"/>
        <v>0.2</v>
      </c>
      <c r="AD168" s="3">
        <f t="shared" si="306"/>
        <v>0.35</v>
      </c>
      <c r="AE168" s="3">
        <f t="shared" si="306"/>
        <v>1043</v>
      </c>
      <c r="AF168" s="3">
        <f t="shared" si="306"/>
        <v>0</v>
      </c>
      <c r="AG168" s="3">
        <f t="shared" si="306"/>
        <v>1043</v>
      </c>
      <c r="AH168" s="3">
        <f t="shared" si="306"/>
        <v>1043</v>
      </c>
      <c r="AI168" s="3"/>
      <c r="AJ168" s="3">
        <f t="shared" si="306"/>
        <v>3</v>
      </c>
    </row>
    <row r="169" spans="1:36">
      <c r="A169" s="3"/>
      <c r="B169" s="76"/>
      <c r="C169" s="16"/>
      <c r="D169" s="105"/>
      <c r="E169" s="106"/>
      <c r="F169" s="3"/>
      <c r="G169" s="3">
        <v>0</v>
      </c>
      <c r="H169" s="3"/>
      <c r="I169" s="3"/>
      <c r="J169" s="3">
        <f t="shared" ref="J169:O171" si="307">+J164*(100-$G164)/100</f>
        <v>70.8</v>
      </c>
      <c r="K169" s="3">
        <f t="shared" si="307"/>
        <v>2.6</v>
      </c>
      <c r="L169" s="3">
        <f t="shared" si="307"/>
        <v>18.899999999999999</v>
      </c>
      <c r="M169" s="3">
        <f t="shared" si="307"/>
        <v>4.3</v>
      </c>
      <c r="N169" s="3">
        <f t="shared" si="307"/>
        <v>0</v>
      </c>
      <c r="O169" s="3">
        <f t="shared" si="307"/>
        <v>0</v>
      </c>
      <c r="P169" s="3"/>
      <c r="Q169" s="3">
        <f t="shared" ref="Q169:R169" si="308">+Q164*(100-$G164)/100</f>
        <v>0</v>
      </c>
      <c r="R169" s="3">
        <f t="shared" si="308"/>
        <v>114</v>
      </c>
      <c r="S169" s="3"/>
      <c r="T169" s="3">
        <f t="shared" ref="T169:AJ169" si="309">+T164*(100-$G164)/100</f>
        <v>67</v>
      </c>
      <c r="U169" s="3">
        <f t="shared" si="309"/>
        <v>1.1000000000000001</v>
      </c>
      <c r="V169" s="3"/>
      <c r="W169" s="3"/>
      <c r="X169" s="3"/>
      <c r="Y169" s="3"/>
      <c r="Z169" s="3">
        <f t="shared" si="309"/>
        <v>0.81</v>
      </c>
      <c r="AA169" s="3">
        <f t="shared" si="309"/>
        <v>8</v>
      </c>
      <c r="AB169" s="3">
        <f t="shared" si="309"/>
        <v>0</v>
      </c>
      <c r="AC169" s="3">
        <f t="shared" si="309"/>
        <v>0.05</v>
      </c>
      <c r="AD169" s="3">
        <f t="shared" si="309"/>
        <v>0.23</v>
      </c>
      <c r="AE169" s="3">
        <f t="shared" si="309"/>
        <v>31</v>
      </c>
      <c r="AF169" s="3">
        <f t="shared" si="309"/>
        <v>0</v>
      </c>
      <c r="AG169" s="3">
        <f t="shared" si="309"/>
        <v>31</v>
      </c>
      <c r="AH169" s="3">
        <f t="shared" si="309"/>
        <v>31</v>
      </c>
      <c r="AI169" s="3"/>
      <c r="AJ169" s="3">
        <f t="shared" si="309"/>
        <v>12.22</v>
      </c>
    </row>
    <row r="170" spans="1:36">
      <c r="A170" s="3"/>
      <c r="B170" s="76"/>
      <c r="C170" s="16"/>
      <c r="D170" s="105"/>
      <c r="E170" s="106"/>
      <c r="F170" s="3"/>
      <c r="G170" s="3">
        <v>0</v>
      </c>
      <c r="H170" s="3"/>
      <c r="I170" s="3"/>
      <c r="J170" s="3">
        <f t="shared" si="307"/>
        <v>74.400000000000006</v>
      </c>
      <c r="K170" s="3">
        <f t="shared" si="307"/>
        <v>1.1000000000000001</v>
      </c>
      <c r="L170" s="3">
        <f t="shared" si="307"/>
        <v>21.6</v>
      </c>
      <c r="M170" s="3">
        <f t="shared" si="307"/>
        <v>0.8</v>
      </c>
      <c r="N170" s="3">
        <f t="shared" si="307"/>
        <v>0</v>
      </c>
      <c r="O170" s="3">
        <f t="shared" si="307"/>
        <v>0</v>
      </c>
      <c r="P170" s="3"/>
      <c r="Q170" s="3">
        <f t="shared" ref="Q170:R170" si="310">+Q165*(100-$G165)/100</f>
        <v>0</v>
      </c>
      <c r="R170" s="3">
        <f t="shared" si="310"/>
        <v>94</v>
      </c>
      <c r="S170" s="3"/>
      <c r="T170" s="3">
        <f t="shared" ref="T170:AJ170" si="311">+T165*(100-$G165)/100</f>
        <v>8</v>
      </c>
      <c r="U170" s="3">
        <f t="shared" si="311"/>
        <v>0.38</v>
      </c>
      <c r="V170" s="3"/>
      <c r="W170" s="3"/>
      <c r="X170" s="3"/>
      <c r="Y170" s="3"/>
      <c r="Z170" s="3">
        <f t="shared" si="311"/>
        <v>0.46</v>
      </c>
      <c r="AA170" s="3">
        <f t="shared" si="311"/>
        <v>3</v>
      </c>
      <c r="AB170" s="3">
        <f t="shared" si="311"/>
        <v>0</v>
      </c>
      <c r="AC170" s="3">
        <f t="shared" si="311"/>
        <v>0.03</v>
      </c>
      <c r="AD170" s="3">
        <f t="shared" si="311"/>
        <v>0.04</v>
      </c>
      <c r="AE170" s="3">
        <f t="shared" si="311"/>
        <v>1.1000000000000001</v>
      </c>
      <c r="AF170" s="3">
        <f t="shared" si="311"/>
        <v>0</v>
      </c>
      <c r="AG170" s="3">
        <f t="shared" si="311"/>
        <v>1</v>
      </c>
      <c r="AH170" s="3">
        <f t="shared" si="311"/>
        <v>1</v>
      </c>
      <c r="AI170" s="3"/>
      <c r="AJ170" s="3">
        <f t="shared" si="311"/>
        <v>1.49</v>
      </c>
    </row>
    <row r="171" spans="1:36">
      <c r="A171" s="3"/>
      <c r="B171" s="76"/>
      <c r="C171" s="16"/>
      <c r="D171" s="105"/>
      <c r="E171" s="106"/>
      <c r="F171" s="3"/>
      <c r="G171" s="3">
        <v>0</v>
      </c>
      <c r="H171" s="3"/>
      <c r="I171" s="3"/>
      <c r="J171" s="3">
        <f t="shared" si="307"/>
        <v>68.900000000000006</v>
      </c>
      <c r="K171" s="3">
        <f t="shared" si="307"/>
        <v>1.5</v>
      </c>
      <c r="L171" s="3">
        <f t="shared" si="307"/>
        <v>25</v>
      </c>
      <c r="M171" s="3">
        <f t="shared" si="307"/>
        <v>2</v>
      </c>
      <c r="N171" s="3">
        <f t="shared" si="307"/>
        <v>0</v>
      </c>
      <c r="O171" s="3">
        <f t="shared" si="307"/>
        <v>0</v>
      </c>
      <c r="P171" s="3"/>
      <c r="Q171" s="3">
        <f t="shared" ref="Q171:R171" si="312">+Q166*(100-$G166)/100</f>
        <v>0</v>
      </c>
      <c r="R171" s="3">
        <f t="shared" si="312"/>
        <v>118</v>
      </c>
      <c r="S171" s="3"/>
      <c r="T171" s="3">
        <f t="shared" ref="T171:AJ171" si="313">+T166*(100-$G166)/100</f>
        <v>5</v>
      </c>
      <c r="U171" s="3">
        <f t="shared" si="313"/>
        <v>0.8</v>
      </c>
      <c r="V171" s="3"/>
      <c r="W171" s="3"/>
      <c r="X171" s="3"/>
      <c r="Y171" s="3"/>
      <c r="Z171" s="3">
        <f t="shared" si="313"/>
        <v>0.46</v>
      </c>
      <c r="AA171" s="3">
        <f t="shared" si="313"/>
        <v>3</v>
      </c>
      <c r="AB171" s="3">
        <f t="shared" si="313"/>
        <v>0</v>
      </c>
      <c r="AC171" s="3">
        <f t="shared" si="313"/>
        <v>0.16</v>
      </c>
      <c r="AD171" s="3">
        <f t="shared" si="313"/>
        <v>0.15</v>
      </c>
      <c r="AE171" s="3">
        <f t="shared" si="313"/>
        <v>18</v>
      </c>
      <c r="AF171" s="3">
        <f t="shared" si="313"/>
        <v>0</v>
      </c>
      <c r="AG171" s="3">
        <f t="shared" si="313"/>
        <v>18</v>
      </c>
      <c r="AH171" s="3">
        <f t="shared" si="313"/>
        <v>18</v>
      </c>
      <c r="AI171" s="3"/>
      <c r="AJ171" s="3">
        <f t="shared" si="313"/>
        <v>4.5999999999999996</v>
      </c>
    </row>
    <row r="172" spans="1:36">
      <c r="A172" s="3"/>
      <c r="B172" s="76"/>
      <c r="C172" s="16"/>
      <c r="D172" s="105"/>
      <c r="E172" s="106"/>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spans="1:36" s="84" customFormat="1" ht="16">
      <c r="A173" s="80">
        <v>307</v>
      </c>
      <c r="B173" s="81" t="s">
        <v>255</v>
      </c>
      <c r="C173" s="82"/>
      <c r="D173" s="107"/>
      <c r="E173" s="108" t="s">
        <v>609</v>
      </c>
      <c r="F173" s="80">
        <f>AVERAGE(G163:G166)</f>
        <v>0</v>
      </c>
      <c r="G173" s="80">
        <f>AVERAGE(G168:G171)</f>
        <v>0</v>
      </c>
      <c r="H173" s="80"/>
      <c r="I173" s="80"/>
      <c r="J173" s="80">
        <f t="shared" ref="J173:O173" si="314">AVERAGE(J168:J171)</f>
        <v>70.924999999999997</v>
      </c>
      <c r="K173" s="80">
        <f t="shared" si="314"/>
        <v>1.6524999999999999</v>
      </c>
      <c r="L173" s="80">
        <f t="shared" si="314"/>
        <v>20.799999999999997</v>
      </c>
      <c r="M173" s="80">
        <f t="shared" si="314"/>
        <v>4.7</v>
      </c>
      <c r="N173" s="80">
        <f t="shared" si="314"/>
        <v>0</v>
      </c>
      <c r="O173" s="80">
        <f t="shared" si="314"/>
        <v>0</v>
      </c>
      <c r="P173" s="80"/>
      <c r="Q173" s="80">
        <f>100-F173-J173-K173-L173-M173-N173-O173</f>
        <v>1.9225000000000056</v>
      </c>
      <c r="R173" s="80">
        <f t="shared" ref="R173" si="315">AVERAGE(R168:R171)</f>
        <v>125.5</v>
      </c>
      <c r="S173" s="80"/>
      <c r="T173" s="80">
        <f t="shared" ref="T173:AF173" si="316">AVERAGE(T168:T171)</f>
        <v>25</v>
      </c>
      <c r="U173" s="80">
        <f t="shared" si="316"/>
        <v>0.72</v>
      </c>
      <c r="V173" s="80"/>
      <c r="W173" s="80"/>
      <c r="X173" s="80"/>
      <c r="Y173" s="80"/>
      <c r="Z173" s="80">
        <f t="shared" si="316"/>
        <v>0.83750000000000002</v>
      </c>
      <c r="AA173" s="80">
        <f t="shared" si="316"/>
        <v>7.25</v>
      </c>
      <c r="AB173" s="80">
        <f t="shared" si="316"/>
        <v>0.45</v>
      </c>
      <c r="AC173" s="80">
        <f t="shared" si="316"/>
        <v>0.11000000000000001</v>
      </c>
      <c r="AD173" s="80">
        <f t="shared" si="316"/>
        <v>0.1925</v>
      </c>
      <c r="AE173" s="80">
        <f t="shared" si="316"/>
        <v>273.27499999999998</v>
      </c>
      <c r="AF173" s="80">
        <f t="shared" si="316"/>
        <v>0</v>
      </c>
      <c r="AG173" s="80">
        <f>+AE173+AF173/12</f>
        <v>273.27499999999998</v>
      </c>
      <c r="AH173" s="80">
        <f>+AE173+AF173/6</f>
        <v>273.27499999999998</v>
      </c>
      <c r="AI173" s="80"/>
      <c r="AJ173" s="80">
        <f>AVERAGE(AJ168:AJ171)</f>
        <v>5.3275000000000006</v>
      </c>
    </row>
    <row r="174" spans="1:36">
      <c r="A174" s="3"/>
      <c r="B174" s="76"/>
      <c r="C174" s="16"/>
      <c r="D174" s="3"/>
      <c r="E174" s="77"/>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spans="1:36">
      <c r="A175" s="3"/>
      <c r="B175" s="76"/>
      <c r="C175" s="16"/>
      <c r="D175" s="3"/>
      <c r="E175" s="77"/>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spans="1:36" s="13" customFormat="1" ht="16">
      <c r="A176" s="6"/>
      <c r="B176" s="78"/>
      <c r="C176" s="59" t="s">
        <v>676</v>
      </c>
      <c r="D176" s="63">
        <v>6019</v>
      </c>
      <c r="E176" s="86" t="s">
        <v>473</v>
      </c>
      <c r="F176" s="6">
        <v>0.25</v>
      </c>
      <c r="G176" s="61">
        <v>0</v>
      </c>
      <c r="H176" s="61"/>
      <c r="I176" s="61"/>
      <c r="J176" s="69">
        <v>89.8</v>
      </c>
      <c r="K176" s="69">
        <v>0.8</v>
      </c>
      <c r="L176" s="69">
        <v>3.5</v>
      </c>
      <c r="M176" s="69">
        <v>0.1</v>
      </c>
      <c r="N176" s="69">
        <v>0</v>
      </c>
      <c r="O176" s="61">
        <v>0</v>
      </c>
      <c r="P176" s="69"/>
      <c r="Q176" s="69">
        <v>5.8</v>
      </c>
      <c r="R176" s="69">
        <v>38</v>
      </c>
      <c r="S176" s="69"/>
      <c r="T176" s="69">
        <v>130</v>
      </c>
      <c r="U176" s="69">
        <v>0.1</v>
      </c>
      <c r="V176" s="69"/>
      <c r="W176" s="69"/>
      <c r="X176" s="69"/>
      <c r="Y176" s="69"/>
      <c r="Z176" s="69">
        <v>0.32</v>
      </c>
      <c r="AA176" s="69">
        <v>6</v>
      </c>
      <c r="AB176" s="69">
        <v>1</v>
      </c>
      <c r="AC176" s="69">
        <v>0.03</v>
      </c>
      <c r="AD176" s="69">
        <v>0.18</v>
      </c>
      <c r="AE176" s="69">
        <v>0</v>
      </c>
      <c r="AF176" s="69">
        <v>1</v>
      </c>
      <c r="AG176" s="69">
        <v>0</v>
      </c>
      <c r="AH176" s="69">
        <v>0</v>
      </c>
      <c r="AI176" s="69"/>
      <c r="AJ176" s="69">
        <v>0.4</v>
      </c>
    </row>
    <row r="177" spans="1:36" s="13" customFormat="1" ht="16">
      <c r="A177" s="6"/>
      <c r="B177" s="78"/>
      <c r="C177" s="59" t="s">
        <v>676</v>
      </c>
      <c r="D177" s="63">
        <v>6022</v>
      </c>
      <c r="E177" s="86" t="s">
        <v>474</v>
      </c>
      <c r="F177" s="6">
        <v>0.75</v>
      </c>
      <c r="G177" s="61">
        <v>0</v>
      </c>
      <c r="H177" s="61"/>
      <c r="I177" s="61"/>
      <c r="J177" s="69">
        <v>86.3</v>
      </c>
      <c r="K177" s="69">
        <v>0.7</v>
      </c>
      <c r="L177" s="69">
        <v>3.3</v>
      </c>
      <c r="M177" s="69">
        <v>3.5</v>
      </c>
      <c r="N177" s="69">
        <v>0</v>
      </c>
      <c r="O177" s="61">
        <v>0</v>
      </c>
      <c r="P177" s="69"/>
      <c r="Q177" s="69">
        <v>6.1</v>
      </c>
      <c r="R177" s="69">
        <v>70</v>
      </c>
      <c r="S177" s="69"/>
      <c r="T177" s="69">
        <v>119</v>
      </c>
      <c r="U177" s="69">
        <v>0.1</v>
      </c>
      <c r="V177" s="69"/>
      <c r="W177" s="69"/>
      <c r="X177" s="69"/>
      <c r="Y177" s="69"/>
      <c r="Z177" s="69">
        <v>0.63</v>
      </c>
      <c r="AA177" s="69">
        <v>8</v>
      </c>
      <c r="AB177" s="69">
        <v>0</v>
      </c>
      <c r="AC177" s="69">
        <v>0</v>
      </c>
      <c r="AD177" s="69">
        <v>0.27</v>
      </c>
      <c r="AE177" s="69">
        <v>40</v>
      </c>
      <c r="AF177" s="69">
        <v>18</v>
      </c>
      <c r="AG177" s="69">
        <v>41</v>
      </c>
      <c r="AH177" s="69">
        <v>43</v>
      </c>
      <c r="AI177" s="69"/>
      <c r="AJ177" s="69">
        <v>0.59</v>
      </c>
    </row>
    <row r="178" spans="1:36" s="13" customFormat="1">
      <c r="A178" s="6"/>
      <c r="B178" s="78"/>
      <c r="C178" s="59"/>
      <c r="D178" s="63"/>
      <c r="E178" s="86"/>
      <c r="F178" s="6"/>
      <c r="G178" s="61"/>
      <c r="H178" s="61"/>
      <c r="I178" s="61"/>
      <c r="J178" s="69"/>
      <c r="K178" s="69"/>
      <c r="L178" s="69"/>
      <c r="M178" s="69"/>
      <c r="N178" s="69"/>
      <c r="O178" s="61"/>
      <c r="P178" s="69"/>
      <c r="Q178" s="69"/>
      <c r="R178" s="69"/>
      <c r="S178" s="69"/>
      <c r="T178" s="69"/>
      <c r="U178" s="69"/>
      <c r="V178" s="69"/>
      <c r="W178" s="69"/>
      <c r="X178" s="69"/>
      <c r="Y178" s="69"/>
      <c r="Z178" s="69"/>
      <c r="AA178" s="69"/>
      <c r="AB178" s="69"/>
      <c r="AC178" s="69"/>
      <c r="AD178" s="69"/>
      <c r="AE178" s="69"/>
      <c r="AF178" s="69"/>
      <c r="AG178" s="69"/>
      <c r="AH178" s="69"/>
      <c r="AI178" s="69"/>
      <c r="AJ178" s="69"/>
    </row>
    <row r="179" spans="1:36" s="84" customFormat="1" ht="32">
      <c r="A179" s="80">
        <v>402</v>
      </c>
      <c r="B179" s="81" t="s">
        <v>257</v>
      </c>
      <c r="C179" s="82"/>
      <c r="D179" s="80"/>
      <c r="E179" s="83"/>
      <c r="F179" s="80"/>
      <c r="G179" s="80">
        <f>AVERAGE(G176:G177)</f>
        <v>0</v>
      </c>
      <c r="H179" s="80"/>
      <c r="I179" s="80"/>
      <c r="J179" s="80">
        <f>+J176*$F$176+J177*$F$177</f>
        <v>87.174999999999997</v>
      </c>
      <c r="K179" s="80">
        <f>+K176*$F$176+K177*$F$177</f>
        <v>0.72499999999999987</v>
      </c>
      <c r="L179" s="80">
        <f t="shared" ref="L179:O179" si="317">+L176*$F$176+L177*$F$177</f>
        <v>3.3499999999999996</v>
      </c>
      <c r="M179" s="80">
        <f t="shared" si="317"/>
        <v>2.65</v>
      </c>
      <c r="N179" s="80">
        <f t="shared" si="317"/>
        <v>0</v>
      </c>
      <c r="O179" s="80">
        <f t="shared" si="317"/>
        <v>0</v>
      </c>
      <c r="P179" s="80"/>
      <c r="Q179" s="80">
        <f>100-J179-K179-L179-M179-N179-O179</f>
        <v>6.1000000000000032</v>
      </c>
      <c r="R179" s="80">
        <f t="shared" ref="R179" si="318">+R176*$F$176+R177*$F$177</f>
        <v>62</v>
      </c>
      <c r="S179" s="80"/>
      <c r="T179" s="80">
        <f t="shared" ref="T179:AF179" si="319">+T176*$F$176+T177*$F$177</f>
        <v>121.75</v>
      </c>
      <c r="U179" s="80">
        <f t="shared" si="319"/>
        <v>0.1</v>
      </c>
      <c r="V179" s="80"/>
      <c r="W179" s="80"/>
      <c r="X179" s="80"/>
      <c r="Y179" s="80"/>
      <c r="Z179" s="80">
        <f t="shared" si="319"/>
        <v>0.55249999999999999</v>
      </c>
      <c r="AA179" s="80">
        <f t="shared" si="319"/>
        <v>7.5</v>
      </c>
      <c r="AB179" s="80">
        <f t="shared" si="319"/>
        <v>0.25</v>
      </c>
      <c r="AC179" s="80">
        <f t="shared" si="319"/>
        <v>7.4999999999999997E-3</v>
      </c>
      <c r="AD179" s="80">
        <f t="shared" si="319"/>
        <v>0.2475</v>
      </c>
      <c r="AE179" s="80">
        <f t="shared" si="319"/>
        <v>30</v>
      </c>
      <c r="AF179" s="80">
        <f t="shared" si="319"/>
        <v>13.75</v>
      </c>
      <c r="AG179" s="80">
        <f>+AE179+AF179/12</f>
        <v>31.145833333333332</v>
      </c>
      <c r="AH179" s="80">
        <f>+AE179+AF179/6</f>
        <v>32.291666666666664</v>
      </c>
      <c r="AI179" s="80"/>
      <c r="AJ179" s="80">
        <f>+AJ176*$F$176+AJ177*$F$177</f>
        <v>0.54249999999999998</v>
      </c>
    </row>
    <row r="180" spans="1:36">
      <c r="A180" s="3"/>
      <c r="B180" s="76"/>
      <c r="C180" s="16"/>
      <c r="D180" s="3"/>
      <c r="E180" s="77"/>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spans="1:36" s="95" customFormat="1" ht="32">
      <c r="A181" s="90"/>
      <c r="B181" s="91"/>
      <c r="C181" s="59" t="s">
        <v>676</v>
      </c>
      <c r="D181" s="92">
        <v>6015</v>
      </c>
      <c r="E181" s="93" t="s">
        <v>475</v>
      </c>
      <c r="F181" s="90"/>
      <c r="G181" s="94">
        <v>0</v>
      </c>
      <c r="H181" s="94"/>
      <c r="I181" s="94"/>
      <c r="J181" s="96">
        <v>27</v>
      </c>
      <c r="K181" s="96">
        <v>2.2000000000000002</v>
      </c>
      <c r="L181" s="96">
        <v>9.9</v>
      </c>
      <c r="M181" s="96">
        <v>0.2</v>
      </c>
      <c r="N181" s="96">
        <v>0</v>
      </c>
      <c r="O181" s="94">
        <v>0</v>
      </c>
      <c r="P181" s="96"/>
      <c r="Q181" s="96">
        <v>60.7</v>
      </c>
      <c r="R181" s="96">
        <v>284</v>
      </c>
      <c r="S181" s="96"/>
      <c r="T181" s="96">
        <v>358</v>
      </c>
      <c r="U181" s="96">
        <v>0.3</v>
      </c>
      <c r="V181" s="96"/>
      <c r="W181" s="96"/>
      <c r="X181" s="96"/>
      <c r="Y181" s="96"/>
      <c r="Z181" s="96">
        <v>1.05</v>
      </c>
      <c r="AA181" s="96">
        <v>0</v>
      </c>
      <c r="AB181" s="96">
        <v>2</v>
      </c>
      <c r="AC181" s="96">
        <v>0.1</v>
      </c>
      <c r="AD181" s="96">
        <v>0.6</v>
      </c>
      <c r="AE181" s="96">
        <v>0</v>
      </c>
      <c r="AF181" s="96">
        <v>2</v>
      </c>
      <c r="AG181" s="96">
        <v>0</v>
      </c>
      <c r="AH181" s="96">
        <v>0</v>
      </c>
      <c r="AI181" s="96"/>
      <c r="AJ181" s="96">
        <v>0.4</v>
      </c>
    </row>
    <row r="182" spans="1:36" s="95" customFormat="1" ht="32">
      <c r="A182" s="90"/>
      <c r="B182" s="91"/>
      <c r="C182" s="59" t="s">
        <v>676</v>
      </c>
      <c r="D182" s="92">
        <v>6016</v>
      </c>
      <c r="E182" s="93" t="s">
        <v>476</v>
      </c>
      <c r="F182" s="90"/>
      <c r="G182" s="94">
        <v>0</v>
      </c>
      <c r="H182" s="94"/>
      <c r="I182" s="94"/>
      <c r="J182" s="96">
        <v>25.8</v>
      </c>
      <c r="K182" s="96">
        <v>1.9</v>
      </c>
      <c r="L182" s="96">
        <v>8.3000000000000007</v>
      </c>
      <c r="M182" s="96">
        <v>9.1999999999999993</v>
      </c>
      <c r="N182" s="96">
        <v>0</v>
      </c>
      <c r="O182" s="94">
        <v>0</v>
      </c>
      <c r="P182" s="96"/>
      <c r="Q182" s="96">
        <v>54.8</v>
      </c>
      <c r="R182" s="96">
        <v>335</v>
      </c>
      <c r="S182" s="96"/>
      <c r="T182" s="96">
        <v>280</v>
      </c>
      <c r="U182" s="96">
        <v>0.2</v>
      </c>
      <c r="V182" s="96"/>
      <c r="W182" s="96"/>
      <c r="X182" s="96"/>
      <c r="Y182" s="96"/>
      <c r="Z182" s="96">
        <v>0.9</v>
      </c>
      <c r="AA182" s="96">
        <v>0</v>
      </c>
      <c r="AB182" s="96">
        <v>1</v>
      </c>
      <c r="AC182" s="96">
        <v>0.1</v>
      </c>
      <c r="AD182" s="96">
        <v>0.5</v>
      </c>
      <c r="AE182" s="96">
        <v>70</v>
      </c>
      <c r="AF182" s="96">
        <v>46</v>
      </c>
      <c r="AG182" s="96">
        <v>74</v>
      </c>
      <c r="AH182" s="96">
        <v>78</v>
      </c>
      <c r="AI182" s="96"/>
      <c r="AJ182" s="96">
        <v>0.4</v>
      </c>
    </row>
    <row r="183" spans="1:36" s="95" customFormat="1" ht="16">
      <c r="A183" s="90"/>
      <c r="B183" s="91"/>
      <c r="C183" s="59" t="s">
        <v>676</v>
      </c>
      <c r="D183" s="92">
        <v>6017</v>
      </c>
      <c r="E183" s="93" t="s">
        <v>479</v>
      </c>
      <c r="F183" s="90"/>
      <c r="G183" s="94">
        <v>0</v>
      </c>
      <c r="H183" s="94"/>
      <c r="I183" s="94"/>
      <c r="J183" s="96">
        <v>4.0999999999999996</v>
      </c>
      <c r="K183" s="96">
        <v>6.8</v>
      </c>
      <c r="L183" s="96">
        <v>37.200000000000003</v>
      </c>
      <c r="M183" s="96">
        <v>0.9</v>
      </c>
      <c r="N183" s="96">
        <v>0</v>
      </c>
      <c r="O183" s="94">
        <v>0</v>
      </c>
      <c r="P183" s="96"/>
      <c r="Q183" s="96">
        <v>51</v>
      </c>
      <c r="R183" s="96">
        <v>361</v>
      </c>
      <c r="S183" s="96"/>
      <c r="T183" s="96">
        <v>1290</v>
      </c>
      <c r="U183" s="96">
        <v>0.4</v>
      </c>
      <c r="V183" s="96"/>
      <c r="W183" s="96"/>
      <c r="X183" s="96"/>
      <c r="Y183" s="96"/>
      <c r="Z183" s="96">
        <v>3.83</v>
      </c>
      <c r="AA183" s="96">
        <v>54</v>
      </c>
      <c r="AB183" s="96">
        <v>2</v>
      </c>
      <c r="AC183" s="96">
        <v>0.45</v>
      </c>
      <c r="AD183" s="96">
        <v>1.64</v>
      </c>
      <c r="AE183" s="96">
        <v>4</v>
      </c>
      <c r="AF183" s="96">
        <v>7</v>
      </c>
      <c r="AG183" s="96">
        <v>5</v>
      </c>
      <c r="AH183" s="96">
        <v>5</v>
      </c>
      <c r="AI183" s="96"/>
      <c r="AJ183" s="96">
        <v>4</v>
      </c>
    </row>
    <row r="184" spans="1:36" s="95" customFormat="1" ht="16">
      <c r="A184" s="90"/>
      <c r="B184" s="91"/>
      <c r="C184" s="59" t="s">
        <v>676</v>
      </c>
      <c r="D184" s="92">
        <v>6018</v>
      </c>
      <c r="E184" s="93" t="s">
        <v>480</v>
      </c>
      <c r="F184" s="90"/>
      <c r="G184" s="94">
        <v>0</v>
      </c>
      <c r="H184" s="94"/>
      <c r="I184" s="94"/>
      <c r="J184" s="96">
        <v>3.2</v>
      </c>
      <c r="K184" s="96">
        <v>6</v>
      </c>
      <c r="L184" s="96">
        <v>26.1</v>
      </c>
      <c r="M184" s="96">
        <v>26.4</v>
      </c>
      <c r="N184" s="96">
        <v>0</v>
      </c>
      <c r="O184" s="94">
        <v>0</v>
      </c>
      <c r="P184" s="96"/>
      <c r="Q184" s="96">
        <v>38.4</v>
      </c>
      <c r="R184" s="96">
        <v>495</v>
      </c>
      <c r="S184" s="96"/>
      <c r="T184" s="96">
        <v>975</v>
      </c>
      <c r="U184" s="96">
        <v>0.5</v>
      </c>
      <c r="V184" s="96"/>
      <c r="W184" s="96"/>
      <c r="X184" s="96"/>
      <c r="Y184" s="96"/>
      <c r="Z184" s="96">
        <v>2.97</v>
      </c>
      <c r="AA184" s="96">
        <v>54</v>
      </c>
      <c r="AB184" s="96">
        <v>3</v>
      </c>
      <c r="AC184" s="96">
        <v>0.34</v>
      </c>
      <c r="AD184" s="96">
        <v>1.32</v>
      </c>
      <c r="AE184" s="96">
        <v>383</v>
      </c>
      <c r="AF184" s="96">
        <v>149</v>
      </c>
      <c r="AG184" s="96">
        <v>395</v>
      </c>
      <c r="AH184" s="96">
        <v>408</v>
      </c>
      <c r="AI184" s="96"/>
      <c r="AJ184" s="96">
        <v>3.2</v>
      </c>
    </row>
    <row r="185" spans="1:36" s="95" customFormat="1">
      <c r="A185" s="90"/>
      <c r="B185" s="91"/>
      <c r="C185" s="97"/>
      <c r="D185" s="92"/>
      <c r="E185" s="93"/>
      <c r="F185" s="90"/>
      <c r="G185" s="94"/>
      <c r="H185" s="94"/>
      <c r="I185" s="94"/>
      <c r="J185" s="96"/>
      <c r="K185" s="96"/>
      <c r="L185" s="96"/>
      <c r="M185" s="96"/>
      <c r="N185" s="96"/>
      <c r="O185" s="94"/>
      <c r="P185" s="96"/>
      <c r="Q185" s="96"/>
      <c r="R185" s="96"/>
      <c r="S185" s="96"/>
      <c r="T185" s="96"/>
      <c r="U185" s="96"/>
      <c r="V185" s="96"/>
      <c r="W185" s="96"/>
      <c r="X185" s="96"/>
      <c r="Y185" s="96"/>
      <c r="Z185" s="96"/>
      <c r="AA185" s="96"/>
      <c r="AB185" s="96"/>
      <c r="AC185" s="96"/>
      <c r="AD185" s="96"/>
      <c r="AE185" s="96"/>
      <c r="AF185" s="96"/>
      <c r="AG185" s="96"/>
      <c r="AH185" s="96"/>
      <c r="AI185" s="96"/>
      <c r="AJ185" s="96"/>
    </row>
    <row r="186" spans="1:36" s="84" customFormat="1" ht="32">
      <c r="A186" s="80">
        <v>407</v>
      </c>
      <c r="B186" s="81" t="s">
        <v>262</v>
      </c>
      <c r="C186" s="82"/>
      <c r="D186" s="80"/>
      <c r="E186" s="83"/>
      <c r="F186" s="80"/>
      <c r="G186" s="80">
        <f>AVERAGE(G181:G184)</f>
        <v>0</v>
      </c>
      <c r="H186" s="80"/>
      <c r="I186" s="80"/>
      <c r="J186" s="80">
        <f t="shared" ref="J186:O186" si="320">AVERAGE(J181:J184)</f>
        <v>15.025</v>
      </c>
      <c r="K186" s="80">
        <f t="shared" si="320"/>
        <v>4.2249999999999996</v>
      </c>
      <c r="L186" s="80">
        <f t="shared" si="320"/>
        <v>20.375</v>
      </c>
      <c r="M186" s="80">
        <f t="shared" si="320"/>
        <v>9.1749999999999989</v>
      </c>
      <c r="N186" s="80">
        <f t="shared" si="320"/>
        <v>0</v>
      </c>
      <c r="O186" s="80">
        <f t="shared" si="320"/>
        <v>0</v>
      </c>
      <c r="P186" s="80"/>
      <c r="Q186" s="80">
        <f>100-J186-K186-L186-M186-N186-O186</f>
        <v>51.2</v>
      </c>
      <c r="R186" s="80">
        <f t="shared" ref="R186" si="321">AVERAGE(R181:R184)</f>
        <v>368.75</v>
      </c>
      <c r="S186" s="80"/>
      <c r="T186" s="80">
        <f t="shared" ref="T186:AF186" si="322">AVERAGE(T181:T184)</f>
        <v>725.75</v>
      </c>
      <c r="U186" s="80">
        <f t="shared" si="322"/>
        <v>0.35</v>
      </c>
      <c r="V186" s="80"/>
      <c r="W186" s="80"/>
      <c r="X186" s="80"/>
      <c r="Y186" s="80"/>
      <c r="Z186" s="80">
        <f t="shared" si="322"/>
        <v>2.1875</v>
      </c>
      <c r="AA186" s="80">
        <f t="shared" si="322"/>
        <v>27</v>
      </c>
      <c r="AB186" s="80">
        <f t="shared" si="322"/>
        <v>2</v>
      </c>
      <c r="AC186" s="80">
        <f t="shared" si="322"/>
        <v>0.2475</v>
      </c>
      <c r="AD186" s="80">
        <f t="shared" si="322"/>
        <v>1.0150000000000001</v>
      </c>
      <c r="AE186" s="80">
        <f t="shared" si="322"/>
        <v>114.25</v>
      </c>
      <c r="AF186" s="80">
        <f t="shared" si="322"/>
        <v>51</v>
      </c>
      <c r="AG186" s="80">
        <f>+AE186+AF186/12</f>
        <v>118.5</v>
      </c>
      <c r="AH186" s="80">
        <f>+AE186+AF186/6</f>
        <v>122.75</v>
      </c>
      <c r="AI186" s="80"/>
      <c r="AJ186" s="80">
        <f>AVERAGE(AJ181:AJ184)</f>
        <v>2</v>
      </c>
    </row>
    <row r="187" spans="1:36">
      <c r="A187" s="3"/>
      <c r="B187" s="76"/>
      <c r="C187" s="16"/>
      <c r="D187" s="3"/>
      <c r="E187" s="77"/>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spans="1:36">
      <c r="A188" s="3"/>
      <c r="B188" s="76"/>
      <c r="C188" s="16"/>
      <c r="D188" s="3"/>
      <c r="E188" s="77"/>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spans="1:36" s="95" customFormat="1" ht="16">
      <c r="A189" s="90"/>
      <c r="B189" s="91"/>
      <c r="C189" s="59" t="s">
        <v>676</v>
      </c>
      <c r="D189" s="92">
        <v>6003</v>
      </c>
      <c r="E189" s="93" t="s">
        <v>482</v>
      </c>
      <c r="F189" s="90"/>
      <c r="G189" s="94">
        <v>0</v>
      </c>
      <c r="H189" s="94"/>
      <c r="I189" s="94"/>
      <c r="J189" s="96">
        <v>37</v>
      </c>
      <c r="K189" s="96">
        <v>3.8</v>
      </c>
      <c r="L189" s="96">
        <v>26</v>
      </c>
      <c r="M189" s="96">
        <v>32.799999999999997</v>
      </c>
      <c r="N189" s="96">
        <v>0</v>
      </c>
      <c r="O189" s="94">
        <v>0</v>
      </c>
      <c r="P189" s="96"/>
      <c r="Q189" s="96">
        <v>0.4</v>
      </c>
      <c r="R189" s="96">
        <v>401</v>
      </c>
      <c r="S189" s="96"/>
      <c r="T189" s="96">
        <v>800</v>
      </c>
      <c r="U189" s="96">
        <v>0.3</v>
      </c>
      <c r="V189" s="96"/>
      <c r="W189" s="96"/>
      <c r="X189" s="96"/>
      <c r="Y189" s="96"/>
      <c r="Z189" s="96">
        <v>3.55</v>
      </c>
      <c r="AA189" s="96">
        <v>52</v>
      </c>
      <c r="AB189" s="96">
        <v>1</v>
      </c>
      <c r="AC189" s="96">
        <v>0.04</v>
      </c>
      <c r="AD189" s="96">
        <v>0.5</v>
      </c>
      <c r="AE189" s="96">
        <v>159</v>
      </c>
      <c r="AF189" s="96">
        <v>87</v>
      </c>
      <c r="AG189" s="96">
        <v>166</v>
      </c>
      <c r="AH189" s="96">
        <v>174</v>
      </c>
      <c r="AI189" s="96"/>
      <c r="AJ189" s="96">
        <v>1.9</v>
      </c>
    </row>
    <row r="190" spans="1:36" s="95" customFormat="1" ht="16">
      <c r="A190" s="90"/>
      <c r="B190" s="91"/>
      <c r="C190" s="59" t="s">
        <v>676</v>
      </c>
      <c r="D190" s="92">
        <v>6004</v>
      </c>
      <c r="E190" s="93" t="s">
        <v>483</v>
      </c>
      <c r="F190" s="90"/>
      <c r="G190" s="94">
        <v>0</v>
      </c>
      <c r="H190" s="94"/>
      <c r="I190" s="94"/>
      <c r="J190" s="96">
        <v>79</v>
      </c>
      <c r="K190" s="96">
        <v>1.5</v>
      </c>
      <c r="L190" s="96">
        <v>13.3</v>
      </c>
      <c r="M190" s="96">
        <v>2.5</v>
      </c>
      <c r="N190" s="96">
        <v>0</v>
      </c>
      <c r="O190" s="94">
        <v>0</v>
      </c>
      <c r="P190" s="96"/>
      <c r="Q190" s="96">
        <v>3.8</v>
      </c>
      <c r="R190" s="96">
        <v>91</v>
      </c>
      <c r="S190" s="96"/>
      <c r="T190" s="96">
        <v>60</v>
      </c>
      <c r="U190" s="96">
        <v>0.1</v>
      </c>
      <c r="V190" s="96"/>
      <c r="W190" s="96"/>
      <c r="X190" s="96"/>
      <c r="Y190" s="96"/>
      <c r="Z190" s="96">
        <v>0.24</v>
      </c>
      <c r="AA190" s="96">
        <v>3</v>
      </c>
      <c r="AB190" s="96">
        <v>0</v>
      </c>
      <c r="AC190" s="96">
        <v>0.05</v>
      </c>
      <c r="AD190" s="96">
        <v>0.2</v>
      </c>
      <c r="AE190" s="96">
        <v>30</v>
      </c>
      <c r="AF190" s="96">
        <v>44</v>
      </c>
      <c r="AG190" s="96">
        <v>34</v>
      </c>
      <c r="AH190" s="96">
        <v>37</v>
      </c>
      <c r="AI190" s="96"/>
      <c r="AJ190" s="96">
        <v>0.6</v>
      </c>
    </row>
    <row r="191" spans="1:36" s="95" customFormat="1" ht="16">
      <c r="A191" s="90"/>
      <c r="B191" s="91"/>
      <c r="C191" s="59" t="s">
        <v>676</v>
      </c>
      <c r="D191" s="92">
        <v>6005</v>
      </c>
      <c r="E191" s="93" t="s">
        <v>484</v>
      </c>
      <c r="F191" s="90"/>
      <c r="G191" s="94">
        <v>0</v>
      </c>
      <c r="H191" s="94"/>
      <c r="I191" s="94"/>
      <c r="J191" s="96">
        <v>75.400000000000006</v>
      </c>
      <c r="K191" s="96">
        <v>1.4</v>
      </c>
      <c r="L191" s="96">
        <v>15.4</v>
      </c>
      <c r="M191" s="96">
        <v>5.7</v>
      </c>
      <c r="N191" s="96">
        <v>0</v>
      </c>
      <c r="O191" s="94">
        <v>0</v>
      </c>
      <c r="P191" s="96"/>
      <c r="Q191" s="96">
        <v>2.1</v>
      </c>
      <c r="R191" s="96">
        <v>121</v>
      </c>
      <c r="S191" s="96"/>
      <c r="T191" s="96">
        <v>89</v>
      </c>
      <c r="U191" s="96">
        <v>0.1</v>
      </c>
      <c r="V191" s="96"/>
      <c r="W191" s="96"/>
      <c r="X191" s="96"/>
      <c r="Y191" s="96"/>
      <c r="Z191" s="96">
        <v>0.24</v>
      </c>
      <c r="AA191" s="96">
        <v>3</v>
      </c>
      <c r="AB191" s="96">
        <v>0</v>
      </c>
      <c r="AC191" s="96">
        <v>0.05</v>
      </c>
      <c r="AD191" s="96">
        <v>0.28999999999999998</v>
      </c>
      <c r="AE191" s="96">
        <v>31</v>
      </c>
      <c r="AF191" s="96">
        <v>44</v>
      </c>
      <c r="AG191" s="96">
        <v>35</v>
      </c>
      <c r="AH191" s="96">
        <v>38</v>
      </c>
      <c r="AI191" s="96"/>
      <c r="AJ191" s="96">
        <v>0.6</v>
      </c>
    </row>
    <row r="192" spans="1:36" s="95" customFormat="1" ht="16">
      <c r="A192" s="90"/>
      <c r="B192" s="91"/>
      <c r="C192" s="59" t="s">
        <v>676</v>
      </c>
      <c r="D192" s="92">
        <v>6006</v>
      </c>
      <c r="E192" s="93" t="s">
        <v>481</v>
      </c>
      <c r="F192" s="90"/>
      <c r="G192" s="94">
        <v>0</v>
      </c>
      <c r="H192" s="94"/>
      <c r="I192" s="94"/>
      <c r="J192" s="96">
        <v>73.599999999999994</v>
      </c>
      <c r="K192" s="96">
        <v>1.2</v>
      </c>
      <c r="L192" s="96">
        <v>13.7</v>
      </c>
      <c r="M192" s="96">
        <v>4.3</v>
      </c>
      <c r="N192" s="96">
        <v>0</v>
      </c>
      <c r="O192" s="94">
        <v>0</v>
      </c>
      <c r="P192" s="96"/>
      <c r="Q192" s="96">
        <v>7.2</v>
      </c>
      <c r="R192" s="96">
        <v>122</v>
      </c>
      <c r="S192" s="96"/>
      <c r="T192" s="96">
        <v>112</v>
      </c>
      <c r="U192" s="96">
        <v>0.7</v>
      </c>
      <c r="V192" s="96"/>
      <c r="W192" s="96"/>
      <c r="X192" s="96"/>
      <c r="Y192" s="96"/>
      <c r="Z192" s="96">
        <v>0.4</v>
      </c>
      <c r="AA192" s="96">
        <v>12</v>
      </c>
      <c r="AB192" s="96">
        <v>0</v>
      </c>
      <c r="AC192" s="96">
        <v>0.03</v>
      </c>
      <c r="AD192" s="96">
        <v>0.27</v>
      </c>
      <c r="AE192" s="96">
        <v>36</v>
      </c>
      <c r="AF192" s="96">
        <v>12</v>
      </c>
      <c r="AG192" s="96">
        <v>37</v>
      </c>
      <c r="AH192" s="96">
        <v>38</v>
      </c>
      <c r="AI192" s="96"/>
      <c r="AJ192" s="96">
        <v>0.43</v>
      </c>
    </row>
    <row r="193" spans="1:36" s="95" customFormat="1">
      <c r="A193" s="90"/>
      <c r="B193" s="91"/>
      <c r="C193" s="97"/>
      <c r="D193" s="92"/>
      <c r="E193" s="93"/>
      <c r="F193" s="90"/>
      <c r="G193" s="94"/>
      <c r="H193" s="94"/>
      <c r="I193" s="94"/>
      <c r="J193" s="96"/>
      <c r="K193" s="96"/>
      <c r="L193" s="96"/>
      <c r="M193" s="96"/>
      <c r="N193" s="96"/>
      <c r="O193" s="94"/>
      <c r="P193" s="96"/>
      <c r="Q193" s="96"/>
      <c r="R193" s="96"/>
      <c r="S193" s="96"/>
      <c r="T193" s="96"/>
      <c r="U193" s="96"/>
      <c r="V193" s="96"/>
      <c r="W193" s="96"/>
      <c r="X193" s="96"/>
      <c r="Y193" s="96"/>
      <c r="Z193" s="96"/>
      <c r="AA193" s="96"/>
      <c r="AB193" s="96"/>
      <c r="AC193" s="96"/>
      <c r="AD193" s="96"/>
      <c r="AE193" s="96"/>
      <c r="AF193" s="96"/>
      <c r="AG193" s="96"/>
      <c r="AH193" s="96"/>
      <c r="AI193" s="96"/>
      <c r="AJ193" s="96"/>
    </row>
    <row r="194" spans="1:36" s="84" customFormat="1" ht="16">
      <c r="A194" s="80">
        <v>412</v>
      </c>
      <c r="B194" s="81" t="s">
        <v>267</v>
      </c>
      <c r="C194" s="82"/>
      <c r="D194" s="80"/>
      <c r="E194" s="83"/>
      <c r="F194" s="80"/>
      <c r="G194" s="80">
        <f>AVERAGE(G189:G192)</f>
        <v>0</v>
      </c>
      <c r="H194" s="80"/>
      <c r="I194" s="80"/>
      <c r="J194" s="80">
        <f t="shared" ref="J194:O194" si="323">AVERAGE(J189:J192)</f>
        <v>66.25</v>
      </c>
      <c r="K194" s="80">
        <f t="shared" si="323"/>
        <v>1.9749999999999999</v>
      </c>
      <c r="L194" s="80">
        <f t="shared" si="323"/>
        <v>17.099999999999998</v>
      </c>
      <c r="M194" s="80">
        <f t="shared" si="323"/>
        <v>11.324999999999999</v>
      </c>
      <c r="N194" s="80">
        <f t="shared" si="323"/>
        <v>0</v>
      </c>
      <c r="O194" s="80">
        <f t="shared" si="323"/>
        <v>0</v>
      </c>
      <c r="P194" s="80"/>
      <c r="Q194" s="80">
        <f>100-J194-K194-L194-M194-N194-O194</f>
        <v>3.3500000000000014</v>
      </c>
      <c r="R194" s="80">
        <f t="shared" ref="R194" si="324">AVERAGE(R189:R192)</f>
        <v>183.75</v>
      </c>
      <c r="S194" s="80"/>
      <c r="T194" s="80">
        <f t="shared" ref="T194:AF194" si="325">AVERAGE(T189:T192)</f>
        <v>265.25</v>
      </c>
      <c r="U194" s="80">
        <f t="shared" si="325"/>
        <v>0.3</v>
      </c>
      <c r="V194" s="80"/>
      <c r="W194" s="80"/>
      <c r="X194" s="80"/>
      <c r="Y194" s="80"/>
      <c r="Z194" s="80">
        <f t="shared" si="325"/>
        <v>1.1075000000000002</v>
      </c>
      <c r="AA194" s="80">
        <f t="shared" si="325"/>
        <v>17.5</v>
      </c>
      <c r="AB194" s="80">
        <f t="shared" si="325"/>
        <v>0.25</v>
      </c>
      <c r="AC194" s="80">
        <f t="shared" si="325"/>
        <v>4.2500000000000003E-2</v>
      </c>
      <c r="AD194" s="80">
        <f t="shared" si="325"/>
        <v>0.315</v>
      </c>
      <c r="AE194" s="80">
        <f t="shared" si="325"/>
        <v>64</v>
      </c>
      <c r="AF194" s="80">
        <f t="shared" si="325"/>
        <v>46.75</v>
      </c>
      <c r="AG194" s="80">
        <f>+AE194+AF194/12</f>
        <v>67.895833333333329</v>
      </c>
      <c r="AH194" s="80">
        <f>+AE194+AF194/6</f>
        <v>71.791666666666671</v>
      </c>
      <c r="AI194" s="80"/>
      <c r="AJ194" s="80">
        <f>AVERAGE(AJ189:AJ192)</f>
        <v>0.88250000000000006</v>
      </c>
    </row>
    <row r="195" spans="1:36">
      <c r="A195" s="3"/>
      <c r="B195" s="76"/>
      <c r="C195" s="16"/>
      <c r="D195" s="3"/>
      <c r="E195" s="77"/>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spans="1:36" s="95" customFormat="1" ht="16">
      <c r="A196" s="90"/>
      <c r="B196" s="91"/>
      <c r="C196" s="59" t="s">
        <v>676</v>
      </c>
      <c r="D196" s="92">
        <v>9004</v>
      </c>
      <c r="E196" s="93" t="s">
        <v>487</v>
      </c>
      <c r="F196" s="90"/>
      <c r="G196" s="94">
        <v>0</v>
      </c>
      <c r="H196" s="94"/>
      <c r="I196" s="94"/>
      <c r="J196" s="96">
        <v>78.8</v>
      </c>
      <c r="K196" s="96">
        <v>1.3</v>
      </c>
      <c r="L196" s="96">
        <v>0</v>
      </c>
      <c r="M196" s="96">
        <v>19.5</v>
      </c>
      <c r="N196" s="96">
        <v>0</v>
      </c>
      <c r="O196" s="94">
        <v>0</v>
      </c>
      <c r="P196" s="96"/>
      <c r="Q196" s="96">
        <v>0.4</v>
      </c>
      <c r="R196" s="96">
        <v>177</v>
      </c>
      <c r="S196" s="96"/>
      <c r="T196" s="96">
        <v>0</v>
      </c>
      <c r="U196" s="96">
        <v>0</v>
      </c>
      <c r="V196" s="96"/>
      <c r="W196" s="96"/>
      <c r="X196" s="96"/>
      <c r="Y196" s="96"/>
      <c r="Z196" s="96">
        <v>0</v>
      </c>
      <c r="AA196" s="96">
        <v>0</v>
      </c>
      <c r="AB196" s="96">
        <v>0</v>
      </c>
      <c r="AC196" s="96">
        <v>0</v>
      </c>
      <c r="AD196" s="96">
        <v>0</v>
      </c>
      <c r="AE196" s="96">
        <v>768</v>
      </c>
      <c r="AF196" s="96">
        <v>610</v>
      </c>
      <c r="AG196" s="96">
        <v>819</v>
      </c>
      <c r="AH196" s="96">
        <v>870</v>
      </c>
      <c r="AI196" s="96"/>
      <c r="AJ196" s="96">
        <v>0</v>
      </c>
    </row>
    <row r="197" spans="1:36" s="95" customFormat="1" ht="16">
      <c r="A197" s="90"/>
      <c r="B197" s="91"/>
      <c r="C197" s="59" t="s">
        <v>676</v>
      </c>
      <c r="D197" s="92">
        <v>9005</v>
      </c>
      <c r="E197" s="93" t="s">
        <v>488</v>
      </c>
      <c r="F197" s="90"/>
      <c r="G197" s="94">
        <v>0</v>
      </c>
      <c r="H197" s="94"/>
      <c r="I197" s="94"/>
      <c r="J197" s="96">
        <v>37.700000000000003</v>
      </c>
      <c r="K197" s="96">
        <v>1.7</v>
      </c>
      <c r="L197" s="96">
        <v>0.3</v>
      </c>
      <c r="M197" s="96">
        <v>59.8</v>
      </c>
      <c r="N197" s="96">
        <v>0</v>
      </c>
      <c r="O197" s="94">
        <v>0</v>
      </c>
      <c r="P197" s="96"/>
      <c r="Q197" s="96">
        <v>0.5</v>
      </c>
      <c r="R197" s="96">
        <v>541</v>
      </c>
      <c r="S197" s="96"/>
      <c r="T197" s="96">
        <v>21</v>
      </c>
      <c r="U197" s="96">
        <v>0</v>
      </c>
      <c r="V197" s="96"/>
      <c r="W197" s="96"/>
      <c r="X197" s="96"/>
      <c r="Y197" s="96"/>
      <c r="Z197" s="96">
        <v>0</v>
      </c>
      <c r="AA197" s="96">
        <v>1</v>
      </c>
      <c r="AB197" s="96">
        <v>0.1</v>
      </c>
      <c r="AC197" s="96">
        <v>0.01</v>
      </c>
      <c r="AD197" s="96">
        <v>0.03</v>
      </c>
      <c r="AE197" s="96">
        <v>768</v>
      </c>
      <c r="AF197" s="96">
        <v>610</v>
      </c>
      <c r="AG197" s="96">
        <v>819</v>
      </c>
      <c r="AH197" s="96">
        <v>870</v>
      </c>
      <c r="AI197" s="96"/>
      <c r="AJ197" s="96">
        <v>3.65</v>
      </c>
    </row>
    <row r="198" spans="1:36" s="95" customFormat="1" ht="16">
      <c r="A198" s="90"/>
      <c r="B198" s="91"/>
      <c r="C198" s="59" t="s">
        <v>676</v>
      </c>
      <c r="D198" s="92">
        <v>9006</v>
      </c>
      <c r="E198" s="93" t="s">
        <v>489</v>
      </c>
      <c r="F198" s="90"/>
      <c r="G198" s="94">
        <v>0</v>
      </c>
      <c r="H198" s="94"/>
      <c r="I198" s="94"/>
      <c r="J198" s="96">
        <v>15</v>
      </c>
      <c r="K198" s="96">
        <v>1.9</v>
      </c>
      <c r="L198" s="96">
        <v>0.1</v>
      </c>
      <c r="M198" s="96">
        <v>83</v>
      </c>
      <c r="N198" s="96">
        <v>0</v>
      </c>
      <c r="O198" s="94">
        <v>0</v>
      </c>
      <c r="P198" s="96"/>
      <c r="Q198" s="96">
        <v>0</v>
      </c>
      <c r="R198" s="96">
        <v>748</v>
      </c>
      <c r="S198" s="96"/>
      <c r="T198" s="96">
        <v>10</v>
      </c>
      <c r="U198" s="96">
        <v>0</v>
      </c>
      <c r="V198" s="96"/>
      <c r="W198" s="96"/>
      <c r="X198" s="96"/>
      <c r="Y198" s="96"/>
      <c r="Z198" s="96">
        <v>0</v>
      </c>
      <c r="AA198" s="96">
        <v>1</v>
      </c>
      <c r="AB198" s="96">
        <v>0.15</v>
      </c>
      <c r="AC198" s="96">
        <v>0</v>
      </c>
      <c r="AD198" s="96">
        <v>0</v>
      </c>
      <c r="AE198" s="96">
        <v>768</v>
      </c>
      <c r="AF198" s="96">
        <v>610</v>
      </c>
      <c r="AG198" s="96">
        <v>819</v>
      </c>
      <c r="AH198" s="96">
        <v>870</v>
      </c>
      <c r="AI198" s="96"/>
      <c r="AJ198" s="96">
        <v>0.06</v>
      </c>
    </row>
    <row r="199" spans="1:36" s="95" customFormat="1">
      <c r="A199" s="90"/>
      <c r="B199" s="91"/>
      <c r="C199" s="97"/>
      <c r="D199" s="92"/>
      <c r="E199" s="93"/>
      <c r="F199" s="90"/>
      <c r="G199" s="94"/>
      <c r="H199" s="94"/>
      <c r="I199" s="94"/>
      <c r="J199" s="96"/>
      <c r="K199" s="96"/>
      <c r="L199" s="96"/>
      <c r="M199" s="96"/>
      <c r="N199" s="96"/>
      <c r="O199" s="94"/>
      <c r="P199" s="96"/>
      <c r="Q199" s="96"/>
      <c r="R199" s="96"/>
      <c r="S199" s="96"/>
      <c r="T199" s="96"/>
      <c r="U199" s="96"/>
      <c r="V199" s="96"/>
      <c r="W199" s="96"/>
      <c r="X199" s="96"/>
      <c r="Y199" s="96"/>
      <c r="Z199" s="96"/>
      <c r="AA199" s="96"/>
      <c r="AB199" s="96"/>
      <c r="AC199" s="96"/>
      <c r="AD199" s="96"/>
      <c r="AE199" s="96"/>
      <c r="AF199" s="96"/>
      <c r="AG199" s="96"/>
      <c r="AH199" s="96"/>
      <c r="AI199" s="96"/>
      <c r="AJ199" s="96"/>
    </row>
    <row r="200" spans="1:36" s="84" customFormat="1" ht="16">
      <c r="A200" s="80">
        <v>503</v>
      </c>
      <c r="B200" s="81" t="s">
        <v>272</v>
      </c>
      <c r="C200" s="82"/>
      <c r="D200" s="80"/>
      <c r="E200" s="83"/>
      <c r="F200" s="80"/>
      <c r="G200" s="80">
        <f>AVERAGE(G196:G198)</f>
        <v>0</v>
      </c>
      <c r="H200" s="80"/>
      <c r="I200" s="80"/>
      <c r="J200" s="80">
        <f t="shared" ref="J200" si="326">AVERAGE(J196:J198)</f>
        <v>43.833333333333336</v>
      </c>
      <c r="K200" s="80">
        <f t="shared" ref="K200" si="327">AVERAGE(K196:K198)</f>
        <v>1.6333333333333335</v>
      </c>
      <c r="L200" s="80">
        <f t="shared" ref="L200" si="328">AVERAGE(L196:L198)</f>
        <v>0.13333333333333333</v>
      </c>
      <c r="M200" s="80">
        <f t="shared" ref="M200" si="329">AVERAGE(M196:M198)</f>
        <v>54.1</v>
      </c>
      <c r="N200" s="80">
        <f t="shared" ref="N200" si="330">AVERAGE(N196:N198)</f>
        <v>0</v>
      </c>
      <c r="O200" s="80">
        <f t="shared" ref="O200" si="331">AVERAGE(O196:O198)</f>
        <v>0</v>
      </c>
      <c r="P200" s="80"/>
      <c r="Q200" s="80">
        <f>100-J200-K200-L200-M200-N200-O200</f>
        <v>0.29999999999999716</v>
      </c>
      <c r="R200" s="80">
        <f t="shared" ref="R200" si="332">AVERAGE(R196:R198)</f>
        <v>488.66666666666669</v>
      </c>
      <c r="S200" s="80"/>
      <c r="T200" s="80">
        <f t="shared" ref="T200" si="333">AVERAGE(T196:T198)</f>
        <v>10.333333333333334</v>
      </c>
      <c r="U200" s="80">
        <f t="shared" ref="U200" si="334">AVERAGE(U196:U198)</f>
        <v>0</v>
      </c>
      <c r="V200" s="80"/>
      <c r="W200" s="80"/>
      <c r="X200" s="80"/>
      <c r="Y200" s="80"/>
      <c r="Z200" s="80">
        <f t="shared" ref="Z200" si="335">AVERAGE(Z196:Z198)</f>
        <v>0</v>
      </c>
      <c r="AA200" s="80">
        <f t="shared" ref="AA200" si="336">AVERAGE(AA196:AA198)</f>
        <v>0.66666666666666663</v>
      </c>
      <c r="AB200" s="80">
        <f t="shared" ref="AB200" si="337">AVERAGE(AB196:AB198)</f>
        <v>8.3333333333333329E-2</v>
      </c>
      <c r="AC200" s="80">
        <f t="shared" ref="AC200" si="338">AVERAGE(AC196:AC198)</f>
        <v>3.3333333333333335E-3</v>
      </c>
      <c r="AD200" s="80">
        <f t="shared" ref="AD200" si="339">AVERAGE(AD196:AD198)</f>
        <v>0.01</v>
      </c>
      <c r="AE200" s="80">
        <f t="shared" ref="AE200" si="340">AVERAGE(AE196:AE198)</f>
        <v>768</v>
      </c>
      <c r="AF200" s="80">
        <f t="shared" ref="AF200" si="341">AVERAGE(AF196:AF198)</f>
        <v>610</v>
      </c>
      <c r="AG200" s="80">
        <f>+AE200+AF200/12</f>
        <v>818.83333333333337</v>
      </c>
      <c r="AH200" s="80">
        <f>+AE200+AF200/6</f>
        <v>869.66666666666663</v>
      </c>
      <c r="AI200" s="80"/>
      <c r="AJ200" s="80">
        <f t="shared" ref="AJ200" si="342">AVERAGE(AJ196:AJ198)</f>
        <v>1.2366666666666666</v>
      </c>
    </row>
    <row r="201" spans="1:36">
      <c r="A201" s="3"/>
      <c r="B201" s="76"/>
      <c r="C201" s="16"/>
      <c r="D201" s="3"/>
      <c r="E201" s="77"/>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spans="1:36">
      <c r="A202" s="3"/>
      <c r="B202" s="76"/>
      <c r="C202" s="16"/>
      <c r="D202" s="3"/>
      <c r="E202" s="77"/>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spans="1:36" s="95" customFormat="1" ht="16">
      <c r="A203" s="90"/>
      <c r="B203" s="91"/>
      <c r="C203" s="59" t="s">
        <v>676</v>
      </c>
      <c r="D203" s="92">
        <v>9002</v>
      </c>
      <c r="E203" s="93" t="s">
        <v>490</v>
      </c>
      <c r="F203" s="90"/>
      <c r="G203" s="94">
        <v>0</v>
      </c>
      <c r="H203" s="94"/>
      <c r="I203" s="94"/>
      <c r="J203" s="96">
        <v>0</v>
      </c>
      <c r="K203" s="96">
        <v>0</v>
      </c>
      <c r="L203" s="96">
        <v>0</v>
      </c>
      <c r="M203" s="96">
        <v>99.9</v>
      </c>
      <c r="N203" s="96">
        <v>0</v>
      </c>
      <c r="O203" s="94">
        <v>0</v>
      </c>
      <c r="P203" s="96"/>
      <c r="Q203" s="96">
        <v>0.1</v>
      </c>
      <c r="R203" s="96">
        <v>900</v>
      </c>
      <c r="S203" s="96"/>
      <c r="T203" s="96">
        <v>0</v>
      </c>
      <c r="U203" s="96">
        <v>0</v>
      </c>
      <c r="V203" s="96"/>
      <c r="W203" s="96"/>
      <c r="X203" s="96"/>
      <c r="Y203" s="96"/>
      <c r="Z203" s="96">
        <v>0.01</v>
      </c>
      <c r="AA203" s="96">
        <v>0</v>
      </c>
      <c r="AB203" s="96">
        <v>0</v>
      </c>
      <c r="AC203" s="96">
        <v>0</v>
      </c>
      <c r="AD203" s="96">
        <v>0</v>
      </c>
      <c r="AE203" s="96">
        <v>6.38</v>
      </c>
      <c r="AF203" s="96">
        <v>0</v>
      </c>
      <c r="AG203" s="96">
        <v>6</v>
      </c>
      <c r="AH203" s="96">
        <v>6</v>
      </c>
      <c r="AI203" s="96"/>
      <c r="AJ203" s="96">
        <v>0</v>
      </c>
    </row>
    <row r="204" spans="1:36" s="95" customFormat="1" ht="16">
      <c r="A204" s="90"/>
      <c r="B204" s="91"/>
      <c r="C204" s="59" t="s">
        <v>676</v>
      </c>
      <c r="D204" s="92">
        <v>9009</v>
      </c>
      <c r="E204" s="93" t="s">
        <v>493</v>
      </c>
      <c r="F204" s="90"/>
      <c r="G204" s="94">
        <v>0</v>
      </c>
      <c r="H204" s="94"/>
      <c r="I204" s="94"/>
      <c r="J204" s="96">
        <v>0</v>
      </c>
      <c r="K204" s="96">
        <v>0</v>
      </c>
      <c r="L204" s="96">
        <v>0</v>
      </c>
      <c r="M204" s="96">
        <v>100</v>
      </c>
      <c r="N204" s="96">
        <v>0</v>
      </c>
      <c r="O204" s="94">
        <v>0</v>
      </c>
      <c r="P204" s="96"/>
      <c r="Q204" s="96">
        <v>0</v>
      </c>
      <c r="R204" s="96">
        <v>900</v>
      </c>
      <c r="S204" s="96"/>
      <c r="T204" s="96">
        <v>0</v>
      </c>
      <c r="U204" s="96">
        <v>0.1</v>
      </c>
      <c r="V204" s="96"/>
      <c r="W204" s="96"/>
      <c r="X204" s="96"/>
      <c r="Y204" s="96"/>
      <c r="Z204" s="96">
        <v>0.1</v>
      </c>
      <c r="AA204" s="96">
        <v>0</v>
      </c>
      <c r="AB204" s="96">
        <v>0</v>
      </c>
      <c r="AC204" s="96">
        <v>0</v>
      </c>
      <c r="AD204" s="96">
        <v>0</v>
      </c>
      <c r="AE204" s="96">
        <v>0</v>
      </c>
      <c r="AF204" s="96">
        <v>0</v>
      </c>
      <c r="AG204" s="96">
        <v>0</v>
      </c>
      <c r="AH204" s="96">
        <v>0</v>
      </c>
      <c r="AI204" s="96"/>
      <c r="AJ204" s="96">
        <v>0</v>
      </c>
    </row>
    <row r="205" spans="1:36" s="95" customFormat="1" ht="16">
      <c r="A205" s="90"/>
      <c r="B205" s="91"/>
      <c r="C205" s="59" t="s">
        <v>676</v>
      </c>
      <c r="D205" s="92">
        <v>9011</v>
      </c>
      <c r="E205" s="93" t="s">
        <v>494</v>
      </c>
      <c r="F205" s="90"/>
      <c r="G205" s="94">
        <v>0</v>
      </c>
      <c r="H205" s="94"/>
      <c r="I205" s="94"/>
      <c r="J205" s="96">
        <v>0</v>
      </c>
      <c r="K205" s="96">
        <v>0</v>
      </c>
      <c r="L205" s="96">
        <v>0.1</v>
      </c>
      <c r="M205" s="96">
        <v>100</v>
      </c>
      <c r="N205" s="96">
        <v>0</v>
      </c>
      <c r="O205" s="94">
        <v>0</v>
      </c>
      <c r="P205" s="96"/>
      <c r="Q205" s="96">
        <v>0</v>
      </c>
      <c r="R205" s="96">
        <v>900</v>
      </c>
      <c r="S205" s="96"/>
      <c r="T205" s="96">
        <v>1</v>
      </c>
      <c r="U205" s="96">
        <v>0</v>
      </c>
      <c r="V205" s="96"/>
      <c r="W205" s="96"/>
      <c r="X205" s="96"/>
      <c r="Y205" s="96"/>
      <c r="Z205" s="96">
        <v>0.02</v>
      </c>
      <c r="AA205" s="96">
        <v>0</v>
      </c>
      <c r="AB205" s="96">
        <v>0</v>
      </c>
      <c r="AC205" s="96">
        <v>0</v>
      </c>
      <c r="AD205" s="96">
        <v>0</v>
      </c>
      <c r="AE205" s="96">
        <v>0</v>
      </c>
      <c r="AF205" s="96">
        <v>0</v>
      </c>
      <c r="AG205" s="96">
        <v>0</v>
      </c>
      <c r="AH205" s="96">
        <v>0</v>
      </c>
      <c r="AI205" s="96"/>
      <c r="AJ205" s="96">
        <v>0</v>
      </c>
    </row>
    <row r="206" spans="1:36" s="95" customFormat="1" ht="16">
      <c r="A206" s="90"/>
      <c r="B206" s="91"/>
      <c r="C206" s="59" t="s">
        <v>676</v>
      </c>
      <c r="D206" s="92">
        <v>9013</v>
      </c>
      <c r="E206" s="93" t="s">
        <v>495</v>
      </c>
      <c r="F206" s="90"/>
      <c r="G206" s="94">
        <v>0</v>
      </c>
      <c r="H206" s="94"/>
      <c r="I206" s="94"/>
      <c r="J206" s="96">
        <v>0</v>
      </c>
      <c r="K206" s="96">
        <v>0</v>
      </c>
      <c r="L206" s="96">
        <v>0</v>
      </c>
      <c r="M206" s="96">
        <v>100</v>
      </c>
      <c r="N206" s="96">
        <v>0</v>
      </c>
      <c r="O206" s="94">
        <v>0</v>
      </c>
      <c r="P206" s="96"/>
      <c r="Q206" s="96">
        <v>0</v>
      </c>
      <c r="R206" s="96">
        <v>900</v>
      </c>
      <c r="S206" s="96"/>
      <c r="T206" s="96">
        <v>0</v>
      </c>
      <c r="U206" s="96">
        <v>0</v>
      </c>
      <c r="V206" s="96"/>
      <c r="W206" s="96"/>
      <c r="X206" s="96"/>
      <c r="Y206" s="96"/>
      <c r="Z206" s="96">
        <v>0.01</v>
      </c>
      <c r="AA206" s="96">
        <v>0</v>
      </c>
      <c r="AB206" s="96">
        <v>0</v>
      </c>
      <c r="AC206" s="96">
        <v>0</v>
      </c>
      <c r="AD206" s="96">
        <v>0</v>
      </c>
      <c r="AE206" s="96">
        <v>0</v>
      </c>
      <c r="AF206" s="96">
        <v>0</v>
      </c>
      <c r="AG206" s="96">
        <v>0</v>
      </c>
      <c r="AH206" s="96">
        <v>0</v>
      </c>
      <c r="AI206" s="96"/>
      <c r="AJ206" s="96">
        <v>0</v>
      </c>
    </row>
    <row r="207" spans="1:36" s="95" customFormat="1">
      <c r="A207" s="90"/>
      <c r="B207" s="91"/>
      <c r="C207" s="97"/>
      <c r="D207" s="92"/>
      <c r="E207" s="93"/>
      <c r="F207" s="90"/>
      <c r="G207" s="94"/>
      <c r="H207" s="94"/>
      <c r="I207" s="94"/>
      <c r="J207" s="96"/>
      <c r="K207" s="96"/>
      <c r="L207" s="96"/>
      <c r="M207" s="96"/>
      <c r="N207" s="96"/>
      <c r="O207" s="94"/>
      <c r="P207" s="96"/>
      <c r="Q207" s="96"/>
      <c r="R207" s="96"/>
      <c r="S207" s="96"/>
      <c r="T207" s="96"/>
      <c r="U207" s="96"/>
      <c r="V207" s="96"/>
      <c r="W207" s="96"/>
      <c r="X207" s="96"/>
      <c r="Y207" s="96"/>
      <c r="Z207" s="96"/>
      <c r="AA207" s="96"/>
      <c r="AB207" s="96"/>
      <c r="AC207" s="96"/>
      <c r="AD207" s="96"/>
      <c r="AE207" s="96"/>
      <c r="AF207" s="96"/>
      <c r="AG207" s="96"/>
      <c r="AH207" s="96"/>
      <c r="AI207" s="96"/>
      <c r="AJ207" s="96"/>
    </row>
    <row r="208" spans="1:36" s="84" customFormat="1" ht="16">
      <c r="A208" s="80">
        <v>506</v>
      </c>
      <c r="B208" s="81" t="s">
        <v>275</v>
      </c>
      <c r="C208" s="82"/>
      <c r="D208" s="80"/>
      <c r="E208" s="83"/>
      <c r="F208" s="80"/>
      <c r="G208" s="80">
        <f>AVERAGE(G203:G206)</f>
        <v>0</v>
      </c>
      <c r="H208" s="80"/>
      <c r="I208" s="80"/>
      <c r="J208" s="80">
        <f t="shared" ref="J208:O208" si="343">AVERAGE(J203:J206)</f>
        <v>0</v>
      </c>
      <c r="K208" s="80">
        <f t="shared" si="343"/>
        <v>0</v>
      </c>
      <c r="L208" s="80">
        <f t="shared" si="343"/>
        <v>2.5000000000000001E-2</v>
      </c>
      <c r="M208" s="80">
        <f t="shared" si="343"/>
        <v>99.974999999999994</v>
      </c>
      <c r="N208" s="80">
        <f t="shared" si="343"/>
        <v>0</v>
      </c>
      <c r="O208" s="80">
        <f t="shared" si="343"/>
        <v>0</v>
      </c>
      <c r="P208" s="80"/>
      <c r="Q208" s="80">
        <v>0</v>
      </c>
      <c r="R208" s="80">
        <f>AVERAGE(R203:R206)</f>
        <v>900</v>
      </c>
      <c r="S208" s="80"/>
      <c r="T208" s="80">
        <f>AVERAGE(T203:T206)</f>
        <v>0.25</v>
      </c>
      <c r="U208" s="80">
        <f>AVERAGE(U203:U206)</f>
        <v>2.5000000000000001E-2</v>
      </c>
      <c r="V208" s="80"/>
      <c r="W208" s="80"/>
      <c r="X208" s="80"/>
      <c r="Y208" s="80"/>
      <c r="Z208" s="80">
        <f t="shared" ref="Z208:AF208" si="344">AVERAGE(Z203:Z206)</f>
        <v>3.5000000000000003E-2</v>
      </c>
      <c r="AA208" s="80">
        <f t="shared" si="344"/>
        <v>0</v>
      </c>
      <c r="AB208" s="80">
        <f t="shared" si="344"/>
        <v>0</v>
      </c>
      <c r="AC208" s="80">
        <f t="shared" si="344"/>
        <v>0</v>
      </c>
      <c r="AD208" s="80">
        <f t="shared" si="344"/>
        <v>0</v>
      </c>
      <c r="AE208" s="80">
        <f t="shared" si="344"/>
        <v>1.595</v>
      </c>
      <c r="AF208" s="80">
        <f t="shared" si="344"/>
        <v>0</v>
      </c>
      <c r="AG208" s="80">
        <f>+AE208+AF208/12</f>
        <v>1.595</v>
      </c>
      <c r="AH208" s="80">
        <f>+AE208+AF208/6</f>
        <v>1.595</v>
      </c>
      <c r="AI208" s="80"/>
      <c r="AJ208" s="80">
        <f>AVERAGE(AJ203:AJ206)</f>
        <v>0</v>
      </c>
    </row>
    <row r="209" spans="1:36">
      <c r="A209" s="3"/>
      <c r="B209" s="76"/>
      <c r="C209" s="16"/>
      <c r="D209" s="3"/>
      <c r="E209" s="77"/>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spans="1:36">
      <c r="A210" s="3"/>
      <c r="B210" s="76"/>
      <c r="C210" s="16"/>
      <c r="D210" s="3"/>
      <c r="E210" s="77"/>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spans="1:36" s="95" customFormat="1" ht="16">
      <c r="A211" s="90"/>
      <c r="B211" s="91"/>
      <c r="C211" s="59" t="s">
        <v>676</v>
      </c>
      <c r="D211" s="92">
        <v>9002</v>
      </c>
      <c r="E211" s="93" t="s">
        <v>490</v>
      </c>
      <c r="F211" s="90"/>
      <c r="G211" s="94">
        <v>0</v>
      </c>
      <c r="H211" s="94"/>
      <c r="I211" s="94"/>
      <c r="J211" s="96">
        <v>0</v>
      </c>
      <c r="K211" s="96">
        <v>0</v>
      </c>
      <c r="L211" s="96">
        <v>0</v>
      </c>
      <c r="M211" s="96">
        <v>99.9</v>
      </c>
      <c r="N211" s="96">
        <v>0</v>
      </c>
      <c r="O211" s="94">
        <v>0</v>
      </c>
      <c r="P211" s="96"/>
      <c r="Q211" s="96">
        <v>0.1</v>
      </c>
      <c r="R211" s="96">
        <v>900</v>
      </c>
      <c r="S211" s="96"/>
      <c r="T211" s="96">
        <v>0</v>
      </c>
      <c r="U211" s="96">
        <v>0</v>
      </c>
      <c r="V211" s="96"/>
      <c r="W211" s="96"/>
      <c r="X211" s="96"/>
      <c r="Y211" s="96"/>
      <c r="Z211" s="96">
        <v>0.01</v>
      </c>
      <c r="AA211" s="96">
        <v>0</v>
      </c>
      <c r="AB211" s="96">
        <v>0</v>
      </c>
      <c r="AC211" s="96">
        <v>0</v>
      </c>
      <c r="AD211" s="96">
        <v>0</v>
      </c>
      <c r="AE211" s="96">
        <v>6.38</v>
      </c>
      <c r="AF211" s="96">
        <v>0</v>
      </c>
      <c r="AG211" s="96">
        <v>6</v>
      </c>
      <c r="AH211" s="96">
        <v>6</v>
      </c>
      <c r="AI211" s="96"/>
      <c r="AJ211" s="96">
        <v>0</v>
      </c>
    </row>
    <row r="212" spans="1:36" s="95" customFormat="1" ht="16">
      <c r="A212" s="90"/>
      <c r="B212" s="91"/>
      <c r="C212" s="59" t="s">
        <v>676</v>
      </c>
      <c r="D212" s="92">
        <v>9008</v>
      </c>
      <c r="E212" s="93" t="s">
        <v>492</v>
      </c>
      <c r="F212" s="90"/>
      <c r="G212" s="94">
        <v>0</v>
      </c>
      <c r="H212" s="94"/>
      <c r="I212" s="94"/>
      <c r="J212" s="96">
        <v>0</v>
      </c>
      <c r="K212" s="96">
        <v>0</v>
      </c>
      <c r="L212" s="96">
        <v>0</v>
      </c>
      <c r="M212" s="96">
        <v>100</v>
      </c>
      <c r="N212" s="96">
        <v>0</v>
      </c>
      <c r="O212" s="94">
        <v>0</v>
      </c>
      <c r="P212" s="96"/>
      <c r="Q212" s="96">
        <v>0</v>
      </c>
      <c r="R212" s="96">
        <v>900</v>
      </c>
      <c r="S212" s="96"/>
      <c r="T212" s="96">
        <v>0</v>
      </c>
      <c r="U212" s="96">
        <v>0</v>
      </c>
      <c r="V212" s="96"/>
      <c r="W212" s="96"/>
      <c r="X212" s="96"/>
      <c r="Y212" s="96"/>
      <c r="Z212" s="96">
        <v>0.01</v>
      </c>
      <c r="AA212" s="96">
        <v>0</v>
      </c>
      <c r="AB212" s="96">
        <v>0</v>
      </c>
      <c r="AC212" s="96">
        <v>0</v>
      </c>
      <c r="AD212" s="96">
        <v>0</v>
      </c>
      <c r="AE212" s="96">
        <v>0</v>
      </c>
      <c r="AF212" s="96">
        <v>11</v>
      </c>
      <c r="AG212" s="96">
        <v>1</v>
      </c>
      <c r="AH212" s="96">
        <v>2</v>
      </c>
      <c r="AI212" s="96"/>
      <c r="AJ212" s="96">
        <v>0</v>
      </c>
    </row>
    <row r="213" spans="1:36" s="95" customFormat="1" ht="16">
      <c r="A213" s="90"/>
      <c r="B213" s="91"/>
      <c r="C213" s="59" t="s">
        <v>676</v>
      </c>
      <c r="D213" s="92">
        <v>9009</v>
      </c>
      <c r="E213" s="93" t="s">
        <v>493</v>
      </c>
      <c r="F213" s="90"/>
      <c r="G213" s="94">
        <v>0</v>
      </c>
      <c r="H213" s="94"/>
      <c r="I213" s="94"/>
      <c r="J213" s="96">
        <v>0</v>
      </c>
      <c r="K213" s="96">
        <v>0</v>
      </c>
      <c r="L213" s="96">
        <v>0</v>
      </c>
      <c r="M213" s="96">
        <v>100</v>
      </c>
      <c r="N213" s="96">
        <v>0</v>
      </c>
      <c r="O213" s="94">
        <v>0</v>
      </c>
      <c r="P213" s="96"/>
      <c r="Q213" s="96">
        <v>0</v>
      </c>
      <c r="R213" s="96">
        <v>900</v>
      </c>
      <c r="S213" s="96"/>
      <c r="T213" s="96">
        <v>0</v>
      </c>
      <c r="U213" s="96">
        <v>0.1</v>
      </c>
      <c r="V213" s="96"/>
      <c r="W213" s="96"/>
      <c r="X213" s="96"/>
      <c r="Y213" s="96"/>
      <c r="Z213" s="96">
        <v>0.1</v>
      </c>
      <c r="AA213" s="96">
        <v>0</v>
      </c>
      <c r="AB213" s="96">
        <v>0</v>
      </c>
      <c r="AC213" s="96">
        <v>0</v>
      </c>
      <c r="AD213" s="96">
        <v>0</v>
      </c>
      <c r="AE213" s="96">
        <v>0</v>
      </c>
      <c r="AF213" s="96">
        <v>0</v>
      </c>
      <c r="AG213" s="96">
        <v>0</v>
      </c>
      <c r="AH213" s="96">
        <v>0</v>
      </c>
      <c r="AI213" s="96"/>
      <c r="AJ213" s="96">
        <v>0</v>
      </c>
    </row>
    <row r="214" spans="1:36" s="95" customFormat="1" ht="16">
      <c r="A214" s="90"/>
      <c r="B214" s="91"/>
      <c r="C214" s="59" t="s">
        <v>676</v>
      </c>
      <c r="D214" s="92">
        <v>9013</v>
      </c>
      <c r="E214" s="93" t="s">
        <v>495</v>
      </c>
      <c r="F214" s="90"/>
      <c r="G214" s="94">
        <v>0</v>
      </c>
      <c r="H214" s="94"/>
      <c r="I214" s="94"/>
      <c r="J214" s="96">
        <v>0</v>
      </c>
      <c r="K214" s="96">
        <v>0</v>
      </c>
      <c r="L214" s="96">
        <v>0</v>
      </c>
      <c r="M214" s="96">
        <v>100</v>
      </c>
      <c r="N214" s="96">
        <v>0</v>
      </c>
      <c r="O214" s="94">
        <v>0</v>
      </c>
      <c r="P214" s="96"/>
      <c r="Q214" s="96">
        <v>0</v>
      </c>
      <c r="R214" s="96">
        <v>900</v>
      </c>
      <c r="S214" s="96"/>
      <c r="T214" s="96">
        <v>0</v>
      </c>
      <c r="U214" s="96">
        <v>0</v>
      </c>
      <c r="V214" s="96"/>
      <c r="W214" s="96"/>
      <c r="X214" s="96"/>
      <c r="Y214" s="96"/>
      <c r="Z214" s="96">
        <v>0.01</v>
      </c>
      <c r="AA214" s="96">
        <v>0</v>
      </c>
      <c r="AB214" s="96">
        <v>0</v>
      </c>
      <c r="AC214" s="96">
        <v>0</v>
      </c>
      <c r="AD214" s="96">
        <v>0</v>
      </c>
      <c r="AE214" s="96">
        <v>0</v>
      </c>
      <c r="AF214" s="96">
        <v>0</v>
      </c>
      <c r="AG214" s="96">
        <v>0</v>
      </c>
      <c r="AH214" s="96">
        <v>0</v>
      </c>
      <c r="AI214" s="96"/>
      <c r="AJ214" s="96">
        <v>0</v>
      </c>
    </row>
    <row r="215" spans="1:36" s="95" customFormat="1">
      <c r="A215" s="90"/>
      <c r="B215" s="91"/>
      <c r="C215" s="97"/>
      <c r="D215" s="92"/>
      <c r="E215" s="93"/>
      <c r="F215" s="90"/>
      <c r="G215" s="94"/>
      <c r="H215" s="94"/>
      <c r="I215" s="94"/>
      <c r="J215" s="96"/>
      <c r="K215" s="96"/>
      <c r="L215" s="96"/>
      <c r="M215" s="96"/>
      <c r="N215" s="96"/>
      <c r="O215" s="94"/>
      <c r="P215" s="96"/>
      <c r="Q215" s="96"/>
      <c r="R215" s="96"/>
      <c r="S215" s="96"/>
      <c r="T215" s="96"/>
      <c r="U215" s="96"/>
      <c r="V215" s="96"/>
      <c r="W215" s="96"/>
      <c r="X215" s="96"/>
      <c r="Y215" s="96"/>
      <c r="Z215" s="96"/>
      <c r="AA215" s="96"/>
      <c r="AB215" s="96"/>
      <c r="AC215" s="96"/>
      <c r="AD215" s="96"/>
      <c r="AE215" s="96"/>
      <c r="AF215" s="96"/>
      <c r="AG215" s="96"/>
      <c r="AH215" s="96"/>
      <c r="AI215" s="96"/>
      <c r="AJ215" s="96"/>
    </row>
    <row r="216" spans="1:36" s="84" customFormat="1" ht="16">
      <c r="A216" s="80">
        <v>507</v>
      </c>
      <c r="B216" s="81" t="s">
        <v>276</v>
      </c>
      <c r="C216" s="82"/>
      <c r="D216" s="80"/>
      <c r="E216" s="83"/>
      <c r="F216" s="80"/>
      <c r="G216" s="80">
        <f>AVERAGE(G211:G214)</f>
        <v>0</v>
      </c>
      <c r="H216" s="80"/>
      <c r="I216" s="80"/>
      <c r="J216" s="80">
        <f t="shared" ref="J216:O216" si="345">AVERAGE(J211:J214)</f>
        <v>0</v>
      </c>
      <c r="K216" s="80">
        <f t="shared" si="345"/>
        <v>0</v>
      </c>
      <c r="L216" s="80">
        <f t="shared" si="345"/>
        <v>0</v>
      </c>
      <c r="M216" s="80">
        <f t="shared" si="345"/>
        <v>99.974999999999994</v>
      </c>
      <c r="N216" s="80">
        <f t="shared" si="345"/>
        <v>0</v>
      </c>
      <c r="O216" s="80">
        <f t="shared" si="345"/>
        <v>0</v>
      </c>
      <c r="P216" s="80"/>
      <c r="Q216" s="80">
        <f>100-J216-K216-L216-M216-N216-O216</f>
        <v>2.5000000000005684E-2</v>
      </c>
      <c r="R216" s="80">
        <f t="shared" ref="R216" si="346">AVERAGE(R211:R214)</f>
        <v>900</v>
      </c>
      <c r="S216" s="80"/>
      <c r="T216" s="80">
        <f t="shared" ref="T216:AF216" si="347">AVERAGE(T211:T214)</f>
        <v>0</v>
      </c>
      <c r="U216" s="80">
        <f t="shared" si="347"/>
        <v>2.5000000000000001E-2</v>
      </c>
      <c r="V216" s="80"/>
      <c r="W216" s="80"/>
      <c r="X216" s="80"/>
      <c r="Y216" s="80"/>
      <c r="Z216" s="80">
        <f t="shared" si="347"/>
        <v>3.2500000000000001E-2</v>
      </c>
      <c r="AA216" s="80">
        <f t="shared" si="347"/>
        <v>0</v>
      </c>
      <c r="AB216" s="80">
        <f t="shared" si="347"/>
        <v>0</v>
      </c>
      <c r="AC216" s="80">
        <f t="shared" si="347"/>
        <v>0</v>
      </c>
      <c r="AD216" s="80">
        <f t="shared" si="347"/>
        <v>0</v>
      </c>
      <c r="AE216" s="80">
        <f t="shared" si="347"/>
        <v>1.595</v>
      </c>
      <c r="AF216" s="80">
        <f t="shared" si="347"/>
        <v>2.75</v>
      </c>
      <c r="AG216" s="80">
        <f>+AE216+AF216/12</f>
        <v>1.8241666666666667</v>
      </c>
      <c r="AH216" s="80">
        <f>+AE216+AF216/6</f>
        <v>2.0533333333333332</v>
      </c>
      <c r="AI216" s="80"/>
      <c r="AJ216" s="80">
        <f>AVERAGE(AJ211:AJ214)</f>
        <v>0</v>
      </c>
    </row>
    <row r="217" spans="1:36">
      <c r="A217" s="3"/>
      <c r="B217" s="76"/>
      <c r="C217" s="16"/>
      <c r="D217" s="3"/>
      <c r="E217" s="77"/>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spans="1:36" s="95" customFormat="1" ht="16">
      <c r="A218" s="90"/>
      <c r="B218" s="91"/>
      <c r="C218" s="59" t="s">
        <v>676</v>
      </c>
      <c r="D218" s="92">
        <v>5001</v>
      </c>
      <c r="E218" s="93" t="s">
        <v>500</v>
      </c>
      <c r="F218" s="90"/>
      <c r="G218" s="94">
        <v>9.9999999999999982</v>
      </c>
      <c r="H218" s="94"/>
      <c r="I218" s="94"/>
      <c r="J218" s="96">
        <v>85</v>
      </c>
      <c r="K218" s="96">
        <v>0.2</v>
      </c>
      <c r="L218" s="96">
        <v>0.3</v>
      </c>
      <c r="M218" s="96">
        <v>0</v>
      </c>
      <c r="N218" s="96">
        <v>2.4</v>
      </c>
      <c r="O218" s="94">
        <v>0</v>
      </c>
      <c r="P218" s="96"/>
      <c r="Q218" s="96">
        <v>12.2</v>
      </c>
      <c r="R218" s="96">
        <v>55</v>
      </c>
      <c r="S218" s="96"/>
      <c r="T218" s="96">
        <v>6</v>
      </c>
      <c r="U218" s="96">
        <v>0.4</v>
      </c>
      <c r="V218" s="96"/>
      <c r="W218" s="96"/>
      <c r="X218" s="96"/>
      <c r="Y218" s="96"/>
      <c r="Z218" s="96">
        <v>7.0000000000000007E-2</v>
      </c>
      <c r="AA218" s="96">
        <v>0</v>
      </c>
      <c r="AB218" s="96">
        <v>4</v>
      </c>
      <c r="AC218" s="96">
        <v>2.5000000000000001E-2</v>
      </c>
      <c r="AD218" s="96">
        <v>0.01</v>
      </c>
      <c r="AE218" s="96">
        <v>0</v>
      </c>
      <c r="AF218" s="96">
        <v>11</v>
      </c>
      <c r="AG218" s="96">
        <v>1</v>
      </c>
      <c r="AH218" s="96">
        <v>2</v>
      </c>
      <c r="AI218" s="96"/>
      <c r="AJ218" s="96">
        <v>0</v>
      </c>
    </row>
    <row r="219" spans="1:36" s="95" customFormat="1" ht="16">
      <c r="A219" s="90"/>
      <c r="B219" s="91"/>
      <c r="C219" s="59" t="s">
        <v>676</v>
      </c>
      <c r="D219" s="92">
        <v>5002</v>
      </c>
      <c r="E219" s="93" t="s">
        <v>501</v>
      </c>
      <c r="F219" s="90"/>
      <c r="G219" s="94">
        <v>9.9999999999999982</v>
      </c>
      <c r="H219" s="94"/>
      <c r="I219" s="94"/>
      <c r="J219" s="96">
        <v>84.6</v>
      </c>
      <c r="K219" s="96">
        <v>0.25</v>
      </c>
      <c r="L219" s="96">
        <v>0.3</v>
      </c>
      <c r="M219" s="96">
        <v>0.1</v>
      </c>
      <c r="N219" s="96">
        <v>2.2999999999999998</v>
      </c>
      <c r="O219" s="94">
        <v>0</v>
      </c>
      <c r="P219" s="96"/>
      <c r="Q219" s="96">
        <v>12.4</v>
      </c>
      <c r="R219" s="96">
        <v>57</v>
      </c>
      <c r="S219" s="96"/>
      <c r="T219" s="96">
        <v>6</v>
      </c>
      <c r="U219" s="96">
        <v>0.3</v>
      </c>
      <c r="V219" s="96"/>
      <c r="W219" s="96"/>
      <c r="X219" s="96"/>
      <c r="Y219" s="96"/>
      <c r="Z219" s="96">
        <v>7.0000000000000007E-2</v>
      </c>
      <c r="AA219" s="96">
        <v>5</v>
      </c>
      <c r="AB219" s="96">
        <v>4</v>
      </c>
      <c r="AC219" s="96">
        <v>0.02</v>
      </c>
      <c r="AD219" s="96">
        <v>0.01</v>
      </c>
      <c r="AE219" s="96">
        <v>0</v>
      </c>
      <c r="AF219" s="96">
        <v>14</v>
      </c>
      <c r="AG219" s="96">
        <v>1</v>
      </c>
      <c r="AH219" s="96">
        <v>2</v>
      </c>
      <c r="AI219" s="96"/>
      <c r="AJ219" s="96">
        <v>0</v>
      </c>
    </row>
    <row r="220" spans="1:36" s="95" customFormat="1">
      <c r="A220" s="90"/>
      <c r="B220" s="91"/>
      <c r="C220" s="97"/>
      <c r="D220" s="92"/>
      <c r="E220" s="93"/>
      <c r="F220" s="90"/>
      <c r="G220" s="94"/>
      <c r="H220" s="94"/>
      <c r="I220" s="94"/>
      <c r="J220" s="96"/>
      <c r="K220" s="96"/>
      <c r="L220" s="96"/>
      <c r="M220" s="96"/>
      <c r="N220" s="96"/>
      <c r="O220" s="94"/>
      <c r="P220" s="96"/>
      <c r="Q220" s="96"/>
      <c r="R220" s="96"/>
      <c r="S220" s="96"/>
      <c r="T220" s="96"/>
      <c r="U220" s="96"/>
      <c r="V220" s="96"/>
      <c r="W220" s="96"/>
      <c r="X220" s="96"/>
      <c r="Y220" s="96"/>
      <c r="Z220" s="96"/>
      <c r="AA220" s="96"/>
      <c r="AB220" s="96"/>
      <c r="AC220" s="96"/>
      <c r="AD220" s="96"/>
      <c r="AE220" s="96"/>
      <c r="AF220" s="96"/>
      <c r="AG220" s="96"/>
      <c r="AH220" s="96"/>
      <c r="AI220" s="96"/>
      <c r="AJ220" s="96"/>
    </row>
    <row r="221" spans="1:36" s="84" customFormat="1" ht="16">
      <c r="A221" s="80">
        <v>611</v>
      </c>
      <c r="B221" s="81" t="s">
        <v>290</v>
      </c>
      <c r="C221" s="82"/>
      <c r="D221" s="80"/>
      <c r="E221" s="83"/>
      <c r="F221" s="80"/>
      <c r="G221" s="80">
        <f>AVERAGE(G218:G219)</f>
        <v>9.9999999999999982</v>
      </c>
      <c r="H221" s="80"/>
      <c r="I221" s="80"/>
      <c r="J221" s="80">
        <f t="shared" ref="J221" si="348">AVERAGE(J218:J219)</f>
        <v>84.8</v>
      </c>
      <c r="K221" s="80">
        <f t="shared" ref="K221" si="349">AVERAGE(K218:K219)</f>
        <v>0.22500000000000001</v>
      </c>
      <c r="L221" s="80">
        <f t="shared" ref="L221" si="350">AVERAGE(L218:L219)</f>
        <v>0.3</v>
      </c>
      <c r="M221" s="80">
        <f t="shared" ref="M221" si="351">AVERAGE(M218:M219)</f>
        <v>0.05</v>
      </c>
      <c r="N221" s="80">
        <f t="shared" ref="N221" si="352">AVERAGE(N218:N219)</f>
        <v>2.3499999999999996</v>
      </c>
      <c r="O221" s="80">
        <f t="shared" ref="O221" si="353">AVERAGE(O218:O219)</f>
        <v>0</v>
      </c>
      <c r="P221" s="80"/>
      <c r="Q221" s="80">
        <f>100-J221-K221-L221-M221-N221-O221</f>
        <v>12.275000000000002</v>
      </c>
      <c r="R221" s="80">
        <f t="shared" ref="R221" si="354">AVERAGE(R218:R219)</f>
        <v>56</v>
      </c>
      <c r="S221" s="80"/>
      <c r="T221" s="80">
        <f t="shared" ref="T221" si="355">AVERAGE(T218:T219)</f>
        <v>6</v>
      </c>
      <c r="U221" s="80">
        <f t="shared" ref="U221" si="356">AVERAGE(U218:U219)</f>
        <v>0.35</v>
      </c>
      <c r="V221" s="80"/>
      <c r="W221" s="80"/>
      <c r="X221" s="80"/>
      <c r="Y221" s="80"/>
      <c r="Z221" s="80">
        <f t="shared" ref="Z221" si="357">AVERAGE(Z218:Z219)</f>
        <v>7.0000000000000007E-2</v>
      </c>
      <c r="AA221" s="80">
        <f t="shared" ref="AA221" si="358">AVERAGE(AA218:AA219)</f>
        <v>2.5</v>
      </c>
      <c r="AB221" s="80">
        <f t="shared" ref="AB221" si="359">AVERAGE(AB218:AB219)</f>
        <v>4</v>
      </c>
      <c r="AC221" s="80">
        <f t="shared" ref="AC221" si="360">AVERAGE(AC218:AC219)</f>
        <v>2.2499999999999999E-2</v>
      </c>
      <c r="AD221" s="80">
        <f t="shared" ref="AD221" si="361">AVERAGE(AD218:AD219)</f>
        <v>0.01</v>
      </c>
      <c r="AE221" s="80">
        <f t="shared" ref="AE221" si="362">AVERAGE(AE218:AE219)</f>
        <v>0</v>
      </c>
      <c r="AF221" s="80">
        <f t="shared" ref="AF221" si="363">AVERAGE(AF218:AF219)</f>
        <v>12.5</v>
      </c>
      <c r="AG221" s="80">
        <f>+AE221+AF221/12</f>
        <v>1.0416666666666667</v>
      </c>
      <c r="AH221" s="80">
        <f>+AE221+AF221/6</f>
        <v>2.0833333333333335</v>
      </c>
      <c r="AI221" s="80"/>
      <c r="AJ221" s="80">
        <f t="shared" ref="AJ221" si="364">AVERAGE(AJ218:AJ219)</f>
        <v>0</v>
      </c>
    </row>
    <row r="222" spans="1:36">
      <c r="A222" s="3"/>
      <c r="B222" s="76"/>
      <c r="C222" s="16"/>
      <c r="D222" s="3"/>
      <c r="E222" s="77"/>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spans="1:36" s="95" customFormat="1" ht="16">
      <c r="A223" s="90"/>
      <c r="B223" s="91"/>
      <c r="C223" s="59" t="s">
        <v>676</v>
      </c>
      <c r="D223" s="92">
        <v>10002</v>
      </c>
      <c r="E223" s="93" t="s">
        <v>504</v>
      </c>
      <c r="F223" s="94">
        <v>52</v>
      </c>
      <c r="G223" s="94">
        <v>0</v>
      </c>
      <c r="H223" s="94"/>
      <c r="I223" s="94"/>
      <c r="J223" s="96">
        <v>37.1</v>
      </c>
      <c r="K223" s="96">
        <v>1</v>
      </c>
      <c r="L223" s="96">
        <v>4.4000000000000004</v>
      </c>
      <c r="M223" s="96">
        <v>39</v>
      </c>
      <c r="N223" s="96">
        <v>10.1</v>
      </c>
      <c r="O223" s="94">
        <v>0</v>
      </c>
      <c r="P223" s="96"/>
      <c r="Q223" s="96">
        <v>8.5</v>
      </c>
      <c r="R223" s="96">
        <v>423</v>
      </c>
      <c r="S223" s="96"/>
      <c r="T223" s="96">
        <v>18</v>
      </c>
      <c r="U223" s="96">
        <v>2.2999999999999998</v>
      </c>
      <c r="V223" s="96"/>
      <c r="W223" s="96"/>
      <c r="X223" s="96"/>
      <c r="Y223" s="96"/>
      <c r="Z223" s="96">
        <v>0.73</v>
      </c>
      <c r="AA223" s="96">
        <v>14</v>
      </c>
      <c r="AB223" s="96">
        <v>2.6</v>
      </c>
      <c r="AC223" s="96">
        <v>0.08</v>
      </c>
      <c r="AD223" s="96">
        <v>0.08</v>
      </c>
      <c r="AE223" s="96">
        <v>0</v>
      </c>
      <c r="AF223" s="96">
        <v>0</v>
      </c>
      <c r="AG223" s="96">
        <v>0</v>
      </c>
      <c r="AH223" s="96">
        <v>0</v>
      </c>
      <c r="AI223" s="96"/>
      <c r="AJ223" s="96">
        <v>0</v>
      </c>
    </row>
    <row r="224" spans="1:36" s="95" customFormat="1" ht="16">
      <c r="A224" s="90"/>
      <c r="B224" s="91"/>
      <c r="C224" s="59" t="s">
        <v>676</v>
      </c>
      <c r="D224" s="92">
        <v>10003</v>
      </c>
      <c r="E224" s="93" t="s">
        <v>505</v>
      </c>
      <c r="F224" s="94">
        <v>0</v>
      </c>
      <c r="G224" s="94">
        <v>0</v>
      </c>
      <c r="H224" s="94"/>
      <c r="I224" s="94"/>
      <c r="J224" s="96">
        <v>68</v>
      </c>
      <c r="K224" s="96">
        <v>0.9</v>
      </c>
      <c r="L224" s="96">
        <v>2</v>
      </c>
      <c r="M224" s="96">
        <v>10.8</v>
      </c>
      <c r="N224" s="96">
        <v>1</v>
      </c>
      <c r="O224" s="94">
        <v>0</v>
      </c>
      <c r="P224" s="96"/>
      <c r="Q224" s="96">
        <v>17.3</v>
      </c>
      <c r="R224" s="96">
        <v>176</v>
      </c>
      <c r="S224" s="96"/>
      <c r="T224" s="96">
        <v>34.700000000000003</v>
      </c>
      <c r="U224" s="96">
        <v>1.2</v>
      </c>
      <c r="V224" s="96"/>
      <c r="W224" s="96"/>
      <c r="X224" s="96"/>
      <c r="Y224" s="96"/>
      <c r="Z224" s="96">
        <v>0.42</v>
      </c>
      <c r="AA224" s="96">
        <v>20</v>
      </c>
      <c r="AB224" s="96">
        <v>5.8</v>
      </c>
      <c r="AC224" s="96">
        <v>0.03</v>
      </c>
      <c r="AD224" s="96">
        <v>0.6</v>
      </c>
      <c r="AE224" s="96">
        <v>0</v>
      </c>
      <c r="AF224" s="96">
        <v>0</v>
      </c>
      <c r="AG224" s="96">
        <v>0</v>
      </c>
      <c r="AH224" s="96">
        <v>0</v>
      </c>
      <c r="AI224" s="96"/>
      <c r="AJ224" s="96">
        <v>0</v>
      </c>
    </row>
    <row r="225" spans="1:36" s="95" customFormat="1">
      <c r="A225" s="90"/>
      <c r="B225" s="91"/>
      <c r="C225" s="97"/>
      <c r="D225" s="92"/>
      <c r="E225" s="93"/>
      <c r="F225" s="90">
        <f>AVERAGE(F223:F224)</f>
        <v>26</v>
      </c>
      <c r="G225" s="94"/>
      <c r="H225" s="94"/>
      <c r="I225" s="94"/>
      <c r="J225" s="96"/>
      <c r="K225" s="96"/>
      <c r="L225" s="96"/>
      <c r="M225" s="96"/>
      <c r="N225" s="96"/>
      <c r="O225" s="94"/>
      <c r="P225" s="96"/>
      <c r="Q225" s="96"/>
      <c r="R225" s="96"/>
      <c r="S225" s="96"/>
      <c r="T225" s="96"/>
      <c r="U225" s="96"/>
      <c r="V225" s="96"/>
      <c r="W225" s="96"/>
      <c r="X225" s="96"/>
      <c r="Y225" s="96"/>
      <c r="Z225" s="96"/>
      <c r="AA225" s="96"/>
      <c r="AB225" s="96"/>
      <c r="AC225" s="96"/>
      <c r="AD225" s="96"/>
      <c r="AE225" s="96"/>
      <c r="AF225" s="96"/>
      <c r="AG225" s="96"/>
      <c r="AH225" s="96"/>
      <c r="AI225" s="96"/>
      <c r="AJ225" s="96"/>
    </row>
    <row r="226" spans="1:36" s="95" customFormat="1">
      <c r="A226" s="90"/>
      <c r="B226" s="91"/>
      <c r="C226" s="97"/>
      <c r="D226" s="92"/>
      <c r="E226" s="93"/>
      <c r="F226" s="90"/>
      <c r="G226" s="94">
        <v>0</v>
      </c>
      <c r="H226" s="94"/>
      <c r="I226" s="94"/>
      <c r="J226" s="90">
        <f>+J223*(100-$G223)/100</f>
        <v>37.1</v>
      </c>
      <c r="K226" s="90">
        <f t="shared" ref="K226:O226" si="365">+K223*(100-$G223)/100</f>
        <v>1</v>
      </c>
      <c r="L226" s="90">
        <f t="shared" si="365"/>
        <v>4.4000000000000004</v>
      </c>
      <c r="M226" s="90">
        <f t="shared" si="365"/>
        <v>39</v>
      </c>
      <c r="N226" s="90">
        <f t="shared" si="365"/>
        <v>10.1</v>
      </c>
      <c r="O226" s="90">
        <f t="shared" si="365"/>
        <v>0</v>
      </c>
      <c r="P226" s="96"/>
      <c r="Q226" s="90">
        <f t="shared" ref="Q226:R226" si="366">+Q223*(100-$G223)/100</f>
        <v>8.5</v>
      </c>
      <c r="R226" s="90">
        <f t="shared" si="366"/>
        <v>423</v>
      </c>
      <c r="S226" s="96"/>
      <c r="T226" s="90">
        <f t="shared" ref="T226:AH226" si="367">+T223*(100-$G223)/100</f>
        <v>18</v>
      </c>
      <c r="U226" s="90">
        <f t="shared" si="367"/>
        <v>2.2999999999999998</v>
      </c>
      <c r="V226" s="90"/>
      <c r="W226" s="90"/>
      <c r="X226" s="90"/>
      <c r="Y226" s="90"/>
      <c r="Z226" s="90">
        <f t="shared" si="367"/>
        <v>0.73</v>
      </c>
      <c r="AA226" s="90">
        <f t="shared" si="367"/>
        <v>14</v>
      </c>
      <c r="AB226" s="90">
        <f t="shared" si="367"/>
        <v>2.6</v>
      </c>
      <c r="AC226" s="90">
        <f t="shared" si="367"/>
        <v>0.08</v>
      </c>
      <c r="AD226" s="90">
        <f t="shared" si="367"/>
        <v>0.08</v>
      </c>
      <c r="AE226" s="90">
        <f t="shared" si="367"/>
        <v>0</v>
      </c>
      <c r="AF226" s="90">
        <f t="shared" si="367"/>
        <v>0</v>
      </c>
      <c r="AG226" s="90">
        <f t="shared" si="367"/>
        <v>0</v>
      </c>
      <c r="AH226" s="90">
        <f t="shared" si="367"/>
        <v>0</v>
      </c>
      <c r="AI226" s="96"/>
      <c r="AJ226" s="90">
        <f>+AJ223*(100-$G223)/100</f>
        <v>0</v>
      </c>
    </row>
    <row r="227" spans="1:36" s="95" customFormat="1">
      <c r="A227" s="90"/>
      <c r="B227" s="91"/>
      <c r="C227" s="97"/>
      <c r="D227" s="92"/>
      <c r="E227" s="93"/>
      <c r="F227" s="90"/>
      <c r="G227" s="94">
        <v>0</v>
      </c>
      <c r="H227" s="94"/>
      <c r="I227" s="94"/>
      <c r="J227" s="90">
        <f>+J224*(100-$G224)/100</f>
        <v>68</v>
      </c>
      <c r="K227" s="90">
        <f t="shared" ref="K227:O227" si="368">+K224*(100-$G224)/100</f>
        <v>0.9</v>
      </c>
      <c r="L227" s="90">
        <f t="shared" si="368"/>
        <v>2</v>
      </c>
      <c r="M227" s="90">
        <f t="shared" si="368"/>
        <v>10.8</v>
      </c>
      <c r="N227" s="90">
        <f t="shared" si="368"/>
        <v>1</v>
      </c>
      <c r="O227" s="90">
        <f t="shared" si="368"/>
        <v>0</v>
      </c>
      <c r="P227" s="96"/>
      <c r="Q227" s="90">
        <f t="shared" ref="Q227:R227" si="369">+Q224*(100-$G224)/100</f>
        <v>17.3</v>
      </c>
      <c r="R227" s="90">
        <f t="shared" si="369"/>
        <v>176</v>
      </c>
      <c r="S227" s="96"/>
      <c r="T227" s="90">
        <f t="shared" ref="T227:AH227" si="370">+T224*(100-$G224)/100</f>
        <v>34.700000000000003</v>
      </c>
      <c r="U227" s="90">
        <f t="shared" si="370"/>
        <v>1.2</v>
      </c>
      <c r="V227" s="90"/>
      <c r="W227" s="90"/>
      <c r="X227" s="90"/>
      <c r="Y227" s="90"/>
      <c r="Z227" s="90">
        <f t="shared" si="370"/>
        <v>0.42</v>
      </c>
      <c r="AA227" s="90">
        <f t="shared" si="370"/>
        <v>20</v>
      </c>
      <c r="AB227" s="90">
        <f t="shared" si="370"/>
        <v>5.8</v>
      </c>
      <c r="AC227" s="90">
        <f t="shared" si="370"/>
        <v>0.03</v>
      </c>
      <c r="AD227" s="90">
        <f t="shared" si="370"/>
        <v>0.6</v>
      </c>
      <c r="AE227" s="90">
        <f t="shared" si="370"/>
        <v>0</v>
      </c>
      <c r="AF227" s="90">
        <f t="shared" si="370"/>
        <v>0</v>
      </c>
      <c r="AG227" s="90">
        <f t="shared" si="370"/>
        <v>0</v>
      </c>
      <c r="AH227" s="90">
        <f t="shared" si="370"/>
        <v>0</v>
      </c>
      <c r="AI227" s="96"/>
      <c r="AJ227" s="90">
        <f>+AJ224*(100-$G224)/100</f>
        <v>0</v>
      </c>
    </row>
    <row r="228" spans="1:36" s="95" customFormat="1">
      <c r="A228" s="90"/>
      <c r="B228" s="91"/>
      <c r="C228" s="97"/>
      <c r="D228" s="92"/>
      <c r="E228" s="93"/>
      <c r="F228" s="90"/>
      <c r="G228" s="94"/>
      <c r="H228" s="94"/>
      <c r="I228" s="94"/>
      <c r="J228" s="96"/>
      <c r="K228" s="96"/>
      <c r="L228" s="96"/>
      <c r="M228" s="96"/>
      <c r="N228" s="96"/>
      <c r="O228" s="94"/>
      <c r="P228" s="96"/>
      <c r="Q228" s="96"/>
      <c r="R228" s="96"/>
      <c r="S228" s="96"/>
      <c r="T228" s="96"/>
      <c r="U228" s="96"/>
      <c r="V228" s="96"/>
      <c r="W228" s="96"/>
      <c r="X228" s="96"/>
      <c r="Y228" s="96"/>
      <c r="Z228" s="96"/>
      <c r="AA228" s="96"/>
      <c r="AB228" s="96"/>
      <c r="AC228" s="96"/>
      <c r="AD228" s="96"/>
      <c r="AE228" s="96"/>
      <c r="AF228" s="96"/>
      <c r="AG228" s="96"/>
      <c r="AH228" s="96"/>
      <c r="AI228" s="96"/>
      <c r="AJ228" s="96"/>
    </row>
    <row r="229" spans="1:36" s="84" customFormat="1" ht="16">
      <c r="A229" s="80">
        <v>617</v>
      </c>
      <c r="B229" s="81" t="s">
        <v>296</v>
      </c>
      <c r="C229" s="82"/>
      <c r="D229" s="80"/>
      <c r="E229" s="83" t="s">
        <v>609</v>
      </c>
      <c r="F229" s="80">
        <f>AVERAGE(G223:G224)</f>
        <v>0</v>
      </c>
      <c r="G229" s="80">
        <f>AVERAGE(G226:G227)</f>
        <v>0</v>
      </c>
      <c r="H229" s="80"/>
      <c r="I229" s="80"/>
      <c r="J229" s="80">
        <f t="shared" ref="J229:O229" si="371">AVERAGE(J226:J227)</f>
        <v>52.55</v>
      </c>
      <c r="K229" s="80">
        <f t="shared" si="371"/>
        <v>0.95</v>
      </c>
      <c r="L229" s="80">
        <f t="shared" si="371"/>
        <v>3.2</v>
      </c>
      <c r="M229" s="80">
        <f t="shared" si="371"/>
        <v>24.9</v>
      </c>
      <c r="N229" s="80">
        <f t="shared" si="371"/>
        <v>5.55</v>
      </c>
      <c r="O229" s="80">
        <f t="shared" si="371"/>
        <v>0</v>
      </c>
      <c r="P229" s="80"/>
      <c r="Q229" s="80">
        <f>100-F229-J229-K229-L229-M229-N229-O229</f>
        <v>12.849999999999998</v>
      </c>
      <c r="R229" s="80">
        <f>AVERAGE(R226:R227)</f>
        <v>299.5</v>
      </c>
      <c r="S229" s="80"/>
      <c r="T229" s="80">
        <f t="shared" ref="T229:AH229" si="372">AVERAGE(T226:T227)</f>
        <v>26.35</v>
      </c>
      <c r="U229" s="80">
        <f t="shared" si="372"/>
        <v>1.75</v>
      </c>
      <c r="V229" s="80"/>
      <c r="W229" s="80"/>
      <c r="X229" s="80"/>
      <c r="Y229" s="80"/>
      <c r="Z229" s="80">
        <f t="shared" si="372"/>
        <v>0.57499999999999996</v>
      </c>
      <c r="AA229" s="80">
        <f t="shared" si="372"/>
        <v>17</v>
      </c>
      <c r="AB229" s="80">
        <f t="shared" si="372"/>
        <v>4.2</v>
      </c>
      <c r="AC229" s="80">
        <f t="shared" si="372"/>
        <v>5.5E-2</v>
      </c>
      <c r="AD229" s="80">
        <f t="shared" si="372"/>
        <v>0.33999999999999997</v>
      </c>
      <c r="AE229" s="80">
        <f t="shared" si="372"/>
        <v>0</v>
      </c>
      <c r="AF229" s="80">
        <f t="shared" si="372"/>
        <v>0</v>
      </c>
      <c r="AG229" s="80">
        <f t="shared" si="372"/>
        <v>0</v>
      </c>
      <c r="AH229" s="80">
        <f t="shared" si="372"/>
        <v>0</v>
      </c>
      <c r="AI229" s="80"/>
      <c r="AJ229" s="80">
        <f>AVERAGE(AJ226:AJ227)</f>
        <v>0</v>
      </c>
    </row>
    <row r="230" spans="1:36">
      <c r="A230" s="3"/>
      <c r="B230" s="76"/>
      <c r="C230" s="16"/>
      <c r="D230" s="3"/>
      <c r="E230" s="77"/>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spans="1:36">
      <c r="A231" s="3"/>
      <c r="B231" s="76"/>
      <c r="C231" s="16"/>
      <c r="D231" s="3"/>
      <c r="E231" s="77"/>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spans="1:36" s="95" customFormat="1" ht="16">
      <c r="A232" s="90"/>
      <c r="B232" s="91"/>
      <c r="C232" s="59" t="s">
        <v>676</v>
      </c>
      <c r="D232" s="92">
        <v>5012</v>
      </c>
      <c r="E232" s="93" t="s">
        <v>510</v>
      </c>
      <c r="F232" s="90"/>
      <c r="G232" s="94">
        <v>77</v>
      </c>
      <c r="H232" s="94"/>
      <c r="I232" s="94"/>
      <c r="J232" s="96">
        <v>73.2</v>
      </c>
      <c r="K232" s="96">
        <v>1.9</v>
      </c>
      <c r="L232" s="96">
        <v>1.4</v>
      </c>
      <c r="M232" s="96">
        <v>0.2</v>
      </c>
      <c r="N232" s="96">
        <v>2.8</v>
      </c>
      <c r="O232" s="94">
        <v>0</v>
      </c>
      <c r="P232" s="96"/>
      <c r="Q232" s="96">
        <v>20.5</v>
      </c>
      <c r="R232" s="96">
        <v>95</v>
      </c>
      <c r="S232" s="96"/>
      <c r="T232" s="96">
        <v>35</v>
      </c>
      <c r="U232" s="96">
        <v>0</v>
      </c>
      <c r="V232" s="96"/>
      <c r="W232" s="96"/>
      <c r="X232" s="96"/>
      <c r="Y232" s="96"/>
      <c r="Z232" s="96">
        <v>0.76</v>
      </c>
      <c r="AA232" s="96">
        <v>19</v>
      </c>
      <c r="AB232" s="96">
        <v>7</v>
      </c>
      <c r="AC232" s="96">
        <v>7.0000000000000007E-2</v>
      </c>
      <c r="AD232" s="96">
        <v>0.13</v>
      </c>
      <c r="AE232" s="96">
        <v>0</v>
      </c>
      <c r="AF232" s="96">
        <v>90</v>
      </c>
      <c r="AG232" s="96">
        <v>7</v>
      </c>
      <c r="AH232" s="96">
        <v>15</v>
      </c>
      <c r="AI232" s="96"/>
      <c r="AJ232" s="96">
        <v>0</v>
      </c>
    </row>
    <row r="233" spans="1:36" s="95" customFormat="1" ht="16">
      <c r="A233" s="90"/>
      <c r="B233" s="91"/>
      <c r="C233" s="59" t="s">
        <v>676</v>
      </c>
      <c r="D233" s="92">
        <v>5006</v>
      </c>
      <c r="E233" s="93" t="s">
        <v>511</v>
      </c>
      <c r="F233" s="90"/>
      <c r="G233" s="94">
        <v>28.000000000000004</v>
      </c>
      <c r="H233" s="94"/>
      <c r="I233" s="94"/>
      <c r="J233" s="96">
        <v>75</v>
      </c>
      <c r="K233" s="96">
        <v>0.8</v>
      </c>
      <c r="L233" s="96">
        <v>1.7</v>
      </c>
      <c r="M233" s="96">
        <v>0.7</v>
      </c>
      <c r="N233" s="96">
        <v>5.0999999999999996</v>
      </c>
      <c r="O233" s="94">
        <v>0</v>
      </c>
      <c r="P233" s="96"/>
      <c r="Q233" s="96">
        <v>17</v>
      </c>
      <c r="R233" s="96">
        <v>92</v>
      </c>
      <c r="S233" s="96"/>
      <c r="T233" s="96">
        <v>28</v>
      </c>
      <c r="U233" s="96">
        <v>0.4</v>
      </c>
      <c r="V233" s="96"/>
      <c r="W233" s="96"/>
      <c r="X233" s="96"/>
      <c r="Y233" s="96"/>
      <c r="Z233" s="96">
        <v>0</v>
      </c>
      <c r="AA233" s="96">
        <v>37</v>
      </c>
      <c r="AB233" s="96">
        <v>22</v>
      </c>
      <c r="AC233" s="96">
        <v>7.0000000000000007E-2</v>
      </c>
      <c r="AD233" s="96">
        <v>0.13</v>
      </c>
      <c r="AE233" s="96">
        <v>0</v>
      </c>
      <c r="AF233" s="96">
        <v>0</v>
      </c>
      <c r="AG233" s="96">
        <v>0</v>
      </c>
      <c r="AH233" s="96">
        <v>0</v>
      </c>
      <c r="AI233" s="96"/>
      <c r="AJ233" s="96">
        <v>0</v>
      </c>
    </row>
    <row r="234" spans="1:36" s="95" customFormat="1" ht="16">
      <c r="A234" s="90"/>
      <c r="B234" s="91"/>
      <c r="C234" s="59" t="s">
        <v>676</v>
      </c>
      <c r="D234" s="92">
        <v>5008</v>
      </c>
      <c r="E234" s="93" t="s">
        <v>512</v>
      </c>
      <c r="F234" s="90"/>
      <c r="G234" s="94">
        <v>14.000000000000002</v>
      </c>
      <c r="H234" s="94"/>
      <c r="I234" s="94"/>
      <c r="J234" s="96">
        <v>60.2</v>
      </c>
      <c r="K234" s="96">
        <v>1</v>
      </c>
      <c r="L234" s="96">
        <v>1.6</v>
      </c>
      <c r="M234" s="96">
        <v>0.1</v>
      </c>
      <c r="N234" s="96">
        <v>1.8</v>
      </c>
      <c r="O234" s="94">
        <v>0</v>
      </c>
      <c r="P234" s="96"/>
      <c r="Q234" s="96">
        <v>35.299999999999997</v>
      </c>
      <c r="R234" s="96">
        <v>152</v>
      </c>
      <c r="S234" s="96"/>
      <c r="T234" s="96">
        <v>34</v>
      </c>
      <c r="U234" s="96">
        <v>0.3</v>
      </c>
      <c r="V234" s="96"/>
      <c r="W234" s="96"/>
      <c r="X234" s="96"/>
      <c r="Y234" s="96"/>
      <c r="Z234" s="96">
        <v>0.2</v>
      </c>
      <c r="AA234" s="96">
        <v>25</v>
      </c>
      <c r="AB234" s="96">
        <v>22</v>
      </c>
      <c r="AC234" s="96">
        <v>0.06</v>
      </c>
      <c r="AD234" s="96">
        <v>7.0000000000000007E-2</v>
      </c>
      <c r="AE234" s="96">
        <v>0</v>
      </c>
      <c r="AF234" s="96">
        <v>20</v>
      </c>
      <c r="AG234" s="96">
        <v>2</v>
      </c>
      <c r="AH234" s="96">
        <v>3</v>
      </c>
      <c r="AI234" s="96"/>
      <c r="AJ234" s="96">
        <v>0</v>
      </c>
    </row>
    <row r="235" spans="1:36" s="95" customFormat="1" ht="16">
      <c r="A235" s="90"/>
      <c r="B235" s="91"/>
      <c r="C235" s="59" t="s">
        <v>676</v>
      </c>
      <c r="D235" s="92">
        <v>5021</v>
      </c>
      <c r="E235" s="93" t="s">
        <v>513</v>
      </c>
      <c r="F235" s="90"/>
      <c r="G235" s="94">
        <v>1.0000000000000009</v>
      </c>
      <c r="H235" s="94"/>
      <c r="I235" s="94"/>
      <c r="J235" s="96">
        <v>89.5</v>
      </c>
      <c r="K235" s="96">
        <v>0.9</v>
      </c>
      <c r="L235" s="96">
        <v>1.6</v>
      </c>
      <c r="M235" s="96">
        <v>0.2</v>
      </c>
      <c r="N235" s="96">
        <v>2.2000000000000002</v>
      </c>
      <c r="O235" s="94">
        <v>0</v>
      </c>
      <c r="P235" s="96"/>
      <c r="Q235" s="96">
        <v>5.6</v>
      </c>
      <c r="R235" s="96">
        <v>35</v>
      </c>
      <c r="S235" s="96"/>
      <c r="T235" s="96">
        <v>55</v>
      </c>
      <c r="U235" s="96">
        <v>1.2</v>
      </c>
      <c r="V235" s="96"/>
      <c r="W235" s="96"/>
      <c r="X235" s="96"/>
      <c r="Y235" s="96"/>
      <c r="Z235" s="96">
        <v>0.2</v>
      </c>
      <c r="AA235" s="96">
        <v>33</v>
      </c>
      <c r="AB235" s="96">
        <v>11</v>
      </c>
      <c r="AC235" s="96">
        <v>0.03</v>
      </c>
      <c r="AD235" s="96">
        <v>7.0000000000000007E-2</v>
      </c>
      <c r="AE235" s="96">
        <v>0</v>
      </c>
      <c r="AF235" s="96">
        <v>10</v>
      </c>
      <c r="AG235" s="96">
        <v>1</v>
      </c>
      <c r="AH235" s="96">
        <v>2</v>
      </c>
      <c r="AI235" s="96"/>
      <c r="AJ235" s="96">
        <v>0</v>
      </c>
    </row>
    <row r="236" spans="1:36" s="95" customFormat="1" ht="16">
      <c r="A236" s="90"/>
      <c r="B236" s="91"/>
      <c r="C236" s="59" t="s">
        <v>676</v>
      </c>
      <c r="D236" s="92">
        <v>5032</v>
      </c>
      <c r="E236" s="93" t="s">
        <v>514</v>
      </c>
      <c r="F236" s="90"/>
      <c r="G236" s="94">
        <v>43.000000000000007</v>
      </c>
      <c r="H236" s="94"/>
      <c r="I236" s="94"/>
      <c r="J236" s="96">
        <v>78.099999999999994</v>
      </c>
      <c r="K236" s="96">
        <v>0.4</v>
      </c>
      <c r="L236" s="96">
        <v>1.6</v>
      </c>
      <c r="M236" s="96">
        <v>0.2</v>
      </c>
      <c r="N236" s="96">
        <v>6.4</v>
      </c>
      <c r="O236" s="94">
        <v>0</v>
      </c>
      <c r="P236" s="96"/>
      <c r="Q236" s="96">
        <v>13.3</v>
      </c>
      <c r="R236" s="96">
        <v>74</v>
      </c>
      <c r="S236" s="96"/>
      <c r="T236" s="96">
        <v>12</v>
      </c>
      <c r="U236" s="96">
        <v>0.8</v>
      </c>
      <c r="V236" s="96"/>
      <c r="W236" s="96"/>
      <c r="X236" s="96"/>
      <c r="Y236" s="96"/>
      <c r="Z236" s="96">
        <v>0.4</v>
      </c>
      <c r="AA236" s="96">
        <v>38</v>
      </c>
      <c r="AB236" s="96">
        <v>15</v>
      </c>
      <c r="AC236" s="96">
        <v>0.06</v>
      </c>
      <c r="AD236" s="96">
        <v>0.06</v>
      </c>
      <c r="AE236" s="96">
        <v>0</v>
      </c>
      <c r="AF236" s="96">
        <v>53</v>
      </c>
      <c r="AG236" s="96">
        <v>4</v>
      </c>
      <c r="AH236" s="96">
        <v>9</v>
      </c>
      <c r="AI236" s="96"/>
      <c r="AJ236" s="96">
        <v>0</v>
      </c>
    </row>
    <row r="237" spans="1:36" s="95" customFormat="1" ht="16">
      <c r="A237" s="90"/>
      <c r="B237" s="91"/>
      <c r="C237" s="59" t="s">
        <v>676</v>
      </c>
      <c r="D237" s="92">
        <v>5033</v>
      </c>
      <c r="E237" s="93" t="s">
        <v>515</v>
      </c>
      <c r="F237" s="90"/>
      <c r="G237" s="94">
        <v>0</v>
      </c>
      <c r="H237" s="94"/>
      <c r="I237" s="94"/>
      <c r="J237" s="96">
        <v>83.2</v>
      </c>
      <c r="K237" s="96">
        <v>0.7</v>
      </c>
      <c r="L237" s="96">
        <v>1.4</v>
      </c>
      <c r="M237" s="96">
        <v>0.2</v>
      </c>
      <c r="N237" s="96">
        <v>5.6</v>
      </c>
      <c r="O237" s="94">
        <v>0</v>
      </c>
      <c r="P237" s="96"/>
      <c r="Q237" s="96">
        <v>8.9</v>
      </c>
      <c r="R237" s="96">
        <v>54</v>
      </c>
      <c r="S237" s="96"/>
      <c r="T237" s="96">
        <v>27</v>
      </c>
      <c r="U237" s="96">
        <v>0.8</v>
      </c>
      <c r="V237" s="96"/>
      <c r="W237" s="96"/>
      <c r="X237" s="96"/>
      <c r="Y237" s="96"/>
      <c r="Z237" s="96">
        <v>0.32</v>
      </c>
      <c r="AA237" s="96">
        <v>34</v>
      </c>
      <c r="AB237" s="96">
        <v>30</v>
      </c>
      <c r="AC237" s="96">
        <v>0.04</v>
      </c>
      <c r="AD237" s="96">
        <v>0.03</v>
      </c>
      <c r="AE237" s="96">
        <v>0</v>
      </c>
      <c r="AF237" s="96">
        <v>30</v>
      </c>
      <c r="AG237" s="96">
        <v>3</v>
      </c>
      <c r="AH237" s="96">
        <v>5</v>
      </c>
      <c r="AI237" s="96"/>
      <c r="AJ237" s="96">
        <v>0</v>
      </c>
    </row>
    <row r="238" spans="1:36" s="95" customFormat="1">
      <c r="A238" s="90"/>
      <c r="B238" s="91"/>
      <c r="C238" s="97"/>
      <c r="D238" s="92"/>
      <c r="E238" s="93"/>
      <c r="F238" s="90"/>
      <c r="G238" s="94"/>
      <c r="H238" s="94"/>
      <c r="I238" s="94"/>
      <c r="J238" s="96"/>
      <c r="K238" s="96"/>
      <c r="L238" s="96"/>
      <c r="M238" s="96"/>
      <c r="N238" s="96"/>
      <c r="O238" s="94"/>
      <c r="P238" s="96"/>
      <c r="Q238" s="96"/>
      <c r="R238" s="96"/>
      <c r="S238" s="96"/>
      <c r="T238" s="96"/>
      <c r="U238" s="96"/>
      <c r="V238" s="96"/>
      <c r="W238" s="96"/>
      <c r="X238" s="96"/>
      <c r="Y238" s="96"/>
      <c r="Z238" s="96"/>
      <c r="AA238" s="96"/>
      <c r="AB238" s="96"/>
      <c r="AC238" s="96"/>
      <c r="AD238" s="96"/>
      <c r="AE238" s="96"/>
      <c r="AF238" s="96"/>
      <c r="AG238" s="96"/>
      <c r="AH238" s="96"/>
      <c r="AI238" s="96"/>
      <c r="AJ238" s="96"/>
    </row>
    <row r="239" spans="1:36" s="95" customFormat="1">
      <c r="A239" s="90"/>
      <c r="B239" s="91"/>
      <c r="C239" s="97"/>
      <c r="D239" s="92"/>
      <c r="E239" s="93"/>
      <c r="F239" s="90"/>
      <c r="G239" s="94">
        <v>0</v>
      </c>
      <c r="H239" s="94"/>
      <c r="I239" s="94"/>
      <c r="J239" s="90">
        <f t="shared" ref="J239:O244" si="373">+J232*(100-$G232)/100</f>
        <v>16.836000000000002</v>
      </c>
      <c r="K239" s="90">
        <f t="shared" si="373"/>
        <v>0.43699999999999994</v>
      </c>
      <c r="L239" s="90">
        <f t="shared" si="373"/>
        <v>0.32199999999999995</v>
      </c>
      <c r="M239" s="90">
        <f t="shared" si="373"/>
        <v>4.6000000000000006E-2</v>
      </c>
      <c r="N239" s="90">
        <f t="shared" si="373"/>
        <v>0.64399999999999991</v>
      </c>
      <c r="O239" s="90">
        <f t="shared" si="373"/>
        <v>0</v>
      </c>
      <c r="P239" s="96"/>
      <c r="Q239" s="90">
        <f t="shared" ref="Q239:R244" si="374">+Q232*(100-$G232)/100</f>
        <v>4.7149999999999999</v>
      </c>
      <c r="R239" s="90">
        <f t="shared" si="374"/>
        <v>21.85</v>
      </c>
      <c r="S239" s="96"/>
      <c r="T239" s="90">
        <f t="shared" ref="T239:AH239" si="375">+T232*(100-$G232)/100</f>
        <v>8.0500000000000007</v>
      </c>
      <c r="U239" s="90">
        <f t="shared" si="375"/>
        <v>0</v>
      </c>
      <c r="V239" s="90"/>
      <c r="W239" s="90"/>
      <c r="X239" s="90"/>
      <c r="Y239" s="90"/>
      <c r="Z239" s="90">
        <f t="shared" si="375"/>
        <v>0.17480000000000001</v>
      </c>
      <c r="AA239" s="90">
        <f t="shared" si="375"/>
        <v>4.37</v>
      </c>
      <c r="AB239" s="90">
        <f t="shared" si="375"/>
        <v>1.61</v>
      </c>
      <c r="AC239" s="90">
        <f t="shared" si="375"/>
        <v>1.61E-2</v>
      </c>
      <c r="AD239" s="90">
        <f t="shared" si="375"/>
        <v>2.9900000000000003E-2</v>
      </c>
      <c r="AE239" s="90">
        <f t="shared" si="375"/>
        <v>0</v>
      </c>
      <c r="AF239" s="90">
        <f t="shared" si="375"/>
        <v>20.7</v>
      </c>
      <c r="AG239" s="90">
        <f t="shared" si="375"/>
        <v>1.61</v>
      </c>
      <c r="AH239" s="90">
        <f t="shared" si="375"/>
        <v>3.45</v>
      </c>
      <c r="AI239" s="90"/>
      <c r="AJ239" s="90">
        <f t="shared" ref="AJ239:AJ244" si="376">+AJ232*(100-$G232)/100</f>
        <v>0</v>
      </c>
    </row>
    <row r="240" spans="1:36" s="95" customFormat="1">
      <c r="A240" s="90"/>
      <c r="B240" s="91"/>
      <c r="C240" s="97"/>
      <c r="D240" s="92"/>
      <c r="E240" s="93"/>
      <c r="F240" s="90"/>
      <c r="G240" s="94">
        <v>0</v>
      </c>
      <c r="H240" s="94"/>
      <c r="I240" s="94"/>
      <c r="J240" s="90">
        <f t="shared" si="373"/>
        <v>54</v>
      </c>
      <c r="K240" s="90">
        <f t="shared" si="373"/>
        <v>0.57600000000000007</v>
      </c>
      <c r="L240" s="90">
        <f t="shared" si="373"/>
        <v>1.224</v>
      </c>
      <c r="M240" s="90">
        <f t="shared" si="373"/>
        <v>0.504</v>
      </c>
      <c r="N240" s="90">
        <f t="shared" si="373"/>
        <v>3.6719999999999997</v>
      </c>
      <c r="O240" s="90">
        <f t="shared" si="373"/>
        <v>0</v>
      </c>
      <c r="P240" s="96"/>
      <c r="Q240" s="90">
        <f t="shared" si="374"/>
        <v>12.24</v>
      </c>
      <c r="R240" s="90">
        <f t="shared" si="374"/>
        <v>66.239999999999995</v>
      </c>
      <c r="S240" s="96"/>
      <c r="T240" s="90">
        <f t="shared" ref="T240:AH240" si="377">+T233*(100-$G233)/100</f>
        <v>20.16</v>
      </c>
      <c r="U240" s="90">
        <f t="shared" si="377"/>
        <v>0.28800000000000003</v>
      </c>
      <c r="V240" s="90"/>
      <c r="W240" s="90"/>
      <c r="X240" s="90"/>
      <c r="Y240" s="90"/>
      <c r="Z240" s="90">
        <f t="shared" si="377"/>
        <v>0</v>
      </c>
      <c r="AA240" s="90">
        <f t="shared" si="377"/>
        <v>26.64</v>
      </c>
      <c r="AB240" s="90">
        <f t="shared" si="377"/>
        <v>15.84</v>
      </c>
      <c r="AC240" s="90">
        <f t="shared" si="377"/>
        <v>5.0400000000000007E-2</v>
      </c>
      <c r="AD240" s="90">
        <f t="shared" si="377"/>
        <v>9.3599999999999989E-2</v>
      </c>
      <c r="AE240" s="90">
        <f t="shared" si="377"/>
        <v>0</v>
      </c>
      <c r="AF240" s="90">
        <f t="shared" si="377"/>
        <v>0</v>
      </c>
      <c r="AG240" s="90">
        <f t="shared" si="377"/>
        <v>0</v>
      </c>
      <c r="AH240" s="90">
        <f t="shared" si="377"/>
        <v>0</v>
      </c>
      <c r="AI240" s="90"/>
      <c r="AJ240" s="90">
        <f t="shared" si="376"/>
        <v>0</v>
      </c>
    </row>
    <row r="241" spans="1:36" s="95" customFormat="1">
      <c r="A241" s="90"/>
      <c r="B241" s="91"/>
      <c r="C241" s="97"/>
      <c r="D241" s="92"/>
      <c r="E241" s="93"/>
      <c r="F241" s="90"/>
      <c r="G241" s="94">
        <v>0</v>
      </c>
      <c r="H241" s="94"/>
      <c r="I241" s="94"/>
      <c r="J241" s="90">
        <f t="shared" si="373"/>
        <v>51.771999999999998</v>
      </c>
      <c r="K241" s="90">
        <f t="shared" si="373"/>
        <v>0.86</v>
      </c>
      <c r="L241" s="90">
        <f t="shared" si="373"/>
        <v>1.3759999999999999</v>
      </c>
      <c r="M241" s="90">
        <f t="shared" si="373"/>
        <v>8.5999999999999993E-2</v>
      </c>
      <c r="N241" s="90">
        <f t="shared" si="373"/>
        <v>1.548</v>
      </c>
      <c r="O241" s="90">
        <f t="shared" si="373"/>
        <v>0</v>
      </c>
      <c r="P241" s="96"/>
      <c r="Q241" s="90">
        <f t="shared" si="374"/>
        <v>30.357999999999997</v>
      </c>
      <c r="R241" s="90">
        <f t="shared" si="374"/>
        <v>130.72</v>
      </c>
      <c r="S241" s="96"/>
      <c r="T241" s="90">
        <f t="shared" ref="T241:AH241" si="378">+T234*(100-$G234)/100</f>
        <v>29.24</v>
      </c>
      <c r="U241" s="90">
        <f t="shared" si="378"/>
        <v>0.25800000000000001</v>
      </c>
      <c r="V241" s="90"/>
      <c r="W241" s="90"/>
      <c r="X241" s="90"/>
      <c r="Y241" s="90"/>
      <c r="Z241" s="90">
        <f t="shared" si="378"/>
        <v>0.17199999999999999</v>
      </c>
      <c r="AA241" s="90">
        <f t="shared" si="378"/>
        <v>21.5</v>
      </c>
      <c r="AB241" s="90">
        <f t="shared" si="378"/>
        <v>18.920000000000002</v>
      </c>
      <c r="AC241" s="90">
        <f t="shared" si="378"/>
        <v>5.16E-2</v>
      </c>
      <c r="AD241" s="90">
        <f t="shared" si="378"/>
        <v>6.0200000000000004E-2</v>
      </c>
      <c r="AE241" s="90">
        <f t="shared" si="378"/>
        <v>0</v>
      </c>
      <c r="AF241" s="90">
        <f t="shared" si="378"/>
        <v>17.2</v>
      </c>
      <c r="AG241" s="90">
        <f t="shared" si="378"/>
        <v>1.72</v>
      </c>
      <c r="AH241" s="90">
        <f t="shared" si="378"/>
        <v>2.58</v>
      </c>
      <c r="AI241" s="90"/>
      <c r="AJ241" s="90">
        <f t="shared" si="376"/>
        <v>0</v>
      </c>
    </row>
    <row r="242" spans="1:36" s="95" customFormat="1">
      <c r="A242" s="90"/>
      <c r="B242" s="91"/>
      <c r="C242" s="97"/>
      <c r="D242" s="92"/>
      <c r="E242" s="93"/>
      <c r="F242" s="90"/>
      <c r="G242" s="94">
        <v>0</v>
      </c>
      <c r="H242" s="94"/>
      <c r="I242" s="94"/>
      <c r="J242" s="90">
        <f t="shared" si="373"/>
        <v>88.605000000000004</v>
      </c>
      <c r="K242" s="90">
        <f t="shared" si="373"/>
        <v>0.89100000000000013</v>
      </c>
      <c r="L242" s="90">
        <f t="shared" si="373"/>
        <v>1.5840000000000001</v>
      </c>
      <c r="M242" s="90">
        <f t="shared" si="373"/>
        <v>0.19800000000000001</v>
      </c>
      <c r="N242" s="90">
        <f t="shared" si="373"/>
        <v>2.1779999999999999</v>
      </c>
      <c r="O242" s="90">
        <f t="shared" si="373"/>
        <v>0</v>
      </c>
      <c r="P242" s="96"/>
      <c r="Q242" s="90">
        <f t="shared" si="374"/>
        <v>5.5439999999999996</v>
      </c>
      <c r="R242" s="90">
        <f t="shared" si="374"/>
        <v>34.65</v>
      </c>
      <c r="S242" s="96"/>
      <c r="T242" s="90">
        <f t="shared" ref="T242:AH242" si="379">+T235*(100-$G235)/100</f>
        <v>54.45</v>
      </c>
      <c r="U242" s="90">
        <f t="shared" si="379"/>
        <v>1.1879999999999999</v>
      </c>
      <c r="V242" s="90"/>
      <c r="W242" s="90"/>
      <c r="X242" s="90"/>
      <c r="Y242" s="90"/>
      <c r="Z242" s="90">
        <f t="shared" si="379"/>
        <v>0.19800000000000001</v>
      </c>
      <c r="AA242" s="90">
        <f t="shared" si="379"/>
        <v>32.67</v>
      </c>
      <c r="AB242" s="90">
        <f t="shared" si="379"/>
        <v>10.89</v>
      </c>
      <c r="AC242" s="90">
        <f t="shared" si="379"/>
        <v>2.9699999999999997E-2</v>
      </c>
      <c r="AD242" s="90">
        <f t="shared" si="379"/>
        <v>6.93E-2</v>
      </c>
      <c r="AE242" s="90">
        <f t="shared" si="379"/>
        <v>0</v>
      </c>
      <c r="AF242" s="90">
        <f t="shared" si="379"/>
        <v>9.9</v>
      </c>
      <c r="AG242" s="90">
        <f t="shared" si="379"/>
        <v>0.99</v>
      </c>
      <c r="AH242" s="90">
        <f t="shared" si="379"/>
        <v>1.98</v>
      </c>
      <c r="AI242" s="90"/>
      <c r="AJ242" s="90">
        <f t="shared" si="376"/>
        <v>0</v>
      </c>
    </row>
    <row r="243" spans="1:36" s="95" customFormat="1">
      <c r="A243" s="90"/>
      <c r="B243" s="91"/>
      <c r="C243" s="97"/>
      <c r="D243" s="92"/>
      <c r="E243" s="93"/>
      <c r="F243" s="90"/>
      <c r="G243" s="94">
        <v>0</v>
      </c>
      <c r="H243" s="94"/>
      <c r="I243" s="94"/>
      <c r="J243" s="90">
        <f t="shared" si="373"/>
        <v>44.516999999999989</v>
      </c>
      <c r="K243" s="90">
        <f t="shared" si="373"/>
        <v>0.22799999999999998</v>
      </c>
      <c r="L243" s="90">
        <f t="shared" si="373"/>
        <v>0.91199999999999992</v>
      </c>
      <c r="M243" s="90">
        <f t="shared" si="373"/>
        <v>0.11399999999999999</v>
      </c>
      <c r="N243" s="90">
        <f t="shared" si="373"/>
        <v>3.6479999999999997</v>
      </c>
      <c r="O243" s="90">
        <f t="shared" si="373"/>
        <v>0</v>
      </c>
      <c r="P243" s="96"/>
      <c r="Q243" s="90">
        <f t="shared" si="374"/>
        <v>7.5809999999999995</v>
      </c>
      <c r="R243" s="90">
        <f t="shared" si="374"/>
        <v>42.179999999999993</v>
      </c>
      <c r="S243" s="96"/>
      <c r="T243" s="90">
        <f t="shared" ref="T243:AH243" si="380">+T236*(100-$G236)/100</f>
        <v>6.839999999999999</v>
      </c>
      <c r="U243" s="90">
        <f t="shared" si="380"/>
        <v>0.45599999999999996</v>
      </c>
      <c r="V243" s="90"/>
      <c r="W243" s="90"/>
      <c r="X243" s="90"/>
      <c r="Y243" s="90"/>
      <c r="Z243" s="90">
        <f t="shared" si="380"/>
        <v>0.22799999999999998</v>
      </c>
      <c r="AA243" s="90">
        <f t="shared" si="380"/>
        <v>21.659999999999997</v>
      </c>
      <c r="AB243" s="90">
        <f t="shared" si="380"/>
        <v>8.5499999999999989</v>
      </c>
      <c r="AC243" s="90">
        <f t="shared" si="380"/>
        <v>3.4199999999999994E-2</v>
      </c>
      <c r="AD243" s="90">
        <f t="shared" si="380"/>
        <v>3.4199999999999994E-2</v>
      </c>
      <c r="AE243" s="90">
        <f t="shared" si="380"/>
        <v>0</v>
      </c>
      <c r="AF243" s="90">
        <f t="shared" si="380"/>
        <v>30.209999999999994</v>
      </c>
      <c r="AG243" s="90">
        <f t="shared" si="380"/>
        <v>2.2799999999999998</v>
      </c>
      <c r="AH243" s="90">
        <f t="shared" si="380"/>
        <v>5.129999999999999</v>
      </c>
      <c r="AI243" s="90"/>
      <c r="AJ243" s="90">
        <f t="shared" si="376"/>
        <v>0</v>
      </c>
    </row>
    <row r="244" spans="1:36" s="95" customFormat="1">
      <c r="A244" s="90"/>
      <c r="B244" s="91"/>
      <c r="C244" s="97"/>
      <c r="D244" s="92"/>
      <c r="E244" s="93"/>
      <c r="F244" s="90"/>
      <c r="G244" s="94">
        <v>0</v>
      </c>
      <c r="H244" s="94"/>
      <c r="I244" s="94"/>
      <c r="J244" s="90">
        <f t="shared" si="373"/>
        <v>83.2</v>
      </c>
      <c r="K244" s="90">
        <f t="shared" si="373"/>
        <v>0.7</v>
      </c>
      <c r="L244" s="90">
        <f t="shared" si="373"/>
        <v>1.4</v>
      </c>
      <c r="M244" s="90">
        <f t="shared" si="373"/>
        <v>0.2</v>
      </c>
      <c r="N244" s="90">
        <f t="shared" si="373"/>
        <v>5.6</v>
      </c>
      <c r="O244" s="90">
        <f t="shared" si="373"/>
        <v>0</v>
      </c>
      <c r="P244" s="96"/>
      <c r="Q244" s="90">
        <f t="shared" si="374"/>
        <v>8.9</v>
      </c>
      <c r="R244" s="90">
        <f t="shared" si="374"/>
        <v>54</v>
      </c>
      <c r="S244" s="96"/>
      <c r="T244" s="90">
        <f t="shared" ref="T244:AH244" si="381">+T237*(100-$G237)/100</f>
        <v>27</v>
      </c>
      <c r="U244" s="90">
        <f t="shared" si="381"/>
        <v>0.8</v>
      </c>
      <c r="V244" s="90"/>
      <c r="W244" s="90"/>
      <c r="X244" s="90"/>
      <c r="Y244" s="90"/>
      <c r="Z244" s="90">
        <f t="shared" si="381"/>
        <v>0.32</v>
      </c>
      <c r="AA244" s="90">
        <f t="shared" si="381"/>
        <v>34</v>
      </c>
      <c r="AB244" s="90">
        <f t="shared" si="381"/>
        <v>30</v>
      </c>
      <c r="AC244" s="90">
        <f t="shared" si="381"/>
        <v>0.04</v>
      </c>
      <c r="AD244" s="90">
        <f t="shared" si="381"/>
        <v>0.03</v>
      </c>
      <c r="AE244" s="90">
        <f t="shared" si="381"/>
        <v>0</v>
      </c>
      <c r="AF244" s="90">
        <f t="shared" si="381"/>
        <v>30</v>
      </c>
      <c r="AG244" s="90">
        <f t="shared" si="381"/>
        <v>3</v>
      </c>
      <c r="AH244" s="90">
        <f t="shared" si="381"/>
        <v>5</v>
      </c>
      <c r="AI244" s="90"/>
      <c r="AJ244" s="90">
        <f t="shared" si="376"/>
        <v>0</v>
      </c>
    </row>
    <row r="245" spans="1:36" s="95" customFormat="1">
      <c r="A245" s="90"/>
      <c r="B245" s="91"/>
      <c r="C245" s="97"/>
      <c r="D245" s="92"/>
      <c r="E245" s="93"/>
      <c r="F245" s="90"/>
      <c r="G245" s="94"/>
      <c r="H245" s="94"/>
      <c r="I245" s="94"/>
      <c r="J245" s="96"/>
      <c r="K245" s="96"/>
      <c r="L245" s="96"/>
      <c r="M245" s="96"/>
      <c r="N245" s="96"/>
      <c r="O245" s="94"/>
      <c r="P245" s="96"/>
      <c r="Q245" s="96"/>
      <c r="R245" s="96"/>
      <c r="S245" s="96"/>
      <c r="T245" s="96"/>
      <c r="U245" s="96"/>
      <c r="V245" s="96"/>
      <c r="W245" s="96"/>
      <c r="X245" s="96"/>
      <c r="Y245" s="96"/>
      <c r="Z245" s="96"/>
      <c r="AA245" s="96"/>
      <c r="AB245" s="96"/>
      <c r="AC245" s="96"/>
      <c r="AD245" s="96"/>
      <c r="AE245" s="96"/>
      <c r="AF245" s="96"/>
      <c r="AG245" s="96"/>
      <c r="AH245" s="96"/>
      <c r="AI245" s="96"/>
      <c r="AJ245" s="96"/>
    </row>
    <row r="246" spans="1:36" s="84" customFormat="1" ht="16">
      <c r="A246" s="80">
        <v>623</v>
      </c>
      <c r="B246" s="81" t="s">
        <v>302</v>
      </c>
      <c r="C246" s="82"/>
      <c r="D246" s="80"/>
      <c r="E246" s="83" t="s">
        <v>609</v>
      </c>
      <c r="F246" s="80">
        <f>AVERAGE(G232:G237)</f>
        <v>27.166666666666668</v>
      </c>
      <c r="G246" s="80">
        <f>AVERAGE(G239:G244)</f>
        <v>0</v>
      </c>
      <c r="H246" s="80"/>
      <c r="I246" s="80"/>
      <c r="J246" s="80">
        <f t="shared" ref="J246:O246" si="382">AVERAGE(J239:J244)</f>
        <v>56.488333333333337</v>
      </c>
      <c r="K246" s="80">
        <f t="shared" si="382"/>
        <v>0.6153333333333334</v>
      </c>
      <c r="L246" s="80">
        <f t="shared" si="382"/>
        <v>1.1363333333333332</v>
      </c>
      <c r="M246" s="80">
        <f t="shared" si="382"/>
        <v>0.19133333333333336</v>
      </c>
      <c r="N246" s="80">
        <f t="shared" si="382"/>
        <v>2.8816666666666664</v>
      </c>
      <c r="O246" s="80">
        <f t="shared" si="382"/>
        <v>0</v>
      </c>
      <c r="P246" s="80"/>
      <c r="Q246" s="80">
        <f>100-F246-J246-K246-L246-M246-N246-O246</f>
        <v>11.520333333333326</v>
      </c>
      <c r="R246" s="80">
        <f>AVERAGE(R239:R244)</f>
        <v>58.273333333333333</v>
      </c>
      <c r="S246" s="80"/>
      <c r="T246" s="80">
        <f t="shared" ref="T246:AF246" si="383">AVERAGE(T239:T244)</f>
        <v>24.290000000000003</v>
      </c>
      <c r="U246" s="80">
        <f t="shared" si="383"/>
        <v>0.49833333333333335</v>
      </c>
      <c r="V246" s="80"/>
      <c r="W246" s="80"/>
      <c r="X246" s="80"/>
      <c r="Y246" s="80"/>
      <c r="Z246" s="80">
        <f t="shared" si="383"/>
        <v>0.18213333333333334</v>
      </c>
      <c r="AA246" s="80">
        <f t="shared" si="383"/>
        <v>23.473333333333333</v>
      </c>
      <c r="AB246" s="80">
        <f t="shared" si="383"/>
        <v>14.301666666666668</v>
      </c>
      <c r="AC246" s="80">
        <f t="shared" si="383"/>
        <v>3.6999999999999998E-2</v>
      </c>
      <c r="AD246" s="80">
        <f t="shared" si="383"/>
        <v>5.2866666666666673E-2</v>
      </c>
      <c r="AE246" s="80">
        <f t="shared" si="383"/>
        <v>0</v>
      </c>
      <c r="AF246" s="80">
        <f t="shared" si="383"/>
        <v>18.001666666666665</v>
      </c>
      <c r="AG246" s="80">
        <f>+AE246+AF246/12</f>
        <v>1.5001388888888887</v>
      </c>
      <c r="AH246" s="80">
        <f>+AE246+AF246/6</f>
        <v>3.0002777777777774</v>
      </c>
      <c r="AI246" s="80"/>
      <c r="AJ246" s="80">
        <f>AVERAGE(AJ239:AJ244)</f>
        <v>0</v>
      </c>
    </row>
    <row r="247" spans="1:36">
      <c r="A247" s="3"/>
      <c r="B247" s="76"/>
      <c r="C247" s="16"/>
      <c r="D247" s="3"/>
      <c r="E247" s="77"/>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spans="1:36" s="13" customFormat="1" ht="16">
      <c r="A248" s="6"/>
      <c r="B248" s="78"/>
      <c r="C248" s="59" t="s">
        <v>676</v>
      </c>
      <c r="D248" s="63">
        <v>4005</v>
      </c>
      <c r="E248" s="86" t="s">
        <v>518</v>
      </c>
      <c r="F248" s="61">
        <v>7.9999999999999964</v>
      </c>
      <c r="G248" s="61">
        <v>0</v>
      </c>
      <c r="H248" s="61"/>
      <c r="I248" s="61"/>
      <c r="J248" s="69">
        <v>97</v>
      </c>
      <c r="K248" s="69">
        <v>0.4</v>
      </c>
      <c r="L248" s="69">
        <v>0.9</v>
      </c>
      <c r="M248" s="69">
        <v>0.3</v>
      </c>
      <c r="N248" s="69">
        <v>1.1000000000000001</v>
      </c>
      <c r="O248" s="61">
        <v>0</v>
      </c>
      <c r="P248" s="69"/>
      <c r="Q248" s="69">
        <v>0.4</v>
      </c>
      <c r="R248" s="69">
        <v>10</v>
      </c>
      <c r="S248" s="69"/>
      <c r="T248" s="69">
        <v>36</v>
      </c>
      <c r="U248" s="69">
        <v>1.4</v>
      </c>
      <c r="V248" s="69"/>
      <c r="W248" s="69"/>
      <c r="X248" s="69"/>
      <c r="Y248" s="69"/>
      <c r="Z248" s="69">
        <v>0</v>
      </c>
      <c r="AA248" s="69">
        <v>170</v>
      </c>
      <c r="AB248" s="69">
        <v>20</v>
      </c>
      <c r="AC248" s="69">
        <v>0.03</v>
      </c>
      <c r="AD248" s="69">
        <v>0.04</v>
      </c>
      <c r="AE248" s="69">
        <v>0</v>
      </c>
      <c r="AF248" s="69">
        <v>190</v>
      </c>
      <c r="AG248" s="69">
        <v>16</v>
      </c>
      <c r="AH248" s="69">
        <v>32</v>
      </c>
      <c r="AI248" s="69"/>
      <c r="AJ248" s="69">
        <v>0</v>
      </c>
    </row>
    <row r="249" spans="1:36" s="13" customFormat="1" ht="16">
      <c r="A249" s="6"/>
      <c r="B249" s="78"/>
      <c r="C249" s="59" t="s">
        <v>676</v>
      </c>
      <c r="D249" s="63">
        <v>4006</v>
      </c>
      <c r="E249" s="86" t="s">
        <v>519</v>
      </c>
      <c r="F249" s="61">
        <v>16</v>
      </c>
      <c r="G249" s="61">
        <v>0</v>
      </c>
      <c r="H249" s="61"/>
      <c r="I249" s="61"/>
      <c r="J249" s="69">
        <v>96.9</v>
      </c>
      <c r="K249" s="69">
        <v>0.4</v>
      </c>
      <c r="L249" s="69">
        <v>0.9</v>
      </c>
      <c r="M249" s="69">
        <v>0.3</v>
      </c>
      <c r="N249" s="69">
        <v>1.1000000000000001</v>
      </c>
      <c r="O249" s="61">
        <v>0</v>
      </c>
      <c r="P249" s="69"/>
      <c r="Q249" s="69">
        <v>0.4</v>
      </c>
      <c r="R249" s="69">
        <v>10</v>
      </c>
      <c r="S249" s="69"/>
      <c r="T249" s="69">
        <v>35</v>
      </c>
      <c r="U249" s="69">
        <v>1.1000000000000001</v>
      </c>
      <c r="V249" s="69"/>
      <c r="W249" s="69"/>
      <c r="X249" s="69"/>
      <c r="Y249" s="69"/>
      <c r="Z249" s="69">
        <v>0.15</v>
      </c>
      <c r="AA249" s="69">
        <v>87</v>
      </c>
      <c r="AB249" s="69">
        <v>8</v>
      </c>
      <c r="AC249" s="69">
        <v>0.02</v>
      </c>
      <c r="AD249" s="69">
        <v>0.03</v>
      </c>
      <c r="AE249" s="69">
        <v>0</v>
      </c>
      <c r="AF249" s="69">
        <v>174</v>
      </c>
      <c r="AG249" s="69">
        <v>15</v>
      </c>
      <c r="AH249" s="69">
        <v>29</v>
      </c>
      <c r="AI249" s="69"/>
      <c r="AJ249" s="69">
        <v>0</v>
      </c>
    </row>
    <row r="250" spans="1:36" s="13" customFormat="1" ht="16">
      <c r="A250" s="6"/>
      <c r="B250" s="78"/>
      <c r="C250" s="59" t="s">
        <v>676</v>
      </c>
      <c r="D250" s="63">
        <v>4007</v>
      </c>
      <c r="E250" s="86" t="s">
        <v>520</v>
      </c>
      <c r="F250" s="61">
        <v>21.999999999999996</v>
      </c>
      <c r="G250" s="61">
        <v>0</v>
      </c>
      <c r="H250" s="61"/>
      <c r="I250" s="61"/>
      <c r="J250" s="69">
        <v>93.8</v>
      </c>
      <c r="K250" s="69">
        <v>0.7</v>
      </c>
      <c r="L250" s="69">
        <v>1.1000000000000001</v>
      </c>
      <c r="M250" s="69">
        <v>0.1</v>
      </c>
      <c r="N250" s="69">
        <v>2.2000000000000002</v>
      </c>
      <c r="O250" s="61">
        <v>0</v>
      </c>
      <c r="P250" s="69"/>
      <c r="Q250" s="69">
        <v>2.2000000000000002</v>
      </c>
      <c r="R250" s="69">
        <v>18</v>
      </c>
      <c r="S250" s="69"/>
      <c r="T250" s="69">
        <v>47</v>
      </c>
      <c r="U250" s="69">
        <v>0.5</v>
      </c>
      <c r="V250" s="69"/>
      <c r="W250" s="69"/>
      <c r="X250" s="69"/>
      <c r="Y250" s="69"/>
      <c r="Z250" s="69">
        <v>0.2</v>
      </c>
      <c r="AA250" s="69">
        <v>15</v>
      </c>
      <c r="AB250" s="69">
        <v>50</v>
      </c>
      <c r="AC250" s="69">
        <v>0.04</v>
      </c>
      <c r="AD250" s="69">
        <v>0.04</v>
      </c>
      <c r="AE250" s="69">
        <v>0</v>
      </c>
      <c r="AF250" s="69">
        <v>0</v>
      </c>
      <c r="AG250" s="69">
        <v>0</v>
      </c>
      <c r="AH250" s="69">
        <v>0</v>
      </c>
      <c r="AI250" s="69"/>
      <c r="AJ250" s="69">
        <v>0</v>
      </c>
    </row>
    <row r="251" spans="1:36" s="13" customFormat="1">
      <c r="A251" s="6"/>
      <c r="B251" s="78"/>
      <c r="C251" s="59"/>
      <c r="D251" s="63"/>
      <c r="E251" s="86"/>
      <c r="F251" s="6">
        <f>AVERAGE(F248:F250)</f>
        <v>15.33333333333333</v>
      </c>
      <c r="G251" s="61"/>
      <c r="H251" s="61"/>
      <c r="I251" s="61"/>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row>
    <row r="252" spans="1:36" s="13" customFormat="1">
      <c r="A252" s="6"/>
      <c r="B252" s="78"/>
      <c r="C252" s="59"/>
      <c r="D252" s="63"/>
      <c r="E252" s="86"/>
      <c r="F252" s="6"/>
      <c r="G252" s="61">
        <v>0</v>
      </c>
      <c r="H252" s="61"/>
      <c r="I252" s="61"/>
      <c r="J252" s="6">
        <f>+J248*(100-$G248)/100</f>
        <v>97</v>
      </c>
      <c r="K252" s="6">
        <f t="shared" ref="K252:O252" si="384">+K248*(100-$G248)/100</f>
        <v>0.4</v>
      </c>
      <c r="L252" s="6">
        <f t="shared" si="384"/>
        <v>0.9</v>
      </c>
      <c r="M252" s="6">
        <f t="shared" si="384"/>
        <v>0.3</v>
      </c>
      <c r="N252" s="6">
        <f t="shared" si="384"/>
        <v>1.1000000000000001</v>
      </c>
      <c r="O252" s="6">
        <f t="shared" si="384"/>
        <v>0</v>
      </c>
      <c r="P252" s="69"/>
      <c r="Q252" s="6">
        <f t="shared" ref="Q252:R252" si="385">+Q248*(100-$G248)/100</f>
        <v>0.4</v>
      </c>
      <c r="R252" s="6">
        <f t="shared" si="385"/>
        <v>10</v>
      </c>
      <c r="S252" s="69"/>
      <c r="T252" s="6">
        <f t="shared" ref="T252:AH252" si="386">+T248*(100-$G248)/100</f>
        <v>36</v>
      </c>
      <c r="U252" s="6">
        <f t="shared" si="386"/>
        <v>1.4</v>
      </c>
      <c r="V252" s="6"/>
      <c r="W252" s="6"/>
      <c r="X252" s="6"/>
      <c r="Y252" s="6"/>
      <c r="Z252" s="6">
        <f t="shared" si="386"/>
        <v>0</v>
      </c>
      <c r="AA252" s="6">
        <f t="shared" si="386"/>
        <v>170</v>
      </c>
      <c r="AB252" s="6">
        <f t="shared" si="386"/>
        <v>20</v>
      </c>
      <c r="AC252" s="6">
        <f t="shared" si="386"/>
        <v>0.03</v>
      </c>
      <c r="AD252" s="6">
        <f t="shared" si="386"/>
        <v>0.04</v>
      </c>
      <c r="AE252" s="6">
        <f t="shared" si="386"/>
        <v>0</v>
      </c>
      <c r="AF252" s="6">
        <f t="shared" si="386"/>
        <v>190</v>
      </c>
      <c r="AG252" s="6">
        <f t="shared" si="386"/>
        <v>16</v>
      </c>
      <c r="AH252" s="6">
        <f t="shared" si="386"/>
        <v>32</v>
      </c>
      <c r="AI252" s="69"/>
      <c r="AJ252" s="6">
        <f>+AJ248*(100-$G248)/100</f>
        <v>0</v>
      </c>
    </row>
    <row r="253" spans="1:36" s="13" customFormat="1">
      <c r="A253" s="6"/>
      <c r="B253" s="78"/>
      <c r="C253" s="59"/>
      <c r="D253" s="63"/>
      <c r="E253" s="86"/>
      <c r="F253" s="6"/>
      <c r="G253" s="61">
        <v>0</v>
      </c>
      <c r="H253" s="61"/>
      <c r="I253" s="61"/>
      <c r="J253" s="6">
        <f t="shared" ref="J253:O254" si="387">+J249*(100-$G249)/100</f>
        <v>96.9</v>
      </c>
      <c r="K253" s="6">
        <f t="shared" si="387"/>
        <v>0.4</v>
      </c>
      <c r="L253" s="6">
        <f t="shared" si="387"/>
        <v>0.9</v>
      </c>
      <c r="M253" s="6">
        <f t="shared" si="387"/>
        <v>0.3</v>
      </c>
      <c r="N253" s="6">
        <f t="shared" si="387"/>
        <v>1.1000000000000001</v>
      </c>
      <c r="O253" s="6">
        <f t="shared" si="387"/>
        <v>0</v>
      </c>
      <c r="P253" s="69"/>
      <c r="Q253" s="6">
        <f t="shared" ref="Q253:R253" si="388">+Q249*(100-$G249)/100</f>
        <v>0.4</v>
      </c>
      <c r="R253" s="6">
        <f t="shared" si="388"/>
        <v>10</v>
      </c>
      <c r="S253" s="69"/>
      <c r="T253" s="6">
        <f t="shared" ref="T253:AH253" si="389">+T249*(100-$G249)/100</f>
        <v>35</v>
      </c>
      <c r="U253" s="6">
        <f t="shared" si="389"/>
        <v>1.1000000000000001</v>
      </c>
      <c r="V253" s="6"/>
      <c r="W253" s="6"/>
      <c r="X253" s="6"/>
      <c r="Y253" s="6"/>
      <c r="Z253" s="6">
        <f t="shared" si="389"/>
        <v>0.15</v>
      </c>
      <c r="AA253" s="6">
        <f t="shared" si="389"/>
        <v>87</v>
      </c>
      <c r="AB253" s="6">
        <f t="shared" si="389"/>
        <v>8</v>
      </c>
      <c r="AC253" s="6">
        <f t="shared" si="389"/>
        <v>0.02</v>
      </c>
      <c r="AD253" s="6">
        <f t="shared" si="389"/>
        <v>0.03</v>
      </c>
      <c r="AE253" s="6">
        <f t="shared" si="389"/>
        <v>0</v>
      </c>
      <c r="AF253" s="6">
        <f t="shared" si="389"/>
        <v>174</v>
      </c>
      <c r="AG253" s="6">
        <f t="shared" si="389"/>
        <v>15</v>
      </c>
      <c r="AH253" s="6">
        <f t="shared" si="389"/>
        <v>29</v>
      </c>
      <c r="AI253" s="69"/>
      <c r="AJ253" s="6">
        <f t="shared" ref="AJ253" si="390">+AJ249*(100-$G249)/100</f>
        <v>0</v>
      </c>
    </row>
    <row r="254" spans="1:36" s="13" customFormat="1">
      <c r="A254" s="6"/>
      <c r="B254" s="78"/>
      <c r="C254" s="59"/>
      <c r="D254" s="63"/>
      <c r="E254" s="86"/>
      <c r="F254" s="6"/>
      <c r="G254" s="61">
        <v>0</v>
      </c>
      <c r="H254" s="61"/>
      <c r="I254" s="61"/>
      <c r="J254" s="6">
        <f t="shared" si="387"/>
        <v>93.8</v>
      </c>
      <c r="K254" s="6">
        <f t="shared" si="387"/>
        <v>0.7</v>
      </c>
      <c r="L254" s="6">
        <f t="shared" si="387"/>
        <v>1.1000000000000001</v>
      </c>
      <c r="M254" s="6">
        <f t="shared" si="387"/>
        <v>0.1</v>
      </c>
      <c r="N254" s="6">
        <f t="shared" si="387"/>
        <v>2.2000000000000002</v>
      </c>
      <c r="O254" s="6">
        <f t="shared" si="387"/>
        <v>0</v>
      </c>
      <c r="P254" s="69"/>
      <c r="Q254" s="6">
        <f t="shared" ref="Q254:R254" si="391">+Q250*(100-$G250)/100</f>
        <v>2.2000000000000002</v>
      </c>
      <c r="R254" s="6">
        <f t="shared" si="391"/>
        <v>18</v>
      </c>
      <c r="S254" s="69"/>
      <c r="T254" s="6">
        <f t="shared" ref="T254:AH254" si="392">+T250*(100-$G250)/100</f>
        <v>47</v>
      </c>
      <c r="U254" s="6">
        <f t="shared" si="392"/>
        <v>0.5</v>
      </c>
      <c r="V254" s="6"/>
      <c r="W254" s="6"/>
      <c r="X254" s="6"/>
      <c r="Y254" s="6"/>
      <c r="Z254" s="6">
        <f t="shared" si="392"/>
        <v>0.2</v>
      </c>
      <c r="AA254" s="6">
        <f t="shared" si="392"/>
        <v>15</v>
      </c>
      <c r="AB254" s="6">
        <f t="shared" si="392"/>
        <v>50</v>
      </c>
      <c r="AC254" s="6">
        <f t="shared" si="392"/>
        <v>0.04</v>
      </c>
      <c r="AD254" s="6">
        <f t="shared" si="392"/>
        <v>0.04</v>
      </c>
      <c r="AE254" s="6">
        <f t="shared" si="392"/>
        <v>0</v>
      </c>
      <c r="AF254" s="6">
        <f t="shared" si="392"/>
        <v>0</v>
      </c>
      <c r="AG254" s="6">
        <f t="shared" si="392"/>
        <v>0</v>
      </c>
      <c r="AH254" s="6">
        <f t="shared" si="392"/>
        <v>0</v>
      </c>
      <c r="AI254" s="69"/>
      <c r="AJ254" s="6">
        <f t="shared" ref="AJ254" si="393">+AJ250*(100-$G250)/100</f>
        <v>0</v>
      </c>
    </row>
    <row r="255" spans="1:36" s="13" customFormat="1">
      <c r="A255" s="6"/>
      <c r="B255" s="78"/>
      <c r="C255" s="59"/>
      <c r="D255" s="63"/>
      <c r="E255" s="86"/>
      <c r="F255" s="6"/>
      <c r="G255" s="61"/>
      <c r="H255" s="61"/>
      <c r="I255" s="61"/>
      <c r="J255" s="6"/>
      <c r="K255" s="6"/>
      <c r="L255" s="6"/>
      <c r="M255" s="6"/>
      <c r="N255" s="6"/>
      <c r="O255" s="6"/>
      <c r="P255" s="69"/>
      <c r="Q255" s="6"/>
      <c r="R255" s="6"/>
      <c r="S255" s="69"/>
      <c r="T255" s="6"/>
      <c r="U255" s="6"/>
      <c r="V255" s="6"/>
      <c r="W255" s="6"/>
      <c r="X255" s="6"/>
      <c r="Y255" s="6"/>
      <c r="Z255" s="6"/>
      <c r="AA255" s="6"/>
      <c r="AB255" s="6"/>
      <c r="AC255" s="6"/>
      <c r="AD255" s="6"/>
      <c r="AE255" s="6"/>
      <c r="AF255" s="6"/>
      <c r="AG255" s="6"/>
      <c r="AH255" s="6"/>
      <c r="AI255" s="69"/>
      <c r="AJ255" s="6"/>
    </row>
    <row r="256" spans="1:36" s="84" customFormat="1" ht="16">
      <c r="A256" s="80">
        <v>703</v>
      </c>
      <c r="B256" s="81" t="s">
        <v>305</v>
      </c>
      <c r="C256" s="82"/>
      <c r="D256" s="101"/>
      <c r="E256" s="102" t="s">
        <v>609</v>
      </c>
      <c r="F256" s="80">
        <f>AVERAGE(G248:G250)</f>
        <v>0</v>
      </c>
      <c r="G256" s="103">
        <f>AVERAGE(G252:G254)</f>
        <v>0</v>
      </c>
      <c r="H256" s="103"/>
      <c r="I256" s="103"/>
      <c r="J256" s="103">
        <f t="shared" ref="J256:O256" si="394">AVERAGE(J252:J254)</f>
        <v>95.899999999999991</v>
      </c>
      <c r="K256" s="103">
        <f t="shared" si="394"/>
        <v>0.5</v>
      </c>
      <c r="L256" s="103">
        <f t="shared" si="394"/>
        <v>0.96666666666666679</v>
      </c>
      <c r="M256" s="103">
        <f t="shared" si="394"/>
        <v>0.23333333333333331</v>
      </c>
      <c r="N256" s="103">
        <f t="shared" si="394"/>
        <v>1.4666666666666668</v>
      </c>
      <c r="O256" s="103">
        <f t="shared" si="394"/>
        <v>0</v>
      </c>
      <c r="P256" s="104"/>
      <c r="Q256" s="80">
        <f>100-F256-J256-K256-L256-M256-N256-O256</f>
        <v>0.93333333333334156</v>
      </c>
      <c r="R256" s="103">
        <f t="shared" ref="R256" si="395">AVERAGE(R252:R254)</f>
        <v>12.666666666666666</v>
      </c>
      <c r="S256" s="104"/>
      <c r="T256" s="103">
        <f t="shared" ref="T256:AF256" si="396">AVERAGE(T252:T254)</f>
        <v>39.333333333333336</v>
      </c>
      <c r="U256" s="103">
        <f t="shared" si="396"/>
        <v>1</v>
      </c>
      <c r="V256" s="103"/>
      <c r="W256" s="103"/>
      <c r="X256" s="103"/>
      <c r="Y256" s="103"/>
      <c r="Z256" s="103">
        <f t="shared" si="396"/>
        <v>0.11666666666666665</v>
      </c>
      <c r="AA256" s="103">
        <f t="shared" si="396"/>
        <v>90.666666666666671</v>
      </c>
      <c r="AB256" s="103">
        <f t="shared" si="396"/>
        <v>26</v>
      </c>
      <c r="AC256" s="103">
        <f t="shared" si="396"/>
        <v>0.03</v>
      </c>
      <c r="AD256" s="103">
        <f t="shared" si="396"/>
        <v>3.6666666666666674E-2</v>
      </c>
      <c r="AE256" s="103">
        <f t="shared" si="396"/>
        <v>0</v>
      </c>
      <c r="AF256" s="103">
        <f t="shared" si="396"/>
        <v>121.33333333333333</v>
      </c>
      <c r="AG256" s="80">
        <f>+AE256+AF256/12</f>
        <v>10.111111111111111</v>
      </c>
      <c r="AH256" s="80">
        <f>+AE256+AF256/6</f>
        <v>20.222222222222221</v>
      </c>
      <c r="AI256" s="104"/>
      <c r="AJ256" s="103">
        <f>AVERAGE(AJ252:AJ254)</f>
        <v>0</v>
      </c>
    </row>
    <row r="257" spans="1:36">
      <c r="A257" s="3"/>
      <c r="B257" s="76"/>
      <c r="C257" s="16"/>
      <c r="D257" s="3"/>
      <c r="E257" s="77"/>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spans="1:36">
      <c r="A258" s="3"/>
      <c r="B258" s="76"/>
      <c r="C258" s="16"/>
      <c r="D258" s="3"/>
      <c r="E258" s="77"/>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spans="1:36" s="13" customFormat="1" ht="16">
      <c r="A259" s="6"/>
      <c r="B259" s="78"/>
      <c r="C259" s="59" t="s">
        <v>676</v>
      </c>
      <c r="D259" s="63">
        <v>4035</v>
      </c>
      <c r="E259" s="86" t="s">
        <v>522</v>
      </c>
      <c r="F259" s="6"/>
      <c r="G259" s="61">
        <v>2.0000000000000018</v>
      </c>
      <c r="H259" s="61"/>
      <c r="I259" s="61"/>
      <c r="J259" s="69">
        <v>93.2</v>
      </c>
      <c r="K259" s="69">
        <v>0.6</v>
      </c>
      <c r="L259" s="69">
        <v>1.1000000000000001</v>
      </c>
      <c r="M259" s="69">
        <v>0.2</v>
      </c>
      <c r="N259" s="69">
        <v>1.6</v>
      </c>
      <c r="O259" s="61">
        <v>0</v>
      </c>
      <c r="P259" s="69"/>
      <c r="Q259" s="69">
        <v>3.3</v>
      </c>
      <c r="R259" s="69">
        <v>23</v>
      </c>
      <c r="S259" s="69"/>
      <c r="T259" s="69">
        <v>8</v>
      </c>
      <c r="U259" s="69">
        <v>0.4</v>
      </c>
      <c r="V259" s="69"/>
      <c r="W259" s="69"/>
      <c r="X259" s="69"/>
      <c r="Y259" s="69"/>
      <c r="Z259" s="69">
        <v>0.2</v>
      </c>
      <c r="AA259" s="69">
        <v>9</v>
      </c>
      <c r="AB259" s="69">
        <v>16</v>
      </c>
      <c r="AC259" s="69">
        <v>0.08</v>
      </c>
      <c r="AD259" s="69">
        <v>0.1</v>
      </c>
      <c r="AE259" s="69">
        <v>0</v>
      </c>
      <c r="AF259" s="69">
        <v>32</v>
      </c>
      <c r="AG259" s="69">
        <v>3</v>
      </c>
      <c r="AH259" s="69">
        <v>5</v>
      </c>
      <c r="AI259" s="69"/>
      <c r="AJ259" s="69">
        <v>0</v>
      </c>
    </row>
    <row r="260" spans="1:36" s="13" customFormat="1" ht="16">
      <c r="A260" s="6"/>
      <c r="B260" s="78"/>
      <c r="C260" s="59" t="s">
        <v>676</v>
      </c>
      <c r="D260" s="63">
        <v>4036</v>
      </c>
      <c r="E260" s="86" t="s">
        <v>523</v>
      </c>
      <c r="F260" s="6"/>
      <c r="G260" s="61">
        <v>2.0000000000000018</v>
      </c>
      <c r="H260" s="61"/>
      <c r="I260" s="61"/>
      <c r="J260" s="69">
        <v>93.6</v>
      </c>
      <c r="K260" s="69">
        <v>0.5</v>
      </c>
      <c r="L260" s="69">
        <v>1</v>
      </c>
      <c r="M260" s="69">
        <v>0.2</v>
      </c>
      <c r="N260" s="69">
        <v>1.4</v>
      </c>
      <c r="O260" s="61">
        <v>0</v>
      </c>
      <c r="P260" s="69"/>
      <c r="Q260" s="69">
        <v>3.3</v>
      </c>
      <c r="R260" s="69">
        <v>22</v>
      </c>
      <c r="S260" s="69"/>
      <c r="T260" s="69">
        <v>8</v>
      </c>
      <c r="U260" s="69">
        <v>0.9</v>
      </c>
      <c r="V260" s="69"/>
      <c r="W260" s="69"/>
      <c r="X260" s="69"/>
      <c r="Y260" s="69"/>
      <c r="Z260" s="69">
        <v>0.37</v>
      </c>
      <c r="AA260" s="69">
        <v>25</v>
      </c>
      <c r="AB260" s="69">
        <v>25</v>
      </c>
      <c r="AC260" s="69">
        <v>0.04</v>
      </c>
      <c r="AD260" s="69">
        <v>0.04</v>
      </c>
      <c r="AE260" s="69">
        <v>0</v>
      </c>
      <c r="AF260" s="69">
        <v>316</v>
      </c>
      <c r="AG260" s="69">
        <v>26</v>
      </c>
      <c r="AH260" s="69">
        <v>53</v>
      </c>
      <c r="AI260" s="69"/>
      <c r="AJ260" s="69">
        <v>0</v>
      </c>
    </row>
    <row r="261" spans="1:36" s="13" customFormat="1">
      <c r="A261" s="6"/>
      <c r="B261" s="78"/>
      <c r="C261" s="59"/>
      <c r="D261" s="63"/>
      <c r="E261" s="86"/>
      <c r="F261" s="6"/>
      <c r="G261" s="61"/>
      <c r="H261" s="61"/>
      <c r="I261" s="61"/>
      <c r="J261" s="69"/>
      <c r="K261" s="69"/>
      <c r="L261" s="69"/>
      <c r="M261" s="69"/>
      <c r="N261" s="69"/>
      <c r="O261" s="61"/>
      <c r="P261" s="69"/>
      <c r="Q261" s="69"/>
      <c r="R261" s="69"/>
      <c r="S261" s="69"/>
      <c r="T261" s="69"/>
      <c r="U261" s="69"/>
      <c r="V261" s="69"/>
      <c r="W261" s="69"/>
      <c r="X261" s="69"/>
      <c r="Y261" s="69"/>
      <c r="Z261" s="69"/>
      <c r="AA261" s="69"/>
      <c r="AB261" s="69"/>
      <c r="AC261" s="69"/>
      <c r="AD261" s="69"/>
      <c r="AE261" s="69"/>
      <c r="AF261" s="69"/>
      <c r="AG261" s="69"/>
      <c r="AH261" s="69"/>
      <c r="AI261" s="69"/>
      <c r="AJ261" s="69"/>
    </row>
    <row r="262" spans="1:36" s="84" customFormat="1" ht="16">
      <c r="A262" s="80">
        <v>705</v>
      </c>
      <c r="B262" s="81" t="s">
        <v>307</v>
      </c>
      <c r="C262" s="82"/>
      <c r="D262" s="80"/>
      <c r="E262" s="83"/>
      <c r="F262" s="80"/>
      <c r="G262" s="80">
        <f>AVERAGE(G259:G260)</f>
        <v>2.0000000000000018</v>
      </c>
      <c r="H262" s="80"/>
      <c r="I262" s="80"/>
      <c r="J262" s="80">
        <f t="shared" ref="J262" si="397">AVERAGE(J259:J260)</f>
        <v>93.4</v>
      </c>
      <c r="K262" s="80">
        <f t="shared" ref="K262" si="398">AVERAGE(K259:K260)</f>
        <v>0.55000000000000004</v>
      </c>
      <c r="L262" s="80">
        <f t="shared" ref="L262" si="399">AVERAGE(L259:L260)</f>
        <v>1.05</v>
      </c>
      <c r="M262" s="80">
        <f t="shared" ref="M262" si="400">AVERAGE(M259:M260)</f>
        <v>0.2</v>
      </c>
      <c r="N262" s="80">
        <f t="shared" ref="N262" si="401">AVERAGE(N259:N260)</f>
        <v>1.5</v>
      </c>
      <c r="O262" s="80">
        <f t="shared" ref="O262" si="402">AVERAGE(O259:O260)</f>
        <v>0</v>
      </c>
      <c r="P262" s="80"/>
      <c r="Q262" s="80">
        <f>100-J262-K262-L262-M262-N262-O262</f>
        <v>3.2999999999999945</v>
      </c>
      <c r="R262" s="80">
        <f t="shared" ref="R262" si="403">AVERAGE(R259:R260)</f>
        <v>22.5</v>
      </c>
      <c r="S262" s="80"/>
      <c r="T262" s="80">
        <f t="shared" ref="T262" si="404">AVERAGE(T259:T260)</f>
        <v>8</v>
      </c>
      <c r="U262" s="80">
        <f t="shared" ref="U262" si="405">AVERAGE(U259:U260)</f>
        <v>0.65</v>
      </c>
      <c r="V262" s="80"/>
      <c r="W262" s="80"/>
      <c r="X262" s="80"/>
      <c r="Y262" s="80"/>
      <c r="Z262" s="80">
        <f t="shared" ref="Z262" si="406">AVERAGE(Z259:Z260)</f>
        <v>0.28500000000000003</v>
      </c>
      <c r="AA262" s="80">
        <f t="shared" ref="AA262" si="407">AVERAGE(AA259:AA260)</f>
        <v>17</v>
      </c>
      <c r="AB262" s="80">
        <f t="shared" ref="AB262" si="408">AVERAGE(AB259:AB260)</f>
        <v>20.5</v>
      </c>
      <c r="AC262" s="80">
        <f t="shared" ref="AC262" si="409">AVERAGE(AC259:AC260)</f>
        <v>0.06</v>
      </c>
      <c r="AD262" s="80">
        <f t="shared" ref="AD262" si="410">AVERAGE(AD259:AD260)</f>
        <v>7.0000000000000007E-2</v>
      </c>
      <c r="AE262" s="80">
        <f t="shared" ref="AE262" si="411">AVERAGE(AE259:AE260)</f>
        <v>0</v>
      </c>
      <c r="AF262" s="80">
        <f t="shared" ref="AF262" si="412">AVERAGE(AF259:AF260)</f>
        <v>174</v>
      </c>
      <c r="AG262" s="80">
        <f>+AE262+AF262/12</f>
        <v>14.5</v>
      </c>
      <c r="AH262" s="80">
        <f>+AE262+AF262/6</f>
        <v>29</v>
      </c>
      <c r="AI262" s="80"/>
      <c r="AJ262" s="80">
        <f t="shared" ref="AJ262" si="413">AVERAGE(AJ259:AJ260)</f>
        <v>0</v>
      </c>
    </row>
    <row r="263" spans="1:36" s="13" customFormat="1">
      <c r="A263" s="6"/>
      <c r="B263" s="78"/>
      <c r="C263" s="59"/>
      <c r="D263" s="6"/>
      <c r="E263" s="79"/>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row>
    <row r="264" spans="1:36" s="13" customFormat="1" ht="16">
      <c r="A264" s="6"/>
      <c r="B264" s="78"/>
      <c r="C264" s="59" t="s">
        <v>676</v>
      </c>
      <c r="D264" s="63">
        <v>4030</v>
      </c>
      <c r="E264" s="86" t="s">
        <v>524</v>
      </c>
      <c r="F264" s="61">
        <v>26</v>
      </c>
      <c r="G264" s="61">
        <v>0</v>
      </c>
      <c r="H264" s="61"/>
      <c r="I264" s="61"/>
      <c r="J264" s="69">
        <v>89.8</v>
      </c>
      <c r="K264" s="69">
        <v>1.8</v>
      </c>
      <c r="L264" s="69">
        <v>2.8</v>
      </c>
      <c r="M264" s="69">
        <v>0.4</v>
      </c>
      <c r="N264" s="69">
        <v>4.0999999999999996</v>
      </c>
      <c r="O264" s="61">
        <v>0</v>
      </c>
      <c r="P264" s="69"/>
      <c r="Q264" s="69">
        <v>1.1000000000000001</v>
      </c>
      <c r="R264" s="69">
        <v>27</v>
      </c>
      <c r="S264" s="69"/>
      <c r="T264" s="69">
        <v>131</v>
      </c>
      <c r="U264" s="69">
        <v>1.7</v>
      </c>
      <c r="V264" s="69"/>
      <c r="W264" s="69"/>
      <c r="X264" s="69"/>
      <c r="Y264" s="69"/>
      <c r="Z264" s="69">
        <v>1</v>
      </c>
      <c r="AA264" s="69">
        <v>110</v>
      </c>
      <c r="AB264" s="69">
        <v>37</v>
      </c>
      <c r="AC264" s="69">
        <v>0.03</v>
      </c>
      <c r="AD264" s="69">
        <v>0.18</v>
      </c>
      <c r="AE264" s="69">
        <v>0</v>
      </c>
      <c r="AF264" s="69">
        <v>2260</v>
      </c>
      <c r="AG264" s="69">
        <v>189</v>
      </c>
      <c r="AH264" s="69">
        <v>377</v>
      </c>
      <c r="AI264" s="6"/>
      <c r="AJ264" s="6"/>
    </row>
    <row r="265" spans="1:36" s="13" customFormat="1" ht="16">
      <c r="A265" s="6"/>
      <c r="B265" s="78"/>
      <c r="C265" s="59" t="s">
        <v>676</v>
      </c>
      <c r="D265" s="63">
        <v>4031</v>
      </c>
      <c r="E265" s="86" t="s">
        <v>525</v>
      </c>
      <c r="F265" s="61">
        <v>50</v>
      </c>
      <c r="G265" s="61">
        <v>0</v>
      </c>
      <c r="H265" s="61"/>
      <c r="I265" s="61"/>
      <c r="J265" s="69">
        <v>90.3</v>
      </c>
      <c r="K265" s="69">
        <v>2</v>
      </c>
      <c r="L265" s="69">
        <v>3.1</v>
      </c>
      <c r="M265" s="69">
        <v>0.2</v>
      </c>
      <c r="N265" s="69">
        <v>3.6</v>
      </c>
      <c r="O265" s="61">
        <v>0</v>
      </c>
      <c r="P265" s="69"/>
      <c r="Q265" s="69">
        <v>0.7</v>
      </c>
      <c r="R265" s="69">
        <v>25</v>
      </c>
      <c r="S265" s="69"/>
      <c r="T265" s="69">
        <v>117</v>
      </c>
      <c r="U265" s="69">
        <v>4.4000000000000004</v>
      </c>
      <c r="V265" s="69"/>
      <c r="W265" s="69"/>
      <c r="X265" s="69"/>
      <c r="Y265" s="69"/>
      <c r="Z265" s="69">
        <v>0.73</v>
      </c>
      <c r="AA265" s="69">
        <v>121</v>
      </c>
      <c r="AB265" s="69">
        <v>24</v>
      </c>
      <c r="AC265" s="69">
        <v>0.03</v>
      </c>
      <c r="AD265" s="69">
        <v>0.1</v>
      </c>
      <c r="AE265" s="69">
        <v>0</v>
      </c>
      <c r="AF265" s="69">
        <v>2280</v>
      </c>
      <c r="AG265" s="69">
        <v>190</v>
      </c>
      <c r="AH265" s="69">
        <v>380</v>
      </c>
      <c r="AI265" s="69"/>
      <c r="AJ265" s="69">
        <v>0</v>
      </c>
    </row>
    <row r="266" spans="1:36" s="13" customFormat="1">
      <c r="A266" s="6"/>
      <c r="B266" s="78"/>
      <c r="C266" s="59"/>
      <c r="D266" s="63"/>
      <c r="E266" s="86"/>
      <c r="F266" s="46">
        <f>AVERAGE(F264:F265)</f>
        <v>38</v>
      </c>
      <c r="G266" s="61"/>
      <c r="H266" s="61"/>
      <c r="I266" s="61"/>
      <c r="J266" s="69"/>
      <c r="K266" s="69"/>
      <c r="L266" s="69"/>
      <c r="M266" s="69"/>
      <c r="N266" s="69"/>
      <c r="O266" s="61"/>
      <c r="P266" s="69"/>
      <c r="Q266" s="69"/>
      <c r="R266" s="69"/>
      <c r="S266" s="69"/>
      <c r="T266" s="69"/>
      <c r="U266" s="69"/>
      <c r="V266" s="69"/>
      <c r="W266" s="69"/>
      <c r="X266" s="69"/>
      <c r="Y266" s="69"/>
      <c r="Z266" s="69"/>
      <c r="AA266" s="69"/>
      <c r="AB266" s="69"/>
      <c r="AC266" s="69"/>
      <c r="AD266" s="69"/>
      <c r="AE266" s="69"/>
      <c r="AF266" s="69"/>
      <c r="AG266" s="69"/>
      <c r="AH266" s="69"/>
      <c r="AI266" s="69"/>
      <c r="AJ266" s="69"/>
    </row>
    <row r="267" spans="1:36" s="13" customFormat="1">
      <c r="A267" s="6"/>
      <c r="B267" s="78"/>
      <c r="C267" s="59"/>
      <c r="D267" s="63"/>
      <c r="E267" s="86"/>
      <c r="F267" s="6"/>
      <c r="G267" s="61">
        <v>0</v>
      </c>
      <c r="H267" s="61"/>
      <c r="I267" s="61"/>
      <c r="J267" s="6">
        <f>+J264*(100-$G264)/100</f>
        <v>89.8</v>
      </c>
      <c r="K267" s="6">
        <f t="shared" ref="K267:O267" si="414">+K264*(100-$G264)/100</f>
        <v>1.8</v>
      </c>
      <c r="L267" s="6">
        <f t="shared" si="414"/>
        <v>2.8</v>
      </c>
      <c r="M267" s="6">
        <f t="shared" si="414"/>
        <v>0.4</v>
      </c>
      <c r="N267" s="6">
        <f t="shared" si="414"/>
        <v>4.0999999999999996</v>
      </c>
      <c r="O267" s="6">
        <f t="shared" si="414"/>
        <v>0</v>
      </c>
      <c r="P267" s="69"/>
      <c r="Q267" s="6">
        <f t="shared" ref="Q267:R267" si="415">+Q264*(100-$G264)/100</f>
        <v>1.1000000000000001</v>
      </c>
      <c r="R267" s="6">
        <f t="shared" si="415"/>
        <v>27</v>
      </c>
      <c r="S267" s="69"/>
      <c r="T267" s="6">
        <f t="shared" ref="T267:AH267" si="416">+T264*(100-$G264)/100</f>
        <v>131</v>
      </c>
      <c r="U267" s="6">
        <f t="shared" si="416"/>
        <v>1.7</v>
      </c>
      <c r="V267" s="6"/>
      <c r="W267" s="6"/>
      <c r="X267" s="6"/>
      <c r="Y267" s="6"/>
      <c r="Z267" s="6">
        <f t="shared" si="416"/>
        <v>1</v>
      </c>
      <c r="AA267" s="6">
        <f t="shared" si="416"/>
        <v>110</v>
      </c>
      <c r="AB267" s="6">
        <f t="shared" si="416"/>
        <v>37</v>
      </c>
      <c r="AC267" s="6">
        <f t="shared" si="416"/>
        <v>0.03</v>
      </c>
      <c r="AD267" s="6">
        <f t="shared" si="416"/>
        <v>0.18</v>
      </c>
      <c r="AE267" s="6">
        <f t="shared" si="416"/>
        <v>0</v>
      </c>
      <c r="AF267" s="6">
        <f t="shared" si="416"/>
        <v>2260</v>
      </c>
      <c r="AG267" s="6">
        <f t="shared" si="416"/>
        <v>189</v>
      </c>
      <c r="AH267" s="6">
        <f t="shared" si="416"/>
        <v>377</v>
      </c>
      <c r="AI267" s="69"/>
      <c r="AJ267" s="69">
        <v>0</v>
      </c>
    </row>
    <row r="268" spans="1:36" s="13" customFormat="1">
      <c r="A268" s="6"/>
      <c r="B268" s="78"/>
      <c r="C268" s="59"/>
      <c r="D268" s="63"/>
      <c r="E268" s="86"/>
      <c r="F268" s="6"/>
      <c r="G268" s="61">
        <v>0</v>
      </c>
      <c r="H268" s="61"/>
      <c r="I268" s="61"/>
      <c r="J268" s="6">
        <f>+J265*(100-$G265)/100</f>
        <v>90.3</v>
      </c>
      <c r="K268" s="6">
        <f t="shared" ref="K268:O268" si="417">+K265*(100-$G265)/100</f>
        <v>2</v>
      </c>
      <c r="L268" s="6">
        <f t="shared" si="417"/>
        <v>3.1</v>
      </c>
      <c r="M268" s="6">
        <f t="shared" si="417"/>
        <v>0.2</v>
      </c>
      <c r="N268" s="6">
        <f t="shared" si="417"/>
        <v>3.6</v>
      </c>
      <c r="O268" s="6">
        <f t="shared" si="417"/>
        <v>0</v>
      </c>
      <c r="P268" s="69"/>
      <c r="Q268" s="6">
        <f t="shared" ref="Q268:R268" si="418">+Q265*(100-$G265)/100</f>
        <v>0.7</v>
      </c>
      <c r="R268" s="6">
        <f t="shared" si="418"/>
        <v>25</v>
      </c>
      <c r="S268" s="69"/>
      <c r="T268" s="6">
        <f t="shared" ref="T268:AH268" si="419">+T265*(100-$G265)/100</f>
        <v>117</v>
      </c>
      <c r="U268" s="6">
        <f t="shared" si="419"/>
        <v>4.4000000000000004</v>
      </c>
      <c r="V268" s="6"/>
      <c r="W268" s="6"/>
      <c r="X268" s="6"/>
      <c r="Y268" s="6"/>
      <c r="Z268" s="6">
        <f t="shared" si="419"/>
        <v>0.73</v>
      </c>
      <c r="AA268" s="6">
        <f t="shared" si="419"/>
        <v>121</v>
      </c>
      <c r="AB268" s="6">
        <f t="shared" si="419"/>
        <v>24</v>
      </c>
      <c r="AC268" s="6">
        <f t="shared" si="419"/>
        <v>0.03</v>
      </c>
      <c r="AD268" s="6">
        <f t="shared" si="419"/>
        <v>0.1</v>
      </c>
      <c r="AE268" s="6">
        <f t="shared" si="419"/>
        <v>0</v>
      </c>
      <c r="AF268" s="6">
        <f t="shared" si="419"/>
        <v>2280</v>
      </c>
      <c r="AG268" s="6">
        <f t="shared" si="419"/>
        <v>190</v>
      </c>
      <c r="AH268" s="6">
        <f t="shared" si="419"/>
        <v>380</v>
      </c>
      <c r="AI268" s="69"/>
      <c r="AJ268" s="69">
        <v>0</v>
      </c>
    </row>
    <row r="269" spans="1:36" s="13" customFormat="1">
      <c r="A269" s="6"/>
      <c r="B269" s="78"/>
      <c r="C269" s="59"/>
      <c r="D269" s="63"/>
      <c r="E269" s="86"/>
      <c r="F269" s="6"/>
      <c r="G269" s="61"/>
      <c r="H269" s="61"/>
      <c r="I269" s="61"/>
      <c r="J269" s="6"/>
      <c r="K269" s="6"/>
      <c r="L269" s="6"/>
      <c r="M269" s="6"/>
      <c r="N269" s="6"/>
      <c r="O269" s="6"/>
      <c r="P269" s="69"/>
      <c r="Q269" s="6"/>
      <c r="R269" s="6"/>
      <c r="S269" s="69"/>
      <c r="T269" s="6"/>
      <c r="U269" s="6"/>
      <c r="V269" s="6"/>
      <c r="W269" s="6"/>
      <c r="X269" s="6"/>
      <c r="Y269" s="6"/>
      <c r="Z269" s="6"/>
      <c r="AA269" s="6"/>
      <c r="AB269" s="6"/>
      <c r="AC269" s="6"/>
      <c r="AD269" s="6"/>
      <c r="AE269" s="6"/>
      <c r="AF269" s="6"/>
      <c r="AG269" s="6"/>
      <c r="AH269" s="6"/>
      <c r="AI269" s="69"/>
      <c r="AJ269" s="69"/>
    </row>
    <row r="270" spans="1:36" s="84" customFormat="1" ht="16">
      <c r="A270" s="80">
        <v>706</v>
      </c>
      <c r="B270" s="81" t="s">
        <v>308</v>
      </c>
      <c r="C270" s="82"/>
      <c r="D270" s="101"/>
      <c r="E270" s="102" t="s">
        <v>609</v>
      </c>
      <c r="F270" s="80">
        <f>AVERAGE(G264:G265)</f>
        <v>0</v>
      </c>
      <c r="G270" s="103">
        <f>AVERAGE(G267:G268)</f>
        <v>0</v>
      </c>
      <c r="H270" s="103"/>
      <c r="I270" s="103"/>
      <c r="J270" s="103">
        <f t="shared" ref="J270:O270" si="420">AVERAGE(J267:J268)</f>
        <v>90.05</v>
      </c>
      <c r="K270" s="103">
        <f t="shared" si="420"/>
        <v>1.9</v>
      </c>
      <c r="L270" s="103">
        <f t="shared" si="420"/>
        <v>2.95</v>
      </c>
      <c r="M270" s="103">
        <f t="shared" si="420"/>
        <v>0.30000000000000004</v>
      </c>
      <c r="N270" s="103">
        <f t="shared" si="420"/>
        <v>3.8499999999999996</v>
      </c>
      <c r="O270" s="103">
        <f t="shared" si="420"/>
        <v>0</v>
      </c>
      <c r="P270" s="104"/>
      <c r="Q270" s="80">
        <f>100-F270-J270-K270-L270-M270-N270-O270</f>
        <v>0.95000000000000284</v>
      </c>
      <c r="R270" s="103">
        <f t="shared" ref="R270" si="421">AVERAGE(R267:R268)</f>
        <v>26</v>
      </c>
      <c r="S270" s="104"/>
      <c r="T270" s="103">
        <f t="shared" ref="T270:AJ270" si="422">AVERAGE(T267:T268)</f>
        <v>124</v>
      </c>
      <c r="U270" s="103">
        <f t="shared" si="422"/>
        <v>3.0500000000000003</v>
      </c>
      <c r="V270" s="103"/>
      <c r="W270" s="103"/>
      <c r="X270" s="103"/>
      <c r="Y270" s="103"/>
      <c r="Z270" s="103">
        <f t="shared" si="422"/>
        <v>0.86499999999999999</v>
      </c>
      <c r="AA270" s="103">
        <f t="shared" si="422"/>
        <v>115.5</v>
      </c>
      <c r="AB270" s="103">
        <f t="shared" si="422"/>
        <v>30.5</v>
      </c>
      <c r="AC270" s="103">
        <f t="shared" si="422"/>
        <v>0.03</v>
      </c>
      <c r="AD270" s="103">
        <f t="shared" si="422"/>
        <v>0.14000000000000001</v>
      </c>
      <c r="AE270" s="103">
        <f t="shared" si="422"/>
        <v>0</v>
      </c>
      <c r="AF270" s="103">
        <f t="shared" si="422"/>
        <v>2270</v>
      </c>
      <c r="AG270" s="80">
        <f>+AE270+AF270/12</f>
        <v>189.16666666666666</v>
      </c>
      <c r="AH270" s="80">
        <f>+AE270+AF270/6</f>
        <v>378.33333333333331</v>
      </c>
      <c r="AI270" s="104"/>
      <c r="AJ270" s="103">
        <f t="shared" si="422"/>
        <v>0</v>
      </c>
    </row>
    <row r="271" spans="1:36" s="13" customFormat="1">
      <c r="A271" s="6"/>
      <c r="B271" s="78"/>
      <c r="C271" s="59"/>
      <c r="D271" s="6"/>
      <c r="E271" s="79"/>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row>
    <row r="272" spans="1:36" s="13" customFormat="1">
      <c r="A272" s="6"/>
      <c r="B272" s="78"/>
      <c r="C272" s="59"/>
      <c r="D272" s="6"/>
      <c r="E272" s="79"/>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row>
    <row r="273" spans="1:36" s="13" customFormat="1" ht="16">
      <c r="A273" s="6"/>
      <c r="B273" s="78"/>
      <c r="C273" s="59" t="s">
        <v>676</v>
      </c>
      <c r="D273" s="63">
        <v>4013</v>
      </c>
      <c r="E273" s="86" t="s">
        <v>527</v>
      </c>
      <c r="F273" s="6"/>
      <c r="G273" s="61">
        <v>35</v>
      </c>
      <c r="H273" s="61"/>
      <c r="I273" s="61"/>
      <c r="J273" s="69">
        <v>90.9</v>
      </c>
      <c r="K273" s="69">
        <v>1.8</v>
      </c>
      <c r="L273" s="69">
        <v>0.6</v>
      </c>
      <c r="M273" s="69">
        <v>0.1</v>
      </c>
      <c r="N273" s="69">
        <v>1.4</v>
      </c>
      <c r="O273" s="61">
        <v>0</v>
      </c>
      <c r="P273" s="69"/>
      <c r="Q273" s="69">
        <v>5.3</v>
      </c>
      <c r="R273" s="69">
        <v>27</v>
      </c>
      <c r="S273" s="69"/>
      <c r="T273" s="69">
        <v>70</v>
      </c>
      <c r="U273" s="69">
        <v>1</v>
      </c>
      <c r="V273" s="69"/>
      <c r="W273" s="69"/>
      <c r="X273" s="69"/>
      <c r="Y273" s="69"/>
      <c r="Z273" s="69">
        <v>0.21</v>
      </c>
      <c r="AA273" s="69">
        <v>13</v>
      </c>
      <c r="AB273" s="69">
        <v>12</v>
      </c>
      <c r="AC273" s="69">
        <v>0.03</v>
      </c>
      <c r="AD273" s="69">
        <v>0.03</v>
      </c>
      <c r="AE273" s="69">
        <v>0</v>
      </c>
      <c r="AF273" s="69">
        <v>465</v>
      </c>
      <c r="AG273" s="69">
        <v>39</v>
      </c>
      <c r="AH273" s="69">
        <v>78</v>
      </c>
      <c r="AI273" s="69"/>
      <c r="AJ273" s="69">
        <v>0</v>
      </c>
    </row>
    <row r="274" spans="1:36" s="13" customFormat="1" ht="16">
      <c r="A274" s="6"/>
      <c r="B274" s="78"/>
      <c r="C274" s="59" t="s">
        <v>676</v>
      </c>
      <c r="D274" s="63">
        <v>4022</v>
      </c>
      <c r="E274" s="86" t="s">
        <v>528</v>
      </c>
      <c r="F274" s="6"/>
      <c r="G274" s="61">
        <v>36</v>
      </c>
      <c r="H274" s="61"/>
      <c r="I274" s="61"/>
      <c r="J274" s="69">
        <v>94.4</v>
      </c>
      <c r="K274" s="69">
        <v>0.7</v>
      </c>
      <c r="L274" s="69">
        <v>1.2</v>
      </c>
      <c r="M274" s="69">
        <v>0.2</v>
      </c>
      <c r="N274" s="69">
        <v>1.6</v>
      </c>
      <c r="O274" s="61">
        <v>0</v>
      </c>
      <c r="P274" s="69"/>
      <c r="Q274" s="69">
        <v>1.9</v>
      </c>
      <c r="R274" s="69">
        <v>17</v>
      </c>
      <c r="S274" s="69"/>
      <c r="T274" s="69">
        <v>47</v>
      </c>
      <c r="U274" s="69">
        <v>1.6</v>
      </c>
      <c r="V274" s="69"/>
      <c r="W274" s="69"/>
      <c r="X274" s="69"/>
      <c r="Y274" s="69"/>
      <c r="Z274" s="69">
        <v>0.26</v>
      </c>
      <c r="AA274" s="69">
        <v>66</v>
      </c>
      <c r="AB274" s="69">
        <v>10</v>
      </c>
      <c r="AC274" s="69">
        <v>0.08</v>
      </c>
      <c r="AD274" s="69">
        <v>0.05</v>
      </c>
      <c r="AE274" s="69">
        <v>0</v>
      </c>
      <c r="AF274" s="69">
        <v>1285</v>
      </c>
      <c r="AG274" s="69">
        <v>107</v>
      </c>
      <c r="AH274" s="69">
        <v>214</v>
      </c>
      <c r="AI274" s="69"/>
      <c r="AJ274" s="69">
        <v>0</v>
      </c>
    </row>
    <row r="275" spans="1:36" s="13" customFormat="1">
      <c r="A275" s="6"/>
      <c r="B275" s="78"/>
      <c r="C275" s="59"/>
      <c r="D275" s="63"/>
      <c r="E275" s="86"/>
      <c r="F275" s="6"/>
      <c r="G275" s="61"/>
      <c r="H275" s="61"/>
      <c r="I275" s="61"/>
      <c r="J275" s="69"/>
      <c r="K275" s="69"/>
      <c r="L275" s="69"/>
      <c r="M275" s="69"/>
      <c r="N275" s="69"/>
      <c r="O275" s="61"/>
      <c r="P275" s="69"/>
      <c r="Q275" s="69"/>
      <c r="R275" s="69"/>
      <c r="S275" s="69"/>
      <c r="T275" s="69"/>
      <c r="U275" s="69"/>
      <c r="V275" s="69"/>
      <c r="W275" s="69"/>
      <c r="X275" s="69"/>
      <c r="Y275" s="69"/>
      <c r="Z275" s="69"/>
      <c r="AA275" s="69"/>
      <c r="AB275" s="69"/>
      <c r="AC275" s="69"/>
      <c r="AD275" s="69"/>
      <c r="AE275" s="69"/>
      <c r="AF275" s="69"/>
      <c r="AG275" s="69"/>
      <c r="AH275" s="69"/>
      <c r="AI275" s="69"/>
      <c r="AJ275" s="69"/>
    </row>
    <row r="276" spans="1:36" s="84" customFormat="1" ht="16">
      <c r="A276" s="80">
        <v>712</v>
      </c>
      <c r="B276" s="81" t="s">
        <v>314</v>
      </c>
      <c r="C276" s="82"/>
      <c r="D276" s="80"/>
      <c r="E276" s="83"/>
      <c r="F276" s="80"/>
      <c r="G276" s="80">
        <f>AVERAGE(G273:G274)</f>
        <v>35.5</v>
      </c>
      <c r="H276" s="80"/>
      <c r="I276" s="80"/>
      <c r="J276" s="80">
        <f t="shared" ref="J276:O276" si="423">AVERAGE(J273:J274)</f>
        <v>92.65</v>
      </c>
      <c r="K276" s="80">
        <f t="shared" si="423"/>
        <v>1.25</v>
      </c>
      <c r="L276" s="80">
        <f t="shared" si="423"/>
        <v>0.89999999999999991</v>
      </c>
      <c r="M276" s="80">
        <f t="shared" si="423"/>
        <v>0.15000000000000002</v>
      </c>
      <c r="N276" s="80">
        <f t="shared" si="423"/>
        <v>1.5</v>
      </c>
      <c r="O276" s="80">
        <f t="shared" si="423"/>
        <v>0</v>
      </c>
      <c r="P276" s="80"/>
      <c r="Q276" s="80">
        <f>100-J276-K276-L276-M276-N276-O276</f>
        <v>3.5499999999999936</v>
      </c>
      <c r="R276" s="80">
        <f t="shared" ref="R276" si="424">AVERAGE(R273:R274)</f>
        <v>22</v>
      </c>
      <c r="S276" s="80"/>
      <c r="T276" s="80">
        <f t="shared" ref="T276:AF276" si="425">AVERAGE(T273:T274)</f>
        <v>58.5</v>
      </c>
      <c r="U276" s="80">
        <f t="shared" si="425"/>
        <v>1.3</v>
      </c>
      <c r="V276" s="80"/>
      <c r="W276" s="80"/>
      <c r="X276" s="80"/>
      <c r="Y276" s="80"/>
      <c r="Z276" s="80">
        <f t="shared" si="425"/>
        <v>0.23499999999999999</v>
      </c>
      <c r="AA276" s="80">
        <f t="shared" si="425"/>
        <v>39.5</v>
      </c>
      <c r="AB276" s="80">
        <f t="shared" si="425"/>
        <v>11</v>
      </c>
      <c r="AC276" s="80">
        <f t="shared" si="425"/>
        <v>5.5E-2</v>
      </c>
      <c r="AD276" s="80">
        <f t="shared" si="425"/>
        <v>0.04</v>
      </c>
      <c r="AE276" s="80">
        <f t="shared" si="425"/>
        <v>0</v>
      </c>
      <c r="AF276" s="80">
        <f t="shared" si="425"/>
        <v>875</v>
      </c>
      <c r="AG276" s="80">
        <f>+AE276+AF276/12</f>
        <v>72.916666666666671</v>
      </c>
      <c r="AH276" s="80">
        <f>+AE276+AF276/6</f>
        <v>145.83333333333334</v>
      </c>
      <c r="AI276" s="80"/>
      <c r="AJ276" s="80">
        <f>AVERAGE(AJ273:AJ274)</f>
        <v>0</v>
      </c>
    </row>
    <row r="277" spans="1:36" s="13" customFormat="1">
      <c r="A277" s="6"/>
      <c r="B277" s="78"/>
      <c r="C277" s="59"/>
      <c r="D277" s="6"/>
      <c r="E277" s="79"/>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row>
    <row r="278" spans="1:36" s="13" customFormat="1" ht="16">
      <c r="A278" s="6"/>
      <c r="B278" s="78"/>
      <c r="C278" s="59" t="s">
        <v>676</v>
      </c>
      <c r="D278" s="63">
        <v>4014</v>
      </c>
      <c r="E278" s="86" t="s">
        <v>530</v>
      </c>
      <c r="F278" s="61">
        <v>6.9999999999999947</v>
      </c>
      <c r="G278" s="61">
        <v>0</v>
      </c>
      <c r="H278" s="61"/>
      <c r="I278" s="61"/>
      <c r="J278" s="69">
        <v>94.8</v>
      </c>
      <c r="K278" s="69">
        <v>0.4</v>
      </c>
      <c r="L278" s="69">
        <v>0.9</v>
      </c>
      <c r="M278" s="69">
        <v>0.3</v>
      </c>
      <c r="N278" s="69">
        <v>1.1000000000000001</v>
      </c>
      <c r="O278" s="61">
        <v>0</v>
      </c>
      <c r="P278" s="69"/>
      <c r="Q278" s="69">
        <v>2.5</v>
      </c>
      <c r="R278" s="69">
        <v>19</v>
      </c>
      <c r="S278" s="69"/>
      <c r="T278" s="69">
        <v>18</v>
      </c>
      <c r="U278" s="69">
        <v>0.5</v>
      </c>
      <c r="V278" s="69"/>
      <c r="W278" s="69"/>
      <c r="X278" s="69"/>
      <c r="Y278" s="69"/>
      <c r="Z278" s="69">
        <v>0.33</v>
      </c>
      <c r="AA278" s="69">
        <v>17</v>
      </c>
      <c r="AB278" s="69">
        <v>24</v>
      </c>
      <c r="AC278" s="69">
        <v>0.03</v>
      </c>
      <c r="AD278" s="69">
        <v>0.06</v>
      </c>
      <c r="AE278" s="69">
        <v>0</v>
      </c>
      <c r="AF278" s="69">
        <v>278</v>
      </c>
      <c r="AG278" s="69">
        <v>23</v>
      </c>
      <c r="AH278" s="69">
        <v>46</v>
      </c>
      <c r="AI278" s="69"/>
      <c r="AJ278" s="69">
        <v>0</v>
      </c>
    </row>
    <row r="279" spans="1:36" s="13" customFormat="1" ht="16">
      <c r="A279" s="6"/>
      <c r="B279" s="78"/>
      <c r="C279" s="59" t="s">
        <v>676</v>
      </c>
      <c r="D279" s="63">
        <v>4032</v>
      </c>
      <c r="E279" s="86" t="s">
        <v>531</v>
      </c>
      <c r="F279" s="61">
        <v>15.000000000000002</v>
      </c>
      <c r="G279" s="61">
        <v>0</v>
      </c>
      <c r="H279" s="61"/>
      <c r="I279" s="61"/>
      <c r="J279" s="69">
        <v>87.3</v>
      </c>
      <c r="K279" s="69">
        <v>0.8</v>
      </c>
      <c r="L279" s="69">
        <v>1.5</v>
      </c>
      <c r="M279" s="69">
        <v>0.1</v>
      </c>
      <c r="N279" s="69">
        <v>2.5</v>
      </c>
      <c r="O279" s="61">
        <v>0</v>
      </c>
      <c r="P279" s="69"/>
      <c r="Q279" s="69">
        <v>7.8</v>
      </c>
      <c r="R279" s="69">
        <v>43</v>
      </c>
      <c r="S279" s="69"/>
      <c r="T279" s="69">
        <v>18</v>
      </c>
      <c r="U279" s="69">
        <v>1</v>
      </c>
      <c r="V279" s="69"/>
      <c r="W279" s="69"/>
      <c r="X279" s="69"/>
      <c r="Y279" s="69"/>
      <c r="Z279" s="69">
        <v>0.2</v>
      </c>
      <c r="AA279" s="69">
        <v>31</v>
      </c>
      <c r="AB279" s="69">
        <v>8</v>
      </c>
      <c r="AC279" s="69">
        <v>7.0000000000000007E-2</v>
      </c>
      <c r="AD279" s="69">
        <v>0.06</v>
      </c>
      <c r="AE279" s="69">
        <v>0</v>
      </c>
      <c r="AF279" s="69">
        <v>1920</v>
      </c>
      <c r="AG279" s="69">
        <v>160</v>
      </c>
      <c r="AH279" s="69">
        <v>320</v>
      </c>
      <c r="AI279" s="69"/>
      <c r="AJ279" s="69">
        <v>0</v>
      </c>
    </row>
    <row r="280" spans="1:36" s="13" customFormat="1">
      <c r="A280" s="6"/>
      <c r="B280" s="78"/>
      <c r="C280" s="59"/>
      <c r="D280" s="63"/>
      <c r="E280" s="86"/>
      <c r="F280" s="6">
        <f>AVERAGE(F278:F279)</f>
        <v>10.999999999999998</v>
      </c>
      <c r="G280" s="61"/>
      <c r="H280" s="61"/>
      <c r="I280" s="61"/>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row>
    <row r="281" spans="1:36" s="13" customFormat="1">
      <c r="A281" s="6"/>
      <c r="B281" s="78"/>
      <c r="C281" s="59"/>
      <c r="D281" s="63"/>
      <c r="E281" s="86"/>
      <c r="F281" s="6"/>
      <c r="G281" s="61">
        <v>0</v>
      </c>
      <c r="H281" s="61"/>
      <c r="I281" s="61"/>
      <c r="J281" s="6">
        <f>+J278*(100-$G278)/100</f>
        <v>94.8</v>
      </c>
      <c r="K281" s="6">
        <f t="shared" ref="K281:O281" si="426">+K278*(100-$G278)/100</f>
        <v>0.4</v>
      </c>
      <c r="L281" s="6">
        <f t="shared" si="426"/>
        <v>0.9</v>
      </c>
      <c r="M281" s="6">
        <f t="shared" si="426"/>
        <v>0.3</v>
      </c>
      <c r="N281" s="6">
        <f t="shared" si="426"/>
        <v>1.1000000000000001</v>
      </c>
      <c r="O281" s="6">
        <f t="shared" si="426"/>
        <v>0</v>
      </c>
      <c r="P281" s="69"/>
      <c r="Q281" s="6">
        <f t="shared" ref="Q281:R281" si="427">+Q278*(100-$G278)/100</f>
        <v>2.5</v>
      </c>
      <c r="R281" s="6">
        <f t="shared" si="427"/>
        <v>19</v>
      </c>
      <c r="S281" s="69"/>
      <c r="T281" s="6">
        <f t="shared" ref="T281:AH281" si="428">+T278*(100-$G278)/100</f>
        <v>18</v>
      </c>
      <c r="U281" s="6">
        <f t="shared" si="428"/>
        <v>0.5</v>
      </c>
      <c r="V281" s="6"/>
      <c r="W281" s="6"/>
      <c r="X281" s="6"/>
      <c r="Y281" s="6"/>
      <c r="Z281" s="6">
        <f t="shared" si="428"/>
        <v>0.33</v>
      </c>
      <c r="AA281" s="6">
        <f t="shared" si="428"/>
        <v>17</v>
      </c>
      <c r="AB281" s="6">
        <f t="shared" si="428"/>
        <v>24</v>
      </c>
      <c r="AC281" s="6">
        <f t="shared" si="428"/>
        <v>0.03</v>
      </c>
      <c r="AD281" s="6">
        <f t="shared" si="428"/>
        <v>0.06</v>
      </c>
      <c r="AE281" s="6">
        <f t="shared" si="428"/>
        <v>0</v>
      </c>
      <c r="AF281" s="6">
        <f t="shared" si="428"/>
        <v>278</v>
      </c>
      <c r="AG281" s="6">
        <f t="shared" si="428"/>
        <v>23</v>
      </c>
      <c r="AH281" s="6">
        <f t="shared" si="428"/>
        <v>46</v>
      </c>
      <c r="AI281" s="69"/>
      <c r="AJ281" s="6">
        <f>+AJ278*(100-$G278)/100</f>
        <v>0</v>
      </c>
    </row>
    <row r="282" spans="1:36" s="13" customFormat="1">
      <c r="A282" s="6"/>
      <c r="B282" s="78"/>
      <c r="C282" s="59"/>
      <c r="D282" s="63"/>
      <c r="E282" s="86"/>
      <c r="F282" s="6"/>
      <c r="G282" s="61">
        <v>0</v>
      </c>
      <c r="H282" s="61"/>
      <c r="I282" s="61"/>
      <c r="J282" s="6">
        <f>+J279*(100-$G279)/100</f>
        <v>87.3</v>
      </c>
      <c r="K282" s="6">
        <f t="shared" ref="K282:O282" si="429">+K279*(100-$G279)/100</f>
        <v>0.8</v>
      </c>
      <c r="L282" s="6">
        <f t="shared" si="429"/>
        <v>1.5</v>
      </c>
      <c r="M282" s="6">
        <f t="shared" si="429"/>
        <v>0.1</v>
      </c>
      <c r="N282" s="6">
        <f t="shared" si="429"/>
        <v>2.5</v>
      </c>
      <c r="O282" s="6">
        <f t="shared" si="429"/>
        <v>0</v>
      </c>
      <c r="P282" s="69"/>
      <c r="Q282" s="6">
        <f t="shared" ref="Q282:R282" si="430">+Q279*(100-$G279)/100</f>
        <v>7.8</v>
      </c>
      <c r="R282" s="6">
        <f t="shared" si="430"/>
        <v>43</v>
      </c>
      <c r="S282" s="69"/>
      <c r="T282" s="6">
        <f t="shared" ref="T282:AH282" si="431">+T279*(100-$G279)/100</f>
        <v>18</v>
      </c>
      <c r="U282" s="6">
        <f t="shared" si="431"/>
        <v>1</v>
      </c>
      <c r="V282" s="6"/>
      <c r="W282" s="6"/>
      <c r="X282" s="6"/>
      <c r="Y282" s="6"/>
      <c r="Z282" s="6">
        <f t="shared" si="431"/>
        <v>0.2</v>
      </c>
      <c r="AA282" s="6">
        <f t="shared" si="431"/>
        <v>31</v>
      </c>
      <c r="AB282" s="6">
        <f t="shared" si="431"/>
        <v>8</v>
      </c>
      <c r="AC282" s="6">
        <f t="shared" si="431"/>
        <v>7.0000000000000007E-2</v>
      </c>
      <c r="AD282" s="6">
        <f t="shared" si="431"/>
        <v>0.06</v>
      </c>
      <c r="AE282" s="6">
        <f t="shared" si="431"/>
        <v>0</v>
      </c>
      <c r="AF282" s="6">
        <f t="shared" si="431"/>
        <v>1920</v>
      </c>
      <c r="AG282" s="6">
        <f t="shared" si="431"/>
        <v>160</v>
      </c>
      <c r="AH282" s="6">
        <f t="shared" si="431"/>
        <v>320</v>
      </c>
      <c r="AI282" s="69"/>
      <c r="AJ282" s="6">
        <f>+AJ279*(100-$G279)/100</f>
        <v>0</v>
      </c>
    </row>
    <row r="283" spans="1:36" s="13" customFormat="1">
      <c r="A283" s="6"/>
      <c r="B283" s="78"/>
      <c r="C283" s="59"/>
      <c r="D283" s="63"/>
      <c r="E283" s="86"/>
      <c r="F283" s="6"/>
      <c r="G283" s="61"/>
      <c r="H283" s="61"/>
      <c r="I283" s="61"/>
      <c r="J283" s="6"/>
      <c r="K283" s="6"/>
      <c r="L283" s="6"/>
      <c r="M283" s="6"/>
      <c r="N283" s="6"/>
      <c r="O283" s="6"/>
      <c r="P283" s="69"/>
      <c r="Q283" s="6"/>
      <c r="R283" s="6"/>
      <c r="S283" s="69"/>
      <c r="T283" s="6"/>
      <c r="U283" s="6"/>
      <c r="V283" s="6"/>
      <c r="W283" s="6"/>
      <c r="X283" s="6"/>
      <c r="Y283" s="6"/>
      <c r="Z283" s="6"/>
      <c r="AA283" s="6"/>
      <c r="AB283" s="6"/>
      <c r="AC283" s="6"/>
      <c r="AD283" s="6"/>
      <c r="AE283" s="6"/>
      <c r="AF283" s="6"/>
      <c r="AG283" s="6"/>
      <c r="AH283" s="6"/>
      <c r="AI283" s="69"/>
      <c r="AJ283" s="6"/>
    </row>
    <row r="284" spans="1:36" s="84" customFormat="1" ht="32">
      <c r="A284" s="80">
        <v>715</v>
      </c>
      <c r="B284" s="81" t="s">
        <v>317</v>
      </c>
      <c r="C284" s="82"/>
      <c r="D284" s="101"/>
      <c r="E284" s="102" t="s">
        <v>609</v>
      </c>
      <c r="F284" s="128">
        <f>AVERAGE(G278:G279)</f>
        <v>0</v>
      </c>
      <c r="G284" s="103">
        <f>AVERAGE(G281:G282)</f>
        <v>0</v>
      </c>
      <c r="H284" s="103"/>
      <c r="I284" s="103"/>
      <c r="J284" s="103">
        <f t="shared" ref="J284:O284" si="432">AVERAGE(J281:J282)</f>
        <v>91.05</v>
      </c>
      <c r="K284" s="103">
        <f t="shared" si="432"/>
        <v>0.60000000000000009</v>
      </c>
      <c r="L284" s="103">
        <f t="shared" si="432"/>
        <v>1.2</v>
      </c>
      <c r="M284" s="103">
        <f t="shared" si="432"/>
        <v>0.2</v>
      </c>
      <c r="N284" s="103">
        <f t="shared" si="432"/>
        <v>1.8</v>
      </c>
      <c r="O284" s="103">
        <f t="shared" si="432"/>
        <v>0</v>
      </c>
      <c r="P284" s="104"/>
      <c r="Q284" s="80">
        <f>100-F284-J284-K284-L284-M284-N284-O284</f>
        <v>5.150000000000003</v>
      </c>
      <c r="R284" s="103">
        <f t="shared" ref="R284" si="433">AVERAGE(R281:R282)</f>
        <v>31</v>
      </c>
      <c r="S284" s="104"/>
      <c r="T284" s="103">
        <f t="shared" ref="T284:AF284" si="434">AVERAGE(T281:T282)</f>
        <v>18</v>
      </c>
      <c r="U284" s="103">
        <f t="shared" si="434"/>
        <v>0.75</v>
      </c>
      <c r="V284" s="103"/>
      <c r="W284" s="103"/>
      <c r="X284" s="103"/>
      <c r="Y284" s="103"/>
      <c r="Z284" s="103">
        <f t="shared" si="434"/>
        <v>0.26500000000000001</v>
      </c>
      <c r="AA284" s="103">
        <f t="shared" si="434"/>
        <v>24</v>
      </c>
      <c r="AB284" s="103">
        <f t="shared" si="434"/>
        <v>16</v>
      </c>
      <c r="AC284" s="103">
        <f t="shared" si="434"/>
        <v>0.05</v>
      </c>
      <c r="AD284" s="103">
        <f t="shared" si="434"/>
        <v>0.06</v>
      </c>
      <c r="AE284" s="103">
        <f t="shared" si="434"/>
        <v>0</v>
      </c>
      <c r="AF284" s="103">
        <f t="shared" si="434"/>
        <v>1099</v>
      </c>
      <c r="AG284" s="80">
        <f>+AE284+AF284/12</f>
        <v>91.583333333333329</v>
      </c>
      <c r="AH284" s="80">
        <f>+AE284+AF284/6</f>
        <v>183.16666666666666</v>
      </c>
      <c r="AI284" s="103"/>
      <c r="AJ284" s="103">
        <f>AVERAGE(AJ281:AJ282)</f>
        <v>0</v>
      </c>
    </row>
    <row r="285" spans="1:36" s="13" customFormat="1">
      <c r="A285" s="6"/>
      <c r="B285" s="78"/>
      <c r="C285" s="59"/>
      <c r="D285" s="6"/>
      <c r="E285" s="79"/>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row>
    <row r="286" spans="1:36" s="13" customFormat="1">
      <c r="A286" s="6"/>
      <c r="B286" s="78"/>
      <c r="C286" s="59"/>
      <c r="D286" s="6"/>
      <c r="E286" s="79"/>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row>
    <row r="287" spans="1:36" s="13" customFormat="1" ht="16">
      <c r="A287" s="6"/>
      <c r="B287" s="78"/>
      <c r="C287" s="59" t="s">
        <v>676</v>
      </c>
      <c r="D287" s="63">
        <v>4008</v>
      </c>
      <c r="E287" s="86" t="s">
        <v>532</v>
      </c>
      <c r="F287" s="61">
        <v>60</v>
      </c>
      <c r="G287" s="61">
        <v>0</v>
      </c>
      <c r="H287" s="61"/>
      <c r="I287" s="61"/>
      <c r="J287" s="69">
        <v>93.3</v>
      </c>
      <c r="K287" s="69">
        <v>0.2</v>
      </c>
      <c r="L287" s="69">
        <v>1.5</v>
      </c>
      <c r="M287" s="69">
        <v>0.1</v>
      </c>
      <c r="N287" s="69">
        <v>2</v>
      </c>
      <c r="O287" s="61">
        <v>0</v>
      </c>
      <c r="P287" s="69"/>
      <c r="Q287" s="69">
        <v>2.9</v>
      </c>
      <c r="R287" s="69">
        <v>23</v>
      </c>
      <c r="S287" s="69"/>
      <c r="T287" s="69">
        <v>8</v>
      </c>
      <c r="U287" s="69">
        <v>0.5</v>
      </c>
      <c r="V287" s="69"/>
      <c r="W287" s="69"/>
      <c r="X287" s="69"/>
      <c r="Y287" s="69"/>
      <c r="Z287" s="69">
        <v>0.18</v>
      </c>
      <c r="AA287" s="69">
        <v>8</v>
      </c>
      <c r="AB287" s="69">
        <v>115</v>
      </c>
      <c r="AC287" s="69">
        <v>0.03</v>
      </c>
      <c r="AD287" s="69">
        <v>0.03</v>
      </c>
      <c r="AE287" s="69">
        <v>0</v>
      </c>
      <c r="AF287" s="69">
        <v>328</v>
      </c>
      <c r="AG287" s="69">
        <v>27</v>
      </c>
      <c r="AH287" s="69">
        <v>55</v>
      </c>
      <c r="AI287" s="69"/>
      <c r="AJ287" s="69">
        <v>0</v>
      </c>
    </row>
    <row r="288" spans="1:36" s="13" customFormat="1" ht="16">
      <c r="A288" s="6"/>
      <c r="B288" s="78"/>
      <c r="C288" s="59" t="s">
        <v>676</v>
      </c>
      <c r="D288" s="63">
        <v>4009</v>
      </c>
      <c r="E288" s="86" t="s">
        <v>533</v>
      </c>
      <c r="F288" s="61">
        <v>60</v>
      </c>
      <c r="G288" s="61">
        <v>0</v>
      </c>
      <c r="H288" s="61"/>
      <c r="I288" s="61"/>
      <c r="J288" s="69">
        <v>92.4</v>
      </c>
      <c r="K288" s="69">
        <v>0.4</v>
      </c>
      <c r="L288" s="69">
        <v>1.7</v>
      </c>
      <c r="M288" s="69">
        <v>0.2</v>
      </c>
      <c r="N288" s="69">
        <v>1.8</v>
      </c>
      <c r="O288" s="61">
        <v>0</v>
      </c>
      <c r="P288" s="69"/>
      <c r="Q288" s="69">
        <v>3.5</v>
      </c>
      <c r="R288" s="69">
        <v>26</v>
      </c>
      <c r="S288" s="69"/>
      <c r="T288" s="69">
        <v>4</v>
      </c>
      <c r="U288" s="69">
        <v>0.3</v>
      </c>
      <c r="V288" s="69"/>
      <c r="W288" s="69"/>
      <c r="X288" s="69"/>
      <c r="Y288" s="69"/>
      <c r="Z288" s="69">
        <v>0.2</v>
      </c>
      <c r="AA288" s="69">
        <v>52</v>
      </c>
      <c r="AB288" s="69">
        <v>156</v>
      </c>
      <c r="AC288" s="69">
        <v>0.04</v>
      </c>
      <c r="AD288" s="69">
        <v>0.05</v>
      </c>
      <c r="AE288" s="69">
        <v>0</v>
      </c>
      <c r="AF288" s="69">
        <v>246</v>
      </c>
      <c r="AG288" s="69">
        <v>21</v>
      </c>
      <c r="AH288" s="69">
        <v>41</v>
      </c>
      <c r="AI288" s="69"/>
      <c r="AJ288" s="69">
        <v>0</v>
      </c>
    </row>
    <row r="289" spans="1:36" s="13" customFormat="1" ht="16">
      <c r="A289" s="6"/>
      <c r="B289" s="78"/>
      <c r="C289" s="59" t="s">
        <v>676</v>
      </c>
      <c r="D289" s="63">
        <v>4010</v>
      </c>
      <c r="E289" s="86" t="s">
        <v>534</v>
      </c>
      <c r="F289" s="61">
        <v>54</v>
      </c>
      <c r="G289" s="61">
        <v>0</v>
      </c>
      <c r="H289" s="61"/>
      <c r="I289" s="61"/>
      <c r="J289" s="69">
        <v>93.4</v>
      </c>
      <c r="K289" s="69">
        <v>0.6</v>
      </c>
      <c r="L289" s="69">
        <v>1.4</v>
      </c>
      <c r="M289" s="69">
        <v>0.2</v>
      </c>
      <c r="N289" s="69">
        <v>2.2000000000000002</v>
      </c>
      <c r="O289" s="61">
        <v>0</v>
      </c>
      <c r="P289" s="69"/>
      <c r="Q289" s="69">
        <v>2.2999999999999998</v>
      </c>
      <c r="R289" s="69">
        <v>21</v>
      </c>
      <c r="S289" s="69"/>
      <c r="T289" s="69">
        <v>19</v>
      </c>
      <c r="U289" s="69">
        <v>1</v>
      </c>
      <c r="V289" s="69"/>
      <c r="W289" s="69"/>
      <c r="X289" s="69"/>
      <c r="Y289" s="69"/>
      <c r="Z289" s="69">
        <v>0</v>
      </c>
      <c r="AA289" s="69">
        <v>30</v>
      </c>
      <c r="AB289" s="69">
        <v>127</v>
      </c>
      <c r="AC289" s="69">
        <v>0.14000000000000001</v>
      </c>
      <c r="AD289" s="69">
        <v>0.02</v>
      </c>
      <c r="AE289" s="69">
        <v>0</v>
      </c>
      <c r="AF289" s="69">
        <v>166</v>
      </c>
      <c r="AG289" s="69">
        <v>14</v>
      </c>
      <c r="AH289" s="69">
        <v>28</v>
      </c>
      <c r="AI289" s="69"/>
      <c r="AJ289" s="69">
        <v>0</v>
      </c>
    </row>
    <row r="290" spans="1:36" s="13" customFormat="1">
      <c r="A290" s="6"/>
      <c r="B290" s="78"/>
      <c r="C290" s="59"/>
      <c r="D290" s="6"/>
      <c r="E290" s="79"/>
      <c r="F290" s="24">
        <f>AVERAGE(F287:F289)</f>
        <v>58</v>
      </c>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row>
    <row r="291" spans="1:36" s="13" customFormat="1">
      <c r="A291" s="6"/>
      <c r="B291" s="78"/>
      <c r="C291" s="59"/>
      <c r="D291" s="6"/>
      <c r="E291" s="79"/>
      <c r="F291" s="6"/>
      <c r="G291" s="61">
        <v>0</v>
      </c>
      <c r="H291" s="61"/>
      <c r="I291" s="61"/>
      <c r="J291" s="6">
        <f>+J287*(100-$G287)/100</f>
        <v>93.3</v>
      </c>
      <c r="K291" s="6">
        <f t="shared" ref="K291:O291" si="435">+K287*(100-$G287)/100</f>
        <v>0.2</v>
      </c>
      <c r="L291" s="6">
        <f t="shared" si="435"/>
        <v>1.5</v>
      </c>
      <c r="M291" s="6">
        <f t="shared" si="435"/>
        <v>0.1</v>
      </c>
      <c r="N291" s="6">
        <f t="shared" si="435"/>
        <v>2</v>
      </c>
      <c r="O291" s="6">
        <f t="shared" si="435"/>
        <v>0</v>
      </c>
      <c r="P291" s="69"/>
      <c r="Q291" s="6">
        <f t="shared" ref="Q291:R291" si="436">+Q287*(100-$G287)/100</f>
        <v>2.9</v>
      </c>
      <c r="R291" s="6">
        <f t="shared" si="436"/>
        <v>23</v>
      </c>
      <c r="S291" s="69"/>
      <c r="T291" s="6">
        <f t="shared" ref="T291:AH291" si="437">+T287*(100-$G287)/100</f>
        <v>8</v>
      </c>
      <c r="U291" s="6">
        <f t="shared" si="437"/>
        <v>0.5</v>
      </c>
      <c r="V291" s="6"/>
      <c r="W291" s="6"/>
      <c r="X291" s="6"/>
      <c r="Y291" s="6"/>
      <c r="Z291" s="6">
        <f t="shared" si="437"/>
        <v>0.18</v>
      </c>
      <c r="AA291" s="6">
        <f t="shared" si="437"/>
        <v>8</v>
      </c>
      <c r="AB291" s="6">
        <f t="shared" si="437"/>
        <v>115</v>
      </c>
      <c r="AC291" s="6">
        <f t="shared" si="437"/>
        <v>0.03</v>
      </c>
      <c r="AD291" s="6">
        <f t="shared" si="437"/>
        <v>0.03</v>
      </c>
      <c r="AE291" s="6">
        <f t="shared" si="437"/>
        <v>0</v>
      </c>
      <c r="AF291" s="6">
        <f t="shared" si="437"/>
        <v>328</v>
      </c>
      <c r="AG291" s="6">
        <f t="shared" si="437"/>
        <v>27</v>
      </c>
      <c r="AH291" s="6">
        <f t="shared" si="437"/>
        <v>55</v>
      </c>
      <c r="AI291" s="69"/>
      <c r="AJ291" s="6">
        <f>+AJ287*(100-$G287)/100</f>
        <v>0</v>
      </c>
    </row>
    <row r="292" spans="1:36" s="13" customFormat="1">
      <c r="A292" s="6"/>
      <c r="B292" s="78"/>
      <c r="C292" s="59"/>
      <c r="D292" s="6"/>
      <c r="E292" s="79"/>
      <c r="F292" s="6"/>
      <c r="G292" s="61">
        <v>0</v>
      </c>
      <c r="H292" s="61"/>
      <c r="I292" s="61"/>
      <c r="J292" s="6">
        <f t="shared" ref="J292:O292" si="438">+J288*(100-$G288)/100</f>
        <v>92.4</v>
      </c>
      <c r="K292" s="6">
        <f t="shared" si="438"/>
        <v>0.4</v>
      </c>
      <c r="L292" s="6">
        <f t="shared" si="438"/>
        <v>1.7</v>
      </c>
      <c r="M292" s="6">
        <f t="shared" si="438"/>
        <v>0.2</v>
      </c>
      <c r="N292" s="6">
        <f t="shared" si="438"/>
        <v>1.8</v>
      </c>
      <c r="O292" s="6">
        <f t="shared" si="438"/>
        <v>0</v>
      </c>
      <c r="P292" s="69"/>
      <c r="Q292" s="6">
        <f t="shared" ref="Q292:R292" si="439">+Q288*(100-$G288)/100</f>
        <v>3.5</v>
      </c>
      <c r="R292" s="6">
        <f t="shared" si="439"/>
        <v>26</v>
      </c>
      <c r="S292" s="69"/>
      <c r="T292" s="6">
        <f t="shared" ref="T292:AH292" si="440">+T288*(100-$G288)/100</f>
        <v>4</v>
      </c>
      <c r="U292" s="6">
        <f t="shared" si="440"/>
        <v>0.3</v>
      </c>
      <c r="V292" s="6"/>
      <c r="W292" s="6"/>
      <c r="X292" s="6"/>
      <c r="Y292" s="6"/>
      <c r="Z292" s="6">
        <f t="shared" si="440"/>
        <v>0.2</v>
      </c>
      <c r="AA292" s="6">
        <f t="shared" si="440"/>
        <v>52</v>
      </c>
      <c r="AB292" s="6">
        <f t="shared" si="440"/>
        <v>156</v>
      </c>
      <c r="AC292" s="6">
        <f t="shared" si="440"/>
        <v>0.04</v>
      </c>
      <c r="AD292" s="6">
        <f t="shared" si="440"/>
        <v>0.05</v>
      </c>
      <c r="AE292" s="6">
        <f t="shared" si="440"/>
        <v>0</v>
      </c>
      <c r="AF292" s="6">
        <f t="shared" si="440"/>
        <v>246</v>
      </c>
      <c r="AG292" s="6">
        <f t="shared" si="440"/>
        <v>21</v>
      </c>
      <c r="AH292" s="6">
        <f t="shared" si="440"/>
        <v>41</v>
      </c>
      <c r="AI292" s="69"/>
      <c r="AJ292" s="6">
        <f t="shared" ref="AJ292:AJ293" si="441">+AJ288*(100-$G288)/100</f>
        <v>0</v>
      </c>
    </row>
    <row r="293" spans="1:36" s="13" customFormat="1">
      <c r="A293" s="6"/>
      <c r="B293" s="78"/>
      <c r="C293" s="59"/>
      <c r="D293" s="6"/>
      <c r="E293" s="79"/>
      <c r="F293" s="6"/>
      <c r="G293" s="61">
        <v>0</v>
      </c>
      <c r="H293" s="61"/>
      <c r="I293" s="61"/>
      <c r="J293" s="6">
        <f t="shared" ref="J293:O293" si="442">+J289*(100-$G289)/100</f>
        <v>93.4</v>
      </c>
      <c r="K293" s="6">
        <f t="shared" si="442"/>
        <v>0.6</v>
      </c>
      <c r="L293" s="6">
        <f t="shared" si="442"/>
        <v>1.4</v>
      </c>
      <c r="M293" s="6">
        <f t="shared" si="442"/>
        <v>0.2</v>
      </c>
      <c r="N293" s="6">
        <f t="shared" si="442"/>
        <v>2.2000000000000002</v>
      </c>
      <c r="O293" s="6">
        <f t="shared" si="442"/>
        <v>0</v>
      </c>
      <c r="P293" s="69"/>
      <c r="Q293" s="6">
        <f t="shared" ref="Q293:R293" si="443">+Q289*(100-$G289)/100</f>
        <v>2.2999999999999998</v>
      </c>
      <c r="R293" s="6">
        <f t="shared" si="443"/>
        <v>21</v>
      </c>
      <c r="S293" s="69"/>
      <c r="T293" s="6">
        <f t="shared" ref="T293:AH293" si="444">+T289*(100-$G289)/100</f>
        <v>19</v>
      </c>
      <c r="U293" s="6">
        <f t="shared" si="444"/>
        <v>1</v>
      </c>
      <c r="V293" s="6"/>
      <c r="W293" s="6"/>
      <c r="X293" s="6"/>
      <c r="Y293" s="6"/>
      <c r="Z293" s="6">
        <f t="shared" si="444"/>
        <v>0</v>
      </c>
      <c r="AA293" s="6">
        <f t="shared" si="444"/>
        <v>30</v>
      </c>
      <c r="AB293" s="6">
        <f t="shared" si="444"/>
        <v>127</v>
      </c>
      <c r="AC293" s="6">
        <f t="shared" si="444"/>
        <v>0.14000000000000001</v>
      </c>
      <c r="AD293" s="6">
        <f t="shared" si="444"/>
        <v>0.02</v>
      </c>
      <c r="AE293" s="6">
        <f t="shared" si="444"/>
        <v>0</v>
      </c>
      <c r="AF293" s="6">
        <f t="shared" si="444"/>
        <v>166</v>
      </c>
      <c r="AG293" s="6">
        <f t="shared" si="444"/>
        <v>14</v>
      </c>
      <c r="AH293" s="6">
        <f t="shared" si="444"/>
        <v>28</v>
      </c>
      <c r="AI293" s="69"/>
      <c r="AJ293" s="6">
        <f t="shared" si="441"/>
        <v>0</v>
      </c>
    </row>
    <row r="294" spans="1:36" s="13" customFormat="1">
      <c r="A294" s="6"/>
      <c r="B294" s="78"/>
      <c r="C294" s="59"/>
      <c r="D294" s="6"/>
      <c r="E294" s="79"/>
      <c r="F294" s="6"/>
      <c r="G294" s="61"/>
      <c r="H294" s="61"/>
      <c r="I294" s="61"/>
      <c r="J294" s="6"/>
      <c r="K294" s="6"/>
      <c r="L294" s="6"/>
      <c r="M294" s="6"/>
      <c r="N294" s="6"/>
      <c r="O294" s="6"/>
      <c r="P294" s="69"/>
      <c r="Q294" s="6"/>
      <c r="R294" s="6"/>
      <c r="S294" s="69"/>
      <c r="T294" s="6"/>
      <c r="U294" s="6"/>
      <c r="V294" s="6"/>
      <c r="W294" s="6"/>
      <c r="X294" s="6"/>
      <c r="Y294" s="6"/>
      <c r="Z294" s="6"/>
      <c r="AA294" s="6"/>
      <c r="AB294" s="6"/>
      <c r="AC294" s="6"/>
      <c r="AD294" s="6"/>
      <c r="AE294" s="6"/>
      <c r="AF294" s="6"/>
      <c r="AG294" s="6"/>
      <c r="AH294" s="6"/>
      <c r="AI294" s="69"/>
      <c r="AJ294" s="6"/>
    </row>
    <row r="295" spans="1:36" s="84" customFormat="1" ht="32">
      <c r="A295" s="80">
        <v>716</v>
      </c>
      <c r="B295" s="81" t="s">
        <v>318</v>
      </c>
      <c r="C295" s="82"/>
      <c r="D295" s="80"/>
      <c r="E295" s="83" t="s">
        <v>609</v>
      </c>
      <c r="F295" s="80">
        <f>AVERAGE(G287:G289)</f>
        <v>0</v>
      </c>
      <c r="G295" s="80">
        <f>AVERAGE(G291:G293)</f>
        <v>0</v>
      </c>
      <c r="H295" s="80"/>
      <c r="I295" s="80"/>
      <c r="J295" s="80">
        <f t="shared" ref="J295" si="445">AVERAGE(J291:J293)</f>
        <v>93.033333333333346</v>
      </c>
      <c r="K295" s="80">
        <f t="shared" ref="K295" si="446">AVERAGE(K291:K293)</f>
        <v>0.40000000000000008</v>
      </c>
      <c r="L295" s="80">
        <f t="shared" ref="L295" si="447">AVERAGE(L291:L293)</f>
        <v>1.5333333333333332</v>
      </c>
      <c r="M295" s="80">
        <f t="shared" ref="M295" si="448">AVERAGE(M291:M293)</f>
        <v>0.16666666666666666</v>
      </c>
      <c r="N295" s="80">
        <f t="shared" ref="N295" si="449">AVERAGE(N291:N293)</f>
        <v>2</v>
      </c>
      <c r="O295" s="80">
        <f t="shared" ref="O295" si="450">AVERAGE(O291:O293)</f>
        <v>0</v>
      </c>
      <c r="P295" s="80"/>
      <c r="Q295" s="80">
        <f>100-F295-J295-K295-L295-M295-N295-O295</f>
        <v>2.8666666666666538</v>
      </c>
      <c r="R295" s="80">
        <f t="shared" ref="R295" si="451">AVERAGE(R291:R293)</f>
        <v>23.333333333333332</v>
      </c>
      <c r="S295" s="80"/>
      <c r="T295" s="80">
        <f t="shared" ref="T295" si="452">AVERAGE(T291:T293)</f>
        <v>10.333333333333334</v>
      </c>
      <c r="U295" s="80">
        <f t="shared" ref="U295" si="453">AVERAGE(U291:U293)</f>
        <v>0.6</v>
      </c>
      <c r="V295" s="80"/>
      <c r="W295" s="80"/>
      <c r="X295" s="80"/>
      <c r="Y295" s="80"/>
      <c r="Z295" s="80">
        <f t="shared" ref="Z295" si="454">AVERAGE(Z291:Z293)</f>
        <v>0.12666666666666668</v>
      </c>
      <c r="AA295" s="80">
        <f t="shared" ref="AA295" si="455">AVERAGE(AA291:AA293)</f>
        <v>30</v>
      </c>
      <c r="AB295" s="80">
        <f t="shared" ref="AB295" si="456">AVERAGE(AB291:AB293)</f>
        <v>132.66666666666666</v>
      </c>
      <c r="AC295" s="80">
        <f t="shared" ref="AC295" si="457">AVERAGE(AC291:AC293)</f>
        <v>7.0000000000000007E-2</v>
      </c>
      <c r="AD295" s="80">
        <f t="shared" ref="AD295" si="458">AVERAGE(AD291:AD293)</f>
        <v>3.3333333333333333E-2</v>
      </c>
      <c r="AE295" s="80">
        <f t="shared" ref="AE295" si="459">AVERAGE(AE291:AE293)</f>
        <v>0</v>
      </c>
      <c r="AF295" s="80">
        <f t="shared" ref="AF295" si="460">AVERAGE(AF291:AF293)</f>
        <v>246.66666666666666</v>
      </c>
      <c r="AG295" s="80">
        <f>+AE295+AF295/12</f>
        <v>20.555555555555554</v>
      </c>
      <c r="AH295" s="80">
        <f>+AE295+AF295/6</f>
        <v>41.111111111111107</v>
      </c>
      <c r="AI295" s="80"/>
      <c r="AJ295" s="80">
        <f>AVERAGE(AJ291:AJ293)</f>
        <v>0</v>
      </c>
    </row>
    <row r="296" spans="1:36" s="13" customFormat="1">
      <c r="A296" s="6"/>
      <c r="B296" s="78"/>
      <c r="C296" s="59"/>
      <c r="D296" s="6"/>
      <c r="E296" s="79"/>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row>
    <row r="297" spans="1:36" s="13" customFormat="1">
      <c r="A297" s="6"/>
      <c r="B297" s="78"/>
      <c r="C297" s="59"/>
      <c r="D297" s="6"/>
      <c r="E297" s="79"/>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row>
    <row r="298" spans="1:36" s="13" customFormat="1" ht="16">
      <c r="A298" s="6"/>
      <c r="B298" s="78"/>
      <c r="C298" s="59" t="s">
        <v>676</v>
      </c>
      <c r="D298" s="63">
        <v>2013</v>
      </c>
      <c r="E298" s="86" t="s">
        <v>541</v>
      </c>
      <c r="F298" s="61">
        <v>16.000000000000004</v>
      </c>
      <c r="G298" s="61">
        <v>0</v>
      </c>
      <c r="H298" s="61"/>
      <c r="I298" s="61"/>
      <c r="J298" s="69">
        <v>72</v>
      </c>
      <c r="K298" s="69">
        <v>1.2</v>
      </c>
      <c r="L298" s="69">
        <v>1.7</v>
      </c>
      <c r="M298" s="69">
        <v>0.4</v>
      </c>
      <c r="N298" s="69">
        <v>4</v>
      </c>
      <c r="O298" s="61">
        <v>0</v>
      </c>
      <c r="P298" s="69"/>
      <c r="Q298" s="69">
        <v>20.8</v>
      </c>
      <c r="R298" s="69">
        <v>101</v>
      </c>
      <c r="S298" s="69"/>
      <c r="T298" s="69">
        <v>22</v>
      </c>
      <c r="U298" s="69">
        <v>0.4</v>
      </c>
      <c r="V298" s="69"/>
      <c r="W298" s="69"/>
      <c r="X298" s="69"/>
      <c r="Y298" s="69"/>
      <c r="Z298" s="69">
        <v>0.28000000000000003</v>
      </c>
      <c r="AA298" s="69">
        <v>16</v>
      </c>
      <c r="AB298" s="69">
        <v>18</v>
      </c>
      <c r="AC298" s="69">
        <v>7.0000000000000007E-2</v>
      </c>
      <c r="AD298" s="69">
        <v>0.03</v>
      </c>
      <c r="AE298" s="69">
        <v>0</v>
      </c>
      <c r="AF298" s="69">
        <v>100</v>
      </c>
      <c r="AG298" s="69">
        <v>8</v>
      </c>
      <c r="AH298" s="69">
        <v>17</v>
      </c>
      <c r="AI298" s="69"/>
      <c r="AJ298" s="69">
        <v>0</v>
      </c>
    </row>
    <row r="299" spans="1:36" s="13" customFormat="1" ht="16">
      <c r="A299" s="6"/>
      <c r="B299" s="78"/>
      <c r="C299" s="59" t="s">
        <v>676</v>
      </c>
      <c r="D299" s="63">
        <v>2014</v>
      </c>
      <c r="E299" s="86" t="s">
        <v>542</v>
      </c>
      <c r="F299" s="61">
        <v>7.9999999999999964</v>
      </c>
      <c r="G299" s="61">
        <v>0</v>
      </c>
      <c r="H299" s="61"/>
      <c r="I299" s="61"/>
      <c r="J299" s="69">
        <v>78.7</v>
      </c>
      <c r="K299" s="69">
        <v>0.7</v>
      </c>
      <c r="L299" s="69">
        <v>1.9</v>
      </c>
      <c r="M299" s="69">
        <v>0.1</v>
      </c>
      <c r="N299" s="69">
        <v>3</v>
      </c>
      <c r="O299" s="61">
        <v>0</v>
      </c>
      <c r="P299" s="69"/>
      <c r="Q299" s="69">
        <v>15.6</v>
      </c>
      <c r="R299" s="69">
        <v>76.900000000000006</v>
      </c>
      <c r="S299" s="69"/>
      <c r="T299" s="69">
        <v>27</v>
      </c>
      <c r="U299" s="69">
        <v>0.5</v>
      </c>
      <c r="V299" s="69"/>
      <c r="W299" s="69"/>
      <c r="X299" s="69"/>
      <c r="Y299" s="69"/>
      <c r="Z299" s="69">
        <v>0.5</v>
      </c>
      <c r="AA299" s="69">
        <v>11</v>
      </c>
      <c r="AB299" s="69">
        <v>31</v>
      </c>
      <c r="AC299" s="69">
        <v>0.03</v>
      </c>
      <c r="AD299" s="69">
        <v>0.05</v>
      </c>
      <c r="AE299" s="69">
        <v>0</v>
      </c>
      <c r="AF299" s="69">
        <v>6200</v>
      </c>
      <c r="AG299" s="69">
        <v>517</v>
      </c>
      <c r="AH299" s="69">
        <v>1030</v>
      </c>
      <c r="AI299" s="69"/>
      <c r="AJ299" s="69">
        <v>0</v>
      </c>
    </row>
    <row r="300" spans="1:36" s="13" customFormat="1" ht="16">
      <c r="A300" s="6"/>
      <c r="B300" s="78"/>
      <c r="C300" s="59" t="s">
        <v>676</v>
      </c>
      <c r="D300" s="63">
        <v>2015</v>
      </c>
      <c r="E300" s="86" t="s">
        <v>543</v>
      </c>
      <c r="F300" s="61">
        <v>16.000000000000004</v>
      </c>
      <c r="G300" s="61">
        <v>0</v>
      </c>
      <c r="H300" s="61"/>
      <c r="I300" s="61"/>
      <c r="J300" s="69">
        <v>76.8</v>
      </c>
      <c r="K300" s="69">
        <v>1.3</v>
      </c>
      <c r="L300" s="69">
        <v>1.8</v>
      </c>
      <c r="M300" s="69">
        <v>0.6</v>
      </c>
      <c r="N300" s="69">
        <v>3.9</v>
      </c>
      <c r="O300" s="61">
        <v>0</v>
      </c>
      <c r="P300" s="69"/>
      <c r="Q300" s="69">
        <v>15.6</v>
      </c>
      <c r="R300" s="69">
        <v>83</v>
      </c>
      <c r="S300" s="69"/>
      <c r="T300" s="69">
        <v>14</v>
      </c>
      <c r="U300" s="69">
        <v>1</v>
      </c>
      <c r="V300" s="69"/>
      <c r="W300" s="69"/>
      <c r="X300" s="69"/>
      <c r="Y300" s="69"/>
      <c r="Z300" s="69">
        <v>0.14000000000000001</v>
      </c>
      <c r="AA300" s="69">
        <v>14</v>
      </c>
      <c r="AB300" s="69">
        <v>22</v>
      </c>
      <c r="AC300" s="69">
        <v>7.0000000000000007E-2</v>
      </c>
      <c r="AD300" s="69">
        <v>0.03</v>
      </c>
      <c r="AE300" s="69">
        <v>0</v>
      </c>
      <c r="AF300" s="69">
        <v>11</v>
      </c>
      <c r="AG300" s="69">
        <v>1</v>
      </c>
      <c r="AH300" s="69">
        <v>2</v>
      </c>
      <c r="AI300" s="69"/>
      <c r="AJ300" s="69">
        <v>0</v>
      </c>
    </row>
    <row r="301" spans="1:36" s="13" customFormat="1">
      <c r="A301" s="6"/>
      <c r="B301" s="78"/>
      <c r="C301" s="59"/>
      <c r="D301" s="63"/>
      <c r="E301" s="86"/>
      <c r="F301" s="6">
        <f>AVERAGE(F298:F300)</f>
        <v>13.333333333333334</v>
      </c>
      <c r="G301" s="61"/>
      <c r="H301" s="61"/>
      <c r="I301" s="61"/>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row>
    <row r="302" spans="1:36" s="13" customFormat="1">
      <c r="A302" s="6"/>
      <c r="B302" s="78"/>
      <c r="C302" s="59"/>
      <c r="D302" s="63"/>
      <c r="E302" s="86"/>
      <c r="F302" s="6"/>
      <c r="G302" s="61">
        <v>0</v>
      </c>
      <c r="H302" s="61"/>
      <c r="I302" s="61"/>
      <c r="J302" s="6">
        <f>+J298*(100-$G298)/100</f>
        <v>72</v>
      </c>
      <c r="K302" s="6">
        <f t="shared" ref="K302:O302" si="461">+K298*(100-$G298)/100</f>
        <v>1.2</v>
      </c>
      <c r="L302" s="6">
        <f t="shared" si="461"/>
        <v>1.7</v>
      </c>
      <c r="M302" s="6">
        <f t="shared" si="461"/>
        <v>0.4</v>
      </c>
      <c r="N302" s="6">
        <f t="shared" si="461"/>
        <v>4</v>
      </c>
      <c r="O302" s="6">
        <f t="shared" si="461"/>
        <v>0</v>
      </c>
      <c r="P302" s="69"/>
      <c r="Q302" s="6">
        <f t="shared" ref="Q302:R302" si="462">+Q298*(100-$G298)/100</f>
        <v>20.8</v>
      </c>
      <c r="R302" s="6">
        <f t="shared" si="462"/>
        <v>101</v>
      </c>
      <c r="S302" s="69"/>
      <c r="T302" s="6">
        <f t="shared" ref="T302:AH302" si="463">+T298*(100-$G298)/100</f>
        <v>22</v>
      </c>
      <c r="U302" s="6">
        <f t="shared" si="463"/>
        <v>0.4</v>
      </c>
      <c r="V302" s="6"/>
      <c r="W302" s="6"/>
      <c r="X302" s="6"/>
      <c r="Y302" s="6"/>
      <c r="Z302" s="6">
        <f t="shared" si="463"/>
        <v>0.28000000000000003</v>
      </c>
      <c r="AA302" s="6">
        <f t="shared" si="463"/>
        <v>16</v>
      </c>
      <c r="AB302" s="6">
        <f t="shared" si="463"/>
        <v>18</v>
      </c>
      <c r="AC302" s="6">
        <f t="shared" si="463"/>
        <v>7.0000000000000007E-2</v>
      </c>
      <c r="AD302" s="6">
        <f t="shared" si="463"/>
        <v>0.03</v>
      </c>
      <c r="AE302" s="6">
        <f t="shared" si="463"/>
        <v>0</v>
      </c>
      <c r="AF302" s="6">
        <f t="shared" si="463"/>
        <v>100</v>
      </c>
      <c r="AG302" s="6">
        <f t="shared" si="463"/>
        <v>8</v>
      </c>
      <c r="AH302" s="6">
        <f t="shared" si="463"/>
        <v>17</v>
      </c>
      <c r="AI302" s="69"/>
      <c r="AJ302" s="6">
        <f>+AJ298*(100-$G298)/100</f>
        <v>0</v>
      </c>
    </row>
    <row r="303" spans="1:36" s="13" customFormat="1">
      <c r="A303" s="6"/>
      <c r="B303" s="78"/>
      <c r="C303" s="59"/>
      <c r="D303" s="63"/>
      <c r="E303" s="86"/>
      <c r="F303" s="6"/>
      <c r="G303" s="61">
        <v>0</v>
      </c>
      <c r="H303" s="61"/>
      <c r="I303" s="61"/>
      <c r="J303" s="6">
        <f t="shared" ref="J303:O303" si="464">+J299*(100-$G299)/100</f>
        <v>78.7</v>
      </c>
      <c r="K303" s="6">
        <f t="shared" si="464"/>
        <v>0.7</v>
      </c>
      <c r="L303" s="6">
        <f t="shared" si="464"/>
        <v>1.9</v>
      </c>
      <c r="M303" s="6">
        <f t="shared" si="464"/>
        <v>0.1</v>
      </c>
      <c r="N303" s="6">
        <f t="shared" si="464"/>
        <v>3</v>
      </c>
      <c r="O303" s="6">
        <f t="shared" si="464"/>
        <v>0</v>
      </c>
      <c r="P303" s="69"/>
      <c r="Q303" s="6">
        <f t="shared" ref="Q303:R303" si="465">+Q299*(100-$G299)/100</f>
        <v>15.6</v>
      </c>
      <c r="R303" s="6">
        <f t="shared" si="465"/>
        <v>76.900000000000006</v>
      </c>
      <c r="S303" s="69"/>
      <c r="T303" s="6">
        <f t="shared" ref="T303:AH303" si="466">+T299*(100-$G299)/100</f>
        <v>27</v>
      </c>
      <c r="U303" s="6">
        <f t="shared" si="466"/>
        <v>0.5</v>
      </c>
      <c r="V303" s="6"/>
      <c r="W303" s="6"/>
      <c r="X303" s="6"/>
      <c r="Y303" s="6"/>
      <c r="Z303" s="6">
        <f t="shared" si="466"/>
        <v>0.5</v>
      </c>
      <c r="AA303" s="6">
        <f t="shared" si="466"/>
        <v>11</v>
      </c>
      <c r="AB303" s="6">
        <f t="shared" si="466"/>
        <v>31</v>
      </c>
      <c r="AC303" s="6">
        <f t="shared" si="466"/>
        <v>0.03</v>
      </c>
      <c r="AD303" s="6">
        <f t="shared" si="466"/>
        <v>0.05</v>
      </c>
      <c r="AE303" s="6">
        <f t="shared" si="466"/>
        <v>0</v>
      </c>
      <c r="AF303" s="6">
        <f t="shared" si="466"/>
        <v>6200</v>
      </c>
      <c r="AG303" s="6">
        <f t="shared" si="466"/>
        <v>517</v>
      </c>
      <c r="AH303" s="6">
        <f t="shared" si="466"/>
        <v>1030</v>
      </c>
      <c r="AI303" s="69"/>
      <c r="AJ303" s="6">
        <f t="shared" ref="AJ303:AJ304" si="467">+AJ299*(100-$G299)/100</f>
        <v>0</v>
      </c>
    </row>
    <row r="304" spans="1:36" s="13" customFormat="1">
      <c r="A304" s="6"/>
      <c r="B304" s="78"/>
      <c r="C304" s="59"/>
      <c r="D304" s="63"/>
      <c r="E304" s="86"/>
      <c r="F304" s="6"/>
      <c r="G304" s="61">
        <v>0</v>
      </c>
      <c r="H304" s="61"/>
      <c r="I304" s="61"/>
      <c r="J304" s="6">
        <f t="shared" ref="J304:O304" si="468">+J300*(100-$G300)/100</f>
        <v>76.8</v>
      </c>
      <c r="K304" s="6">
        <f t="shared" si="468"/>
        <v>1.3</v>
      </c>
      <c r="L304" s="6">
        <f t="shared" si="468"/>
        <v>1.8</v>
      </c>
      <c r="M304" s="6">
        <f t="shared" si="468"/>
        <v>0.6</v>
      </c>
      <c r="N304" s="6">
        <f t="shared" si="468"/>
        <v>3.9</v>
      </c>
      <c r="O304" s="6">
        <f t="shared" si="468"/>
        <v>0</v>
      </c>
      <c r="P304" s="69"/>
      <c r="Q304" s="6">
        <f t="shared" ref="Q304:R304" si="469">+Q300*(100-$G300)/100</f>
        <v>15.6</v>
      </c>
      <c r="R304" s="6">
        <f t="shared" si="469"/>
        <v>83</v>
      </c>
      <c r="S304" s="69"/>
      <c r="T304" s="6">
        <f t="shared" ref="T304:AH304" si="470">+T300*(100-$G300)/100</f>
        <v>14</v>
      </c>
      <c r="U304" s="6">
        <f t="shared" si="470"/>
        <v>1</v>
      </c>
      <c r="V304" s="6"/>
      <c r="W304" s="6"/>
      <c r="X304" s="6"/>
      <c r="Y304" s="6"/>
      <c r="Z304" s="6">
        <f t="shared" si="470"/>
        <v>0.14000000000000001</v>
      </c>
      <c r="AA304" s="6">
        <f t="shared" si="470"/>
        <v>14</v>
      </c>
      <c r="AB304" s="6">
        <f t="shared" si="470"/>
        <v>22</v>
      </c>
      <c r="AC304" s="6">
        <f t="shared" si="470"/>
        <v>7.0000000000000007E-2</v>
      </c>
      <c r="AD304" s="6">
        <f t="shared" si="470"/>
        <v>0.03</v>
      </c>
      <c r="AE304" s="6">
        <f t="shared" si="470"/>
        <v>0</v>
      </c>
      <c r="AF304" s="6">
        <f t="shared" si="470"/>
        <v>11</v>
      </c>
      <c r="AG304" s="6">
        <f t="shared" si="470"/>
        <v>1</v>
      </c>
      <c r="AH304" s="6">
        <f t="shared" si="470"/>
        <v>2</v>
      </c>
      <c r="AI304" s="69"/>
      <c r="AJ304" s="6">
        <f t="shared" si="467"/>
        <v>0</v>
      </c>
    </row>
    <row r="305" spans="1:36" s="13" customFormat="1">
      <c r="A305" s="6"/>
      <c r="B305" s="78"/>
      <c r="C305" s="59"/>
      <c r="D305" s="63"/>
      <c r="E305" s="86"/>
      <c r="F305" s="6"/>
      <c r="G305" s="61"/>
      <c r="H305" s="61"/>
      <c r="I305" s="61"/>
      <c r="J305" s="6"/>
      <c r="K305" s="6"/>
      <c r="L305" s="6"/>
      <c r="M305" s="6"/>
      <c r="N305" s="6"/>
      <c r="O305" s="6"/>
      <c r="P305" s="69"/>
      <c r="Q305" s="6"/>
      <c r="R305" s="6"/>
      <c r="S305" s="69"/>
      <c r="T305" s="6"/>
      <c r="U305" s="6"/>
      <c r="V305" s="6"/>
      <c r="W305" s="6"/>
      <c r="X305" s="6"/>
      <c r="Y305" s="6"/>
      <c r="Z305" s="6"/>
      <c r="AA305" s="6"/>
      <c r="AB305" s="6"/>
      <c r="AC305" s="6"/>
      <c r="AD305" s="6"/>
      <c r="AE305" s="6"/>
      <c r="AF305" s="6"/>
      <c r="AG305" s="6"/>
      <c r="AH305" s="6"/>
      <c r="AI305" s="69"/>
      <c r="AJ305" s="6"/>
    </row>
    <row r="306" spans="1:36" s="84" customFormat="1" ht="16">
      <c r="A306" s="80">
        <v>802</v>
      </c>
      <c r="B306" s="81" t="s">
        <v>331</v>
      </c>
      <c r="C306" s="82"/>
      <c r="D306" s="80"/>
      <c r="E306" s="83" t="s">
        <v>609</v>
      </c>
      <c r="F306" s="80">
        <f>AVERAGE(G298:G300)</f>
        <v>0</v>
      </c>
      <c r="G306" s="80">
        <f>AVERAGE(G302:G304)</f>
        <v>0</v>
      </c>
      <c r="H306" s="80"/>
      <c r="I306" s="80"/>
      <c r="J306" s="80">
        <f t="shared" ref="J306" si="471">AVERAGE(J302:J304)</f>
        <v>75.833333333333329</v>
      </c>
      <c r="K306" s="80">
        <f t="shared" ref="K306" si="472">AVERAGE(K302:K304)</f>
        <v>1.0666666666666667</v>
      </c>
      <c r="L306" s="80">
        <f t="shared" ref="L306" si="473">AVERAGE(L302:L304)</f>
        <v>1.7999999999999998</v>
      </c>
      <c r="M306" s="80">
        <f t="shared" ref="M306" si="474">AVERAGE(M302:M304)</f>
        <v>0.3666666666666667</v>
      </c>
      <c r="N306" s="80">
        <f t="shared" ref="N306" si="475">AVERAGE(N302:N304)</f>
        <v>3.6333333333333333</v>
      </c>
      <c r="O306" s="80">
        <f t="shared" ref="O306" si="476">AVERAGE(O302:O304)</f>
        <v>0</v>
      </c>
      <c r="P306" s="80"/>
      <c r="Q306" s="80">
        <f>100-F306-J306-K306-L306-M306-N306-O306</f>
        <v>17.300000000000004</v>
      </c>
      <c r="R306" s="80">
        <f t="shared" ref="R306" si="477">AVERAGE(R302:R304)</f>
        <v>86.966666666666654</v>
      </c>
      <c r="S306" s="80"/>
      <c r="T306" s="80">
        <f t="shared" ref="T306" si="478">AVERAGE(T302:T304)</f>
        <v>21</v>
      </c>
      <c r="U306" s="80">
        <f t="shared" ref="U306" si="479">AVERAGE(U302:U304)</f>
        <v>0.6333333333333333</v>
      </c>
      <c r="V306" s="80"/>
      <c r="W306" s="80"/>
      <c r="X306" s="80"/>
      <c r="Y306" s="80"/>
      <c r="Z306" s="80">
        <f t="shared" ref="Z306" si="480">AVERAGE(Z302:Z304)</f>
        <v>0.3066666666666667</v>
      </c>
      <c r="AA306" s="80">
        <f t="shared" ref="AA306" si="481">AVERAGE(AA302:AA304)</f>
        <v>13.666666666666666</v>
      </c>
      <c r="AB306" s="80">
        <f t="shared" ref="AB306" si="482">AVERAGE(AB302:AB304)</f>
        <v>23.666666666666668</v>
      </c>
      <c r="AC306" s="80">
        <f t="shared" ref="AC306" si="483">AVERAGE(AC302:AC304)</f>
        <v>5.6666666666666671E-2</v>
      </c>
      <c r="AD306" s="80">
        <f t="shared" ref="AD306" si="484">AVERAGE(AD302:AD304)</f>
        <v>3.6666666666666667E-2</v>
      </c>
      <c r="AE306" s="80">
        <f t="shared" ref="AE306" si="485">AVERAGE(AE302:AE304)</f>
        <v>0</v>
      </c>
      <c r="AF306" s="80">
        <f t="shared" ref="AF306" si="486">AVERAGE(AF302:AF304)</f>
        <v>2103.6666666666665</v>
      </c>
      <c r="AG306" s="80">
        <f>+AE306+AF306/12</f>
        <v>175.30555555555554</v>
      </c>
      <c r="AH306" s="80">
        <f>+AE306+AF306/6</f>
        <v>350.61111111111109</v>
      </c>
      <c r="AI306" s="80"/>
      <c r="AJ306" s="80">
        <f>AVERAGE(AJ302:AJ304)</f>
        <v>0</v>
      </c>
    </row>
    <row r="307" spans="1:36" s="13" customFormat="1">
      <c r="A307" s="6"/>
      <c r="B307" s="78"/>
      <c r="C307" s="59"/>
      <c r="D307" s="6"/>
      <c r="E307" s="79"/>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row>
    <row r="308" spans="1:36" s="13" customFormat="1">
      <c r="A308" s="6"/>
      <c r="B308" s="78"/>
      <c r="C308" s="59"/>
      <c r="D308" s="6"/>
      <c r="E308" s="79"/>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row>
    <row r="309" spans="1:36" s="13" customFormat="1" ht="16">
      <c r="A309" s="6"/>
      <c r="B309" s="78"/>
      <c r="C309" s="59" t="s">
        <v>676</v>
      </c>
      <c r="D309" s="63">
        <v>2007</v>
      </c>
      <c r="E309" s="86" t="s">
        <v>405</v>
      </c>
      <c r="F309" s="61">
        <v>6.9999999999999947</v>
      </c>
      <c r="G309" s="61">
        <v>0</v>
      </c>
      <c r="H309" s="61"/>
      <c r="I309" s="61"/>
      <c r="J309" s="69">
        <v>53.8</v>
      </c>
      <c r="K309" s="69">
        <v>1</v>
      </c>
      <c r="L309" s="69">
        <v>1.3</v>
      </c>
      <c r="M309" s="69">
        <v>0.3</v>
      </c>
      <c r="N309" s="69">
        <v>4.5999999999999996</v>
      </c>
      <c r="O309" s="61">
        <v>0</v>
      </c>
      <c r="P309" s="69"/>
      <c r="Q309" s="69">
        <v>39.1</v>
      </c>
      <c r="R309" s="69">
        <v>173</v>
      </c>
      <c r="S309" s="69"/>
      <c r="T309" s="69">
        <v>33</v>
      </c>
      <c r="U309" s="69">
        <v>0.9</v>
      </c>
      <c r="V309" s="69"/>
      <c r="W309" s="69"/>
      <c r="X309" s="69"/>
      <c r="Y309" s="69"/>
      <c r="Z309" s="69">
        <v>0.34</v>
      </c>
      <c r="AA309" s="69">
        <v>27</v>
      </c>
      <c r="AB309" s="69">
        <v>38</v>
      </c>
      <c r="AC309" s="69">
        <v>0.23</v>
      </c>
      <c r="AD309" s="69">
        <v>0.01</v>
      </c>
      <c r="AE309" s="69">
        <v>0</v>
      </c>
      <c r="AF309" s="69">
        <v>8</v>
      </c>
      <c r="AG309" s="69">
        <v>1</v>
      </c>
      <c r="AH309" s="69">
        <v>1</v>
      </c>
      <c r="AI309" s="69"/>
      <c r="AJ309" s="69">
        <v>0</v>
      </c>
    </row>
    <row r="310" spans="1:36" s="13" customFormat="1" ht="16">
      <c r="A310" s="6"/>
      <c r="B310" s="78"/>
      <c r="C310" s="59" t="s">
        <v>676</v>
      </c>
      <c r="D310" s="63">
        <v>2008</v>
      </c>
      <c r="E310" s="86" t="s">
        <v>406</v>
      </c>
      <c r="F310" s="61">
        <v>5.0000000000000044</v>
      </c>
      <c r="G310" s="61">
        <v>0</v>
      </c>
      <c r="H310" s="61"/>
      <c r="I310" s="61"/>
      <c r="J310" s="69">
        <v>65.7</v>
      </c>
      <c r="K310" s="69">
        <v>0.8</v>
      </c>
      <c r="L310" s="69">
        <v>1.6</v>
      </c>
      <c r="M310" s="69">
        <v>0.2</v>
      </c>
      <c r="N310" s="69">
        <v>4.7</v>
      </c>
      <c r="O310" s="61">
        <v>0</v>
      </c>
      <c r="P310" s="69"/>
      <c r="Q310" s="69">
        <v>27</v>
      </c>
      <c r="R310" s="69">
        <v>126</v>
      </c>
      <c r="S310" s="69"/>
      <c r="T310" s="69">
        <v>18</v>
      </c>
      <c r="U310" s="69">
        <v>0.6</v>
      </c>
      <c r="V310" s="69"/>
      <c r="W310" s="69"/>
      <c r="X310" s="69"/>
      <c r="Y310" s="69"/>
      <c r="Z310" s="69">
        <v>0.34</v>
      </c>
      <c r="AA310" s="69">
        <v>27</v>
      </c>
      <c r="AB310" s="69">
        <v>41</v>
      </c>
      <c r="AC310" s="69">
        <v>0.09</v>
      </c>
      <c r="AD310" s="69">
        <v>0.03</v>
      </c>
      <c r="AE310" s="69">
        <v>0</v>
      </c>
      <c r="AF310" s="69">
        <v>730</v>
      </c>
      <c r="AG310" s="69">
        <v>61</v>
      </c>
      <c r="AH310" s="69">
        <v>122</v>
      </c>
      <c r="AI310" s="69"/>
      <c r="AJ310" s="69">
        <v>0</v>
      </c>
    </row>
    <row r="311" spans="1:36" s="13" customFormat="1">
      <c r="A311" s="6"/>
      <c r="B311" s="78"/>
      <c r="C311" s="59"/>
      <c r="D311" s="63"/>
      <c r="E311" s="86"/>
      <c r="F311" s="6">
        <f>AVERAGE(F309:F310)</f>
        <v>6</v>
      </c>
      <c r="G311" s="61"/>
      <c r="H311" s="61"/>
      <c r="I311" s="61"/>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row>
    <row r="312" spans="1:36" s="13" customFormat="1">
      <c r="A312" s="6"/>
      <c r="B312" s="78"/>
      <c r="C312" s="59"/>
      <c r="D312" s="63"/>
      <c r="E312" s="86"/>
      <c r="F312" s="6"/>
      <c r="G312" s="61">
        <v>0</v>
      </c>
      <c r="H312" s="61"/>
      <c r="I312" s="61"/>
      <c r="J312" s="6">
        <f>+J309*(100-$G309)/100</f>
        <v>53.8</v>
      </c>
      <c r="K312" s="6">
        <f t="shared" ref="K312:O312" si="487">+K309*(100-$G309)/100</f>
        <v>1</v>
      </c>
      <c r="L312" s="6">
        <f t="shared" si="487"/>
        <v>1.3</v>
      </c>
      <c r="M312" s="6">
        <f t="shared" si="487"/>
        <v>0.3</v>
      </c>
      <c r="N312" s="6">
        <f t="shared" si="487"/>
        <v>4.5999999999999996</v>
      </c>
      <c r="O312" s="6">
        <f t="shared" si="487"/>
        <v>0</v>
      </c>
      <c r="P312" s="69"/>
      <c r="Q312" s="6">
        <f t="shared" ref="Q312:R312" si="488">+Q309*(100-$G309)/100</f>
        <v>39.1</v>
      </c>
      <c r="R312" s="6">
        <f t="shared" si="488"/>
        <v>173</v>
      </c>
      <c r="S312" s="69"/>
      <c r="T312" s="6">
        <f t="shared" ref="T312:AH312" si="489">+T309*(100-$G309)/100</f>
        <v>33</v>
      </c>
      <c r="U312" s="6">
        <f t="shared" si="489"/>
        <v>0.9</v>
      </c>
      <c r="V312" s="6"/>
      <c r="W312" s="6"/>
      <c r="X312" s="6"/>
      <c r="Y312" s="6"/>
      <c r="Z312" s="6">
        <f t="shared" si="489"/>
        <v>0.34</v>
      </c>
      <c r="AA312" s="6">
        <f t="shared" si="489"/>
        <v>27</v>
      </c>
      <c r="AB312" s="6">
        <f t="shared" si="489"/>
        <v>38</v>
      </c>
      <c r="AC312" s="6">
        <f t="shared" si="489"/>
        <v>0.23</v>
      </c>
      <c r="AD312" s="6">
        <f t="shared" si="489"/>
        <v>0.01</v>
      </c>
      <c r="AE312" s="6">
        <f t="shared" si="489"/>
        <v>0</v>
      </c>
      <c r="AF312" s="6">
        <f t="shared" si="489"/>
        <v>8</v>
      </c>
      <c r="AG312" s="6">
        <f t="shared" si="489"/>
        <v>1</v>
      </c>
      <c r="AH312" s="6">
        <f t="shared" si="489"/>
        <v>1</v>
      </c>
      <c r="AI312" s="69"/>
      <c r="AJ312" s="6">
        <f>+AJ309*(100-$G309)/100</f>
        <v>0</v>
      </c>
    </row>
    <row r="313" spans="1:36" s="13" customFormat="1">
      <c r="A313" s="6"/>
      <c r="B313" s="78"/>
      <c r="C313" s="59"/>
      <c r="D313" s="63"/>
      <c r="E313" s="86"/>
      <c r="F313" s="6"/>
      <c r="G313" s="61">
        <v>0</v>
      </c>
      <c r="H313" s="61"/>
      <c r="I313" s="61"/>
      <c r="J313" s="6">
        <f>+J310*(100-$G310)/100</f>
        <v>65.7</v>
      </c>
      <c r="K313" s="6">
        <f t="shared" ref="K313:O313" si="490">+K310*(100-$G310)/100</f>
        <v>0.8</v>
      </c>
      <c r="L313" s="6">
        <f t="shared" si="490"/>
        <v>1.6</v>
      </c>
      <c r="M313" s="6">
        <f t="shared" si="490"/>
        <v>0.2</v>
      </c>
      <c r="N313" s="6">
        <f t="shared" si="490"/>
        <v>4.7</v>
      </c>
      <c r="O313" s="6">
        <f t="shared" si="490"/>
        <v>0</v>
      </c>
      <c r="P313" s="69"/>
      <c r="Q313" s="6">
        <f t="shared" ref="Q313:R313" si="491">+Q310*(100-$G310)/100</f>
        <v>27</v>
      </c>
      <c r="R313" s="6">
        <f t="shared" si="491"/>
        <v>126</v>
      </c>
      <c r="S313" s="69"/>
      <c r="T313" s="6">
        <f t="shared" ref="T313:AH313" si="492">+T310*(100-$G310)/100</f>
        <v>18</v>
      </c>
      <c r="U313" s="6">
        <f t="shared" si="492"/>
        <v>0.6</v>
      </c>
      <c r="V313" s="6"/>
      <c r="W313" s="6"/>
      <c r="X313" s="6"/>
      <c r="Y313" s="6"/>
      <c r="Z313" s="6">
        <f t="shared" si="492"/>
        <v>0.34</v>
      </c>
      <c r="AA313" s="6">
        <f t="shared" si="492"/>
        <v>27</v>
      </c>
      <c r="AB313" s="6">
        <f t="shared" si="492"/>
        <v>41</v>
      </c>
      <c r="AC313" s="6">
        <f t="shared" si="492"/>
        <v>0.09</v>
      </c>
      <c r="AD313" s="6">
        <f t="shared" si="492"/>
        <v>0.03</v>
      </c>
      <c r="AE313" s="6">
        <f t="shared" si="492"/>
        <v>0</v>
      </c>
      <c r="AF313" s="6">
        <f t="shared" si="492"/>
        <v>730</v>
      </c>
      <c r="AG313" s="6">
        <f t="shared" si="492"/>
        <v>61</v>
      </c>
      <c r="AH313" s="6">
        <f t="shared" si="492"/>
        <v>122</v>
      </c>
      <c r="AI313" s="69"/>
      <c r="AJ313" s="6">
        <f>+AJ310*(100-$G310)/100</f>
        <v>0</v>
      </c>
    </row>
    <row r="314" spans="1:36" s="13" customFormat="1">
      <c r="A314" s="6"/>
      <c r="B314" s="78"/>
      <c r="C314" s="59"/>
      <c r="D314" s="63"/>
      <c r="E314" s="86"/>
      <c r="F314" s="6"/>
      <c r="G314" s="61"/>
      <c r="H314" s="61"/>
      <c r="I314" s="61"/>
      <c r="J314" s="6"/>
      <c r="K314" s="6"/>
      <c r="L314" s="6"/>
      <c r="M314" s="6"/>
      <c r="N314" s="6"/>
      <c r="O314" s="6"/>
      <c r="P314" s="69"/>
      <c r="Q314" s="6"/>
      <c r="R314" s="6"/>
      <c r="S314" s="69"/>
      <c r="T314" s="6"/>
      <c r="U314" s="6"/>
      <c r="V314" s="6"/>
      <c r="W314" s="6"/>
      <c r="X314" s="6"/>
      <c r="Y314" s="6"/>
      <c r="Z314" s="6"/>
      <c r="AA314" s="6"/>
      <c r="AB314" s="6"/>
      <c r="AC314" s="6"/>
      <c r="AD314" s="6"/>
      <c r="AE314" s="6"/>
      <c r="AF314" s="6"/>
      <c r="AG314" s="6"/>
      <c r="AH314" s="6"/>
      <c r="AI314" s="69"/>
      <c r="AJ314" s="6"/>
    </row>
    <row r="315" spans="1:36" s="84" customFormat="1" ht="16">
      <c r="A315" s="80">
        <v>804</v>
      </c>
      <c r="B315" s="81" t="s">
        <v>333</v>
      </c>
      <c r="C315" s="82"/>
      <c r="D315" s="101"/>
      <c r="E315" s="102" t="s">
        <v>609</v>
      </c>
      <c r="F315" s="80">
        <f>AVERAGE(G309:G310)</f>
        <v>0</v>
      </c>
      <c r="G315" s="103">
        <f>AVERAGE(G312:G313)</f>
        <v>0</v>
      </c>
      <c r="H315" s="103"/>
      <c r="I315" s="103"/>
      <c r="J315" s="103">
        <f t="shared" ref="J315" si="493">AVERAGE(J312:J313)</f>
        <v>59.75</v>
      </c>
      <c r="K315" s="103">
        <f t="shared" ref="K315" si="494">AVERAGE(K312:K313)</f>
        <v>0.9</v>
      </c>
      <c r="L315" s="103">
        <f t="shared" ref="L315" si="495">AVERAGE(L312:L313)</f>
        <v>1.4500000000000002</v>
      </c>
      <c r="M315" s="103">
        <f t="shared" ref="M315" si="496">AVERAGE(M312:M313)</f>
        <v>0.25</v>
      </c>
      <c r="N315" s="103">
        <f t="shared" ref="N315" si="497">AVERAGE(N312:N313)</f>
        <v>4.6500000000000004</v>
      </c>
      <c r="O315" s="103">
        <f t="shared" ref="O315" si="498">AVERAGE(O312:O313)</f>
        <v>0</v>
      </c>
      <c r="P315" s="104"/>
      <c r="Q315" s="80">
        <f>100-F315-J315-K315-L315-M315-N315-O315</f>
        <v>33</v>
      </c>
      <c r="R315" s="103">
        <f t="shared" ref="R315" si="499">AVERAGE(R312:R313)</f>
        <v>149.5</v>
      </c>
      <c r="S315" s="104"/>
      <c r="T315" s="103">
        <f t="shared" ref="T315" si="500">AVERAGE(T312:T313)</f>
        <v>25.5</v>
      </c>
      <c r="U315" s="103">
        <f t="shared" ref="U315" si="501">AVERAGE(U312:U313)</f>
        <v>0.75</v>
      </c>
      <c r="V315" s="103"/>
      <c r="W315" s="103"/>
      <c r="X315" s="103"/>
      <c r="Y315" s="103"/>
      <c r="Z315" s="103">
        <f t="shared" ref="Z315" si="502">AVERAGE(Z312:Z313)</f>
        <v>0.34</v>
      </c>
      <c r="AA315" s="103">
        <f t="shared" ref="AA315" si="503">AVERAGE(AA312:AA313)</f>
        <v>27</v>
      </c>
      <c r="AB315" s="103">
        <f t="shared" ref="AB315" si="504">AVERAGE(AB312:AB313)</f>
        <v>39.5</v>
      </c>
      <c r="AC315" s="103">
        <f t="shared" ref="AC315" si="505">AVERAGE(AC312:AC313)</f>
        <v>0.16</v>
      </c>
      <c r="AD315" s="103">
        <f t="shared" ref="AD315" si="506">AVERAGE(AD312:AD313)</f>
        <v>0.02</v>
      </c>
      <c r="AE315" s="103">
        <f t="shared" ref="AE315" si="507">AVERAGE(AE312:AE313)</f>
        <v>0</v>
      </c>
      <c r="AF315" s="103">
        <f t="shared" ref="AF315" si="508">AVERAGE(AF312:AF313)</f>
        <v>369</v>
      </c>
      <c r="AG315" s="80">
        <f>+AE315+AF315/12</f>
        <v>30.75</v>
      </c>
      <c r="AH315" s="80">
        <f>+AE315+AF315/6</f>
        <v>61.5</v>
      </c>
      <c r="AI315" s="103"/>
      <c r="AJ315" s="103">
        <f t="shared" ref="AJ315" si="509">AVERAGE(AJ312:AJ313)</f>
        <v>0</v>
      </c>
    </row>
    <row r="316" spans="1:36" s="13" customFormat="1">
      <c r="A316" s="6"/>
      <c r="B316" s="78"/>
      <c r="C316" s="59"/>
      <c r="D316" s="6"/>
      <c r="E316" s="79"/>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row>
    <row r="317" spans="1:36" s="13" customFormat="1">
      <c r="A317" s="6"/>
      <c r="B317" s="78"/>
      <c r="C317" s="59"/>
      <c r="D317" s="6"/>
      <c r="E317" s="79"/>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row>
    <row r="318" spans="1:36" s="95" customFormat="1" ht="16">
      <c r="A318" s="90"/>
      <c r="B318" s="91"/>
      <c r="C318" s="59" t="s">
        <v>676</v>
      </c>
      <c r="D318" s="92">
        <v>5013</v>
      </c>
      <c r="E318" s="93" t="s">
        <v>502</v>
      </c>
      <c r="F318" s="90"/>
      <c r="G318" s="94">
        <v>0</v>
      </c>
      <c r="H318" s="94"/>
      <c r="I318" s="94"/>
      <c r="J318" s="96">
        <v>87</v>
      </c>
      <c r="K318" s="96">
        <v>0.25</v>
      </c>
      <c r="L318" s="96">
        <v>0.6</v>
      </c>
      <c r="M318" s="96">
        <v>0.2</v>
      </c>
      <c r="N318" s="96">
        <v>2.5</v>
      </c>
      <c r="O318" s="94">
        <v>0</v>
      </c>
      <c r="P318" s="96"/>
      <c r="Q318" s="96">
        <v>9.5</v>
      </c>
      <c r="R318" s="96">
        <v>47</v>
      </c>
      <c r="S318" s="96"/>
      <c r="T318" s="96">
        <v>20</v>
      </c>
      <c r="U318" s="96">
        <v>0.3</v>
      </c>
      <c r="V318" s="96"/>
      <c r="W318" s="96"/>
      <c r="X318" s="96"/>
      <c r="Y318" s="96"/>
      <c r="Z318" s="96">
        <v>0</v>
      </c>
      <c r="AA318" s="96">
        <v>11</v>
      </c>
      <c r="AB318" s="96">
        <v>44</v>
      </c>
      <c r="AC318" s="96">
        <v>0.02</v>
      </c>
      <c r="AD318" s="96">
        <v>0.01</v>
      </c>
      <c r="AE318" s="96">
        <v>0</v>
      </c>
      <c r="AF318" s="96">
        <v>10</v>
      </c>
      <c r="AG318" s="96">
        <v>1</v>
      </c>
      <c r="AH318" s="96">
        <v>2</v>
      </c>
      <c r="AI318" s="96"/>
      <c r="AJ318" s="96">
        <v>0</v>
      </c>
    </row>
    <row r="319" spans="1:36" s="95" customFormat="1" ht="16">
      <c r="A319" s="90"/>
      <c r="B319" s="91"/>
      <c r="C319" s="59" t="s">
        <v>676</v>
      </c>
      <c r="D319" s="92">
        <v>5016</v>
      </c>
      <c r="E319" s="93" t="s">
        <v>506</v>
      </c>
      <c r="F319" s="90"/>
      <c r="G319" s="94">
        <v>0</v>
      </c>
      <c r="H319" s="94"/>
      <c r="I319" s="94"/>
      <c r="J319" s="96">
        <v>90.3</v>
      </c>
      <c r="K319" s="96">
        <v>0.4</v>
      </c>
      <c r="L319" s="96">
        <v>0.7</v>
      </c>
      <c r="M319" s="96">
        <v>0.2</v>
      </c>
      <c r="N319" s="96">
        <v>4.0999999999999996</v>
      </c>
      <c r="O319" s="94">
        <v>0</v>
      </c>
      <c r="P319" s="96"/>
      <c r="Q319" s="96">
        <v>4.3</v>
      </c>
      <c r="R319" s="96">
        <v>30</v>
      </c>
      <c r="S319" s="96"/>
      <c r="T319" s="96">
        <v>26</v>
      </c>
      <c r="U319" s="96">
        <v>0.3</v>
      </c>
      <c r="V319" s="96"/>
      <c r="W319" s="96"/>
      <c r="X319" s="96"/>
      <c r="Y319" s="96"/>
      <c r="Z319" s="96">
        <v>0</v>
      </c>
      <c r="AA319" s="96">
        <v>6</v>
      </c>
      <c r="AB319" s="96">
        <v>41</v>
      </c>
      <c r="AC319" s="96">
        <v>0.03</v>
      </c>
      <c r="AD319" s="96">
        <v>0.02</v>
      </c>
      <c r="AE319" s="96">
        <v>0</v>
      </c>
      <c r="AF319" s="96">
        <v>28</v>
      </c>
      <c r="AG319" s="96">
        <v>2</v>
      </c>
      <c r="AH319" s="96">
        <v>5</v>
      </c>
      <c r="AI319" s="96"/>
      <c r="AJ319" s="96">
        <v>0</v>
      </c>
    </row>
    <row r="320" spans="1:36" s="95" customFormat="1" ht="16">
      <c r="A320" s="90"/>
      <c r="B320" s="91"/>
      <c r="C320" s="59" t="s">
        <v>676</v>
      </c>
      <c r="D320" s="92">
        <v>5022</v>
      </c>
      <c r="E320" s="93" t="s">
        <v>496</v>
      </c>
      <c r="F320" s="90"/>
      <c r="G320" s="94">
        <v>0</v>
      </c>
      <c r="H320" s="94"/>
      <c r="I320" s="94"/>
      <c r="J320" s="96">
        <v>94.6</v>
      </c>
      <c r="K320" s="96">
        <v>0.4</v>
      </c>
      <c r="L320" s="96">
        <v>0.4</v>
      </c>
      <c r="M320" s="96">
        <v>0.1</v>
      </c>
      <c r="N320" s="96">
        <v>1.1000000000000001</v>
      </c>
      <c r="O320" s="94">
        <v>0</v>
      </c>
      <c r="P320" s="96"/>
      <c r="Q320" s="96">
        <v>3.6</v>
      </c>
      <c r="R320" s="96">
        <v>18</v>
      </c>
      <c r="S320" s="96"/>
      <c r="T320" s="96">
        <v>21</v>
      </c>
      <c r="U320" s="96">
        <v>0.7</v>
      </c>
      <c r="V320" s="96"/>
      <c r="W320" s="96"/>
      <c r="X320" s="96"/>
      <c r="Y320" s="96"/>
      <c r="Z320" s="96">
        <v>0.08</v>
      </c>
      <c r="AA320" s="96">
        <v>44</v>
      </c>
      <c r="AB320" s="96">
        <v>64</v>
      </c>
      <c r="AC320" s="96">
        <v>0.06</v>
      </c>
      <c r="AD320" s="96">
        <v>0.02</v>
      </c>
      <c r="AE320" s="96">
        <v>0</v>
      </c>
      <c r="AF320" s="96">
        <v>42</v>
      </c>
      <c r="AG320" s="96">
        <v>3</v>
      </c>
      <c r="AH320" s="96">
        <v>7</v>
      </c>
      <c r="AI320" s="96"/>
      <c r="AJ320" s="96">
        <v>0</v>
      </c>
    </row>
    <row r="321" spans="1:36" s="95" customFormat="1" ht="16">
      <c r="A321" s="90"/>
      <c r="B321" s="91"/>
      <c r="C321" s="59" t="s">
        <v>676</v>
      </c>
      <c r="D321" s="92">
        <v>5026</v>
      </c>
      <c r="E321" s="93" t="s">
        <v>499</v>
      </c>
      <c r="F321" s="90"/>
      <c r="G321" s="94">
        <v>0</v>
      </c>
      <c r="H321" s="94"/>
      <c r="I321" s="94"/>
      <c r="J321" s="96">
        <v>75.5</v>
      </c>
      <c r="K321" s="96">
        <v>0.5</v>
      </c>
      <c r="L321" s="96">
        <v>0.8</v>
      </c>
      <c r="M321" s="96">
        <v>0.1</v>
      </c>
      <c r="N321" s="96">
        <v>0.2</v>
      </c>
      <c r="O321" s="94">
        <v>0</v>
      </c>
      <c r="P321" s="96"/>
      <c r="Q321" s="96">
        <v>22.9</v>
      </c>
      <c r="R321" s="96">
        <v>96</v>
      </c>
      <c r="S321" s="96"/>
      <c r="T321" s="96">
        <v>13</v>
      </c>
      <c r="U321" s="96">
        <v>0.4</v>
      </c>
      <c r="V321" s="96"/>
      <c r="W321" s="96"/>
      <c r="X321" s="96"/>
      <c r="Y321" s="96"/>
      <c r="Z321" s="96">
        <v>0.3</v>
      </c>
      <c r="AA321" s="96">
        <v>8</v>
      </c>
      <c r="AB321" s="96">
        <v>23</v>
      </c>
      <c r="AC321" s="96">
        <v>7.0000000000000007E-2</v>
      </c>
      <c r="AD321" s="96">
        <v>0.01</v>
      </c>
      <c r="AE321" s="96">
        <v>0</v>
      </c>
      <c r="AF321" s="96">
        <v>538</v>
      </c>
      <c r="AG321" s="96">
        <v>45</v>
      </c>
      <c r="AH321" s="96">
        <v>90</v>
      </c>
      <c r="AI321" s="96"/>
      <c r="AJ321" s="96">
        <v>0</v>
      </c>
    </row>
    <row r="322" spans="1:36" s="95" customFormat="1" ht="16">
      <c r="A322" s="90"/>
      <c r="B322" s="91"/>
      <c r="C322" s="59" t="s">
        <v>676</v>
      </c>
      <c r="D322" s="92">
        <v>5035</v>
      </c>
      <c r="E322" s="93" t="s">
        <v>508</v>
      </c>
      <c r="F322" s="90"/>
      <c r="G322" s="94">
        <v>0</v>
      </c>
      <c r="H322" s="94"/>
      <c r="I322" s="94"/>
      <c r="J322" s="96">
        <v>88.3</v>
      </c>
      <c r="K322" s="96">
        <v>0.4</v>
      </c>
      <c r="L322" s="96">
        <v>0.6</v>
      </c>
      <c r="M322" s="96">
        <v>0.2</v>
      </c>
      <c r="N322" s="96">
        <v>0.2</v>
      </c>
      <c r="O322" s="94">
        <v>0</v>
      </c>
      <c r="P322" s="96"/>
      <c r="Q322" s="96">
        <v>10.3</v>
      </c>
      <c r="R322" s="96">
        <v>46</v>
      </c>
      <c r="S322" s="96"/>
      <c r="T322" s="96">
        <v>12</v>
      </c>
      <c r="U322" s="96">
        <v>0.2</v>
      </c>
      <c r="V322" s="96"/>
      <c r="W322" s="96"/>
      <c r="X322" s="96"/>
      <c r="Y322" s="96"/>
      <c r="Z322" s="96">
        <v>0.03</v>
      </c>
      <c r="AA322" s="96">
        <v>21</v>
      </c>
      <c r="AB322" s="96">
        <v>37</v>
      </c>
      <c r="AC322" s="96">
        <v>0.04</v>
      </c>
      <c r="AD322" s="96">
        <v>0.03</v>
      </c>
      <c r="AE322" s="96">
        <v>0</v>
      </c>
      <c r="AF322" s="96">
        <v>152</v>
      </c>
      <c r="AG322" s="96">
        <v>13</v>
      </c>
      <c r="AH322" s="96">
        <v>25</v>
      </c>
      <c r="AI322" s="96"/>
      <c r="AJ322" s="96">
        <v>0</v>
      </c>
    </row>
    <row r="323" spans="1:36" s="95" customFormat="1">
      <c r="A323" s="90"/>
      <c r="B323" s="91"/>
      <c r="C323" s="97"/>
      <c r="D323" s="92"/>
      <c r="E323" s="93"/>
      <c r="F323" s="90"/>
      <c r="G323" s="94"/>
      <c r="H323" s="94"/>
      <c r="I323" s="94"/>
      <c r="J323" s="96"/>
      <c r="K323" s="96"/>
      <c r="L323" s="96"/>
      <c r="M323" s="96"/>
      <c r="N323" s="96"/>
      <c r="O323" s="94"/>
      <c r="P323" s="96"/>
      <c r="Q323" s="96"/>
      <c r="R323" s="96"/>
      <c r="S323" s="96"/>
      <c r="T323" s="96"/>
      <c r="U323" s="96"/>
      <c r="V323" s="96"/>
      <c r="W323" s="96"/>
      <c r="X323" s="96"/>
      <c r="Y323" s="96"/>
      <c r="Z323" s="96"/>
      <c r="AA323" s="96"/>
      <c r="AB323" s="96"/>
      <c r="AC323" s="96"/>
      <c r="AD323" s="96"/>
      <c r="AE323" s="96"/>
      <c r="AF323" s="96"/>
      <c r="AG323" s="96"/>
      <c r="AH323" s="96"/>
      <c r="AI323" s="96"/>
      <c r="AJ323" s="96"/>
    </row>
    <row r="324" spans="1:36" s="84" customFormat="1" ht="16">
      <c r="A324" s="80">
        <v>1205</v>
      </c>
      <c r="B324" s="81" t="s">
        <v>371</v>
      </c>
      <c r="C324" s="82"/>
      <c r="D324" s="80"/>
      <c r="E324" s="83"/>
      <c r="F324" s="80"/>
      <c r="G324" s="80">
        <f>AVERAGE(G318:G322)</f>
        <v>0</v>
      </c>
      <c r="H324" s="80"/>
      <c r="I324" s="80"/>
      <c r="J324" s="80">
        <f t="shared" ref="J324:O324" si="510">AVERAGE(J318:J322)</f>
        <v>87.14</v>
      </c>
      <c r="K324" s="80">
        <f t="shared" si="510"/>
        <v>0.39</v>
      </c>
      <c r="L324" s="80">
        <f t="shared" si="510"/>
        <v>0.62</v>
      </c>
      <c r="M324" s="80">
        <f t="shared" si="510"/>
        <v>0.16</v>
      </c>
      <c r="N324" s="80">
        <f t="shared" si="510"/>
        <v>1.6199999999999999</v>
      </c>
      <c r="O324" s="80">
        <f t="shared" si="510"/>
        <v>0</v>
      </c>
      <c r="P324" s="80"/>
      <c r="Q324" s="80">
        <f>100-J324-K324-L324-M324-N324-O324</f>
        <v>10.07</v>
      </c>
      <c r="R324" s="80">
        <f t="shared" ref="R324" si="511">AVERAGE(R318:R322)</f>
        <v>47.4</v>
      </c>
      <c r="S324" s="80"/>
      <c r="T324" s="80">
        <f t="shared" ref="T324:AF324" si="512">AVERAGE(T318:T322)</f>
        <v>18.399999999999999</v>
      </c>
      <c r="U324" s="80">
        <f t="shared" si="512"/>
        <v>0.37999999999999995</v>
      </c>
      <c r="V324" s="80"/>
      <c r="W324" s="80"/>
      <c r="X324" s="80"/>
      <c r="Y324" s="80"/>
      <c r="Z324" s="80">
        <f t="shared" si="512"/>
        <v>8.2000000000000003E-2</v>
      </c>
      <c r="AA324" s="80">
        <f t="shared" si="512"/>
        <v>18</v>
      </c>
      <c r="AB324" s="80">
        <f t="shared" si="512"/>
        <v>41.8</v>
      </c>
      <c r="AC324" s="80">
        <f t="shared" si="512"/>
        <v>4.3999999999999997E-2</v>
      </c>
      <c r="AD324" s="80">
        <f t="shared" si="512"/>
        <v>1.7999999999999999E-2</v>
      </c>
      <c r="AE324" s="80">
        <f t="shared" si="512"/>
        <v>0</v>
      </c>
      <c r="AF324" s="80">
        <f t="shared" si="512"/>
        <v>154</v>
      </c>
      <c r="AG324" s="80">
        <f>+AE324+AF324/12</f>
        <v>12.833333333333334</v>
      </c>
      <c r="AH324" s="80">
        <f>+AE324+AF324/6</f>
        <v>25.666666666666668</v>
      </c>
      <c r="AI324" s="80"/>
      <c r="AJ324" s="80">
        <f>AVERAGE(AJ318:AJ322)</f>
        <v>0</v>
      </c>
    </row>
    <row r="327" spans="1:36" s="109" customFormat="1">
      <c r="A327" s="90"/>
      <c r="B327" s="90"/>
      <c r="C327" s="90" t="s">
        <v>7</v>
      </c>
      <c r="D327" s="90">
        <v>3181</v>
      </c>
      <c r="E327" s="90" t="s">
        <v>614</v>
      </c>
      <c r="F327" s="90"/>
      <c r="G327" s="90">
        <v>0</v>
      </c>
      <c r="H327" s="90"/>
      <c r="I327" s="90"/>
      <c r="J327" s="90">
        <v>6.8</v>
      </c>
      <c r="K327" s="90">
        <v>4</v>
      </c>
      <c r="L327" s="90">
        <v>13.2</v>
      </c>
      <c r="M327" s="90">
        <v>6.6</v>
      </c>
      <c r="N327" s="90">
        <v>6.6</v>
      </c>
      <c r="O327" s="90">
        <v>0</v>
      </c>
      <c r="P327" s="90">
        <v>69.400000000000006</v>
      </c>
      <c r="Q327" s="90"/>
      <c r="R327" s="90">
        <v>376</v>
      </c>
      <c r="S327" s="90"/>
      <c r="T327" s="90">
        <v>643</v>
      </c>
      <c r="U327" s="90">
        <v>48.21</v>
      </c>
      <c r="V327" s="90"/>
      <c r="W327" s="90"/>
      <c r="X327" s="90"/>
      <c r="Y327" s="90"/>
      <c r="Z327" s="90">
        <v>3.13</v>
      </c>
      <c r="AA327" s="90">
        <v>287</v>
      </c>
      <c r="AB327" s="90">
        <v>0</v>
      </c>
      <c r="AC327" s="90">
        <v>0.89200000000000002</v>
      </c>
      <c r="AD327" s="90">
        <v>1.07</v>
      </c>
      <c r="AE327" s="90">
        <v>0</v>
      </c>
      <c r="AF327" s="90">
        <v>0</v>
      </c>
      <c r="AG327" s="90">
        <v>0</v>
      </c>
      <c r="AH327" s="90">
        <v>0</v>
      </c>
      <c r="AI327" s="90"/>
      <c r="AJ327" s="90">
        <v>3.57</v>
      </c>
    </row>
    <row r="328" spans="1:36" s="109" customFormat="1">
      <c r="A328" s="90"/>
      <c r="B328" s="90"/>
      <c r="C328" s="90" t="s">
        <v>7</v>
      </c>
      <c r="D328" s="90">
        <v>3185</v>
      </c>
      <c r="E328" s="90" t="s">
        <v>615</v>
      </c>
      <c r="F328" s="90"/>
      <c r="G328" s="90">
        <v>0</v>
      </c>
      <c r="H328" s="90"/>
      <c r="I328" s="90"/>
      <c r="J328" s="90">
        <v>6.7</v>
      </c>
      <c r="K328" s="90">
        <v>1.77</v>
      </c>
      <c r="L328" s="90">
        <v>6.66</v>
      </c>
      <c r="M328" s="90">
        <v>6.66</v>
      </c>
      <c r="N328" s="90">
        <v>6.7</v>
      </c>
      <c r="O328" s="90">
        <v>0</v>
      </c>
      <c r="P328" s="90">
        <v>78.209999999999994</v>
      </c>
      <c r="Q328" s="90"/>
      <c r="R328" s="90">
        <v>399</v>
      </c>
      <c r="S328" s="90"/>
      <c r="T328" s="90">
        <v>800</v>
      </c>
      <c r="U328" s="90">
        <v>30</v>
      </c>
      <c r="V328" s="90"/>
      <c r="W328" s="90"/>
      <c r="X328" s="90"/>
      <c r="Y328" s="90"/>
      <c r="Z328" s="90">
        <v>10.66</v>
      </c>
      <c r="AA328" s="90">
        <v>259</v>
      </c>
      <c r="AB328" s="90">
        <v>58.3</v>
      </c>
      <c r="AC328" s="90">
        <v>1.1659999999999999</v>
      </c>
      <c r="AD328" s="90">
        <v>1.333</v>
      </c>
      <c r="AE328" s="90">
        <v>0</v>
      </c>
      <c r="AF328" s="90">
        <v>0</v>
      </c>
      <c r="AG328" s="90">
        <v>0</v>
      </c>
      <c r="AH328" s="90">
        <v>0</v>
      </c>
      <c r="AI328" s="90"/>
      <c r="AJ328" s="90">
        <v>5</v>
      </c>
    </row>
    <row r="329" spans="1:36" s="109" customFormat="1">
      <c r="A329" s="90"/>
      <c r="B329" s="90"/>
      <c r="C329" s="90" t="s">
        <v>7</v>
      </c>
      <c r="D329" s="90">
        <v>3189</v>
      </c>
      <c r="E329" s="90" t="s">
        <v>616</v>
      </c>
      <c r="F329" s="90"/>
      <c r="G329" s="90">
        <v>0</v>
      </c>
      <c r="H329" s="90"/>
      <c r="I329" s="90"/>
      <c r="J329" s="90">
        <v>4.5599999999999996</v>
      </c>
      <c r="K329" s="90">
        <v>4.5999999999999996</v>
      </c>
      <c r="L329" s="90">
        <v>10.99</v>
      </c>
      <c r="M329" s="90">
        <v>6.36</v>
      </c>
      <c r="N329" s="90">
        <v>7.3</v>
      </c>
      <c r="O329" s="90">
        <v>0</v>
      </c>
      <c r="P329" s="90">
        <v>73.48</v>
      </c>
      <c r="Q329" s="90"/>
      <c r="R329" s="90">
        <v>394</v>
      </c>
      <c r="S329" s="90"/>
      <c r="T329" s="90">
        <v>1160</v>
      </c>
      <c r="U329" s="90">
        <v>64.099999999999994</v>
      </c>
      <c r="V329" s="90"/>
      <c r="W329" s="90"/>
      <c r="X329" s="90"/>
      <c r="Y329" s="90"/>
      <c r="Z329" s="90">
        <v>12.68</v>
      </c>
      <c r="AA329" s="90">
        <v>396</v>
      </c>
      <c r="AB329" s="90">
        <v>0</v>
      </c>
      <c r="AC329" s="90">
        <v>1.431</v>
      </c>
      <c r="AD329" s="90">
        <v>1.5860000000000001</v>
      </c>
      <c r="AE329" s="90">
        <v>0</v>
      </c>
      <c r="AF329" s="90">
        <v>0</v>
      </c>
      <c r="AG329" s="90">
        <v>0</v>
      </c>
      <c r="AH329" s="90">
        <v>0</v>
      </c>
      <c r="AI329" s="90"/>
      <c r="AJ329" s="90">
        <v>4.5999999999999996</v>
      </c>
    </row>
    <row r="330" spans="1:36" s="109" customFormat="1">
      <c r="A330" s="90"/>
      <c r="B330" s="90"/>
      <c r="C330" s="90" t="s">
        <v>7</v>
      </c>
      <c r="D330" s="90">
        <v>3194</v>
      </c>
      <c r="E330" s="90" t="s">
        <v>617</v>
      </c>
      <c r="F330" s="90"/>
      <c r="G330" s="90">
        <v>0</v>
      </c>
      <c r="H330" s="90"/>
      <c r="I330" s="90"/>
      <c r="J330" s="90">
        <v>5.13</v>
      </c>
      <c r="K330" s="90">
        <v>2.89</v>
      </c>
      <c r="L330" s="90">
        <v>6.65</v>
      </c>
      <c r="M330" s="90">
        <v>2.19</v>
      </c>
      <c r="N330" s="90">
        <v>1.3</v>
      </c>
      <c r="O330" s="90">
        <v>0</v>
      </c>
      <c r="P330" s="90">
        <v>83.14</v>
      </c>
      <c r="Q330" s="90"/>
      <c r="R330" s="90">
        <v>390</v>
      </c>
      <c r="S330" s="90"/>
      <c r="T330" s="90">
        <v>860</v>
      </c>
      <c r="U330" s="90">
        <v>53.01</v>
      </c>
      <c r="V330" s="90"/>
      <c r="W330" s="90"/>
      <c r="X330" s="90"/>
      <c r="Y330" s="90"/>
      <c r="Z330" s="90">
        <v>10.92</v>
      </c>
      <c r="AA330" s="90">
        <v>230</v>
      </c>
      <c r="AB330" s="90">
        <v>2.4</v>
      </c>
      <c r="AC330" s="90">
        <v>1.1950000000000001</v>
      </c>
      <c r="AD330" s="90">
        <v>1.4590000000000001</v>
      </c>
      <c r="AE330" s="90">
        <v>0</v>
      </c>
      <c r="AF330" s="90">
        <v>0</v>
      </c>
      <c r="AG330" s="90">
        <v>0</v>
      </c>
      <c r="AH330" s="90">
        <v>0</v>
      </c>
      <c r="AI330" s="90"/>
      <c r="AJ330" s="90">
        <v>4.5999999999999996</v>
      </c>
    </row>
    <row r="331" spans="1:36" s="109" customFormat="1">
      <c r="A331" s="90"/>
      <c r="B331" s="90"/>
      <c r="C331" s="90" t="s">
        <v>7</v>
      </c>
      <c r="D331" s="90">
        <v>3996</v>
      </c>
      <c r="E331" s="90" t="s">
        <v>618</v>
      </c>
      <c r="F331" s="90"/>
      <c r="G331" s="90">
        <v>0</v>
      </c>
      <c r="H331" s="90"/>
      <c r="I331" s="90"/>
      <c r="J331" s="90">
        <v>4.58</v>
      </c>
      <c r="K331" s="90">
        <v>2.0299999999999998</v>
      </c>
      <c r="L331" s="90">
        <v>6.67</v>
      </c>
      <c r="M331" s="90">
        <v>6.67</v>
      </c>
      <c r="N331" s="90">
        <v>6.7</v>
      </c>
      <c r="O331" s="90">
        <v>0</v>
      </c>
      <c r="P331" s="90">
        <v>80.06</v>
      </c>
      <c r="Q331" s="90"/>
      <c r="R331" s="90">
        <v>407</v>
      </c>
      <c r="S331" s="90"/>
      <c r="T331" s="90">
        <v>800</v>
      </c>
      <c r="U331" s="90">
        <v>30</v>
      </c>
      <c r="V331" s="90"/>
      <c r="W331" s="90"/>
      <c r="X331" s="90"/>
      <c r="Y331" s="90"/>
      <c r="Z331" s="90">
        <v>10.67</v>
      </c>
      <c r="AA331" s="90">
        <v>264</v>
      </c>
      <c r="AB331" s="90">
        <v>58.3</v>
      </c>
      <c r="AC331" s="90">
        <v>1.1659999999999999</v>
      </c>
      <c r="AD331" s="90">
        <v>1.33</v>
      </c>
      <c r="AE331" s="90">
        <v>0</v>
      </c>
      <c r="AF331" s="90">
        <v>0</v>
      </c>
      <c r="AG331" s="90">
        <v>0</v>
      </c>
      <c r="AH331" s="90">
        <v>0</v>
      </c>
      <c r="AI331" s="90"/>
      <c r="AJ331" s="90">
        <v>4.6900000000000004</v>
      </c>
    </row>
    <row r="332" spans="1:36" s="109" customFormat="1">
      <c r="A332" s="90"/>
      <c r="B332" s="90"/>
      <c r="C332" s="90" t="s">
        <v>7</v>
      </c>
      <c r="D332" s="90">
        <v>42285</v>
      </c>
      <c r="E332" s="90" t="s">
        <v>619</v>
      </c>
      <c r="F332" s="90"/>
      <c r="G332" s="90">
        <v>0</v>
      </c>
      <c r="H332" s="90"/>
      <c r="I332" s="90"/>
      <c r="J332" s="90">
        <v>1</v>
      </c>
      <c r="K332" s="90">
        <v>1.32</v>
      </c>
      <c r="L332" s="90">
        <v>8.6999999999999993</v>
      </c>
      <c r="M332" s="90">
        <v>3</v>
      </c>
      <c r="N332" s="90">
        <v>6.5</v>
      </c>
      <c r="O332" s="90">
        <v>0</v>
      </c>
      <c r="P332" s="90">
        <v>85.98</v>
      </c>
      <c r="Q332" s="90"/>
      <c r="R332" s="90">
        <v>406</v>
      </c>
      <c r="S332" s="90"/>
      <c r="T332" s="90">
        <v>55</v>
      </c>
      <c r="U332" s="90">
        <v>47.6</v>
      </c>
      <c r="V332" s="90"/>
      <c r="W332" s="90"/>
      <c r="X332" s="90"/>
      <c r="Y332" s="90"/>
      <c r="Z332" s="90">
        <v>0</v>
      </c>
      <c r="AA332" s="90">
        <v>15</v>
      </c>
      <c r="AB332" s="90">
        <v>0</v>
      </c>
      <c r="AC332" s="90">
        <v>0.93</v>
      </c>
      <c r="AD332" s="90">
        <v>0.17</v>
      </c>
      <c r="AE332" s="90">
        <v>0</v>
      </c>
      <c r="AF332" s="90">
        <v>0</v>
      </c>
      <c r="AG332" s="90">
        <v>0</v>
      </c>
      <c r="AH332" s="90">
        <v>0</v>
      </c>
      <c r="AI332" s="90"/>
      <c r="AJ332" s="90">
        <v>0</v>
      </c>
    </row>
    <row r="333" spans="1:36" s="56" customForma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spans="1:36" s="110" customFormat="1">
      <c r="A334" s="80">
        <v>140</v>
      </c>
      <c r="B334" s="80" t="s">
        <v>223</v>
      </c>
      <c r="C334" s="80"/>
      <c r="D334" s="80"/>
      <c r="E334" s="80"/>
      <c r="F334" s="80"/>
      <c r="G334" s="80">
        <f>AVERAGE(G327:G332)</f>
        <v>0</v>
      </c>
      <c r="H334" s="80"/>
      <c r="I334" s="80"/>
      <c r="J334" s="80">
        <f t="shared" ref="J334:O334" si="513">AVERAGE(J327:J332)</f>
        <v>4.794999999999999</v>
      </c>
      <c r="K334" s="80">
        <f t="shared" si="513"/>
        <v>2.7683333333333331</v>
      </c>
      <c r="L334" s="80">
        <f t="shared" si="513"/>
        <v>8.8116666666666674</v>
      </c>
      <c r="M334" s="80">
        <f t="shared" si="513"/>
        <v>5.246666666666667</v>
      </c>
      <c r="N334" s="80">
        <f t="shared" si="513"/>
        <v>5.8500000000000005</v>
      </c>
      <c r="O334" s="80">
        <f t="shared" si="513"/>
        <v>0</v>
      </c>
      <c r="P334" s="80"/>
      <c r="Q334" s="80">
        <f>100-J334-K334-L334-M334-N334-O334</f>
        <v>72.528333333333336</v>
      </c>
      <c r="R334" s="80">
        <f>AVERAGE(R327:R332)</f>
        <v>395.33333333333331</v>
      </c>
      <c r="S334" s="80"/>
      <c r="T334" s="80">
        <f t="shared" ref="T334:AH334" si="514">AVERAGE(T327:T332)</f>
        <v>719.66666666666663</v>
      </c>
      <c r="U334" s="80">
        <f t="shared" si="514"/>
        <v>45.486666666666672</v>
      </c>
      <c r="V334" s="80"/>
      <c r="W334" s="80"/>
      <c r="X334" s="80"/>
      <c r="Y334" s="80"/>
      <c r="Z334" s="80">
        <f t="shared" si="514"/>
        <v>8.01</v>
      </c>
      <c r="AA334" s="80">
        <f t="shared" si="514"/>
        <v>241.83333333333334</v>
      </c>
      <c r="AB334" s="80">
        <f t="shared" si="514"/>
        <v>19.833333333333332</v>
      </c>
      <c r="AC334" s="80">
        <f t="shared" si="514"/>
        <v>1.1299999999999999</v>
      </c>
      <c r="AD334" s="80">
        <f t="shared" si="514"/>
        <v>1.1580000000000001</v>
      </c>
      <c r="AE334" s="80">
        <f t="shared" si="514"/>
        <v>0</v>
      </c>
      <c r="AF334" s="80">
        <f t="shared" si="514"/>
        <v>0</v>
      </c>
      <c r="AG334" s="80">
        <f t="shared" si="514"/>
        <v>0</v>
      </c>
      <c r="AH334" s="80">
        <f t="shared" si="514"/>
        <v>0</v>
      </c>
      <c r="AI334" s="80"/>
      <c r="AJ334" s="80">
        <f>AVERAGE(AJ327:AJ332)</f>
        <v>3.7433333333333336</v>
      </c>
    </row>
    <row r="335" spans="1:36">
      <c r="A335" s="1"/>
      <c r="B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c r="A336" s="1"/>
      <c r="B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s="95" customFormat="1" ht="32">
      <c r="A337" s="90"/>
      <c r="B337" s="91"/>
      <c r="C337" s="97" t="s">
        <v>607</v>
      </c>
      <c r="D337" s="90">
        <v>6008</v>
      </c>
      <c r="E337" s="111" t="s">
        <v>628</v>
      </c>
      <c r="F337" s="90"/>
      <c r="G337" s="90">
        <v>0</v>
      </c>
      <c r="H337" s="90"/>
      <c r="I337" s="90"/>
      <c r="J337" s="90">
        <v>97.55</v>
      </c>
      <c r="K337" s="90">
        <v>1.05</v>
      </c>
      <c r="L337" s="90">
        <v>1.1399999999999999</v>
      </c>
      <c r="M337" s="90">
        <v>0.22</v>
      </c>
      <c r="N337" s="90">
        <v>0</v>
      </c>
      <c r="O337" s="90">
        <v>0</v>
      </c>
      <c r="P337" s="90">
        <v>0.04</v>
      </c>
      <c r="Q337" s="90"/>
      <c r="R337" s="90">
        <v>7</v>
      </c>
      <c r="S337" s="90"/>
      <c r="T337" s="90">
        <v>6</v>
      </c>
      <c r="U337" s="90">
        <v>0.17</v>
      </c>
      <c r="V337" s="90"/>
      <c r="W337" s="90"/>
      <c r="X337" s="90"/>
      <c r="Y337" s="90"/>
      <c r="Z337" s="90">
        <v>0</v>
      </c>
      <c r="AA337" s="90">
        <v>2</v>
      </c>
      <c r="AB337" s="90">
        <v>0</v>
      </c>
      <c r="AC337" s="90">
        <v>2E-3</v>
      </c>
      <c r="AD337" s="90">
        <v>2.1000000000000001E-2</v>
      </c>
      <c r="AE337" s="90">
        <v>0</v>
      </c>
      <c r="AF337" s="90">
        <v>0</v>
      </c>
      <c r="AG337" s="90">
        <v>0</v>
      </c>
      <c r="AH337" s="90">
        <v>0</v>
      </c>
      <c r="AI337" s="90"/>
      <c r="AJ337" s="90">
        <v>7.0000000000000007E-2</v>
      </c>
    </row>
    <row r="338" spans="1:36" s="95" customFormat="1" ht="16">
      <c r="A338" s="90"/>
      <c r="B338" s="91"/>
      <c r="C338" s="97" t="s">
        <v>607</v>
      </c>
      <c r="D338" s="90">
        <v>6040</v>
      </c>
      <c r="E338" s="111" t="s">
        <v>629</v>
      </c>
      <c r="F338" s="90"/>
      <c r="G338" s="90">
        <v>0</v>
      </c>
      <c r="H338" s="90"/>
      <c r="I338" s="90"/>
      <c r="J338" s="90">
        <v>82.95</v>
      </c>
      <c r="K338" s="90">
        <v>2.35</v>
      </c>
      <c r="L338" s="90">
        <v>3.48</v>
      </c>
      <c r="M338" s="90">
        <v>2.0499999999999998</v>
      </c>
      <c r="N338" s="90">
        <v>0.8</v>
      </c>
      <c r="O338" s="90">
        <v>0</v>
      </c>
      <c r="P338" s="90">
        <v>9.17</v>
      </c>
      <c r="Q338" s="90"/>
      <c r="R338" s="90">
        <v>68</v>
      </c>
      <c r="S338" s="90"/>
      <c r="T338" s="90">
        <v>28</v>
      </c>
      <c r="U338" s="90">
        <v>0.75</v>
      </c>
      <c r="V338" s="90"/>
      <c r="W338" s="90"/>
      <c r="X338" s="90"/>
      <c r="Y338" s="90"/>
      <c r="Z338" s="90">
        <v>0.6</v>
      </c>
      <c r="AA338" s="90">
        <v>40</v>
      </c>
      <c r="AB338" s="90">
        <v>0.9</v>
      </c>
      <c r="AC338" s="90">
        <v>4.3999999999999997E-2</v>
      </c>
      <c r="AD338" s="90">
        <v>3.5999999999999997E-2</v>
      </c>
      <c r="AE338" s="90">
        <v>0</v>
      </c>
      <c r="AF338" s="90">
        <v>1025</v>
      </c>
      <c r="AG338" s="90">
        <f>+AE338+AF338/12</f>
        <v>85.416666666666671</v>
      </c>
      <c r="AH338" s="90">
        <f>+AE338+AF338/6</f>
        <v>170.83333333333334</v>
      </c>
      <c r="AI338" s="90"/>
      <c r="AJ338" s="90">
        <v>0</v>
      </c>
    </row>
    <row r="339" spans="1:36" s="95" customFormat="1" ht="16">
      <c r="A339" s="90"/>
      <c r="B339" s="91"/>
      <c r="C339" s="97" t="s">
        <v>607</v>
      </c>
      <c r="D339" s="90">
        <v>6004</v>
      </c>
      <c r="E339" s="111" t="s">
        <v>630</v>
      </c>
      <c r="F339" s="90"/>
      <c r="G339" s="90">
        <v>0</v>
      </c>
      <c r="H339" s="90"/>
      <c r="I339" s="90"/>
      <c r="J339" s="90">
        <v>70.17</v>
      </c>
      <c r="K339" s="90">
        <v>2.57</v>
      </c>
      <c r="L339" s="90">
        <v>5.88</v>
      </c>
      <c r="M339" s="90">
        <v>4.42</v>
      </c>
      <c r="N339" s="90">
        <v>5.9</v>
      </c>
      <c r="O339" s="90">
        <v>0</v>
      </c>
      <c r="P339" s="90">
        <v>16.97</v>
      </c>
      <c r="Q339" s="90"/>
      <c r="R339" s="90">
        <v>129</v>
      </c>
      <c r="S339" s="90"/>
      <c r="T339" s="90">
        <v>60</v>
      </c>
      <c r="U339" s="90">
        <v>1.53</v>
      </c>
      <c r="V339" s="90"/>
      <c r="W339" s="90"/>
      <c r="X339" s="90"/>
      <c r="Y339" s="90"/>
      <c r="Z339" s="90">
        <v>0.77</v>
      </c>
      <c r="AA339" s="90">
        <v>24</v>
      </c>
      <c r="AB339" s="90">
        <v>1.2</v>
      </c>
      <c r="AC339" s="90">
        <v>6.5000000000000002E-2</v>
      </c>
      <c r="AD339" s="90">
        <v>2.5000000000000001E-2</v>
      </c>
      <c r="AE339" s="90">
        <v>1</v>
      </c>
      <c r="AF339" s="90">
        <v>395</v>
      </c>
      <c r="AG339" s="90">
        <f>+AE339+AF339/12</f>
        <v>33.916666666666664</v>
      </c>
      <c r="AH339" s="90">
        <f>+AE339+AF339/6</f>
        <v>66.833333333333329</v>
      </c>
      <c r="AI339" s="90"/>
      <c r="AJ339" s="90">
        <v>0.03</v>
      </c>
    </row>
    <row r="340" spans="1:36" s="95" customFormat="1" ht="32">
      <c r="A340" s="90"/>
      <c r="B340" s="91"/>
      <c r="C340" s="97" t="s">
        <v>607</v>
      </c>
      <c r="D340" s="90">
        <v>6967</v>
      </c>
      <c r="E340" s="111" t="s">
        <v>631</v>
      </c>
      <c r="F340" s="90"/>
      <c r="G340" s="90">
        <v>0</v>
      </c>
      <c r="H340" s="90"/>
      <c r="I340" s="90"/>
      <c r="J340" s="90">
        <v>91.35</v>
      </c>
      <c r="K340" s="90">
        <v>1.05</v>
      </c>
      <c r="L340" s="90">
        <v>1.1000000000000001</v>
      </c>
      <c r="M340" s="90">
        <v>0.45</v>
      </c>
      <c r="N340" s="90">
        <v>1.1000000000000001</v>
      </c>
      <c r="O340" s="90">
        <v>0</v>
      </c>
      <c r="P340" s="90">
        <v>6.06</v>
      </c>
      <c r="Q340" s="90"/>
      <c r="R340" s="90">
        <v>33</v>
      </c>
      <c r="S340" s="90"/>
      <c r="T340" s="90">
        <v>12</v>
      </c>
      <c r="U340" s="90">
        <v>0.33</v>
      </c>
      <c r="V340" s="90"/>
      <c r="W340" s="90"/>
      <c r="X340" s="90"/>
      <c r="Y340" s="90"/>
      <c r="Z340" s="90">
        <v>0.2</v>
      </c>
      <c r="AA340" s="90">
        <v>6</v>
      </c>
      <c r="AB340" s="90">
        <v>0.4</v>
      </c>
      <c r="AC340" s="90">
        <v>5.5E-2</v>
      </c>
      <c r="AD340" s="90">
        <v>4.5999999999999999E-2</v>
      </c>
      <c r="AE340" s="90">
        <v>0</v>
      </c>
      <c r="AF340" s="90">
        <v>515.5</v>
      </c>
      <c r="AG340" s="90">
        <f>+AE340+AF340/12</f>
        <v>42.958333333333336</v>
      </c>
      <c r="AH340" s="90">
        <f>+AE340+AF340/6</f>
        <v>85.916666666666671</v>
      </c>
      <c r="AI340" s="90"/>
      <c r="AJ340" s="90">
        <v>0</v>
      </c>
    </row>
    <row r="341" spans="1:36">
      <c r="A341" s="3"/>
      <c r="B341" s="76"/>
      <c r="C341" s="16"/>
      <c r="D341" s="3"/>
      <c r="E341" s="77"/>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spans="1:36" s="84" customFormat="1">
      <c r="A342" s="126">
        <v>209</v>
      </c>
      <c r="B342" s="82" t="s">
        <v>241</v>
      </c>
      <c r="C342" s="82"/>
      <c r="D342" s="80"/>
      <c r="E342" s="83"/>
      <c r="F342" s="80"/>
      <c r="G342" s="80">
        <f>AVERAGE(G337:G340)</f>
        <v>0</v>
      </c>
      <c r="H342" s="80"/>
      <c r="I342" s="80"/>
      <c r="J342" s="80">
        <f t="shared" ref="J342:P342" si="515">AVERAGE(J337:J340)</f>
        <v>85.504999999999995</v>
      </c>
      <c r="K342" s="80">
        <f t="shared" si="515"/>
        <v>1.7550000000000001</v>
      </c>
      <c r="L342" s="80">
        <f t="shared" si="515"/>
        <v>2.9</v>
      </c>
      <c r="M342" s="80">
        <f t="shared" si="515"/>
        <v>1.7849999999999999</v>
      </c>
      <c r="N342" s="80">
        <f t="shared" si="515"/>
        <v>1.9500000000000002</v>
      </c>
      <c r="O342" s="80">
        <f t="shared" si="515"/>
        <v>0</v>
      </c>
      <c r="P342" s="80">
        <f t="shared" si="515"/>
        <v>8.06</v>
      </c>
      <c r="Q342" s="80">
        <f>100-J342-K342-L342-M342-N342-O342</f>
        <v>6.1050000000000031</v>
      </c>
      <c r="R342" s="80">
        <f>100-K342-L342-M342-N342-O342-P342</f>
        <v>83.55</v>
      </c>
      <c r="S342" s="80"/>
      <c r="T342" s="80">
        <f t="shared" ref="T342:AF342" si="516">AVERAGE(T337:T340)</f>
        <v>26.5</v>
      </c>
      <c r="U342" s="80">
        <f t="shared" si="516"/>
        <v>0.69500000000000006</v>
      </c>
      <c r="V342" s="80"/>
      <c r="W342" s="80"/>
      <c r="X342" s="80"/>
      <c r="Y342" s="80"/>
      <c r="Z342" s="80">
        <f t="shared" si="516"/>
        <v>0.39250000000000002</v>
      </c>
      <c r="AA342" s="80">
        <f t="shared" si="516"/>
        <v>18</v>
      </c>
      <c r="AB342" s="80">
        <f t="shared" si="516"/>
        <v>0.625</v>
      </c>
      <c r="AC342" s="80">
        <f t="shared" si="516"/>
        <v>4.1500000000000002E-2</v>
      </c>
      <c r="AD342" s="80">
        <f t="shared" si="516"/>
        <v>3.2000000000000001E-2</v>
      </c>
      <c r="AE342" s="80">
        <f t="shared" si="516"/>
        <v>0.25</v>
      </c>
      <c r="AF342" s="80">
        <f t="shared" si="516"/>
        <v>483.875</v>
      </c>
      <c r="AG342" s="80">
        <f>+AE342+AF342/12</f>
        <v>40.572916666666664</v>
      </c>
      <c r="AH342" s="80">
        <f>+AE342+AF342/6</f>
        <v>80.895833333333329</v>
      </c>
      <c r="AI342" s="80"/>
      <c r="AJ342" s="80">
        <f>AVERAGE(AJ337:AJ340)</f>
        <v>2.5000000000000001E-2</v>
      </c>
    </row>
    <row r="344" spans="1:36" s="116" customFormat="1" ht="32">
      <c r="A344" s="112"/>
      <c r="B344" s="113"/>
      <c r="C344" s="114" t="s">
        <v>607</v>
      </c>
      <c r="D344" s="112">
        <v>10894</v>
      </c>
      <c r="E344" s="115" t="s">
        <v>635</v>
      </c>
      <c r="F344" s="112"/>
      <c r="G344" s="112">
        <v>0</v>
      </c>
      <c r="H344" s="112"/>
      <c r="I344" s="112"/>
      <c r="J344" s="112">
        <v>35.47</v>
      </c>
      <c r="K344" s="112">
        <v>2.19</v>
      </c>
      <c r="L344" s="112">
        <v>8.77</v>
      </c>
      <c r="M344" s="112">
        <v>51.57</v>
      </c>
      <c r="N344" s="112">
        <v>0</v>
      </c>
      <c r="O344" s="112">
        <v>0</v>
      </c>
      <c r="P344" s="112">
        <v>2</v>
      </c>
      <c r="Q344" s="112"/>
      <c r="R344" s="112">
        <v>507</v>
      </c>
      <c r="S344" s="112"/>
      <c r="T344" s="112">
        <v>6</v>
      </c>
      <c r="U344" s="112">
        <v>0.53</v>
      </c>
      <c r="V344" s="112"/>
      <c r="W344" s="112"/>
      <c r="X344" s="112"/>
      <c r="Y344" s="112"/>
      <c r="Z344" s="112">
        <v>1.1399999999999999</v>
      </c>
      <c r="AA344" s="112">
        <v>1</v>
      </c>
      <c r="AB344" s="112">
        <v>0</v>
      </c>
      <c r="AC344" s="112">
        <v>0.27800000000000002</v>
      </c>
      <c r="AD344" s="112">
        <v>9.6000000000000002E-2</v>
      </c>
      <c r="AE344" s="112">
        <v>12</v>
      </c>
      <c r="AF344" s="112">
        <v>0</v>
      </c>
      <c r="AG344" s="112">
        <v>12</v>
      </c>
      <c r="AH344" s="112">
        <v>12</v>
      </c>
      <c r="AI344" s="112"/>
      <c r="AJ344" s="112">
        <v>0.31</v>
      </c>
    </row>
    <row r="345" spans="1:36" s="116" customFormat="1" ht="16">
      <c r="A345" s="112"/>
      <c r="B345" s="113"/>
      <c r="C345" s="114" t="s">
        <v>607</v>
      </c>
      <c r="D345" s="112">
        <v>7069</v>
      </c>
      <c r="E345" s="115" t="s">
        <v>636</v>
      </c>
      <c r="F345" s="112"/>
      <c r="G345" s="112">
        <v>0</v>
      </c>
      <c r="H345" s="112"/>
      <c r="I345" s="112"/>
      <c r="J345" s="112">
        <v>45.19</v>
      </c>
      <c r="K345" s="112">
        <v>4.66</v>
      </c>
      <c r="L345" s="112">
        <v>21.85</v>
      </c>
      <c r="M345" s="112">
        <v>25.9</v>
      </c>
      <c r="N345" s="112">
        <v>0</v>
      </c>
      <c r="O345" s="112">
        <v>0</v>
      </c>
      <c r="P345" s="112">
        <v>0</v>
      </c>
      <c r="Q345" s="112"/>
      <c r="R345" s="112">
        <v>336</v>
      </c>
      <c r="S345" s="112"/>
      <c r="T345" s="112">
        <v>15</v>
      </c>
      <c r="U345" s="112">
        <v>1.56</v>
      </c>
      <c r="V345" s="112"/>
      <c r="W345" s="112"/>
      <c r="X345" s="112"/>
      <c r="Y345" s="112"/>
      <c r="Z345" s="112">
        <v>2.93</v>
      </c>
      <c r="AA345" s="112">
        <v>3</v>
      </c>
      <c r="AB345" s="112">
        <v>0</v>
      </c>
      <c r="AC345" s="112">
        <v>0.36699999999999999</v>
      </c>
      <c r="AD345" s="112">
        <v>0.35699999999999998</v>
      </c>
      <c r="AE345" s="112">
        <v>0</v>
      </c>
      <c r="AF345" s="112">
        <v>0</v>
      </c>
      <c r="AG345" s="112">
        <v>0</v>
      </c>
      <c r="AH345" s="112">
        <v>0</v>
      </c>
      <c r="AI345" s="112"/>
      <c r="AJ345" s="112">
        <v>1.52</v>
      </c>
    </row>
    <row r="346" spans="1:36">
      <c r="A346" s="3"/>
      <c r="B346" s="76"/>
      <c r="C346" s="16"/>
      <c r="D346" s="3"/>
      <c r="E346" s="77"/>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spans="1:36" s="84" customFormat="1">
      <c r="A347" s="82">
        <v>215</v>
      </c>
      <c r="B347" s="82" t="s">
        <v>246</v>
      </c>
      <c r="C347" s="82"/>
      <c r="D347" s="80"/>
      <c r="E347" s="83"/>
      <c r="F347" s="80"/>
      <c r="G347" s="80">
        <f>AVERAGE(G344:G345)</f>
        <v>0</v>
      </c>
      <c r="H347" s="80"/>
      <c r="I347" s="80"/>
      <c r="J347" s="80">
        <f t="shared" ref="J347:O347" si="517">AVERAGE(J344:J345)</f>
        <v>40.33</v>
      </c>
      <c r="K347" s="80">
        <f t="shared" si="517"/>
        <v>3.4249999999999998</v>
      </c>
      <c r="L347" s="80">
        <f t="shared" si="517"/>
        <v>15.31</v>
      </c>
      <c r="M347" s="80">
        <f t="shared" si="517"/>
        <v>38.734999999999999</v>
      </c>
      <c r="N347" s="80">
        <f t="shared" si="517"/>
        <v>0</v>
      </c>
      <c r="O347" s="80">
        <f t="shared" si="517"/>
        <v>0</v>
      </c>
      <c r="P347" s="80"/>
      <c r="Q347" s="80">
        <f>100-J347-K347-L347-M347-N347-O347</f>
        <v>2.2000000000000028</v>
      </c>
      <c r="R347" s="80">
        <f>AVERAGE(R344:R345)</f>
        <v>421.5</v>
      </c>
      <c r="S347" s="80"/>
      <c r="T347" s="80">
        <f t="shared" ref="T347:AH347" si="518">AVERAGE(T344:T345)</f>
        <v>10.5</v>
      </c>
      <c r="U347" s="80">
        <f t="shared" si="518"/>
        <v>1.0449999999999999</v>
      </c>
      <c r="V347" s="80"/>
      <c r="W347" s="80"/>
      <c r="X347" s="80"/>
      <c r="Y347" s="80"/>
      <c r="Z347" s="80">
        <f t="shared" si="518"/>
        <v>2.0350000000000001</v>
      </c>
      <c r="AA347" s="80">
        <f t="shared" si="518"/>
        <v>2</v>
      </c>
      <c r="AB347" s="80">
        <f t="shared" si="518"/>
        <v>0</v>
      </c>
      <c r="AC347" s="80">
        <f t="shared" si="518"/>
        <v>0.32250000000000001</v>
      </c>
      <c r="AD347" s="80">
        <f t="shared" si="518"/>
        <v>0.22649999999999998</v>
      </c>
      <c r="AE347" s="80">
        <f t="shared" si="518"/>
        <v>6</v>
      </c>
      <c r="AF347" s="80">
        <f t="shared" si="518"/>
        <v>0</v>
      </c>
      <c r="AG347" s="80">
        <f t="shared" si="518"/>
        <v>6</v>
      </c>
      <c r="AH347" s="80">
        <f t="shared" si="518"/>
        <v>6</v>
      </c>
      <c r="AI347" s="80"/>
      <c r="AJ347" s="80">
        <f>AVERAGE(AJ344:AJ345)</f>
        <v>0.91500000000000004</v>
      </c>
    </row>
    <row r="349" spans="1:36" s="116" customFormat="1" ht="16">
      <c r="A349" s="112"/>
      <c r="B349" s="113"/>
      <c r="C349" s="114" t="s">
        <v>637</v>
      </c>
      <c r="D349" s="112" t="s">
        <v>638</v>
      </c>
      <c r="E349" s="115" t="s">
        <v>639</v>
      </c>
      <c r="F349" s="112"/>
      <c r="G349" s="112">
        <v>0</v>
      </c>
      <c r="H349" s="112"/>
      <c r="I349" s="112"/>
      <c r="J349" s="112">
        <v>50.3</v>
      </c>
      <c r="K349" s="112">
        <v>11.1</v>
      </c>
      <c r="L349" s="112">
        <v>28.9</v>
      </c>
      <c r="M349" s="112">
        <v>9.6999999999999993</v>
      </c>
      <c r="N349" s="112">
        <v>0</v>
      </c>
      <c r="O349" s="112">
        <v>0</v>
      </c>
      <c r="P349" s="114"/>
      <c r="Q349" s="112">
        <v>0</v>
      </c>
      <c r="R349" s="112">
        <v>203</v>
      </c>
      <c r="S349" s="112"/>
      <c r="T349" s="112">
        <v>232</v>
      </c>
      <c r="U349" s="112">
        <v>4.5999999999999996</v>
      </c>
      <c r="V349" s="112"/>
      <c r="W349" s="112"/>
      <c r="X349" s="112"/>
      <c r="Y349" s="112"/>
      <c r="Z349" s="112">
        <v>2.44</v>
      </c>
      <c r="AA349" s="112">
        <v>13</v>
      </c>
      <c r="AB349" s="112">
        <v>0</v>
      </c>
      <c r="AC349" s="112">
        <v>0.08</v>
      </c>
      <c r="AD349" s="112">
        <v>0.36</v>
      </c>
      <c r="AE349" s="112">
        <v>12</v>
      </c>
      <c r="AF349" s="112">
        <v>0</v>
      </c>
      <c r="AG349" s="112">
        <v>12</v>
      </c>
      <c r="AH349" s="112">
        <v>12</v>
      </c>
      <c r="AI349" s="112"/>
      <c r="AJ349" s="112">
        <v>0.9</v>
      </c>
    </row>
    <row r="350" spans="1:36" s="116" customFormat="1" ht="32">
      <c r="A350" s="112"/>
      <c r="B350" s="113"/>
      <c r="C350" s="114" t="s">
        <v>637</v>
      </c>
      <c r="D350" s="112" t="s">
        <v>640</v>
      </c>
      <c r="E350" s="115" t="s">
        <v>641</v>
      </c>
      <c r="F350" s="112"/>
      <c r="G350" s="112">
        <v>0</v>
      </c>
      <c r="H350" s="112"/>
      <c r="I350" s="112"/>
      <c r="J350" s="112">
        <v>57.9</v>
      </c>
      <c r="K350" s="112">
        <v>3.5</v>
      </c>
      <c r="L350" s="112">
        <v>24.7</v>
      </c>
      <c r="M350" s="112">
        <v>13.5</v>
      </c>
      <c r="N350" s="112">
        <v>0</v>
      </c>
      <c r="O350" s="112">
        <v>0</v>
      </c>
      <c r="P350" s="114"/>
      <c r="Q350" s="112">
        <v>0</v>
      </c>
      <c r="R350" s="112">
        <v>220</v>
      </c>
      <c r="S350" s="112"/>
      <c r="T350" s="112">
        <v>382</v>
      </c>
      <c r="U350" s="112">
        <v>2.9</v>
      </c>
      <c r="V350" s="112"/>
      <c r="W350" s="112"/>
      <c r="X350" s="112"/>
      <c r="Y350" s="112"/>
      <c r="Z350" s="112">
        <v>1.31</v>
      </c>
      <c r="AA350" s="112">
        <v>10</v>
      </c>
      <c r="AB350" s="112">
        <v>0</v>
      </c>
      <c r="AC350" s="112">
        <v>0.08</v>
      </c>
      <c r="AD350" s="112">
        <v>0.23</v>
      </c>
      <c r="AE350" s="112">
        <v>32</v>
      </c>
      <c r="AF350" s="112">
        <v>0</v>
      </c>
      <c r="AG350" s="112">
        <v>32</v>
      </c>
      <c r="AH350" s="112">
        <v>32</v>
      </c>
      <c r="AI350" s="112"/>
      <c r="AJ350" s="112">
        <v>8.9</v>
      </c>
    </row>
    <row r="351" spans="1:36">
      <c r="A351" s="3"/>
      <c r="B351" s="76"/>
      <c r="C351" s="16"/>
      <c r="D351" s="3"/>
      <c r="E351" s="77"/>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spans="1:36" s="84" customFormat="1" ht="16">
      <c r="A352" s="80">
        <v>306</v>
      </c>
      <c r="B352" s="81" t="s">
        <v>254</v>
      </c>
      <c r="C352" s="82"/>
      <c r="D352" s="80"/>
      <c r="E352" s="83"/>
      <c r="F352" s="80"/>
      <c r="G352" s="80">
        <f>AVERAGE(G349:G350)</f>
        <v>0</v>
      </c>
      <c r="H352" s="80"/>
      <c r="I352" s="80"/>
      <c r="J352" s="80">
        <f t="shared" ref="J352:O352" si="519">AVERAGE(J349:J350)</f>
        <v>54.099999999999994</v>
      </c>
      <c r="K352" s="80">
        <f t="shared" si="519"/>
        <v>7.3</v>
      </c>
      <c r="L352" s="80">
        <f t="shared" si="519"/>
        <v>26.799999999999997</v>
      </c>
      <c r="M352" s="80">
        <f t="shared" si="519"/>
        <v>11.6</v>
      </c>
      <c r="N352" s="80">
        <f t="shared" si="519"/>
        <v>0</v>
      </c>
      <c r="O352" s="80">
        <f t="shared" si="519"/>
        <v>0</v>
      </c>
      <c r="P352" s="80">
        <f>AVERAGE(Q349:Q350)</f>
        <v>0</v>
      </c>
      <c r="Q352" s="80">
        <f>100-J352-K352-L352-M352-N352-O352</f>
        <v>0.20000000000001172</v>
      </c>
      <c r="R352" s="80">
        <f>AVERAGE(R349:R350)</f>
        <v>211.5</v>
      </c>
      <c r="S352" s="80"/>
      <c r="T352" s="80">
        <f t="shared" ref="T352:AH352" si="520">AVERAGE(T349:T350)</f>
        <v>307</v>
      </c>
      <c r="U352" s="80">
        <f t="shared" si="520"/>
        <v>3.75</v>
      </c>
      <c r="V352" s="80"/>
      <c r="W352" s="80"/>
      <c r="X352" s="80"/>
      <c r="Y352" s="80"/>
      <c r="Z352" s="80">
        <f t="shared" si="520"/>
        <v>1.875</v>
      </c>
      <c r="AA352" s="80">
        <f t="shared" si="520"/>
        <v>11.5</v>
      </c>
      <c r="AB352" s="80">
        <f t="shared" si="520"/>
        <v>0</v>
      </c>
      <c r="AC352" s="80">
        <f t="shared" si="520"/>
        <v>0.08</v>
      </c>
      <c r="AD352" s="80">
        <f t="shared" si="520"/>
        <v>0.29499999999999998</v>
      </c>
      <c r="AE352" s="80">
        <f t="shared" si="520"/>
        <v>22</v>
      </c>
      <c r="AF352" s="80">
        <f t="shared" si="520"/>
        <v>0</v>
      </c>
      <c r="AG352" s="80">
        <f t="shared" si="520"/>
        <v>22</v>
      </c>
      <c r="AH352" s="80">
        <f t="shared" si="520"/>
        <v>22</v>
      </c>
      <c r="AI352" s="80"/>
      <c r="AJ352" s="80">
        <f>AVERAGE(AJ349:AJ350)</f>
        <v>4.9000000000000004</v>
      </c>
    </row>
    <row r="353" spans="1:36" s="119" customFormat="1">
      <c r="A353" s="117"/>
      <c r="B353" s="118"/>
      <c r="D353" s="117"/>
      <c r="E353" s="120"/>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c r="AB353" s="117"/>
      <c r="AC353" s="117"/>
      <c r="AD353" s="117"/>
      <c r="AE353" s="117"/>
      <c r="AF353" s="117"/>
      <c r="AG353" s="117"/>
      <c r="AH353" s="117"/>
      <c r="AI353" s="117"/>
      <c r="AJ353" s="117"/>
    </row>
    <row r="354" spans="1:36" s="119" customFormat="1">
      <c r="A354" s="121"/>
      <c r="B354" s="122"/>
      <c r="C354" s="123" t="s">
        <v>676</v>
      </c>
      <c r="D354" s="69">
        <v>4003</v>
      </c>
      <c r="E354" s="124" t="s">
        <v>529</v>
      </c>
      <c r="F354" s="69">
        <v>48</v>
      </c>
      <c r="G354" s="69">
        <v>0</v>
      </c>
      <c r="H354" s="121">
        <v>7</v>
      </c>
      <c r="I354" s="121">
        <v>5</v>
      </c>
      <c r="J354" s="69">
        <v>88.6</v>
      </c>
      <c r="K354" s="69">
        <v>1.8</v>
      </c>
      <c r="L354" s="69">
        <v>3.8</v>
      </c>
      <c r="M354" s="69">
        <v>0.1</v>
      </c>
      <c r="N354" s="69">
        <v>4.3</v>
      </c>
      <c r="O354" s="69">
        <v>0</v>
      </c>
      <c r="P354" s="69"/>
      <c r="Q354" s="69">
        <v>1.3</v>
      </c>
      <c r="R354" s="69">
        <v>31</v>
      </c>
      <c r="S354" s="69"/>
      <c r="T354" s="69">
        <v>100</v>
      </c>
      <c r="U354" s="69">
        <v>8.6</v>
      </c>
      <c r="V354" s="69"/>
      <c r="W354" s="69"/>
      <c r="X354" s="69"/>
      <c r="Y354" s="69"/>
      <c r="Z354" s="69">
        <v>0.65</v>
      </c>
      <c r="AA354" s="69">
        <v>404</v>
      </c>
      <c r="AB354" s="69">
        <v>36</v>
      </c>
      <c r="AC354" s="69">
        <v>0.06</v>
      </c>
      <c r="AD354" s="69">
        <v>0.32</v>
      </c>
      <c r="AE354" s="69">
        <v>0</v>
      </c>
      <c r="AF354" s="69">
        <v>24</v>
      </c>
      <c r="AG354" s="69">
        <v>2</v>
      </c>
      <c r="AH354" s="69">
        <v>4</v>
      </c>
      <c r="AI354" s="69"/>
      <c r="AJ354" s="69">
        <v>0</v>
      </c>
    </row>
    <row r="355" spans="1:36" s="119" customFormat="1" ht="16">
      <c r="A355" s="121"/>
      <c r="B355" s="122"/>
      <c r="C355" s="123" t="s">
        <v>676</v>
      </c>
      <c r="D355" s="121">
        <v>4019</v>
      </c>
      <c r="E355" s="122" t="s">
        <v>707</v>
      </c>
      <c r="F355" s="121">
        <v>39</v>
      </c>
      <c r="G355" s="121">
        <v>0</v>
      </c>
      <c r="H355" s="121">
        <v>7</v>
      </c>
      <c r="I355" s="121">
        <v>5</v>
      </c>
      <c r="J355" s="121">
        <v>90.4</v>
      </c>
      <c r="K355" s="121">
        <v>1.6</v>
      </c>
      <c r="L355" s="121">
        <v>3.3</v>
      </c>
      <c r="M355" s="121">
        <v>0.6</v>
      </c>
      <c r="N355" s="121">
        <v>4</v>
      </c>
      <c r="O355" s="121"/>
      <c r="P355" s="121"/>
      <c r="Q355" s="121">
        <v>0.2</v>
      </c>
      <c r="R355" s="121">
        <v>27</v>
      </c>
      <c r="S355" s="121"/>
      <c r="T355" s="121">
        <v>117</v>
      </c>
      <c r="U355" s="121">
        <v>5.7</v>
      </c>
      <c r="V355" s="121"/>
      <c r="W355" s="121"/>
      <c r="X355" s="121"/>
      <c r="Y355" s="121"/>
      <c r="Z355" s="121">
        <v>0.7</v>
      </c>
      <c r="AA355" s="121">
        <v>73</v>
      </c>
      <c r="AB355" s="121">
        <v>134</v>
      </c>
      <c r="AC355" s="121">
        <v>0.06</v>
      </c>
      <c r="AD355" s="121">
        <v>0.23</v>
      </c>
      <c r="AE355" s="121">
        <v>0</v>
      </c>
      <c r="AF355" s="121">
        <v>1418</v>
      </c>
      <c r="AG355" s="121">
        <v>118</v>
      </c>
      <c r="AH355" s="121">
        <v>236</v>
      </c>
      <c r="AI355" s="121"/>
      <c r="AJ355" s="121">
        <v>0</v>
      </c>
    </row>
    <row r="356" spans="1:36" s="119" customFormat="1" ht="16">
      <c r="A356" s="121"/>
      <c r="B356" s="122"/>
      <c r="C356" s="123" t="s">
        <v>676</v>
      </c>
      <c r="D356" s="121">
        <v>4038</v>
      </c>
      <c r="E356" s="122" t="s">
        <v>708</v>
      </c>
      <c r="F356" s="121">
        <v>6</v>
      </c>
      <c r="G356" s="121">
        <v>0</v>
      </c>
      <c r="H356" s="121">
        <v>7</v>
      </c>
      <c r="I356" s="121">
        <v>5</v>
      </c>
      <c r="J356" s="121">
        <v>90.4</v>
      </c>
      <c r="K356" s="121">
        <v>1.6</v>
      </c>
      <c r="L356" s="121">
        <v>3.4</v>
      </c>
      <c r="M356" s="121">
        <v>0.7</v>
      </c>
      <c r="N356" s="121">
        <v>3.7</v>
      </c>
      <c r="O356" s="121"/>
      <c r="P356" s="121"/>
      <c r="Q356" s="121">
        <v>0.2</v>
      </c>
      <c r="R356" s="121">
        <v>28</v>
      </c>
      <c r="S356" s="121"/>
      <c r="T356" s="121">
        <v>267</v>
      </c>
      <c r="U356" s="121">
        <v>10.9</v>
      </c>
      <c r="V356" s="121"/>
      <c r="W356" s="121"/>
      <c r="X356" s="121"/>
      <c r="Y356" s="121"/>
      <c r="Z356" s="121">
        <v>0.5</v>
      </c>
      <c r="AA356" s="121">
        <v>71</v>
      </c>
      <c r="AB356" s="121">
        <v>79.8</v>
      </c>
      <c r="AC356" s="121">
        <v>0.1</v>
      </c>
      <c r="AD356" s="121">
        <v>0.2</v>
      </c>
      <c r="AE356" s="121">
        <v>0</v>
      </c>
      <c r="AF356" s="121">
        <v>2210</v>
      </c>
      <c r="AG356" s="121">
        <v>184</v>
      </c>
      <c r="AH356" s="121">
        <v>369</v>
      </c>
      <c r="AI356" s="121"/>
      <c r="AJ356" s="121">
        <v>0</v>
      </c>
    </row>
    <row r="357" spans="1:36" s="119" customFormat="1">
      <c r="A357" s="117"/>
      <c r="B357" s="118"/>
      <c r="D357" s="117"/>
      <c r="E357" s="120"/>
      <c r="F357" s="117">
        <f>AVERAGE(F354:F356)</f>
        <v>31</v>
      </c>
      <c r="G357" s="117"/>
      <c r="H357" s="117"/>
      <c r="I357" s="117"/>
      <c r="J357" s="117"/>
      <c r="K357" s="117"/>
      <c r="L357" s="117"/>
      <c r="M357" s="117"/>
      <c r="N357" s="117"/>
      <c r="O357" s="117"/>
      <c r="P357" s="117"/>
      <c r="Q357" s="117"/>
      <c r="R357" s="117"/>
      <c r="S357" s="117"/>
      <c r="T357" s="117"/>
      <c r="U357" s="117"/>
      <c r="V357" s="117"/>
      <c r="W357" s="117"/>
      <c r="X357" s="117"/>
      <c r="Y357" s="117"/>
      <c r="Z357" s="117"/>
      <c r="AA357" s="117"/>
      <c r="AB357" s="117"/>
      <c r="AC357" s="117"/>
      <c r="AD357" s="117"/>
      <c r="AE357" s="117"/>
      <c r="AF357" s="117"/>
      <c r="AG357" s="117"/>
      <c r="AH357" s="117"/>
      <c r="AI357" s="117"/>
      <c r="AJ357" s="117"/>
    </row>
    <row r="358" spans="1:36" s="13" customFormat="1">
      <c r="A358" s="6"/>
      <c r="B358" s="78"/>
      <c r="C358" s="59"/>
      <c r="D358" s="63"/>
      <c r="E358" s="86"/>
      <c r="F358" s="6"/>
      <c r="G358" s="61">
        <v>0</v>
      </c>
      <c r="H358" s="121">
        <v>7</v>
      </c>
      <c r="I358" s="121">
        <v>5</v>
      </c>
      <c r="J358" s="6">
        <f>+J354*(100-$G354)/100</f>
        <v>88.6</v>
      </c>
      <c r="K358" s="6">
        <f t="shared" ref="K358:O358" si="521">+K354*(100-$G354)/100</f>
        <v>1.8</v>
      </c>
      <c r="L358" s="6">
        <f t="shared" si="521"/>
        <v>3.8</v>
      </c>
      <c r="M358" s="6">
        <f t="shared" si="521"/>
        <v>0.1</v>
      </c>
      <c r="N358" s="6">
        <f t="shared" si="521"/>
        <v>4.3</v>
      </c>
      <c r="O358" s="6">
        <f t="shared" si="521"/>
        <v>0</v>
      </c>
      <c r="P358" s="69"/>
      <c r="Q358" s="6">
        <f t="shared" ref="Q358:R358" si="522">+Q354*(100-$G354)/100</f>
        <v>1.3</v>
      </c>
      <c r="R358" s="6">
        <f t="shared" si="522"/>
        <v>31</v>
      </c>
      <c r="S358" s="69"/>
      <c r="T358" s="6">
        <f t="shared" ref="T358:U358" si="523">+T354*(100-$G354)/100</f>
        <v>100</v>
      </c>
      <c r="U358" s="6">
        <f t="shared" si="523"/>
        <v>8.6</v>
      </c>
      <c r="V358" s="6"/>
      <c r="W358" s="6"/>
      <c r="X358" s="6"/>
      <c r="Y358" s="6"/>
      <c r="Z358" s="6">
        <f t="shared" ref="Z358:AH358" si="524">+Z354*(100-$G354)/100</f>
        <v>0.65</v>
      </c>
      <c r="AA358" s="6">
        <f t="shared" si="524"/>
        <v>404</v>
      </c>
      <c r="AB358" s="6">
        <f t="shared" si="524"/>
        <v>36</v>
      </c>
      <c r="AC358" s="6">
        <f t="shared" si="524"/>
        <v>0.06</v>
      </c>
      <c r="AD358" s="6">
        <f t="shared" si="524"/>
        <v>0.32</v>
      </c>
      <c r="AE358" s="6">
        <f t="shared" si="524"/>
        <v>0</v>
      </c>
      <c r="AF358" s="6">
        <f t="shared" si="524"/>
        <v>24</v>
      </c>
      <c r="AG358" s="6">
        <f t="shared" si="524"/>
        <v>2</v>
      </c>
      <c r="AH358" s="6">
        <f t="shared" si="524"/>
        <v>4</v>
      </c>
      <c r="AI358" s="69"/>
      <c r="AJ358" s="6">
        <f>+AJ354*(100-$G354)/100</f>
        <v>0</v>
      </c>
    </row>
    <row r="359" spans="1:36" s="13" customFormat="1">
      <c r="A359" s="6"/>
      <c r="B359" s="78"/>
      <c r="C359" s="59"/>
      <c r="D359" s="63"/>
      <c r="E359" s="86"/>
      <c r="F359" s="6"/>
      <c r="G359" s="61">
        <v>0</v>
      </c>
      <c r="H359" s="121">
        <v>7</v>
      </c>
      <c r="I359" s="121">
        <v>5</v>
      </c>
      <c r="J359" s="6">
        <f t="shared" ref="J359:O359" si="525">+J355*(100-$G355)/100</f>
        <v>90.4</v>
      </c>
      <c r="K359" s="6">
        <f t="shared" si="525"/>
        <v>1.6</v>
      </c>
      <c r="L359" s="6">
        <f t="shared" si="525"/>
        <v>3.3</v>
      </c>
      <c r="M359" s="6">
        <f t="shared" si="525"/>
        <v>0.6</v>
      </c>
      <c r="N359" s="6">
        <f t="shared" si="525"/>
        <v>4</v>
      </c>
      <c r="O359" s="6">
        <f t="shared" si="525"/>
        <v>0</v>
      </c>
      <c r="P359" s="69"/>
      <c r="Q359" s="6">
        <f t="shared" ref="Q359:R359" si="526">+Q355*(100-$G355)/100</f>
        <v>0.2</v>
      </c>
      <c r="R359" s="6">
        <f t="shared" si="526"/>
        <v>27</v>
      </c>
      <c r="S359" s="69"/>
      <c r="T359" s="6">
        <f t="shared" ref="T359:U359" si="527">+T355*(100-$G355)/100</f>
        <v>117</v>
      </c>
      <c r="U359" s="6">
        <f t="shared" si="527"/>
        <v>5.7</v>
      </c>
      <c r="V359" s="6"/>
      <c r="W359" s="6"/>
      <c r="X359" s="6"/>
      <c r="Y359" s="6"/>
      <c r="Z359" s="6">
        <f t="shared" ref="Z359:AH359" si="528">+Z355*(100-$G355)/100</f>
        <v>0.7</v>
      </c>
      <c r="AA359" s="6">
        <f t="shared" si="528"/>
        <v>73</v>
      </c>
      <c r="AB359" s="6">
        <f t="shared" si="528"/>
        <v>134</v>
      </c>
      <c r="AC359" s="6">
        <f t="shared" si="528"/>
        <v>0.06</v>
      </c>
      <c r="AD359" s="6">
        <f t="shared" si="528"/>
        <v>0.23</v>
      </c>
      <c r="AE359" s="6">
        <f t="shared" si="528"/>
        <v>0</v>
      </c>
      <c r="AF359" s="6">
        <f t="shared" si="528"/>
        <v>1418</v>
      </c>
      <c r="AG359" s="6">
        <f t="shared" si="528"/>
        <v>118</v>
      </c>
      <c r="AH359" s="6">
        <f t="shared" si="528"/>
        <v>236</v>
      </c>
      <c r="AI359" s="69"/>
      <c r="AJ359" s="6">
        <f t="shared" ref="AJ359:AJ360" si="529">+AJ355*(100-$G355)/100</f>
        <v>0</v>
      </c>
    </row>
    <row r="360" spans="1:36" s="13" customFormat="1">
      <c r="A360" s="6"/>
      <c r="B360" s="78"/>
      <c r="C360" s="59"/>
      <c r="D360" s="63"/>
      <c r="E360" s="86"/>
      <c r="F360" s="6"/>
      <c r="G360" s="61">
        <v>0</v>
      </c>
      <c r="H360" s="121">
        <v>7</v>
      </c>
      <c r="I360" s="121">
        <v>5</v>
      </c>
      <c r="J360" s="6">
        <f t="shared" ref="J360:O360" si="530">+J356*(100-$G356)/100</f>
        <v>90.4</v>
      </c>
      <c r="K360" s="6">
        <f t="shared" si="530"/>
        <v>1.6</v>
      </c>
      <c r="L360" s="6">
        <f t="shared" si="530"/>
        <v>3.4</v>
      </c>
      <c r="M360" s="6">
        <f t="shared" si="530"/>
        <v>0.7</v>
      </c>
      <c r="N360" s="6">
        <f t="shared" si="530"/>
        <v>3.7</v>
      </c>
      <c r="O360" s="6">
        <f t="shared" si="530"/>
        <v>0</v>
      </c>
      <c r="P360" s="69"/>
      <c r="Q360" s="6">
        <f t="shared" ref="Q360:R360" si="531">+Q356*(100-$G356)/100</f>
        <v>0.2</v>
      </c>
      <c r="R360" s="6">
        <f t="shared" si="531"/>
        <v>28</v>
      </c>
      <c r="S360" s="69"/>
      <c r="T360" s="6">
        <f t="shared" ref="T360:U360" si="532">+T356*(100-$G356)/100</f>
        <v>267</v>
      </c>
      <c r="U360" s="6">
        <f t="shared" si="532"/>
        <v>10.9</v>
      </c>
      <c r="V360" s="6"/>
      <c r="W360" s="6"/>
      <c r="X360" s="6"/>
      <c r="Y360" s="6"/>
      <c r="Z360" s="6">
        <f t="shared" ref="Z360:AH360" si="533">+Z356*(100-$G356)/100</f>
        <v>0.5</v>
      </c>
      <c r="AA360" s="6">
        <f t="shared" si="533"/>
        <v>71</v>
      </c>
      <c r="AB360" s="6">
        <f t="shared" si="533"/>
        <v>79.8</v>
      </c>
      <c r="AC360" s="6">
        <f t="shared" si="533"/>
        <v>0.1</v>
      </c>
      <c r="AD360" s="6">
        <f t="shared" si="533"/>
        <v>0.2</v>
      </c>
      <c r="AE360" s="6">
        <f t="shared" si="533"/>
        <v>0</v>
      </c>
      <c r="AF360" s="6">
        <f t="shared" si="533"/>
        <v>2210</v>
      </c>
      <c r="AG360" s="6">
        <f t="shared" si="533"/>
        <v>184</v>
      </c>
      <c r="AH360" s="6">
        <f t="shared" si="533"/>
        <v>369</v>
      </c>
      <c r="AI360" s="69"/>
      <c r="AJ360" s="6">
        <f t="shared" si="529"/>
        <v>0</v>
      </c>
    </row>
    <row r="361" spans="1:36" s="119" customFormat="1">
      <c r="A361" s="117"/>
      <c r="B361" s="118"/>
      <c r="D361" s="117"/>
      <c r="E361" s="120"/>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c r="AB361" s="117"/>
      <c r="AC361" s="117"/>
      <c r="AD361" s="117"/>
      <c r="AE361" s="117"/>
      <c r="AF361" s="117"/>
      <c r="AG361" s="117"/>
      <c r="AH361" s="117"/>
      <c r="AI361" s="117"/>
      <c r="AJ361" s="117"/>
    </row>
    <row r="362" spans="1:36" s="119" customFormat="1">
      <c r="A362" s="80">
        <v>713</v>
      </c>
      <c r="B362" s="80" t="s">
        <v>315</v>
      </c>
      <c r="C362" s="80"/>
      <c r="D362" s="80"/>
      <c r="E362" s="80"/>
      <c r="F362" s="80">
        <f>AVERAGE(G354:G356)</f>
        <v>0</v>
      </c>
      <c r="G362" s="80">
        <f>AVERAGE(G358:G360)</f>
        <v>0</v>
      </c>
      <c r="H362" s="80">
        <v>7</v>
      </c>
      <c r="I362" s="80">
        <v>5</v>
      </c>
      <c r="J362" s="80">
        <f t="shared" ref="J362:O362" si="534">AVERAGE(J358:J360)</f>
        <v>89.8</v>
      </c>
      <c r="K362" s="80">
        <f t="shared" si="534"/>
        <v>1.6666666666666667</v>
      </c>
      <c r="L362" s="80">
        <f t="shared" si="534"/>
        <v>3.5</v>
      </c>
      <c r="M362" s="80">
        <f t="shared" si="534"/>
        <v>0.46666666666666662</v>
      </c>
      <c r="N362" s="80">
        <f t="shared" si="534"/>
        <v>4</v>
      </c>
      <c r="O362" s="80">
        <f t="shared" si="534"/>
        <v>0</v>
      </c>
      <c r="P362" s="80"/>
      <c r="Q362" s="80">
        <f>100-F362-J362-K362-L362-M362-N362-O362</f>
        <v>0.56666666666666998</v>
      </c>
      <c r="R362" s="80">
        <f t="shared" ref="R362" si="535">AVERAGE(R358:R360)</f>
        <v>28.666666666666668</v>
      </c>
      <c r="S362" s="80"/>
      <c r="T362" s="80">
        <f t="shared" ref="T362:U362" si="536">AVERAGE(T358:T360)</f>
        <v>161.33333333333334</v>
      </c>
      <c r="U362" s="80">
        <f t="shared" si="536"/>
        <v>8.4</v>
      </c>
      <c r="V362" s="80"/>
      <c r="W362" s="80"/>
      <c r="X362" s="80"/>
      <c r="Y362" s="80"/>
      <c r="Z362" s="80">
        <f t="shared" ref="Z362:AF362" si="537">AVERAGE(Z358:Z360)</f>
        <v>0.6166666666666667</v>
      </c>
      <c r="AA362" s="80">
        <f t="shared" si="537"/>
        <v>182.66666666666666</v>
      </c>
      <c r="AB362" s="80">
        <f t="shared" si="537"/>
        <v>83.266666666666666</v>
      </c>
      <c r="AC362" s="80">
        <f t="shared" si="537"/>
        <v>7.3333333333333334E-2</v>
      </c>
      <c r="AD362" s="80">
        <f t="shared" si="537"/>
        <v>0.25</v>
      </c>
      <c r="AE362" s="80">
        <f t="shared" si="537"/>
        <v>0</v>
      </c>
      <c r="AF362" s="80">
        <f t="shared" si="537"/>
        <v>1217.3333333333333</v>
      </c>
      <c r="AG362" s="80">
        <f>+AE362+AF362/12</f>
        <v>101.44444444444444</v>
      </c>
      <c r="AH362" s="80">
        <f>+AE362+AF362/6</f>
        <v>202.88888888888889</v>
      </c>
      <c r="AI362" s="80"/>
      <c r="AJ362" s="80">
        <f>AVERAGE(AJ358:AJ360)</f>
        <v>0</v>
      </c>
    </row>
    <row r="363" spans="1:36" s="72" customFormat="1"/>
    <row r="364" spans="1:36" s="119" customFormat="1">
      <c r="A364" s="117"/>
      <c r="B364" s="118"/>
      <c r="D364" s="117"/>
      <c r="E364" s="120"/>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c r="AH364" s="117"/>
      <c r="AI364" s="117"/>
      <c r="AJ364" s="117"/>
    </row>
    <row r="365" spans="1:36" ht="16">
      <c r="A365" s="3"/>
      <c r="B365" s="76"/>
      <c r="C365" s="16" t="s">
        <v>607</v>
      </c>
      <c r="D365" s="3">
        <v>11900</v>
      </c>
      <c r="E365" s="77" t="s">
        <v>677</v>
      </c>
      <c r="F365" s="3"/>
      <c r="G365" s="3">
        <v>0</v>
      </c>
      <c r="H365" s="3"/>
      <c r="I365" s="3"/>
      <c r="J365" s="3">
        <v>75.959999999999994</v>
      </c>
      <c r="K365" s="3">
        <v>0.62</v>
      </c>
      <c r="L365" s="3">
        <v>3.22</v>
      </c>
      <c r="M365" s="3">
        <v>1.18</v>
      </c>
      <c r="N365" s="3">
        <v>2.7</v>
      </c>
      <c r="O365" s="3">
        <v>0</v>
      </c>
      <c r="P365" s="3">
        <v>19.02</v>
      </c>
      <c r="Q365" s="3"/>
      <c r="R365" s="3">
        <v>86</v>
      </c>
      <c r="S365" s="3"/>
      <c r="T365" s="3">
        <v>2</v>
      </c>
      <c r="U365" s="3">
        <v>0.52</v>
      </c>
      <c r="V365" s="3"/>
      <c r="W365" s="3"/>
      <c r="X365" s="3"/>
      <c r="Y365" s="3"/>
      <c r="Z365" s="3">
        <v>0.45</v>
      </c>
      <c r="AA365" s="3">
        <v>46</v>
      </c>
      <c r="AB365" s="3">
        <v>6.8</v>
      </c>
      <c r="AC365" s="3">
        <v>0.2</v>
      </c>
      <c r="AD365" s="3">
        <v>0.06</v>
      </c>
      <c r="AE365" s="3">
        <v>0</v>
      </c>
      <c r="AF365" s="3">
        <v>1</v>
      </c>
      <c r="AG365" s="3">
        <v>0</v>
      </c>
      <c r="AH365" s="3">
        <v>0</v>
      </c>
      <c r="AI365" s="3"/>
      <c r="AJ365" s="3">
        <v>0</v>
      </c>
    </row>
    <row r="366" spans="1:36" ht="16">
      <c r="A366" s="3"/>
      <c r="B366" s="76"/>
      <c r="C366" s="16" t="s">
        <v>607</v>
      </c>
      <c r="D366" s="3">
        <v>11167</v>
      </c>
      <c r="E366" s="77" t="s">
        <v>678</v>
      </c>
      <c r="F366" s="3"/>
      <c r="G366" s="3">
        <v>0</v>
      </c>
      <c r="H366" s="3"/>
      <c r="I366" s="3"/>
      <c r="J366" s="3">
        <v>76.05</v>
      </c>
      <c r="K366" s="3">
        <v>0.62</v>
      </c>
      <c r="L366" s="3">
        <v>3.27</v>
      </c>
      <c r="M366" s="3">
        <v>1.35</v>
      </c>
      <c r="N366" s="3">
        <v>2</v>
      </c>
      <c r="O366" s="3">
        <v>0</v>
      </c>
      <c r="P366" s="3">
        <v>18.7</v>
      </c>
      <c r="Q366" s="3"/>
      <c r="R366" s="3">
        <v>86</v>
      </c>
      <c r="S366" s="3"/>
      <c r="T366" s="3">
        <v>2</v>
      </c>
      <c r="U366" s="3">
        <v>0.52</v>
      </c>
      <c r="V366" s="3"/>
      <c r="W366" s="3"/>
      <c r="X366" s="3"/>
      <c r="Y366" s="3"/>
      <c r="Z366" s="3">
        <v>0.46</v>
      </c>
      <c r="AA366" s="3">
        <v>42</v>
      </c>
      <c r="AB366" s="3">
        <v>6.8</v>
      </c>
      <c r="AC366" s="3">
        <v>0.155</v>
      </c>
      <c r="AD366" s="3">
        <v>5.5E-2</v>
      </c>
      <c r="AE366" s="3">
        <v>0</v>
      </c>
      <c r="AF366" s="3">
        <v>112.5</v>
      </c>
      <c r="AG366" s="3">
        <f>+AE366+AF366/12</f>
        <v>9.375</v>
      </c>
      <c r="AH366" s="3">
        <f>+AE366+AF366/6</f>
        <v>18.75</v>
      </c>
      <c r="AI366" s="3"/>
      <c r="AJ366" s="3">
        <v>0</v>
      </c>
    </row>
    <row r="367" spans="1:36">
      <c r="A367" s="3"/>
      <c r="B367" s="76"/>
      <c r="C367" s="16"/>
      <c r="D367" s="3"/>
      <c r="E367" s="77"/>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spans="1:36" s="84" customFormat="1">
      <c r="A368" s="82">
        <v>719</v>
      </c>
      <c r="B368" s="82" t="s">
        <v>321</v>
      </c>
      <c r="C368" s="82"/>
      <c r="D368" s="80"/>
      <c r="E368" s="83"/>
      <c r="F368" s="80"/>
      <c r="G368" s="80">
        <f>AVERAGE(G365:G366)</f>
        <v>0</v>
      </c>
      <c r="H368" s="80"/>
      <c r="I368" s="80"/>
      <c r="J368" s="80">
        <f t="shared" ref="J368:P368" si="538">AVERAGE(J365:J366)</f>
        <v>76.004999999999995</v>
      </c>
      <c r="K368" s="80">
        <f t="shared" si="538"/>
        <v>0.62</v>
      </c>
      <c r="L368" s="80">
        <f t="shared" si="538"/>
        <v>3.2450000000000001</v>
      </c>
      <c r="M368" s="80">
        <f t="shared" si="538"/>
        <v>1.2650000000000001</v>
      </c>
      <c r="N368" s="80">
        <f t="shared" si="538"/>
        <v>2.35</v>
      </c>
      <c r="O368" s="80">
        <f t="shared" si="538"/>
        <v>0</v>
      </c>
      <c r="P368" s="80">
        <f t="shared" si="538"/>
        <v>18.86</v>
      </c>
      <c r="Q368" s="80">
        <f>100-J368-K368-L368-M368-N368-O368</f>
        <v>16.515000000000001</v>
      </c>
      <c r="R368" s="80">
        <f>AVERAGE(R365:R366)</f>
        <v>86</v>
      </c>
      <c r="S368" s="80"/>
      <c r="T368" s="80">
        <f t="shared" ref="T368:AF368" si="539">AVERAGE(T365:T366)</f>
        <v>2</v>
      </c>
      <c r="U368" s="80">
        <f t="shared" si="539"/>
        <v>0.52</v>
      </c>
      <c r="V368" s="80"/>
      <c r="W368" s="80"/>
      <c r="X368" s="80"/>
      <c r="Y368" s="80"/>
      <c r="Z368" s="80">
        <f t="shared" si="539"/>
        <v>0.45500000000000002</v>
      </c>
      <c r="AA368" s="80">
        <f t="shared" si="539"/>
        <v>44</v>
      </c>
      <c r="AB368" s="80">
        <f t="shared" si="539"/>
        <v>6.8</v>
      </c>
      <c r="AC368" s="80">
        <f t="shared" si="539"/>
        <v>0.17749999999999999</v>
      </c>
      <c r="AD368" s="80">
        <f t="shared" si="539"/>
        <v>5.7499999999999996E-2</v>
      </c>
      <c r="AE368" s="80">
        <f t="shared" si="539"/>
        <v>0</v>
      </c>
      <c r="AF368" s="80">
        <f t="shared" si="539"/>
        <v>56.75</v>
      </c>
      <c r="AG368" s="80">
        <f>+AE368+AF368/12</f>
        <v>4.729166666666667</v>
      </c>
      <c r="AH368" s="80">
        <f>+AE368+AF368/6</f>
        <v>9.4583333333333339</v>
      </c>
      <c r="AI368" s="80"/>
      <c r="AJ368" s="80">
        <f>AVERAGE(AJ365:AJ366)</f>
        <v>0</v>
      </c>
    </row>
    <row r="370" spans="1:36" s="116" customFormat="1" ht="16">
      <c r="A370" s="112"/>
      <c r="B370" s="113"/>
      <c r="C370" s="114" t="s">
        <v>607</v>
      </c>
      <c r="D370" s="112">
        <v>43146</v>
      </c>
      <c r="E370" s="115" t="s">
        <v>652</v>
      </c>
      <c r="F370" s="112"/>
      <c r="G370" s="112">
        <v>0</v>
      </c>
      <c r="H370" s="112"/>
      <c r="I370" s="112"/>
      <c r="J370" s="112">
        <v>86.9</v>
      </c>
      <c r="K370" s="112">
        <v>1.73</v>
      </c>
      <c r="L370" s="112">
        <v>0.9</v>
      </c>
      <c r="M370" s="112">
        <v>0.7</v>
      </c>
      <c r="N370" s="112">
        <v>2.5</v>
      </c>
      <c r="O370" s="112">
        <v>0</v>
      </c>
      <c r="P370" s="112">
        <v>9.77</v>
      </c>
      <c r="Q370" s="112"/>
      <c r="R370" s="112">
        <v>49</v>
      </c>
      <c r="S370" s="112"/>
      <c r="T370" s="112">
        <v>25</v>
      </c>
      <c r="U370" s="112">
        <v>0.77</v>
      </c>
      <c r="V370" s="112"/>
      <c r="W370" s="112"/>
      <c r="X370" s="112"/>
      <c r="Y370" s="112"/>
      <c r="Z370" s="112">
        <v>0.23</v>
      </c>
      <c r="AA370" s="112">
        <v>20</v>
      </c>
      <c r="AB370" s="112">
        <v>0</v>
      </c>
      <c r="AC370" s="112">
        <v>0.05</v>
      </c>
      <c r="AD370" s="112">
        <v>7.0000000000000007E-2</v>
      </c>
      <c r="AE370" s="112">
        <v>0</v>
      </c>
      <c r="AF370" s="112">
        <v>30</v>
      </c>
      <c r="AG370" s="112">
        <f>+AE370+AF370/12</f>
        <v>2.5</v>
      </c>
      <c r="AH370" s="112">
        <f>+AE370+AF370/6</f>
        <v>5</v>
      </c>
      <c r="AI370" s="112"/>
      <c r="AJ370" s="112">
        <v>0</v>
      </c>
    </row>
    <row r="371" spans="1:36" s="116" customFormat="1" ht="32">
      <c r="A371" s="112"/>
      <c r="B371" s="113"/>
      <c r="C371" s="114" t="s">
        <v>607</v>
      </c>
      <c r="D371" s="112">
        <v>11941</v>
      </c>
      <c r="E371" s="115" t="s">
        <v>653</v>
      </c>
      <c r="F371" s="112"/>
      <c r="G371" s="112">
        <v>0</v>
      </c>
      <c r="H371" s="112"/>
      <c r="I371" s="112"/>
      <c r="J371" s="112">
        <v>94.08</v>
      </c>
      <c r="K371" s="112">
        <v>3.13</v>
      </c>
      <c r="L371" s="112">
        <v>0.33</v>
      </c>
      <c r="M371" s="112">
        <v>0.2</v>
      </c>
      <c r="N371" s="112">
        <v>1.2</v>
      </c>
      <c r="O371" s="112">
        <v>0</v>
      </c>
      <c r="P371" s="112">
        <v>2.2599999999999998</v>
      </c>
      <c r="Q371" s="112"/>
      <c r="R371" s="112">
        <v>11</v>
      </c>
      <c r="S371" s="112"/>
      <c r="T371" s="112">
        <v>0</v>
      </c>
      <c r="U371" s="112">
        <v>0.4</v>
      </c>
      <c r="V371" s="112"/>
      <c r="W371" s="112"/>
      <c r="X371" s="112"/>
      <c r="Y371" s="112"/>
      <c r="Z371" s="112">
        <v>0.02</v>
      </c>
      <c r="AA371" s="112">
        <v>1</v>
      </c>
      <c r="AB371" s="112">
        <v>1</v>
      </c>
      <c r="AC371" s="112">
        <v>0</v>
      </c>
      <c r="AD371" s="112">
        <v>0.01</v>
      </c>
      <c r="AE371" s="112">
        <v>0</v>
      </c>
      <c r="AF371" s="112">
        <v>114.5</v>
      </c>
      <c r="AG371" s="112">
        <f>+AE371+AF371/12</f>
        <v>9.5416666666666661</v>
      </c>
      <c r="AH371" s="112">
        <f>+AE371+AF371/6</f>
        <v>19.083333333333332</v>
      </c>
      <c r="AI371" s="112"/>
      <c r="AJ371" s="112">
        <v>0</v>
      </c>
    </row>
    <row r="372" spans="1:36" s="84" customFormat="1">
      <c r="A372" s="82">
        <v>1009</v>
      </c>
      <c r="B372" s="82" t="s">
        <v>356</v>
      </c>
      <c r="C372" s="82"/>
      <c r="D372" s="80"/>
      <c r="E372" s="83"/>
      <c r="F372" s="80"/>
      <c r="G372" s="80">
        <f>AVERAGE(G370:G371)</f>
        <v>0</v>
      </c>
      <c r="H372" s="80"/>
      <c r="I372" s="80"/>
      <c r="J372" s="80">
        <f t="shared" ref="J372:P372" si="540">AVERAGE(J370:J371)</f>
        <v>90.490000000000009</v>
      </c>
      <c r="K372" s="80">
        <f t="shared" si="540"/>
        <v>2.4299999999999997</v>
      </c>
      <c r="L372" s="80">
        <f t="shared" si="540"/>
        <v>0.61499999999999999</v>
      </c>
      <c r="M372" s="80">
        <f t="shared" si="540"/>
        <v>0.44999999999999996</v>
      </c>
      <c r="N372" s="80">
        <f t="shared" si="540"/>
        <v>1.85</v>
      </c>
      <c r="O372" s="80">
        <f t="shared" si="540"/>
        <v>0</v>
      </c>
      <c r="P372" s="80">
        <f t="shared" si="540"/>
        <v>6.0149999999999997</v>
      </c>
      <c r="Q372" s="80">
        <f>100-J372-K372-L372-M372-N372-O372</f>
        <v>4.1649999999999903</v>
      </c>
      <c r="R372" s="80">
        <f>AVERAGE(R370:R371)</f>
        <v>30</v>
      </c>
      <c r="S372" s="80"/>
      <c r="T372" s="80">
        <f t="shared" ref="T372:AF372" si="541">AVERAGE(T370:T371)</f>
        <v>12.5</v>
      </c>
      <c r="U372" s="80">
        <f t="shared" si="541"/>
        <v>0.58499999999999996</v>
      </c>
      <c r="V372" s="80"/>
      <c r="W372" s="80"/>
      <c r="X372" s="80"/>
      <c r="Y372" s="80"/>
      <c r="Z372" s="80">
        <f t="shared" si="541"/>
        <v>0.125</v>
      </c>
      <c r="AA372" s="80">
        <f t="shared" si="541"/>
        <v>10.5</v>
      </c>
      <c r="AB372" s="80">
        <f t="shared" si="541"/>
        <v>0.5</v>
      </c>
      <c r="AC372" s="80">
        <f t="shared" si="541"/>
        <v>2.5000000000000001E-2</v>
      </c>
      <c r="AD372" s="80">
        <f t="shared" si="541"/>
        <v>0.04</v>
      </c>
      <c r="AE372" s="80">
        <f t="shared" si="541"/>
        <v>0</v>
      </c>
      <c r="AF372" s="80">
        <f t="shared" si="541"/>
        <v>72.25</v>
      </c>
      <c r="AG372" s="80">
        <f>+AE372+AF372/12</f>
        <v>6.020833333333333</v>
      </c>
      <c r="AH372" s="80">
        <f>+AE372+AF372/6</f>
        <v>12.041666666666666</v>
      </c>
      <c r="AI372" s="80"/>
      <c r="AJ372" s="80">
        <f>AVERAGE(AJ370:AJ371)</f>
        <v>0</v>
      </c>
    </row>
    <row r="374" spans="1:36" s="116" customFormat="1" ht="16">
      <c r="A374" s="114"/>
      <c r="B374" s="113"/>
      <c r="C374" s="114" t="s">
        <v>664</v>
      </c>
      <c r="D374" s="112" t="s">
        <v>665</v>
      </c>
      <c r="E374" s="115" t="s">
        <v>666</v>
      </c>
      <c r="F374" s="112"/>
      <c r="G374" s="112">
        <v>0</v>
      </c>
      <c r="H374" s="112"/>
      <c r="I374" s="112"/>
      <c r="J374" s="112">
        <v>91</v>
      </c>
      <c r="K374" s="112">
        <v>0.3</v>
      </c>
      <c r="L374" s="112">
        <v>0.7</v>
      </c>
      <c r="M374" s="112">
        <v>0</v>
      </c>
      <c r="N374" s="112">
        <v>0.1</v>
      </c>
      <c r="O374" s="112">
        <v>0</v>
      </c>
      <c r="P374" s="112"/>
      <c r="Q374" s="112">
        <v>5.7</v>
      </c>
      <c r="R374" s="112">
        <v>43</v>
      </c>
      <c r="S374" s="112"/>
      <c r="T374" s="112">
        <v>8</v>
      </c>
      <c r="U374" s="112">
        <v>0.2</v>
      </c>
      <c r="V374" s="112"/>
      <c r="W374" s="112"/>
      <c r="X374" s="112"/>
      <c r="Y374" s="112"/>
      <c r="Z374" s="112">
        <v>0.14000000000000001</v>
      </c>
      <c r="AA374" s="112">
        <v>0</v>
      </c>
      <c r="AB374" s="112">
        <v>0</v>
      </c>
      <c r="AC374" s="112">
        <v>0.02</v>
      </c>
      <c r="AD374" s="112">
        <v>0.04</v>
      </c>
      <c r="AE374" s="112">
        <v>0</v>
      </c>
      <c r="AF374" s="112">
        <v>0</v>
      </c>
      <c r="AG374" s="112">
        <v>0</v>
      </c>
      <c r="AH374" s="112">
        <v>0</v>
      </c>
      <c r="AI374" s="112"/>
      <c r="AJ374" s="112">
        <v>0</v>
      </c>
    </row>
    <row r="375" spans="1:36" s="116" customFormat="1" ht="16">
      <c r="A375" s="112"/>
      <c r="B375" s="113"/>
      <c r="C375" s="114" t="s">
        <v>664</v>
      </c>
      <c r="D375" s="112" t="s">
        <v>667</v>
      </c>
      <c r="E375" s="115" t="s">
        <v>668</v>
      </c>
      <c r="F375" s="112"/>
      <c r="G375" s="112">
        <v>0</v>
      </c>
      <c r="H375" s="112"/>
      <c r="I375" s="112"/>
      <c r="J375" s="112">
        <v>94</v>
      </c>
      <c r="K375" s="112">
        <v>0.2</v>
      </c>
      <c r="L375" s="112">
        <v>0.5</v>
      </c>
      <c r="M375" s="112">
        <v>0</v>
      </c>
      <c r="N375" s="112">
        <v>0.1</v>
      </c>
      <c r="O375" s="112">
        <v>0</v>
      </c>
      <c r="P375" s="112"/>
      <c r="Q375" s="112">
        <v>2.7</v>
      </c>
      <c r="R375" s="112">
        <v>31</v>
      </c>
      <c r="S375" s="112"/>
      <c r="T375" s="112">
        <v>8</v>
      </c>
      <c r="U375" s="112">
        <v>0.2</v>
      </c>
      <c r="V375" s="112"/>
      <c r="W375" s="112"/>
      <c r="X375" s="112"/>
      <c r="Y375" s="112"/>
      <c r="Z375" s="112">
        <v>0.14000000000000001</v>
      </c>
      <c r="AA375" s="112">
        <v>0</v>
      </c>
      <c r="AB375" s="112">
        <v>0</v>
      </c>
      <c r="AC375" s="112">
        <v>0.02</v>
      </c>
      <c r="AD375" s="112">
        <v>0.04</v>
      </c>
      <c r="AE375" s="112">
        <v>0</v>
      </c>
      <c r="AF375" s="112">
        <v>0</v>
      </c>
      <c r="AG375" s="112">
        <v>0</v>
      </c>
      <c r="AH375" s="112">
        <v>0</v>
      </c>
      <c r="AI375" s="112"/>
      <c r="AJ375" s="112">
        <v>0</v>
      </c>
    </row>
    <row r="376" spans="1:36">
      <c r="A376" s="3"/>
      <c r="B376" s="76"/>
      <c r="C376" s="16"/>
      <c r="D376" s="3"/>
      <c r="E376" s="77"/>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spans="1:36" s="84" customFormat="1">
      <c r="A377" s="82">
        <v>1505</v>
      </c>
      <c r="B377" s="82" t="s">
        <v>386</v>
      </c>
      <c r="C377" s="82"/>
      <c r="D377" s="80"/>
      <c r="E377" s="83"/>
      <c r="F377" s="80"/>
      <c r="G377" s="80">
        <f>AVERAGE(G374:G375)</f>
        <v>0</v>
      </c>
      <c r="H377" s="80"/>
      <c r="I377" s="80"/>
      <c r="J377" s="80">
        <f t="shared" ref="J377:O377" si="542">AVERAGE(J374:J375)</f>
        <v>92.5</v>
      </c>
      <c r="K377" s="80">
        <f t="shared" si="542"/>
        <v>0.25</v>
      </c>
      <c r="L377" s="80">
        <f t="shared" si="542"/>
        <v>0.6</v>
      </c>
      <c r="M377" s="80">
        <f t="shared" si="542"/>
        <v>0</v>
      </c>
      <c r="N377" s="80">
        <f t="shared" si="542"/>
        <v>0.1</v>
      </c>
      <c r="O377" s="80">
        <f t="shared" si="542"/>
        <v>0</v>
      </c>
      <c r="P377" s="80"/>
      <c r="Q377" s="80">
        <f>100-J377-K377-L377-M377-N377-O377</f>
        <v>6.5500000000000007</v>
      </c>
      <c r="R377" s="80">
        <f>AVERAGE(R374:R375)</f>
        <v>37</v>
      </c>
      <c r="S377" s="80"/>
      <c r="T377" s="80">
        <f t="shared" ref="T377:AH377" si="543">AVERAGE(T374:T375)</f>
        <v>8</v>
      </c>
      <c r="U377" s="80">
        <f t="shared" si="543"/>
        <v>0.2</v>
      </c>
      <c r="V377" s="80"/>
      <c r="W377" s="80"/>
      <c r="X377" s="80"/>
      <c r="Y377" s="80"/>
      <c r="Z377" s="80">
        <f t="shared" si="543"/>
        <v>0.14000000000000001</v>
      </c>
      <c r="AA377" s="80">
        <f t="shared" si="543"/>
        <v>0</v>
      </c>
      <c r="AB377" s="80">
        <f t="shared" si="543"/>
        <v>0</v>
      </c>
      <c r="AC377" s="80">
        <f t="shared" si="543"/>
        <v>0.02</v>
      </c>
      <c r="AD377" s="80">
        <f t="shared" si="543"/>
        <v>0.04</v>
      </c>
      <c r="AE377" s="80">
        <f t="shared" si="543"/>
        <v>0</v>
      </c>
      <c r="AF377" s="80">
        <f t="shared" si="543"/>
        <v>0</v>
      </c>
      <c r="AG377" s="80">
        <f t="shared" si="543"/>
        <v>0</v>
      </c>
      <c r="AH377" s="80">
        <f t="shared" si="543"/>
        <v>0</v>
      </c>
      <c r="AI377" s="80"/>
      <c r="AJ377" s="80">
        <f>AVERAGE(AJ374:AJ375)</f>
        <v>0</v>
      </c>
    </row>
    <row r="380" spans="1:36" s="95" customFormat="1" ht="16">
      <c r="A380" s="90"/>
      <c r="B380" s="91"/>
      <c r="C380" s="97" t="s">
        <v>689</v>
      </c>
      <c r="D380" s="90" t="s">
        <v>688</v>
      </c>
      <c r="E380" s="111" t="s">
        <v>687</v>
      </c>
      <c r="F380" s="90"/>
      <c r="G380" s="90">
        <v>44</v>
      </c>
      <c r="H380" s="90"/>
      <c r="I380" s="90"/>
      <c r="J380" s="90">
        <v>92.5</v>
      </c>
      <c r="K380" s="90">
        <v>0.3</v>
      </c>
      <c r="L380" s="90">
        <v>0.5</v>
      </c>
      <c r="M380" s="90">
        <v>0.2</v>
      </c>
      <c r="N380" s="90">
        <v>0.3</v>
      </c>
      <c r="O380" s="90">
        <v>0</v>
      </c>
      <c r="P380" s="90"/>
      <c r="Q380" s="90">
        <v>6.2</v>
      </c>
      <c r="R380" s="90">
        <v>29</v>
      </c>
      <c r="S380" s="90"/>
      <c r="T380" s="90">
        <v>7</v>
      </c>
      <c r="U380" s="90">
        <v>0.3</v>
      </c>
      <c r="V380" s="90"/>
      <c r="W380" s="90"/>
      <c r="X380" s="90"/>
      <c r="Y380" s="90"/>
      <c r="Z380" s="90">
        <v>0.1</v>
      </c>
      <c r="AA380" s="90">
        <v>4</v>
      </c>
      <c r="AB380" s="90">
        <v>7.2</v>
      </c>
      <c r="AC380" s="90">
        <v>0.03</v>
      </c>
      <c r="AD380" s="90">
        <v>0.04</v>
      </c>
      <c r="AE380" s="90">
        <v>0</v>
      </c>
      <c r="AF380" s="90">
        <v>503</v>
      </c>
      <c r="AG380" s="90">
        <f>+AE380+AF380/12</f>
        <v>41.916666666666664</v>
      </c>
      <c r="AH380" s="90">
        <f>+AE380+AF380/6</f>
        <v>83.833333333333329</v>
      </c>
      <c r="AI380" s="90"/>
      <c r="AJ380" s="90">
        <v>0</v>
      </c>
    </row>
    <row r="381" spans="1:36" s="95" customFormat="1" ht="16">
      <c r="A381" s="90"/>
      <c r="B381" s="91"/>
      <c r="C381" s="97" t="s">
        <v>689</v>
      </c>
      <c r="D381" s="90" t="s">
        <v>691</v>
      </c>
      <c r="E381" s="111" t="s">
        <v>690</v>
      </c>
      <c r="F381" s="90"/>
      <c r="G381" s="90">
        <v>49</v>
      </c>
      <c r="H381" s="90"/>
      <c r="I381" s="90"/>
      <c r="J381" s="90">
        <v>90.8</v>
      </c>
      <c r="K381" s="90">
        <v>0.7</v>
      </c>
      <c r="L381" s="90">
        <v>0.7</v>
      </c>
      <c r="M381" s="90">
        <v>0.2</v>
      </c>
      <c r="N381" s="90">
        <v>0.9</v>
      </c>
      <c r="O381" s="90">
        <v>0</v>
      </c>
      <c r="P381" s="90"/>
      <c r="Q381" s="90">
        <v>6.7</v>
      </c>
      <c r="R381" s="90">
        <v>33</v>
      </c>
      <c r="S381" s="90"/>
      <c r="T381" s="90">
        <v>13</v>
      </c>
      <c r="U381" s="90">
        <v>0.2</v>
      </c>
      <c r="V381" s="90"/>
      <c r="W381" s="90"/>
      <c r="X381" s="90"/>
      <c r="Y381" s="90"/>
      <c r="Z381" s="90">
        <v>0.18</v>
      </c>
      <c r="AA381" s="90">
        <v>16</v>
      </c>
      <c r="AB381" s="90">
        <v>30.2</v>
      </c>
      <c r="AC381" s="90">
        <v>0.04</v>
      </c>
      <c r="AD381" s="90">
        <v>0.02</v>
      </c>
      <c r="AE381" s="90">
        <v>0</v>
      </c>
      <c r="AF381" s="90">
        <v>1900</v>
      </c>
      <c r="AG381" s="90">
        <f>+AE381+AF381/12</f>
        <v>158.33333333333334</v>
      </c>
      <c r="AH381" s="90">
        <f>+AE381+AF381/6</f>
        <v>316.66666666666669</v>
      </c>
      <c r="AI381" s="90"/>
      <c r="AJ381" s="90">
        <v>0</v>
      </c>
    </row>
    <row r="382" spans="1:36" s="95" customFormat="1">
      <c r="A382" s="90"/>
      <c r="B382" s="91"/>
      <c r="C382" s="97"/>
      <c r="D382" s="90"/>
      <c r="E382" s="111"/>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c r="AG382" s="90"/>
      <c r="AH382" s="90"/>
      <c r="AI382" s="90"/>
      <c r="AJ382" s="90"/>
    </row>
    <row r="383" spans="1:36" s="95" customFormat="1">
      <c r="A383" s="90"/>
      <c r="B383" s="91"/>
      <c r="C383" s="97"/>
      <c r="D383" s="90"/>
      <c r="E383" s="111"/>
      <c r="F383" s="90"/>
      <c r="G383" s="90">
        <v>0</v>
      </c>
      <c r="H383" s="90"/>
      <c r="I383" s="90"/>
      <c r="J383" s="90">
        <f>+J380*(100-$G380)/100</f>
        <v>51.8</v>
      </c>
      <c r="K383" s="90">
        <f t="shared" ref="K383:O383" si="544">+K380*(100-$G380)/100</f>
        <v>0.16800000000000001</v>
      </c>
      <c r="L383" s="90">
        <f t="shared" si="544"/>
        <v>0.28000000000000003</v>
      </c>
      <c r="M383" s="90">
        <f t="shared" si="544"/>
        <v>0.11200000000000002</v>
      </c>
      <c r="N383" s="90">
        <f t="shared" si="544"/>
        <v>0.16800000000000001</v>
      </c>
      <c r="O383" s="90">
        <f t="shared" si="544"/>
        <v>0</v>
      </c>
      <c r="P383" s="90"/>
      <c r="Q383" s="90">
        <f>+Q380*(100-$G380)/100</f>
        <v>3.472</v>
      </c>
      <c r="R383" s="90">
        <f>+R380*(100-$G380)/100</f>
        <v>16.239999999999998</v>
      </c>
      <c r="S383" s="90"/>
      <c r="T383" s="90">
        <f t="shared" ref="T383:U383" si="545">+T380*(100-$G380)/100</f>
        <v>3.92</v>
      </c>
      <c r="U383" s="90">
        <f t="shared" si="545"/>
        <v>0.16800000000000001</v>
      </c>
      <c r="V383" s="90"/>
      <c r="W383" s="90"/>
      <c r="X383" s="90"/>
      <c r="Y383" s="90"/>
      <c r="Z383" s="90">
        <f t="shared" ref="Z383:AA383" si="546">+Z380*(100-$G380)/100</f>
        <v>5.6000000000000008E-2</v>
      </c>
      <c r="AA383" s="90">
        <f t="shared" si="546"/>
        <v>2.2400000000000002</v>
      </c>
      <c r="AB383" s="90">
        <f t="shared" ref="AB383:AH383" si="547">+AB380*(100-$G380)/100</f>
        <v>4.032</v>
      </c>
      <c r="AC383" s="90">
        <f t="shared" si="547"/>
        <v>1.6799999999999999E-2</v>
      </c>
      <c r="AD383" s="90">
        <f t="shared" si="547"/>
        <v>2.2400000000000003E-2</v>
      </c>
      <c r="AE383" s="90">
        <f t="shared" si="547"/>
        <v>0</v>
      </c>
      <c r="AF383" s="90">
        <f t="shared" si="547"/>
        <v>281.68</v>
      </c>
      <c r="AG383" s="90">
        <f t="shared" si="547"/>
        <v>23.473333333333329</v>
      </c>
      <c r="AH383" s="90">
        <f t="shared" si="547"/>
        <v>46.946666666666658</v>
      </c>
      <c r="AI383" s="90"/>
      <c r="AJ383" s="90">
        <f>+AJ380*(100-$G380)/100</f>
        <v>0</v>
      </c>
    </row>
    <row r="384" spans="1:36" s="95" customFormat="1">
      <c r="A384" s="90"/>
      <c r="B384" s="91"/>
      <c r="C384" s="97"/>
      <c r="D384" s="90"/>
      <c r="E384" s="111"/>
      <c r="F384" s="90"/>
      <c r="G384" s="90">
        <v>0</v>
      </c>
      <c r="H384" s="90"/>
      <c r="I384" s="90"/>
      <c r="J384" s="90">
        <f>+J381*(100-$G381)/100</f>
        <v>46.308</v>
      </c>
      <c r="K384" s="90">
        <f t="shared" ref="K384:O384" si="548">+K381*(100-$G381)/100</f>
        <v>0.35699999999999998</v>
      </c>
      <c r="L384" s="90">
        <f t="shared" si="548"/>
        <v>0.35699999999999998</v>
      </c>
      <c r="M384" s="90">
        <f t="shared" si="548"/>
        <v>0.10200000000000001</v>
      </c>
      <c r="N384" s="90">
        <f t="shared" si="548"/>
        <v>0.45899999999999996</v>
      </c>
      <c r="O384" s="90">
        <f t="shared" si="548"/>
        <v>0</v>
      </c>
      <c r="P384" s="90"/>
      <c r="Q384" s="90">
        <f>+Q381*(100-$G381)/100</f>
        <v>3.4169999999999998</v>
      </c>
      <c r="R384" s="90">
        <f>+R381*(100-$G381)/100</f>
        <v>16.829999999999998</v>
      </c>
      <c r="S384" s="90"/>
      <c r="T384" s="90">
        <f t="shared" ref="T384:U384" si="549">+T381*(100-$G381)/100</f>
        <v>6.63</v>
      </c>
      <c r="U384" s="90">
        <f t="shared" si="549"/>
        <v>0.10200000000000001</v>
      </c>
      <c r="V384" s="90"/>
      <c r="W384" s="90"/>
      <c r="X384" s="90"/>
      <c r="Y384" s="90"/>
      <c r="Z384" s="90">
        <f t="shared" ref="Z384:AA384" si="550">+Z381*(100-$G381)/100</f>
        <v>9.1799999999999993E-2</v>
      </c>
      <c r="AA384" s="90">
        <f t="shared" si="550"/>
        <v>8.16</v>
      </c>
      <c r="AB384" s="90">
        <f t="shared" ref="AB384:AH384" si="551">+AB381*(100-$G381)/100</f>
        <v>15.402000000000001</v>
      </c>
      <c r="AC384" s="90">
        <f t="shared" si="551"/>
        <v>2.0400000000000001E-2</v>
      </c>
      <c r="AD384" s="90">
        <f t="shared" si="551"/>
        <v>1.0200000000000001E-2</v>
      </c>
      <c r="AE384" s="90">
        <f t="shared" si="551"/>
        <v>0</v>
      </c>
      <c r="AF384" s="90">
        <f t="shared" si="551"/>
        <v>969</v>
      </c>
      <c r="AG384" s="90">
        <f t="shared" si="551"/>
        <v>80.750000000000014</v>
      </c>
      <c r="AH384" s="90">
        <f t="shared" si="551"/>
        <v>161.50000000000003</v>
      </c>
      <c r="AI384" s="90"/>
      <c r="AJ384" s="90">
        <f>+AJ381*(100-$G381)/100</f>
        <v>0</v>
      </c>
    </row>
    <row r="385" spans="1:36">
      <c r="A385" s="3"/>
      <c r="B385" s="76"/>
      <c r="C385" s="16"/>
      <c r="D385" s="3"/>
      <c r="E385" s="77"/>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spans="1:36" s="84" customFormat="1" ht="16">
      <c r="A386" s="82">
        <v>616</v>
      </c>
      <c r="B386" s="82" t="s">
        <v>295</v>
      </c>
      <c r="C386" s="82"/>
      <c r="D386" s="80"/>
      <c r="E386" s="83" t="s">
        <v>609</v>
      </c>
      <c r="F386" s="80">
        <f>AVERAGE(G380:G381)</f>
        <v>46.5</v>
      </c>
      <c r="G386" s="80">
        <f>AVERAGE(G383:G384)</f>
        <v>0</v>
      </c>
      <c r="H386" s="80"/>
      <c r="I386" s="80"/>
      <c r="J386" s="80">
        <f t="shared" ref="J386:O386" si="552">AVERAGE(J383:J384)</f>
        <v>49.054000000000002</v>
      </c>
      <c r="K386" s="80">
        <f t="shared" si="552"/>
        <v>0.26250000000000001</v>
      </c>
      <c r="L386" s="80">
        <f t="shared" si="552"/>
        <v>0.31850000000000001</v>
      </c>
      <c r="M386" s="80">
        <f t="shared" si="552"/>
        <v>0.10700000000000001</v>
      </c>
      <c r="N386" s="80">
        <f t="shared" si="552"/>
        <v>0.3135</v>
      </c>
      <c r="O386" s="80">
        <f t="shared" si="552"/>
        <v>0</v>
      </c>
      <c r="P386" s="80"/>
      <c r="Q386" s="80">
        <f>100-F386-J386-K386-L386-M386-N386-O386</f>
        <v>3.4444999999999975</v>
      </c>
      <c r="R386" s="80">
        <f t="shared" ref="R386" si="553">AVERAGE(R383:R384)</f>
        <v>16.534999999999997</v>
      </c>
      <c r="S386" s="80"/>
      <c r="T386" s="80">
        <f t="shared" ref="T386:AF386" si="554">AVERAGE(T383:T384)</f>
        <v>5.2750000000000004</v>
      </c>
      <c r="U386" s="80">
        <f t="shared" si="554"/>
        <v>0.13500000000000001</v>
      </c>
      <c r="V386" s="80"/>
      <c r="W386" s="80"/>
      <c r="X386" s="80"/>
      <c r="Y386" s="80"/>
      <c r="Z386" s="80">
        <f t="shared" si="554"/>
        <v>7.3899999999999993E-2</v>
      </c>
      <c r="AA386" s="80">
        <f t="shared" si="554"/>
        <v>5.2</v>
      </c>
      <c r="AB386" s="80">
        <f t="shared" si="554"/>
        <v>9.7170000000000005</v>
      </c>
      <c r="AC386" s="80">
        <f t="shared" si="554"/>
        <v>1.8599999999999998E-2</v>
      </c>
      <c r="AD386" s="80">
        <f t="shared" si="554"/>
        <v>1.6300000000000002E-2</v>
      </c>
      <c r="AE386" s="80">
        <f t="shared" si="554"/>
        <v>0</v>
      </c>
      <c r="AF386" s="80">
        <f t="shared" si="554"/>
        <v>625.34</v>
      </c>
      <c r="AG386" s="80">
        <f>+AE386+AF386/12</f>
        <v>52.111666666666672</v>
      </c>
      <c r="AH386" s="80">
        <f>+AE386+AF386/6</f>
        <v>104.22333333333334</v>
      </c>
      <c r="AI386" s="80"/>
      <c r="AJ386" s="80">
        <f>AVERAGE(AJ383:AJ384)</f>
        <v>0</v>
      </c>
    </row>
    <row r="389" spans="1:36" s="116" customFormat="1" ht="32">
      <c r="A389" s="112"/>
      <c r="B389" s="113"/>
      <c r="C389" s="114" t="s">
        <v>607</v>
      </c>
      <c r="D389" s="112">
        <v>14209</v>
      </c>
      <c r="E389" s="115" t="s">
        <v>701</v>
      </c>
      <c r="F389" s="112"/>
      <c r="G389" s="112">
        <v>0</v>
      </c>
      <c r="H389" s="112"/>
      <c r="I389" s="112"/>
      <c r="J389" s="112">
        <v>99.39</v>
      </c>
      <c r="K389" s="112">
        <v>0.35</v>
      </c>
      <c r="L389" s="112">
        <v>0.12</v>
      </c>
      <c r="M389" s="112">
        <v>0.02</v>
      </c>
      <c r="N389" s="112">
        <v>0</v>
      </c>
      <c r="O389" s="112">
        <v>0</v>
      </c>
      <c r="P389" s="112">
        <v>0</v>
      </c>
      <c r="Q389" s="112"/>
      <c r="R389" s="112">
        <v>1</v>
      </c>
      <c r="S389" s="112"/>
      <c r="T389" s="112">
        <v>2</v>
      </c>
      <c r="U389" s="112">
        <v>0.01</v>
      </c>
      <c r="V389" s="112"/>
      <c r="W389" s="112"/>
      <c r="X389" s="112"/>
      <c r="Y389" s="112"/>
      <c r="Z389" s="112">
        <v>0.02</v>
      </c>
      <c r="AA389" s="112">
        <v>2</v>
      </c>
      <c r="AB389" s="112">
        <v>0</v>
      </c>
      <c r="AC389" s="112">
        <v>1.4E-2</v>
      </c>
      <c r="AD389" s="112">
        <v>7.5999999999999998E-2</v>
      </c>
      <c r="AE389" s="112">
        <v>0</v>
      </c>
      <c r="AF389" s="112">
        <v>0</v>
      </c>
      <c r="AG389" s="112">
        <v>0</v>
      </c>
      <c r="AH389" s="112">
        <v>0</v>
      </c>
      <c r="AI389" s="112"/>
      <c r="AJ389" s="112">
        <v>0</v>
      </c>
    </row>
    <row r="390" spans="1:36" s="116" customFormat="1" ht="16">
      <c r="A390" s="112"/>
      <c r="B390" s="113"/>
      <c r="C390" s="114" t="s">
        <v>607</v>
      </c>
      <c r="D390" s="112">
        <v>14278</v>
      </c>
      <c r="E390" s="115" t="s">
        <v>702</v>
      </c>
      <c r="F390" s="112"/>
      <c r="G390" s="112">
        <v>0</v>
      </c>
      <c r="H390" s="112"/>
      <c r="I390" s="112"/>
      <c r="J390" s="112">
        <v>99.93</v>
      </c>
      <c r="K390" s="112">
        <v>0</v>
      </c>
      <c r="L390" s="112">
        <v>0.22</v>
      </c>
      <c r="M390" s="112">
        <v>0</v>
      </c>
      <c r="N390" s="112">
        <v>0</v>
      </c>
      <c r="O390" s="112">
        <v>0</v>
      </c>
      <c r="P390" s="112">
        <v>0</v>
      </c>
      <c r="Q390" s="112"/>
      <c r="R390" s="112">
        <v>1</v>
      </c>
      <c r="S390" s="112"/>
      <c r="T390" s="112">
        <v>0</v>
      </c>
      <c r="U390" s="112">
        <v>0.02</v>
      </c>
      <c r="V390" s="112"/>
      <c r="W390" s="112"/>
      <c r="X390" s="112"/>
      <c r="Y390" s="112"/>
      <c r="Z390" s="112">
        <v>0.01</v>
      </c>
      <c r="AA390" s="112">
        <v>0</v>
      </c>
      <c r="AB390" s="112">
        <v>0</v>
      </c>
      <c r="AC390" s="112">
        <v>7.0000000000000001E-3</v>
      </c>
      <c r="AD390" s="112">
        <v>5.8000000000000003E-2</v>
      </c>
      <c r="AE390" s="112">
        <v>0</v>
      </c>
      <c r="AF390" s="112">
        <v>0</v>
      </c>
      <c r="AG390" s="112">
        <v>0</v>
      </c>
      <c r="AH390" s="112">
        <v>0</v>
      </c>
      <c r="AI390" s="112"/>
      <c r="AJ390" s="112">
        <v>0</v>
      </c>
    </row>
    <row r="391" spans="1:36" s="116" customFormat="1" ht="32">
      <c r="A391" s="112"/>
      <c r="B391" s="113"/>
      <c r="C391" s="114" t="s">
        <v>607</v>
      </c>
      <c r="D391" s="112">
        <v>1105</v>
      </c>
      <c r="E391" s="115" t="s">
        <v>703</v>
      </c>
      <c r="F391" s="112"/>
      <c r="G391" s="112">
        <v>0</v>
      </c>
      <c r="H391" s="112"/>
      <c r="I391" s="112"/>
      <c r="J391" s="112">
        <v>82.45</v>
      </c>
      <c r="K391" s="112">
        <v>0.65</v>
      </c>
      <c r="L391" s="112">
        <v>3.52</v>
      </c>
      <c r="M391" s="112">
        <v>2.34</v>
      </c>
      <c r="N391" s="112">
        <v>1</v>
      </c>
      <c r="O391" s="112">
        <v>0</v>
      </c>
      <c r="P391" s="112">
        <v>10.74</v>
      </c>
      <c r="Q391" s="112"/>
      <c r="R391" s="112">
        <v>77</v>
      </c>
      <c r="S391" s="112"/>
      <c r="T391" s="112">
        <v>114</v>
      </c>
      <c r="U391" s="112">
        <v>0.42</v>
      </c>
      <c r="V391" s="112"/>
      <c r="W391" s="112"/>
      <c r="X391" s="112"/>
      <c r="Y391" s="112"/>
      <c r="Z391" s="112">
        <v>0.63</v>
      </c>
      <c r="AA391" s="112">
        <v>5</v>
      </c>
      <c r="AB391" s="112">
        <v>0.2</v>
      </c>
      <c r="AC391" s="112">
        <v>3.9E-2</v>
      </c>
      <c r="AD391" s="112">
        <v>0.182</v>
      </c>
      <c r="AE391" s="112">
        <v>51</v>
      </c>
      <c r="AF391" s="112">
        <v>4</v>
      </c>
      <c r="AG391" s="112">
        <v>51</v>
      </c>
      <c r="AH391" s="112">
        <v>51</v>
      </c>
      <c r="AI391" s="112"/>
      <c r="AJ391" s="112">
        <v>0.49</v>
      </c>
    </row>
    <row r="392" spans="1:36">
      <c r="A392" s="3"/>
      <c r="B392" s="76"/>
      <c r="C392" s="16"/>
      <c r="D392" s="3"/>
      <c r="E392" s="77"/>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spans="1:36" s="84" customFormat="1">
      <c r="A393" s="82">
        <v>1105</v>
      </c>
      <c r="B393" s="82" t="s">
        <v>366</v>
      </c>
      <c r="C393" s="82"/>
      <c r="D393" s="80"/>
      <c r="E393" s="83"/>
      <c r="F393" s="80"/>
      <c r="G393" s="80">
        <f>AVERAGE(G389:G391)</f>
        <v>0</v>
      </c>
      <c r="H393" s="80"/>
      <c r="I393" s="80"/>
      <c r="J393" s="80">
        <f t="shared" ref="J393:P393" si="555">AVERAGE(J389:J391)</f>
        <v>93.923333333333332</v>
      </c>
      <c r="K393" s="80">
        <f t="shared" si="555"/>
        <v>0.33333333333333331</v>
      </c>
      <c r="L393" s="80">
        <f t="shared" si="555"/>
        <v>1.2866666666666666</v>
      </c>
      <c r="M393" s="80">
        <f t="shared" si="555"/>
        <v>0.78666666666666663</v>
      </c>
      <c r="N393" s="80">
        <f t="shared" si="555"/>
        <v>0.33333333333333331</v>
      </c>
      <c r="O393" s="80">
        <f t="shared" si="555"/>
        <v>0</v>
      </c>
      <c r="P393" s="80">
        <f t="shared" si="555"/>
        <v>3.58</v>
      </c>
      <c r="Q393" s="80"/>
      <c r="R393" s="80">
        <f>AVERAGE(R389:R391)</f>
        <v>26.333333333333332</v>
      </c>
      <c r="S393" s="80"/>
      <c r="T393" s="80">
        <f t="shared" ref="T393:AH393" si="556">AVERAGE(T389:T391)</f>
        <v>38.666666666666664</v>
      </c>
      <c r="U393" s="80">
        <f t="shared" si="556"/>
        <v>0.15</v>
      </c>
      <c r="V393" s="80"/>
      <c r="W393" s="80"/>
      <c r="X393" s="80"/>
      <c r="Y393" s="80"/>
      <c r="Z393" s="80">
        <f t="shared" si="556"/>
        <v>0.22</v>
      </c>
      <c r="AA393" s="80">
        <f t="shared" si="556"/>
        <v>2.3333333333333335</v>
      </c>
      <c r="AB393" s="80">
        <f t="shared" si="556"/>
        <v>6.6666666666666666E-2</v>
      </c>
      <c r="AC393" s="80">
        <f t="shared" si="556"/>
        <v>0.02</v>
      </c>
      <c r="AD393" s="80">
        <f t="shared" si="556"/>
        <v>0.10533333333333333</v>
      </c>
      <c r="AE393" s="80">
        <f t="shared" si="556"/>
        <v>17</v>
      </c>
      <c r="AF393" s="80">
        <f t="shared" si="556"/>
        <v>1.3333333333333333</v>
      </c>
      <c r="AG393" s="80">
        <f t="shared" si="556"/>
        <v>17</v>
      </c>
      <c r="AH393" s="80">
        <f t="shared" si="556"/>
        <v>17</v>
      </c>
      <c r="AI393" s="80"/>
      <c r="AJ393" s="80">
        <f>AVERAGE(AJ389:AJ391)</f>
        <v>0.16333333333333333</v>
      </c>
    </row>
  </sheetData>
  <autoFilter ref="A1:AU1" xr:uid="{00000000-0009-0000-0000-000005000000}"/>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9"/>
  <sheetViews>
    <sheetView showGridLines="0" tabSelected="1" zoomScaleNormal="100" workbookViewId="0">
      <selection activeCell="F4" sqref="F4"/>
    </sheetView>
  </sheetViews>
  <sheetFormatPr baseColWidth="10" defaultColWidth="9.1640625" defaultRowHeight="14"/>
  <cols>
    <col min="1" max="1" width="9.5" style="163" customWidth="1"/>
    <col min="2" max="2" width="17" style="163" customWidth="1"/>
    <col min="3" max="3" width="11" style="163" customWidth="1"/>
    <col min="4" max="4" width="14.1640625" style="163" customWidth="1"/>
    <col min="5" max="5" width="26.5" style="163" customWidth="1"/>
    <col min="6" max="6" width="25.5" style="163" customWidth="1"/>
    <col min="7" max="7" width="98.83203125" style="163" customWidth="1"/>
    <col min="8" max="16384" width="9.1640625" style="163"/>
  </cols>
  <sheetData>
    <row r="1" spans="1:7" ht="22" customHeight="1">
      <c r="A1" s="280" t="s">
        <v>1710</v>
      </c>
      <c r="B1" s="280"/>
      <c r="C1" s="280"/>
      <c r="D1" s="280"/>
      <c r="E1" s="280"/>
      <c r="F1" s="280"/>
      <c r="G1" s="280"/>
    </row>
    <row r="2" spans="1:7" ht="28" customHeight="1">
      <c r="A2" s="218" t="s">
        <v>1080</v>
      </c>
      <c r="B2" s="218"/>
      <c r="C2" s="218"/>
      <c r="D2" s="218"/>
      <c r="E2" s="218"/>
      <c r="F2" s="218"/>
      <c r="G2" s="218"/>
    </row>
    <row r="3" spans="1:7" ht="49" thickBot="1">
      <c r="A3" s="219" t="s">
        <v>727</v>
      </c>
      <c r="B3" s="220" t="s">
        <v>728</v>
      </c>
      <c r="C3" s="220" t="s">
        <v>729</v>
      </c>
      <c r="D3" s="219" t="s">
        <v>730</v>
      </c>
      <c r="E3" s="220" t="s">
        <v>969</v>
      </c>
      <c r="F3" s="221" t="s">
        <v>970</v>
      </c>
      <c r="G3" s="222" t="s">
        <v>731</v>
      </c>
    </row>
    <row r="4" spans="1:7" ht="48">
      <c r="A4" s="194">
        <v>1</v>
      </c>
      <c r="B4" s="195" t="s">
        <v>732</v>
      </c>
      <c r="C4" s="197" t="s">
        <v>733</v>
      </c>
      <c r="D4" s="162">
        <v>101</v>
      </c>
      <c r="E4" s="164" t="s">
        <v>734</v>
      </c>
      <c r="F4" s="165" t="s">
        <v>735</v>
      </c>
      <c r="G4" s="132" t="s">
        <v>736</v>
      </c>
    </row>
    <row r="5" spans="1:7" ht="48">
      <c r="A5" s="194"/>
      <c r="B5" s="196"/>
      <c r="C5" s="197"/>
      <c r="D5" s="146">
        <v>102</v>
      </c>
      <c r="E5" s="147" t="s">
        <v>737</v>
      </c>
      <c r="F5" s="148" t="s">
        <v>738</v>
      </c>
      <c r="G5" s="133" t="s">
        <v>739</v>
      </c>
    </row>
    <row r="6" spans="1:7" ht="48">
      <c r="A6" s="194"/>
      <c r="B6" s="196"/>
      <c r="C6" s="197"/>
      <c r="D6" s="146">
        <v>103</v>
      </c>
      <c r="E6" s="147" t="s">
        <v>740</v>
      </c>
      <c r="F6" s="148" t="s">
        <v>741</v>
      </c>
      <c r="G6" s="133" t="s">
        <v>742</v>
      </c>
    </row>
    <row r="7" spans="1:7" ht="32">
      <c r="A7" s="194"/>
      <c r="B7" s="196"/>
      <c r="C7" s="197"/>
      <c r="D7" s="146">
        <v>104</v>
      </c>
      <c r="E7" s="147" t="s">
        <v>743</v>
      </c>
      <c r="F7" s="148" t="s">
        <v>744</v>
      </c>
      <c r="G7" s="133" t="s">
        <v>745</v>
      </c>
    </row>
    <row r="8" spans="1:7" ht="32">
      <c r="A8" s="194"/>
      <c r="B8" s="196"/>
      <c r="C8" s="197"/>
      <c r="D8" s="146">
        <v>105</v>
      </c>
      <c r="E8" s="147" t="s">
        <v>746</v>
      </c>
      <c r="F8" s="148" t="s">
        <v>747</v>
      </c>
      <c r="G8" s="133" t="s">
        <v>748</v>
      </c>
    </row>
    <row r="9" spans="1:7" ht="65" thickBot="1">
      <c r="A9" s="194"/>
      <c r="B9" s="196"/>
      <c r="C9" s="197"/>
      <c r="D9" s="149">
        <v>106</v>
      </c>
      <c r="E9" s="150" t="s">
        <v>749</v>
      </c>
      <c r="F9" s="151" t="s">
        <v>750</v>
      </c>
      <c r="G9" s="133" t="s">
        <v>751</v>
      </c>
    </row>
    <row r="10" spans="1:7" ht="32">
      <c r="A10" s="198">
        <v>2</v>
      </c>
      <c r="B10" s="200" t="s">
        <v>752</v>
      </c>
      <c r="C10" s="202" t="s">
        <v>753</v>
      </c>
      <c r="D10" s="143">
        <v>201</v>
      </c>
      <c r="E10" s="166" t="s">
        <v>754</v>
      </c>
      <c r="F10" s="145" t="s">
        <v>755</v>
      </c>
      <c r="G10" s="134" t="s">
        <v>756</v>
      </c>
    </row>
    <row r="11" spans="1:7" ht="48">
      <c r="A11" s="194"/>
      <c r="B11" s="196"/>
      <c r="C11" s="197"/>
      <c r="D11" s="146">
        <v>202</v>
      </c>
      <c r="E11" s="147" t="s">
        <v>757</v>
      </c>
      <c r="F11" s="148" t="s">
        <v>758</v>
      </c>
      <c r="G11" s="135" t="s">
        <v>759</v>
      </c>
    </row>
    <row r="12" spans="1:7" ht="32">
      <c r="A12" s="194"/>
      <c r="B12" s="196"/>
      <c r="C12" s="197"/>
      <c r="D12" s="146">
        <v>203</v>
      </c>
      <c r="E12" s="147" t="s">
        <v>760</v>
      </c>
      <c r="F12" s="148" t="s">
        <v>761</v>
      </c>
      <c r="G12" s="135" t="s">
        <v>762</v>
      </c>
    </row>
    <row r="13" spans="1:7" ht="32">
      <c r="A13" s="194"/>
      <c r="B13" s="196"/>
      <c r="C13" s="197"/>
      <c r="D13" s="146">
        <v>204</v>
      </c>
      <c r="E13" s="147" t="s">
        <v>763</v>
      </c>
      <c r="F13" s="148" t="s">
        <v>764</v>
      </c>
      <c r="G13" s="135" t="s">
        <v>765</v>
      </c>
    </row>
    <row r="14" spans="1:7" ht="64">
      <c r="A14" s="194"/>
      <c r="B14" s="196"/>
      <c r="C14" s="197"/>
      <c r="D14" s="146">
        <v>205</v>
      </c>
      <c r="E14" s="147" t="s">
        <v>766</v>
      </c>
      <c r="F14" s="148" t="s">
        <v>767</v>
      </c>
      <c r="G14" s="135" t="s">
        <v>768</v>
      </c>
    </row>
    <row r="15" spans="1:7" ht="33" thickBot="1">
      <c r="A15" s="199"/>
      <c r="B15" s="201"/>
      <c r="C15" s="203"/>
      <c r="D15" s="149">
        <v>206</v>
      </c>
      <c r="E15" s="150" t="s">
        <v>769</v>
      </c>
      <c r="F15" s="151" t="s">
        <v>770</v>
      </c>
      <c r="G15" s="136" t="s">
        <v>771</v>
      </c>
    </row>
    <row r="16" spans="1:7" ht="32">
      <c r="A16" s="198">
        <v>3</v>
      </c>
      <c r="B16" s="200" t="s">
        <v>772</v>
      </c>
      <c r="C16" s="202" t="s">
        <v>773</v>
      </c>
      <c r="D16" s="143">
        <v>301</v>
      </c>
      <c r="E16" s="144" t="s">
        <v>774</v>
      </c>
      <c r="F16" s="145" t="s">
        <v>775</v>
      </c>
      <c r="G16" s="132" t="s">
        <v>776</v>
      </c>
    </row>
    <row r="17" spans="1:7" ht="32">
      <c r="A17" s="194"/>
      <c r="B17" s="196"/>
      <c r="C17" s="197"/>
      <c r="D17" s="146">
        <v>302</v>
      </c>
      <c r="E17" s="147" t="s">
        <v>777</v>
      </c>
      <c r="F17" s="148" t="s">
        <v>778</v>
      </c>
      <c r="G17" s="133" t="s">
        <v>779</v>
      </c>
    </row>
    <row r="18" spans="1:7" ht="49" thickBot="1">
      <c r="A18" s="194"/>
      <c r="B18" s="196"/>
      <c r="C18" s="197"/>
      <c r="D18" s="149">
        <v>303</v>
      </c>
      <c r="E18" s="150" t="s">
        <v>780</v>
      </c>
      <c r="F18" s="151" t="s">
        <v>781</v>
      </c>
      <c r="G18" s="133" t="s">
        <v>782</v>
      </c>
    </row>
    <row r="19" spans="1:7" ht="64">
      <c r="A19" s="198">
        <v>4</v>
      </c>
      <c r="B19" s="200" t="s">
        <v>783</v>
      </c>
      <c r="C19" s="202" t="s">
        <v>783</v>
      </c>
      <c r="D19" s="143">
        <v>401</v>
      </c>
      <c r="E19" s="144" t="s">
        <v>784</v>
      </c>
      <c r="F19" s="145" t="s">
        <v>785</v>
      </c>
      <c r="G19" s="132" t="s">
        <v>786</v>
      </c>
    </row>
    <row r="20" spans="1:7" ht="32">
      <c r="A20" s="194"/>
      <c r="B20" s="196"/>
      <c r="C20" s="197"/>
      <c r="D20" s="146">
        <v>402</v>
      </c>
      <c r="E20" s="147" t="s">
        <v>787</v>
      </c>
      <c r="F20" s="148" t="s">
        <v>787</v>
      </c>
      <c r="G20" s="133" t="s">
        <v>788</v>
      </c>
    </row>
    <row r="21" spans="1:7" ht="48">
      <c r="A21" s="194"/>
      <c r="B21" s="196"/>
      <c r="C21" s="197"/>
      <c r="D21" s="146">
        <v>403</v>
      </c>
      <c r="E21" s="147" t="s">
        <v>789</v>
      </c>
      <c r="F21" s="148" t="s">
        <v>790</v>
      </c>
      <c r="G21" s="133" t="s">
        <v>791</v>
      </c>
    </row>
    <row r="22" spans="1:7" ht="33" thickBot="1">
      <c r="A22" s="199"/>
      <c r="B22" s="201"/>
      <c r="C22" s="203"/>
      <c r="D22" s="149">
        <v>404</v>
      </c>
      <c r="E22" s="150" t="s">
        <v>792</v>
      </c>
      <c r="F22" s="151" t="s">
        <v>792</v>
      </c>
      <c r="G22" s="137" t="s">
        <v>793</v>
      </c>
    </row>
    <row r="23" spans="1:7" ht="49" thickBot="1">
      <c r="A23" s="167">
        <v>5</v>
      </c>
      <c r="B23" s="168" t="s">
        <v>794</v>
      </c>
      <c r="C23" s="169" t="s">
        <v>795</v>
      </c>
      <c r="D23" s="155">
        <v>501</v>
      </c>
      <c r="E23" s="156" t="s">
        <v>796</v>
      </c>
      <c r="F23" s="157" t="s">
        <v>797</v>
      </c>
      <c r="G23" s="132" t="s">
        <v>798</v>
      </c>
    </row>
    <row r="24" spans="1:7" ht="48">
      <c r="A24" s="198">
        <v>6</v>
      </c>
      <c r="B24" s="200" t="s">
        <v>799</v>
      </c>
      <c r="C24" s="202" t="s">
        <v>800</v>
      </c>
      <c r="D24" s="143">
        <v>601</v>
      </c>
      <c r="E24" s="144" t="s">
        <v>801</v>
      </c>
      <c r="F24" s="145" t="s">
        <v>802</v>
      </c>
      <c r="G24" s="132" t="s">
        <v>803</v>
      </c>
    </row>
    <row r="25" spans="1:7" ht="48">
      <c r="A25" s="194"/>
      <c r="B25" s="196"/>
      <c r="C25" s="197"/>
      <c r="D25" s="146">
        <v>602</v>
      </c>
      <c r="E25" s="147" t="s">
        <v>804</v>
      </c>
      <c r="F25" s="148" t="s">
        <v>805</v>
      </c>
      <c r="G25" s="133" t="s">
        <v>806</v>
      </c>
    </row>
    <row r="26" spans="1:7" ht="48">
      <c r="A26" s="194"/>
      <c r="B26" s="196"/>
      <c r="C26" s="197"/>
      <c r="D26" s="146">
        <v>603</v>
      </c>
      <c r="E26" s="147" t="s">
        <v>807</v>
      </c>
      <c r="F26" s="148" t="s">
        <v>808</v>
      </c>
      <c r="G26" s="133" t="s">
        <v>809</v>
      </c>
    </row>
    <row r="27" spans="1:7" ht="48">
      <c r="A27" s="194"/>
      <c r="B27" s="196"/>
      <c r="C27" s="197"/>
      <c r="D27" s="146">
        <v>604</v>
      </c>
      <c r="E27" s="147" t="s">
        <v>810</v>
      </c>
      <c r="F27" s="148" t="s">
        <v>811</v>
      </c>
      <c r="G27" s="133" t="s">
        <v>812</v>
      </c>
    </row>
    <row r="28" spans="1:7" ht="48">
      <c r="A28" s="194"/>
      <c r="B28" s="196"/>
      <c r="C28" s="197"/>
      <c r="D28" s="146">
        <v>605</v>
      </c>
      <c r="E28" s="147" t="s">
        <v>813</v>
      </c>
      <c r="F28" s="148" t="s">
        <v>814</v>
      </c>
      <c r="G28" s="133" t="s">
        <v>815</v>
      </c>
    </row>
    <row r="29" spans="1:7" ht="48">
      <c r="A29" s="194"/>
      <c r="B29" s="196"/>
      <c r="C29" s="197"/>
      <c r="D29" s="146">
        <v>606</v>
      </c>
      <c r="E29" s="158" t="s">
        <v>816</v>
      </c>
      <c r="F29" s="148" t="s">
        <v>817</v>
      </c>
      <c r="G29" s="133" t="s">
        <v>818</v>
      </c>
    </row>
    <row r="30" spans="1:7" ht="49" thickBot="1">
      <c r="A30" s="194"/>
      <c r="B30" s="196"/>
      <c r="C30" s="197"/>
      <c r="D30" s="149">
        <v>607</v>
      </c>
      <c r="E30" s="150" t="s">
        <v>819</v>
      </c>
      <c r="F30" s="151" t="s">
        <v>820</v>
      </c>
      <c r="G30" s="133" t="s">
        <v>821</v>
      </c>
    </row>
    <row r="31" spans="1:7" ht="32">
      <c r="A31" s="204">
        <v>7</v>
      </c>
      <c r="B31" s="206" t="s">
        <v>822</v>
      </c>
      <c r="C31" s="208" t="s">
        <v>823</v>
      </c>
      <c r="D31" s="143">
        <v>701</v>
      </c>
      <c r="E31" s="144" t="s">
        <v>824</v>
      </c>
      <c r="F31" s="145" t="s">
        <v>811</v>
      </c>
      <c r="G31" s="132" t="s">
        <v>825</v>
      </c>
    </row>
    <row r="32" spans="1:7" ht="80">
      <c r="A32" s="194"/>
      <c r="B32" s="207"/>
      <c r="C32" s="209"/>
      <c r="D32" s="146">
        <v>702</v>
      </c>
      <c r="E32" s="147" t="s">
        <v>826</v>
      </c>
      <c r="F32" s="148" t="s">
        <v>827</v>
      </c>
      <c r="G32" s="133" t="s">
        <v>828</v>
      </c>
    </row>
    <row r="33" spans="1:7" ht="48">
      <c r="A33" s="194"/>
      <c r="B33" s="207"/>
      <c r="C33" s="209"/>
      <c r="D33" s="146">
        <v>703</v>
      </c>
      <c r="E33" s="147" t="s">
        <v>829</v>
      </c>
      <c r="F33" s="148" t="s">
        <v>830</v>
      </c>
      <c r="G33" s="133" t="s">
        <v>831</v>
      </c>
    </row>
    <row r="34" spans="1:7" ht="48">
      <c r="A34" s="194"/>
      <c r="B34" s="207"/>
      <c r="C34" s="209"/>
      <c r="D34" s="146">
        <v>704</v>
      </c>
      <c r="E34" s="158" t="s">
        <v>832</v>
      </c>
      <c r="F34" s="148" t="s">
        <v>833</v>
      </c>
      <c r="G34" s="133" t="s">
        <v>834</v>
      </c>
    </row>
    <row r="35" spans="1:7" ht="33" thickBot="1">
      <c r="A35" s="205"/>
      <c r="B35" s="207"/>
      <c r="C35" s="209"/>
      <c r="D35" s="149">
        <v>705</v>
      </c>
      <c r="E35" s="150" t="s">
        <v>835</v>
      </c>
      <c r="F35" s="151" t="s">
        <v>836</v>
      </c>
      <c r="G35" s="133" t="s">
        <v>837</v>
      </c>
    </row>
    <row r="36" spans="1:7" ht="33" thickBot="1">
      <c r="A36" s="152">
        <v>8</v>
      </c>
      <c r="B36" s="153" t="s">
        <v>838</v>
      </c>
      <c r="C36" s="154" t="s">
        <v>839</v>
      </c>
      <c r="D36" s="155">
        <v>801</v>
      </c>
      <c r="E36" s="156" t="s">
        <v>839</v>
      </c>
      <c r="F36" s="157" t="s">
        <v>839</v>
      </c>
      <c r="G36" s="138" t="s">
        <v>840</v>
      </c>
    </row>
    <row r="37" spans="1:7" ht="48">
      <c r="A37" s="204">
        <v>9</v>
      </c>
      <c r="B37" s="204" t="s">
        <v>841</v>
      </c>
      <c r="C37" s="204" t="s">
        <v>842</v>
      </c>
      <c r="D37" s="143">
        <v>901</v>
      </c>
      <c r="E37" s="170" t="s">
        <v>843</v>
      </c>
      <c r="F37" s="171" t="s">
        <v>844</v>
      </c>
      <c r="G37" s="132" t="s">
        <v>845</v>
      </c>
    </row>
    <row r="38" spans="1:7" ht="32">
      <c r="A38" s="194"/>
      <c r="B38" s="194"/>
      <c r="C38" s="194"/>
      <c r="D38" s="146">
        <v>902</v>
      </c>
      <c r="E38" s="158" t="s">
        <v>846</v>
      </c>
      <c r="F38" s="182" t="s">
        <v>847</v>
      </c>
      <c r="G38" s="139"/>
    </row>
    <row r="39" spans="1:7" ht="96">
      <c r="A39" s="194"/>
      <c r="B39" s="194"/>
      <c r="C39" s="194"/>
      <c r="D39" s="146">
        <v>903</v>
      </c>
      <c r="E39" s="147" t="s">
        <v>848</v>
      </c>
      <c r="F39" s="148" t="s">
        <v>849</v>
      </c>
      <c r="G39" s="133" t="s">
        <v>972</v>
      </c>
    </row>
    <row r="40" spans="1:7" ht="32">
      <c r="A40" s="194"/>
      <c r="B40" s="194"/>
      <c r="C40" s="194"/>
      <c r="D40" s="146">
        <v>904</v>
      </c>
      <c r="E40" s="147" t="s">
        <v>850</v>
      </c>
      <c r="F40" s="148" t="s">
        <v>851</v>
      </c>
      <c r="G40" s="133" t="s">
        <v>852</v>
      </c>
    </row>
    <row r="41" spans="1:7" ht="48">
      <c r="A41" s="194"/>
      <c r="B41" s="194"/>
      <c r="C41" s="194"/>
      <c r="D41" s="146">
        <v>905</v>
      </c>
      <c r="E41" s="147" t="s">
        <v>853</v>
      </c>
      <c r="F41" s="148" t="s">
        <v>854</v>
      </c>
      <c r="G41" s="133" t="s">
        <v>855</v>
      </c>
    </row>
    <row r="42" spans="1:7" ht="33" thickBot="1">
      <c r="A42" s="199"/>
      <c r="B42" s="205"/>
      <c r="C42" s="205"/>
      <c r="D42" s="174">
        <v>906</v>
      </c>
      <c r="E42" s="175" t="s">
        <v>856</v>
      </c>
      <c r="F42" s="176" t="s">
        <v>857</v>
      </c>
      <c r="G42" s="139" t="s">
        <v>858</v>
      </c>
    </row>
    <row r="43" spans="1:7" ht="16">
      <c r="A43" s="198">
        <v>10</v>
      </c>
      <c r="B43" s="200" t="s">
        <v>859</v>
      </c>
      <c r="C43" s="202" t="s">
        <v>860</v>
      </c>
      <c r="D43" s="143">
        <v>1001</v>
      </c>
      <c r="E43" s="177" t="s">
        <v>861</v>
      </c>
      <c r="F43" s="178" t="s">
        <v>862</v>
      </c>
      <c r="G43" s="132"/>
    </row>
    <row r="44" spans="1:7" ht="48">
      <c r="A44" s="194"/>
      <c r="B44" s="196"/>
      <c r="C44" s="197"/>
      <c r="D44" s="146">
        <v>1002</v>
      </c>
      <c r="E44" s="147" t="s">
        <v>863</v>
      </c>
      <c r="F44" s="148" t="s">
        <v>864</v>
      </c>
      <c r="G44" s="140" t="s">
        <v>971</v>
      </c>
    </row>
    <row r="45" spans="1:7" ht="16">
      <c r="A45" s="194"/>
      <c r="B45" s="196"/>
      <c r="C45" s="197"/>
      <c r="D45" s="146">
        <v>1003</v>
      </c>
      <c r="E45" s="147" t="s">
        <v>865</v>
      </c>
      <c r="F45" s="148" t="s">
        <v>866</v>
      </c>
      <c r="G45" s="133" t="s">
        <v>867</v>
      </c>
    </row>
    <row r="46" spans="1:7" ht="33" thickBot="1">
      <c r="A46" s="199"/>
      <c r="B46" s="201"/>
      <c r="C46" s="203"/>
      <c r="D46" s="149">
        <v>1004</v>
      </c>
      <c r="E46" s="150" t="s">
        <v>868</v>
      </c>
      <c r="F46" s="151" t="s">
        <v>869</v>
      </c>
      <c r="G46" s="137" t="s">
        <v>870</v>
      </c>
    </row>
    <row r="47" spans="1:7" ht="32">
      <c r="A47" s="198">
        <v>11</v>
      </c>
      <c r="B47" s="200" t="s">
        <v>871</v>
      </c>
      <c r="C47" s="202" t="s">
        <v>871</v>
      </c>
      <c r="D47" s="162">
        <v>1101</v>
      </c>
      <c r="E47" s="164" t="s">
        <v>872</v>
      </c>
      <c r="F47" s="165" t="s">
        <v>873</v>
      </c>
      <c r="G47" s="132" t="s">
        <v>874</v>
      </c>
    </row>
    <row r="48" spans="1:7" ht="32">
      <c r="A48" s="194"/>
      <c r="B48" s="210"/>
      <c r="C48" s="197"/>
      <c r="D48" s="146">
        <v>1102</v>
      </c>
      <c r="E48" s="179" t="s">
        <v>875</v>
      </c>
      <c r="F48" s="180" t="s">
        <v>875</v>
      </c>
      <c r="G48" s="139" t="s">
        <v>876</v>
      </c>
    </row>
    <row r="49" spans="1:7" ht="17" thickBot="1">
      <c r="A49" s="199"/>
      <c r="B49" s="201"/>
      <c r="C49" s="203"/>
      <c r="D49" s="159">
        <v>1103</v>
      </c>
      <c r="E49" s="160" t="s">
        <v>877</v>
      </c>
      <c r="F49" s="161" t="s">
        <v>877</v>
      </c>
      <c r="G49" s="137" t="s">
        <v>878</v>
      </c>
    </row>
    <row r="50" spans="1:7" ht="48">
      <c r="A50" s="198">
        <v>12</v>
      </c>
      <c r="B50" s="204" t="s">
        <v>879</v>
      </c>
      <c r="C50" s="204" t="s">
        <v>879</v>
      </c>
      <c r="D50" s="143">
        <v>1201</v>
      </c>
      <c r="E50" s="144" t="s">
        <v>880</v>
      </c>
      <c r="F50" s="145" t="s">
        <v>880</v>
      </c>
      <c r="G50" s="132" t="s">
        <v>881</v>
      </c>
    </row>
    <row r="51" spans="1:7" ht="32">
      <c r="A51" s="194"/>
      <c r="B51" s="194"/>
      <c r="C51" s="194"/>
      <c r="D51" s="146">
        <v>1202</v>
      </c>
      <c r="E51" s="147" t="s">
        <v>882</v>
      </c>
      <c r="F51" s="148" t="s">
        <v>882</v>
      </c>
      <c r="G51" s="133" t="s">
        <v>883</v>
      </c>
    </row>
    <row r="52" spans="1:7" ht="32">
      <c r="A52" s="194"/>
      <c r="B52" s="194"/>
      <c r="C52" s="194"/>
      <c r="D52" s="146">
        <v>1203</v>
      </c>
      <c r="E52" s="147" t="s">
        <v>884</v>
      </c>
      <c r="F52" s="148" t="s">
        <v>884</v>
      </c>
      <c r="G52" s="133" t="s">
        <v>885</v>
      </c>
    </row>
    <row r="53" spans="1:7" ht="32">
      <c r="A53" s="194"/>
      <c r="B53" s="194"/>
      <c r="C53" s="194"/>
      <c r="D53" s="146">
        <v>1204</v>
      </c>
      <c r="E53" s="147" t="s">
        <v>886</v>
      </c>
      <c r="F53" s="148" t="s">
        <v>886</v>
      </c>
      <c r="G53" s="133" t="s">
        <v>887</v>
      </c>
    </row>
    <row r="54" spans="1:7" ht="32">
      <c r="A54" s="194"/>
      <c r="B54" s="194"/>
      <c r="C54" s="194"/>
      <c r="D54" s="146">
        <v>1205</v>
      </c>
      <c r="E54" s="181" t="s">
        <v>888</v>
      </c>
      <c r="F54" s="148" t="s">
        <v>888</v>
      </c>
      <c r="G54" s="133" t="s">
        <v>889</v>
      </c>
    </row>
    <row r="55" spans="1:7" ht="33" thickBot="1">
      <c r="A55" s="199"/>
      <c r="B55" s="205"/>
      <c r="C55" s="205"/>
      <c r="D55" s="149">
        <v>1206</v>
      </c>
      <c r="E55" s="150" t="s">
        <v>890</v>
      </c>
      <c r="F55" s="151" t="s">
        <v>891</v>
      </c>
      <c r="G55" s="139" t="s">
        <v>892</v>
      </c>
    </row>
    <row r="56" spans="1:7" ht="32">
      <c r="A56" s="198">
        <v>13</v>
      </c>
      <c r="B56" s="200" t="s">
        <v>893</v>
      </c>
      <c r="C56" s="202" t="s">
        <v>893</v>
      </c>
      <c r="D56" s="162">
        <v>1301</v>
      </c>
      <c r="E56" s="164" t="s">
        <v>894</v>
      </c>
      <c r="F56" s="165" t="s">
        <v>894</v>
      </c>
      <c r="G56" s="141" t="s">
        <v>895</v>
      </c>
    </row>
    <row r="57" spans="1:7" ht="17" thickBot="1">
      <c r="A57" s="194"/>
      <c r="B57" s="196"/>
      <c r="C57" s="197"/>
      <c r="D57" s="159">
        <v>1302</v>
      </c>
      <c r="E57" s="160" t="s">
        <v>896</v>
      </c>
      <c r="F57" s="161" t="s">
        <v>896</v>
      </c>
      <c r="G57" s="142" t="s">
        <v>897</v>
      </c>
    </row>
    <row r="58" spans="1:7" ht="32">
      <c r="A58" s="198">
        <v>14</v>
      </c>
      <c r="B58" s="200" t="s">
        <v>898</v>
      </c>
      <c r="C58" s="202" t="s">
        <v>898</v>
      </c>
      <c r="D58" s="143">
        <v>1401</v>
      </c>
      <c r="E58" s="144" t="s">
        <v>899</v>
      </c>
      <c r="F58" s="145" t="s">
        <v>899</v>
      </c>
      <c r="G58" s="132" t="s">
        <v>900</v>
      </c>
    </row>
    <row r="59" spans="1:7" ht="32">
      <c r="A59" s="194"/>
      <c r="B59" s="196"/>
      <c r="C59" s="197"/>
      <c r="D59" s="146">
        <v>1402</v>
      </c>
      <c r="E59" s="147" t="s">
        <v>901</v>
      </c>
      <c r="F59" s="148" t="s">
        <v>901</v>
      </c>
      <c r="G59" s="133" t="s">
        <v>902</v>
      </c>
    </row>
    <row r="60" spans="1:7" ht="48">
      <c r="A60" s="194"/>
      <c r="B60" s="196"/>
      <c r="C60" s="197"/>
      <c r="D60" s="146">
        <v>1403</v>
      </c>
      <c r="E60" s="147" t="s">
        <v>903</v>
      </c>
      <c r="F60" s="148" t="s">
        <v>903</v>
      </c>
      <c r="G60" s="133" t="s">
        <v>904</v>
      </c>
    </row>
    <row r="61" spans="1:7" ht="16">
      <c r="A61" s="194"/>
      <c r="B61" s="196"/>
      <c r="C61" s="197"/>
      <c r="D61" s="146">
        <v>1404</v>
      </c>
      <c r="E61" s="172" t="s">
        <v>905</v>
      </c>
      <c r="F61" s="173" t="s">
        <v>905</v>
      </c>
      <c r="G61" s="133"/>
    </row>
    <row r="62" spans="1:7" ht="32">
      <c r="A62" s="194"/>
      <c r="B62" s="196"/>
      <c r="C62" s="197"/>
      <c r="D62" s="146">
        <v>1405</v>
      </c>
      <c r="E62" s="147" t="s">
        <v>906</v>
      </c>
      <c r="F62" s="148" t="s">
        <v>906</v>
      </c>
      <c r="G62" s="133" t="s">
        <v>907</v>
      </c>
    </row>
    <row r="63" spans="1:7" ht="32">
      <c r="A63" s="194"/>
      <c r="B63" s="196"/>
      <c r="C63" s="197"/>
      <c r="D63" s="146">
        <v>1406</v>
      </c>
      <c r="E63" s="147" t="s">
        <v>908</v>
      </c>
      <c r="F63" s="148" t="s">
        <v>908</v>
      </c>
      <c r="G63" s="133" t="s">
        <v>909</v>
      </c>
    </row>
    <row r="64" spans="1:7" ht="17" thickBot="1">
      <c r="A64" s="199"/>
      <c r="B64" s="201"/>
      <c r="C64" s="203"/>
      <c r="D64" s="149">
        <v>1407</v>
      </c>
      <c r="E64" s="150" t="s">
        <v>910</v>
      </c>
      <c r="F64" s="151" t="s">
        <v>910</v>
      </c>
      <c r="G64" s="137" t="s">
        <v>911</v>
      </c>
    </row>
    <row r="65" spans="1:7" ht="48">
      <c r="A65" s="198">
        <v>15</v>
      </c>
      <c r="B65" s="200" t="s">
        <v>912</v>
      </c>
      <c r="C65" s="202" t="s">
        <v>912</v>
      </c>
      <c r="D65" s="143">
        <v>1501</v>
      </c>
      <c r="E65" s="144" t="s">
        <v>913</v>
      </c>
      <c r="F65" s="145" t="s">
        <v>914</v>
      </c>
      <c r="G65" s="132" t="s">
        <v>915</v>
      </c>
    </row>
    <row r="66" spans="1:7" ht="16">
      <c r="A66" s="194"/>
      <c r="B66" s="196"/>
      <c r="C66" s="197"/>
      <c r="D66" s="146">
        <v>1502</v>
      </c>
      <c r="E66" s="147" t="s">
        <v>916</v>
      </c>
      <c r="F66" s="148" t="s">
        <v>916</v>
      </c>
      <c r="G66" s="133" t="s">
        <v>917</v>
      </c>
    </row>
    <row r="67" spans="1:7" ht="32">
      <c r="A67" s="194"/>
      <c r="B67" s="196"/>
      <c r="C67" s="197"/>
      <c r="D67" s="146">
        <v>1503</v>
      </c>
      <c r="E67" s="147" t="s">
        <v>918</v>
      </c>
      <c r="F67" s="148" t="s">
        <v>918</v>
      </c>
      <c r="G67" s="133" t="s">
        <v>919</v>
      </c>
    </row>
    <row r="68" spans="1:7" ht="33" thickBot="1">
      <c r="A68" s="199"/>
      <c r="B68" s="201"/>
      <c r="C68" s="203"/>
      <c r="D68" s="149">
        <v>1504</v>
      </c>
      <c r="E68" s="150" t="s">
        <v>920</v>
      </c>
      <c r="F68" s="151" t="s">
        <v>920</v>
      </c>
      <c r="G68" s="137" t="s">
        <v>921</v>
      </c>
    </row>
    <row r="69" spans="1:7" ht="49" thickBot="1">
      <c r="A69" s="152">
        <v>16</v>
      </c>
      <c r="B69" s="153" t="s">
        <v>922</v>
      </c>
      <c r="C69" s="154" t="s">
        <v>922</v>
      </c>
      <c r="D69" s="155">
        <v>1601</v>
      </c>
      <c r="E69" s="156" t="s">
        <v>922</v>
      </c>
      <c r="F69" s="157" t="s">
        <v>922</v>
      </c>
      <c r="G69" s="138" t="s">
        <v>923</v>
      </c>
    </row>
    <row r="70" spans="1:7" ht="32">
      <c r="A70" s="204">
        <v>17</v>
      </c>
      <c r="B70" s="200" t="s">
        <v>924</v>
      </c>
      <c r="C70" s="202" t="s">
        <v>924</v>
      </c>
      <c r="D70" s="143">
        <v>1701</v>
      </c>
      <c r="E70" s="144" t="s">
        <v>925</v>
      </c>
      <c r="F70" s="145" t="s">
        <v>925</v>
      </c>
      <c r="G70" s="132" t="s">
        <v>926</v>
      </c>
    </row>
    <row r="71" spans="1:7" ht="16">
      <c r="A71" s="194"/>
      <c r="B71" s="196"/>
      <c r="C71" s="197"/>
      <c r="D71" s="146">
        <v>1702</v>
      </c>
      <c r="E71" s="158" t="s">
        <v>927</v>
      </c>
      <c r="F71" s="148" t="s">
        <v>927</v>
      </c>
      <c r="G71" s="133" t="s">
        <v>928</v>
      </c>
    </row>
    <row r="72" spans="1:7" ht="16">
      <c r="A72" s="194"/>
      <c r="B72" s="196"/>
      <c r="C72" s="197"/>
      <c r="D72" s="146">
        <v>1703</v>
      </c>
      <c r="E72" s="147" t="s">
        <v>929</v>
      </c>
      <c r="F72" s="148" t="s">
        <v>929</v>
      </c>
      <c r="G72" s="133" t="s">
        <v>930</v>
      </c>
    </row>
    <row r="73" spans="1:7" ht="32">
      <c r="A73" s="194"/>
      <c r="B73" s="196"/>
      <c r="C73" s="197"/>
      <c r="D73" s="146">
        <v>1704</v>
      </c>
      <c r="E73" s="147" t="s">
        <v>931</v>
      </c>
      <c r="F73" s="148" t="s">
        <v>931</v>
      </c>
      <c r="G73" s="133" t="s">
        <v>932</v>
      </c>
    </row>
    <row r="74" spans="1:7" ht="48">
      <c r="A74" s="194"/>
      <c r="B74" s="196"/>
      <c r="C74" s="197"/>
      <c r="D74" s="146">
        <v>1705</v>
      </c>
      <c r="E74" s="147" t="s">
        <v>933</v>
      </c>
      <c r="F74" s="148" t="s">
        <v>933</v>
      </c>
      <c r="G74" s="133" t="s">
        <v>934</v>
      </c>
    </row>
    <row r="75" spans="1:7" ht="33" thickBot="1">
      <c r="A75" s="194"/>
      <c r="B75" s="201"/>
      <c r="C75" s="203"/>
      <c r="D75" s="159">
        <v>1706</v>
      </c>
      <c r="E75" s="160" t="s">
        <v>935</v>
      </c>
      <c r="F75" s="161" t="s">
        <v>935</v>
      </c>
      <c r="G75" s="142" t="s">
        <v>936</v>
      </c>
    </row>
    <row r="76" spans="1:7" ht="16">
      <c r="A76" s="204">
        <v>18</v>
      </c>
      <c r="B76" s="204" t="s">
        <v>937</v>
      </c>
      <c r="C76" s="202" t="s">
        <v>937</v>
      </c>
      <c r="D76" s="143">
        <v>1801</v>
      </c>
      <c r="E76" s="144" t="s">
        <v>938</v>
      </c>
      <c r="F76" s="145" t="s">
        <v>938</v>
      </c>
      <c r="G76" s="143" t="s">
        <v>939</v>
      </c>
    </row>
    <row r="77" spans="1:7" ht="32">
      <c r="A77" s="194"/>
      <c r="B77" s="194"/>
      <c r="C77" s="197"/>
      <c r="D77" s="146">
        <v>1802</v>
      </c>
      <c r="E77" s="147" t="s">
        <v>940</v>
      </c>
      <c r="F77" s="148" t="s">
        <v>941</v>
      </c>
      <c r="G77" s="146" t="s">
        <v>942</v>
      </c>
    </row>
    <row r="78" spans="1:7" ht="16">
      <c r="A78" s="194"/>
      <c r="B78" s="194"/>
      <c r="C78" s="197"/>
      <c r="D78" s="146">
        <v>1803</v>
      </c>
      <c r="E78" s="147" t="s">
        <v>943</v>
      </c>
      <c r="F78" s="148" t="s">
        <v>943</v>
      </c>
      <c r="G78" s="146" t="s">
        <v>944</v>
      </c>
    </row>
    <row r="79" spans="1:7" ht="32">
      <c r="A79" s="194"/>
      <c r="B79" s="194"/>
      <c r="C79" s="197"/>
      <c r="D79" s="146">
        <v>1804</v>
      </c>
      <c r="E79" s="147" t="s">
        <v>945</v>
      </c>
      <c r="F79" s="148" t="s">
        <v>945</v>
      </c>
      <c r="G79" s="146" t="s">
        <v>946</v>
      </c>
    </row>
    <row r="80" spans="1:7" ht="32">
      <c r="A80" s="194"/>
      <c r="B80" s="194"/>
      <c r="C80" s="197"/>
      <c r="D80" s="146">
        <v>1805</v>
      </c>
      <c r="E80" s="147" t="s">
        <v>947</v>
      </c>
      <c r="F80" s="148" t="s">
        <v>947</v>
      </c>
      <c r="G80" s="146" t="s">
        <v>948</v>
      </c>
    </row>
    <row r="81" spans="1:7" ht="32">
      <c r="A81" s="194"/>
      <c r="B81" s="194"/>
      <c r="C81" s="197"/>
      <c r="D81" s="146">
        <v>1806</v>
      </c>
      <c r="E81" s="147" t="s">
        <v>949</v>
      </c>
      <c r="F81" s="148" t="s">
        <v>949</v>
      </c>
      <c r="G81" s="146" t="s">
        <v>950</v>
      </c>
    </row>
    <row r="82" spans="1:7" ht="32">
      <c r="A82" s="194"/>
      <c r="B82" s="194"/>
      <c r="C82" s="197"/>
      <c r="D82" s="146">
        <v>1807</v>
      </c>
      <c r="E82" s="147" t="s">
        <v>951</v>
      </c>
      <c r="F82" s="148" t="s">
        <v>951</v>
      </c>
      <c r="G82" s="146" t="s">
        <v>952</v>
      </c>
    </row>
    <row r="83" spans="1:7" ht="32">
      <c r="A83" s="194"/>
      <c r="B83" s="194"/>
      <c r="C83" s="197"/>
      <c r="D83" s="146">
        <v>1808</v>
      </c>
      <c r="E83" s="147" t="s">
        <v>953</v>
      </c>
      <c r="F83" s="148" t="s">
        <v>953</v>
      </c>
      <c r="G83" s="146" t="s">
        <v>954</v>
      </c>
    </row>
    <row r="84" spans="1:7" ht="32">
      <c r="A84" s="194"/>
      <c r="B84" s="194"/>
      <c r="C84" s="197"/>
      <c r="D84" s="146">
        <v>1809</v>
      </c>
      <c r="E84" s="147" t="s">
        <v>955</v>
      </c>
      <c r="F84" s="148" t="s">
        <v>955</v>
      </c>
      <c r="G84" s="146" t="s">
        <v>956</v>
      </c>
    </row>
    <row r="85" spans="1:7" ht="32">
      <c r="A85" s="194"/>
      <c r="B85" s="194"/>
      <c r="C85" s="197"/>
      <c r="D85" s="146">
        <v>1810</v>
      </c>
      <c r="E85" s="147" t="s">
        <v>957</v>
      </c>
      <c r="F85" s="148" t="s">
        <v>957</v>
      </c>
      <c r="G85" s="146" t="s">
        <v>958</v>
      </c>
    </row>
    <row r="86" spans="1:7" ht="32">
      <c r="A86" s="194"/>
      <c r="B86" s="194"/>
      <c r="C86" s="197"/>
      <c r="D86" s="146">
        <v>1811</v>
      </c>
      <c r="E86" s="147" t="s">
        <v>959</v>
      </c>
      <c r="F86" s="148" t="s">
        <v>959</v>
      </c>
      <c r="G86" s="146" t="s">
        <v>960</v>
      </c>
    </row>
    <row r="87" spans="1:7" ht="33" thickBot="1">
      <c r="A87" s="194"/>
      <c r="B87" s="194"/>
      <c r="C87" s="197"/>
      <c r="D87" s="149">
        <v>1812</v>
      </c>
      <c r="E87" s="160" t="s">
        <v>961</v>
      </c>
      <c r="F87" s="161" t="s">
        <v>961</v>
      </c>
      <c r="G87" s="159" t="s">
        <v>962</v>
      </c>
    </row>
    <row r="88" spans="1:7" ht="16">
      <c r="A88" s="204">
        <v>19</v>
      </c>
      <c r="B88" s="204" t="s">
        <v>963</v>
      </c>
      <c r="C88" s="204" t="s">
        <v>964</v>
      </c>
      <c r="D88" s="162">
        <v>1901</v>
      </c>
      <c r="E88" s="144" t="s">
        <v>965</v>
      </c>
      <c r="F88" s="145" t="s">
        <v>965</v>
      </c>
      <c r="G88" s="143" t="s">
        <v>966</v>
      </c>
    </row>
    <row r="89" spans="1:7" ht="17" thickBot="1">
      <c r="A89" s="205"/>
      <c r="B89" s="205"/>
      <c r="C89" s="205"/>
      <c r="D89" s="149">
        <v>1902</v>
      </c>
      <c r="E89" s="150" t="s">
        <v>967</v>
      </c>
      <c r="F89" s="151" t="s">
        <v>967</v>
      </c>
      <c r="G89" s="149" t="s">
        <v>968</v>
      </c>
    </row>
  </sheetData>
  <mergeCells count="50">
    <mergeCell ref="A1:G1"/>
    <mergeCell ref="A76:A87"/>
    <mergeCell ref="B76:B87"/>
    <mergeCell ref="C76:C87"/>
    <mergeCell ref="A88:A89"/>
    <mergeCell ref="B88:B89"/>
    <mergeCell ref="C88:C89"/>
    <mergeCell ref="A65:A68"/>
    <mergeCell ref="B65:B68"/>
    <mergeCell ref="C65:C68"/>
    <mergeCell ref="A70:A75"/>
    <mergeCell ref="B70:B75"/>
    <mergeCell ref="C70:C75"/>
    <mergeCell ref="A56:A57"/>
    <mergeCell ref="B56:B57"/>
    <mergeCell ref="C56:C57"/>
    <mergeCell ref="A58:A64"/>
    <mergeCell ref="B58:B64"/>
    <mergeCell ref="C58:C64"/>
    <mergeCell ref="A47:A49"/>
    <mergeCell ref="B47:B49"/>
    <mergeCell ref="C47:C49"/>
    <mergeCell ref="A50:A55"/>
    <mergeCell ref="B50:B55"/>
    <mergeCell ref="C50:C55"/>
    <mergeCell ref="A37:A42"/>
    <mergeCell ref="B37:B42"/>
    <mergeCell ref="C37:C42"/>
    <mergeCell ref="A43:A46"/>
    <mergeCell ref="B43:B46"/>
    <mergeCell ref="C43:C46"/>
    <mergeCell ref="A24:A30"/>
    <mergeCell ref="B24:B30"/>
    <mergeCell ref="C24:C30"/>
    <mergeCell ref="A31:A35"/>
    <mergeCell ref="B31:B35"/>
    <mergeCell ref="C31:C35"/>
    <mergeCell ref="A16:A18"/>
    <mergeCell ref="B16:B18"/>
    <mergeCell ref="C16:C18"/>
    <mergeCell ref="A19:A22"/>
    <mergeCell ref="B19:B22"/>
    <mergeCell ref="C19:C22"/>
    <mergeCell ref="A2:G2"/>
    <mergeCell ref="A4:A9"/>
    <mergeCell ref="B4:B9"/>
    <mergeCell ref="C4:C9"/>
    <mergeCell ref="A10:A15"/>
    <mergeCell ref="B10:B15"/>
    <mergeCell ref="C10:C15"/>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FF3B-A22C-E342-920D-E33E71A8199C}">
  <dimension ref="A1:G48"/>
  <sheetViews>
    <sheetView showGridLines="0" workbookViewId="0">
      <selection sqref="A1:G1"/>
    </sheetView>
  </sheetViews>
  <sheetFormatPr baseColWidth="10" defaultRowHeight="13"/>
  <cols>
    <col min="1" max="1" width="24" customWidth="1"/>
    <col min="2" max="2" width="26" customWidth="1"/>
    <col min="3" max="3" width="65.83203125" customWidth="1"/>
    <col min="4" max="4" width="5.1640625" customWidth="1"/>
    <col min="5" max="5" width="5.6640625" customWidth="1"/>
    <col min="6" max="6" width="86.83203125" customWidth="1"/>
    <col min="7" max="7" width="52.6640625" customWidth="1"/>
  </cols>
  <sheetData>
    <row r="1" spans="1:7" ht="19" customHeight="1">
      <c r="A1" s="281" t="s">
        <v>1709</v>
      </c>
      <c r="B1" s="281"/>
      <c r="C1" s="281"/>
      <c r="D1" s="281"/>
      <c r="E1" s="281"/>
      <c r="F1" s="281"/>
      <c r="G1" s="281"/>
    </row>
    <row r="2" spans="1:7" ht="66" customHeight="1" thickBot="1">
      <c r="A2" s="223" t="s">
        <v>1079</v>
      </c>
      <c r="B2" s="223"/>
      <c r="C2" s="223"/>
      <c r="D2" s="223"/>
      <c r="E2" s="223"/>
      <c r="F2" s="223"/>
      <c r="G2" s="223"/>
    </row>
    <row r="3" spans="1:7" ht="93" customHeight="1" thickBot="1">
      <c r="A3" s="217" t="s">
        <v>976</v>
      </c>
      <c r="B3" s="295"/>
      <c r="C3" s="295"/>
      <c r="D3" s="296"/>
      <c r="E3" s="296"/>
      <c r="F3" s="214" t="s">
        <v>1078</v>
      </c>
      <c r="G3" s="214"/>
    </row>
    <row r="4" spans="1:7" ht="16" thickBot="1">
      <c r="A4" s="282">
        <v>1</v>
      </c>
      <c r="B4" s="295"/>
      <c r="C4" s="295"/>
      <c r="D4" s="296"/>
      <c r="E4" s="296"/>
      <c r="F4" s="215" t="s">
        <v>1009</v>
      </c>
      <c r="G4" s="215" t="s">
        <v>1010</v>
      </c>
    </row>
    <row r="5" spans="1:7" ht="17" thickBot="1">
      <c r="A5" s="284">
        <v>2</v>
      </c>
      <c r="B5" s="217" t="s">
        <v>977</v>
      </c>
      <c r="C5" s="217" t="s">
        <v>978</v>
      </c>
      <c r="D5" s="296"/>
      <c r="E5" s="296"/>
      <c r="F5" s="216" t="s">
        <v>1011</v>
      </c>
      <c r="G5" s="216"/>
    </row>
    <row r="6" spans="1:7" ht="45">
      <c r="A6" s="284">
        <v>3</v>
      </c>
      <c r="B6" s="283" t="s">
        <v>733</v>
      </c>
      <c r="C6" s="283" t="s">
        <v>979</v>
      </c>
      <c r="F6" s="288" t="s">
        <v>283</v>
      </c>
      <c r="G6" s="288" t="s">
        <v>1012</v>
      </c>
    </row>
    <row r="7" spans="1:7" ht="30">
      <c r="A7" s="284">
        <v>4</v>
      </c>
      <c r="B7" s="285" t="s">
        <v>980</v>
      </c>
      <c r="C7" s="285" t="s">
        <v>981</v>
      </c>
      <c r="F7" s="289" t="s">
        <v>1013</v>
      </c>
      <c r="G7" s="289" t="s">
        <v>1014</v>
      </c>
    </row>
    <row r="8" spans="1:7" ht="30">
      <c r="A8" s="284">
        <v>5</v>
      </c>
      <c r="B8" s="285" t="s">
        <v>982</v>
      </c>
      <c r="C8" s="285" t="s">
        <v>983</v>
      </c>
      <c r="F8" s="289" t="s">
        <v>1015</v>
      </c>
      <c r="G8" s="289" t="s">
        <v>1016</v>
      </c>
    </row>
    <row r="9" spans="1:7" ht="30">
      <c r="A9" s="284">
        <v>6</v>
      </c>
      <c r="B9" s="285" t="s">
        <v>984</v>
      </c>
      <c r="C9" s="285" t="s">
        <v>985</v>
      </c>
      <c r="F9" s="289" t="s">
        <v>1017</v>
      </c>
      <c r="G9" s="289" t="s">
        <v>1018</v>
      </c>
    </row>
    <row r="10" spans="1:7" ht="30">
      <c r="A10" s="284">
        <v>7</v>
      </c>
      <c r="B10" s="285" t="s">
        <v>849</v>
      </c>
      <c r="C10" s="285" t="s">
        <v>986</v>
      </c>
      <c r="F10" s="289" t="s">
        <v>1019</v>
      </c>
      <c r="G10" s="289" t="s">
        <v>1012</v>
      </c>
    </row>
    <row r="11" spans="1:7" ht="30">
      <c r="A11" s="284">
        <v>8</v>
      </c>
      <c r="B11" s="285" t="s">
        <v>987</v>
      </c>
      <c r="C11" s="285" t="s">
        <v>988</v>
      </c>
      <c r="F11" s="290" t="s">
        <v>1077</v>
      </c>
      <c r="G11" s="289" t="s">
        <v>1020</v>
      </c>
    </row>
    <row r="12" spans="1:7" ht="15">
      <c r="A12" s="284">
        <v>9</v>
      </c>
      <c r="B12" s="285" t="s">
        <v>989</v>
      </c>
      <c r="C12" s="285" t="s">
        <v>990</v>
      </c>
      <c r="F12" s="289" t="s">
        <v>1021</v>
      </c>
      <c r="G12" s="289" t="s">
        <v>1022</v>
      </c>
    </row>
    <row r="13" spans="1:7" ht="60">
      <c r="A13" s="284">
        <v>10</v>
      </c>
      <c r="B13" s="285" t="s">
        <v>991</v>
      </c>
      <c r="C13" s="285" t="s">
        <v>992</v>
      </c>
      <c r="F13" s="289" t="s">
        <v>1023</v>
      </c>
      <c r="G13" s="289" t="s">
        <v>1024</v>
      </c>
    </row>
    <row r="14" spans="1:7" ht="15">
      <c r="A14" s="284">
        <v>11</v>
      </c>
      <c r="B14" s="285" t="s">
        <v>993</v>
      </c>
      <c r="C14" s="285" t="s">
        <v>994</v>
      </c>
      <c r="F14" s="289" t="s">
        <v>1025</v>
      </c>
      <c r="G14" s="289" t="s">
        <v>1026</v>
      </c>
    </row>
    <row r="15" spans="1:7" ht="15">
      <c r="A15" s="284">
        <v>12</v>
      </c>
      <c r="B15" s="285" t="s">
        <v>797</v>
      </c>
      <c r="C15" s="285" t="s">
        <v>995</v>
      </c>
      <c r="F15" s="289" t="s">
        <v>1027</v>
      </c>
      <c r="G15" s="289" t="s">
        <v>1028</v>
      </c>
    </row>
    <row r="16" spans="1:7" ht="75">
      <c r="A16" s="284">
        <v>13</v>
      </c>
      <c r="B16" s="285" t="s">
        <v>996</v>
      </c>
      <c r="C16" s="285" t="s">
        <v>997</v>
      </c>
      <c r="F16" s="289" t="s">
        <v>1029</v>
      </c>
      <c r="G16" s="289" t="s">
        <v>1030</v>
      </c>
    </row>
    <row r="17" spans="1:7" ht="30">
      <c r="A17" s="284">
        <v>14</v>
      </c>
      <c r="B17" s="285" t="s">
        <v>998</v>
      </c>
      <c r="C17" s="285" t="s">
        <v>999</v>
      </c>
      <c r="F17" s="289" t="s">
        <v>1031</v>
      </c>
      <c r="G17" s="289" t="s">
        <v>1032</v>
      </c>
    </row>
    <row r="18" spans="1:7" ht="30">
      <c r="A18" s="284">
        <v>15</v>
      </c>
      <c r="B18" s="285" t="s">
        <v>783</v>
      </c>
      <c r="C18" s="285" t="s">
        <v>1000</v>
      </c>
      <c r="F18" s="289" t="s">
        <v>1033</v>
      </c>
      <c r="G18" s="289" t="s">
        <v>1034</v>
      </c>
    </row>
    <row r="19" spans="1:7" ht="75">
      <c r="A19" s="284">
        <v>16</v>
      </c>
      <c r="B19" s="285" t="s">
        <v>1001</v>
      </c>
      <c r="C19" s="285" t="s">
        <v>1002</v>
      </c>
      <c r="F19" s="289" t="s">
        <v>1035</v>
      </c>
      <c r="G19" s="289" t="s">
        <v>1036</v>
      </c>
    </row>
    <row r="20" spans="1:7" ht="31" thickBot="1">
      <c r="A20" s="286">
        <v>17</v>
      </c>
      <c r="B20" s="285" t="s">
        <v>1003</v>
      </c>
      <c r="C20" s="285" t="s">
        <v>1004</v>
      </c>
      <c r="F20" s="289" t="s">
        <v>1037</v>
      </c>
      <c r="G20" s="289" t="s">
        <v>1038</v>
      </c>
    </row>
    <row r="21" spans="1:7" ht="30">
      <c r="B21" s="285" t="s">
        <v>1005</v>
      </c>
      <c r="C21" s="285" t="s">
        <v>1006</v>
      </c>
      <c r="F21" s="289" t="s">
        <v>1039</v>
      </c>
      <c r="G21" s="289" t="s">
        <v>1022</v>
      </c>
    </row>
    <row r="22" spans="1:7" ht="31" thickBot="1">
      <c r="B22" s="287" t="s">
        <v>1008</v>
      </c>
      <c r="C22" s="287" t="s">
        <v>1007</v>
      </c>
      <c r="F22" s="289" t="s">
        <v>1040</v>
      </c>
      <c r="G22" s="289" t="s">
        <v>1022</v>
      </c>
    </row>
    <row r="23" spans="1:7" ht="15">
      <c r="F23" s="289" t="s">
        <v>1041</v>
      </c>
      <c r="G23" s="289" t="s">
        <v>1042</v>
      </c>
    </row>
    <row r="24" spans="1:7" ht="15">
      <c r="F24" s="289" t="s">
        <v>1043</v>
      </c>
      <c r="G24" s="289" t="s">
        <v>1022</v>
      </c>
    </row>
    <row r="25" spans="1:7" ht="60">
      <c r="F25" s="289" t="s">
        <v>1044</v>
      </c>
      <c r="G25" s="289" t="s">
        <v>1045</v>
      </c>
    </row>
    <row r="26" spans="1:7" ht="15">
      <c r="F26" s="289" t="s">
        <v>1046</v>
      </c>
      <c r="G26" s="289" t="s">
        <v>1038</v>
      </c>
    </row>
    <row r="27" spans="1:7" ht="15">
      <c r="F27" s="289" t="s">
        <v>356</v>
      </c>
      <c r="G27" s="289" t="s">
        <v>1018</v>
      </c>
    </row>
    <row r="28" spans="1:7" ht="15">
      <c r="F28" s="289" t="s">
        <v>1047</v>
      </c>
      <c r="G28" s="289" t="s">
        <v>1048</v>
      </c>
    </row>
    <row r="29" spans="1:7" ht="60">
      <c r="F29" s="289" t="s">
        <v>1049</v>
      </c>
      <c r="G29" s="289" t="s">
        <v>1050</v>
      </c>
    </row>
    <row r="30" spans="1:7" ht="15">
      <c r="F30" s="289" t="s">
        <v>1051</v>
      </c>
      <c r="G30" s="289" t="s">
        <v>1052</v>
      </c>
    </row>
    <row r="31" spans="1:7" ht="15">
      <c r="F31" s="289" t="s">
        <v>1053</v>
      </c>
      <c r="G31" s="289" t="s">
        <v>1042</v>
      </c>
    </row>
    <row r="32" spans="1:7" ht="15">
      <c r="F32" s="289" t="s">
        <v>1054</v>
      </c>
      <c r="G32" s="289" t="s">
        <v>1038</v>
      </c>
    </row>
    <row r="33" spans="6:7" ht="75">
      <c r="F33" s="289" t="s">
        <v>1055</v>
      </c>
      <c r="G33" s="289" t="s">
        <v>1056</v>
      </c>
    </row>
    <row r="34" spans="6:7" ht="30">
      <c r="F34" s="289" t="s">
        <v>1057</v>
      </c>
      <c r="G34" s="289" t="s">
        <v>1058</v>
      </c>
    </row>
    <row r="35" spans="6:7" ht="15">
      <c r="F35" s="289" t="s">
        <v>1059</v>
      </c>
      <c r="G35" s="289" t="s">
        <v>1026</v>
      </c>
    </row>
    <row r="36" spans="6:7" ht="15">
      <c r="F36" s="289" t="s">
        <v>1060</v>
      </c>
      <c r="G36" s="289" t="s">
        <v>1022</v>
      </c>
    </row>
    <row r="37" spans="6:7" ht="90">
      <c r="F37" s="289" t="s">
        <v>1061</v>
      </c>
      <c r="G37" s="289" t="s">
        <v>1062</v>
      </c>
    </row>
    <row r="38" spans="6:7" ht="15" thickBot="1">
      <c r="F38" s="297" t="s">
        <v>1063</v>
      </c>
      <c r="G38" s="297"/>
    </row>
    <row r="39" spans="6:7" ht="15">
      <c r="F39" s="211" t="s">
        <v>1064</v>
      </c>
      <c r="G39" s="212" t="s">
        <v>1042</v>
      </c>
    </row>
    <row r="40" spans="6:7" ht="60">
      <c r="F40" s="291" t="s">
        <v>1065</v>
      </c>
      <c r="G40" s="292" t="s">
        <v>1066</v>
      </c>
    </row>
    <row r="41" spans="6:7" ht="90">
      <c r="F41" s="293"/>
      <c r="G41" s="289" t="s">
        <v>1067</v>
      </c>
    </row>
    <row r="42" spans="6:7" ht="90">
      <c r="F42" s="285" t="s">
        <v>1068</v>
      </c>
      <c r="G42" s="289" t="s">
        <v>1069</v>
      </c>
    </row>
    <row r="43" spans="6:7" ht="105">
      <c r="F43" s="289" t="s">
        <v>1070</v>
      </c>
      <c r="G43" s="289" t="s">
        <v>1071</v>
      </c>
    </row>
    <row r="44" spans="6:7" ht="105">
      <c r="F44" s="285" t="s">
        <v>1072</v>
      </c>
      <c r="G44" s="289" t="s">
        <v>1073</v>
      </c>
    </row>
    <row r="45" spans="6:7" ht="31" thickBot="1">
      <c r="F45" s="294" t="s">
        <v>1074</v>
      </c>
      <c r="G45" s="294" t="s">
        <v>1075</v>
      </c>
    </row>
    <row r="48" spans="6:7">
      <c r="F48" s="213" t="s">
        <v>1076</v>
      </c>
    </row>
  </sheetData>
  <mergeCells count="6">
    <mergeCell ref="A2:G2"/>
    <mergeCell ref="A1:G1"/>
    <mergeCell ref="F38:G38"/>
    <mergeCell ref="F40:F41"/>
    <mergeCell ref="F5:G5"/>
    <mergeCell ref="F3: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A348-C3AD-BE4B-84E4-EFB18000DC5D}">
  <dimension ref="A1:C527"/>
  <sheetViews>
    <sheetView showGridLines="0" workbookViewId="0">
      <selection activeCell="C2" sqref="C2"/>
    </sheetView>
  </sheetViews>
  <sheetFormatPr baseColWidth="10" defaultRowHeight="14"/>
  <cols>
    <col min="1" max="1" width="28.83203125" style="273" customWidth="1"/>
    <col min="2" max="2" width="22" style="25" customWidth="1"/>
    <col min="3" max="3" width="47.33203125" style="25" customWidth="1"/>
  </cols>
  <sheetData>
    <row r="1" spans="1:3" ht="25" customHeight="1" thickTop="1">
      <c r="A1" s="274" t="s">
        <v>1708</v>
      </c>
      <c r="B1" s="275"/>
      <c r="C1" s="276"/>
    </row>
    <row r="2" spans="1:3" ht="36" customHeight="1" thickBot="1">
      <c r="A2" s="277" t="s">
        <v>1081</v>
      </c>
      <c r="B2" s="278" t="s">
        <v>1082</v>
      </c>
      <c r="C2" s="279" t="s">
        <v>1083</v>
      </c>
    </row>
    <row r="3" spans="1:3" ht="16" thickTop="1">
      <c r="A3" s="224" t="s">
        <v>1084</v>
      </c>
      <c r="B3" s="225" t="s">
        <v>1085</v>
      </c>
      <c r="C3" s="226" t="s">
        <v>1086</v>
      </c>
    </row>
    <row r="4" spans="1:3" ht="15">
      <c r="A4" s="227"/>
      <c r="B4" s="228"/>
      <c r="C4" s="229" t="s">
        <v>1087</v>
      </c>
    </row>
    <row r="5" spans="1:3" ht="15">
      <c r="A5" s="227"/>
      <c r="B5" s="228"/>
      <c r="C5" s="229" t="s">
        <v>1088</v>
      </c>
    </row>
    <row r="6" spans="1:3" ht="15">
      <c r="A6" s="227"/>
      <c r="B6" s="228"/>
      <c r="C6" s="229" t="s">
        <v>1089</v>
      </c>
    </row>
    <row r="7" spans="1:3" ht="15">
      <c r="A7" s="227"/>
      <c r="B7" s="228"/>
      <c r="C7" s="229" t="s">
        <v>1090</v>
      </c>
    </row>
    <row r="8" spans="1:3" ht="15">
      <c r="A8" s="227"/>
      <c r="B8" s="228"/>
      <c r="C8" s="229" t="s">
        <v>1091</v>
      </c>
    </row>
    <row r="9" spans="1:3" ht="15">
      <c r="A9" s="227"/>
      <c r="B9" s="228"/>
      <c r="C9" s="229" t="s">
        <v>1092</v>
      </c>
    </row>
    <row r="10" spans="1:3" ht="15">
      <c r="A10" s="227"/>
      <c r="B10" s="228"/>
      <c r="C10" s="229" t="s">
        <v>1093</v>
      </c>
    </row>
    <row r="11" spans="1:3" ht="15">
      <c r="A11" s="227"/>
      <c r="B11" s="228"/>
      <c r="C11" s="229" t="s">
        <v>1094</v>
      </c>
    </row>
    <row r="12" spans="1:3" ht="15">
      <c r="A12" s="227"/>
      <c r="B12" s="228"/>
      <c r="C12" s="229" t="s">
        <v>1095</v>
      </c>
    </row>
    <row r="13" spans="1:3" ht="15">
      <c r="A13" s="227"/>
      <c r="B13" s="228"/>
      <c r="C13" s="229" t="s">
        <v>1096</v>
      </c>
    </row>
    <row r="14" spans="1:3" ht="15">
      <c r="A14" s="227"/>
      <c r="B14" s="228"/>
      <c r="C14" s="229" t="s">
        <v>1097</v>
      </c>
    </row>
    <row r="15" spans="1:3" ht="16" thickBot="1">
      <c r="A15" s="227"/>
      <c r="B15" s="230"/>
      <c r="C15" s="231" t="s">
        <v>1098</v>
      </c>
    </row>
    <row r="16" spans="1:3" ht="16" thickTop="1">
      <c r="A16" s="227"/>
      <c r="B16" s="225" t="s">
        <v>1099</v>
      </c>
      <c r="C16" s="226" t="s">
        <v>1100</v>
      </c>
    </row>
    <row r="17" spans="1:3" ht="15">
      <c r="A17" s="227"/>
      <c r="B17" s="228"/>
      <c r="C17" s="229" t="s">
        <v>1101</v>
      </c>
    </row>
    <row r="18" spans="1:3" ht="15">
      <c r="A18" s="227"/>
      <c r="B18" s="228"/>
      <c r="C18" s="229" t="s">
        <v>1102</v>
      </c>
    </row>
    <row r="19" spans="1:3" ht="15">
      <c r="A19" s="227"/>
      <c r="B19" s="228"/>
      <c r="C19" s="229" t="s">
        <v>1103</v>
      </c>
    </row>
    <row r="20" spans="1:3" ht="15">
      <c r="A20" s="227"/>
      <c r="B20" s="228"/>
      <c r="C20" s="229" t="s">
        <v>1104</v>
      </c>
    </row>
    <row r="21" spans="1:3" ht="15">
      <c r="A21" s="227"/>
      <c r="B21" s="228"/>
      <c r="C21" s="229" t="s">
        <v>1105</v>
      </c>
    </row>
    <row r="22" spans="1:3" ht="15">
      <c r="A22" s="227"/>
      <c r="B22" s="228"/>
      <c r="C22" s="229" t="s">
        <v>1106</v>
      </c>
    </row>
    <row r="23" spans="1:3" ht="15">
      <c r="A23" s="227"/>
      <c r="B23" s="228"/>
      <c r="C23" s="229" t="s">
        <v>1107</v>
      </c>
    </row>
    <row r="24" spans="1:3" ht="16" thickBot="1">
      <c r="A24" s="227"/>
      <c r="B24" s="230"/>
      <c r="C24" s="231" t="s">
        <v>1108</v>
      </c>
    </row>
    <row r="25" spans="1:3" ht="16" thickTop="1">
      <c r="A25" s="227"/>
      <c r="B25" s="225" t="s">
        <v>1109</v>
      </c>
      <c r="C25" s="226" t="s">
        <v>1110</v>
      </c>
    </row>
    <row r="26" spans="1:3" ht="15">
      <c r="A26" s="227"/>
      <c r="B26" s="228"/>
      <c r="C26" s="229" t="s">
        <v>1111</v>
      </c>
    </row>
    <row r="27" spans="1:3" ht="15">
      <c r="A27" s="227"/>
      <c r="B27" s="228"/>
      <c r="C27" s="229" t="s">
        <v>1112</v>
      </c>
    </row>
    <row r="28" spans="1:3" ht="15">
      <c r="A28" s="227"/>
      <c r="B28" s="228"/>
      <c r="C28" s="229" t="s">
        <v>1113</v>
      </c>
    </row>
    <row r="29" spans="1:3" ht="15">
      <c r="A29" s="227"/>
      <c r="B29" s="228"/>
      <c r="C29" s="229" t="s">
        <v>1114</v>
      </c>
    </row>
    <row r="30" spans="1:3" ht="15">
      <c r="A30" s="227"/>
      <c r="B30" s="228"/>
      <c r="C30" s="229" t="s">
        <v>1115</v>
      </c>
    </row>
    <row r="31" spans="1:3" ht="16" thickBot="1">
      <c r="A31" s="227"/>
      <c r="B31" s="230"/>
      <c r="C31" s="231" t="s">
        <v>1116</v>
      </c>
    </row>
    <row r="32" spans="1:3" ht="16" thickTop="1">
      <c r="A32" s="227"/>
      <c r="B32" s="225" t="s">
        <v>1117</v>
      </c>
      <c r="C32" s="226" t="s">
        <v>1118</v>
      </c>
    </row>
    <row r="33" spans="1:3" ht="15">
      <c r="A33" s="227"/>
      <c r="B33" s="228"/>
      <c r="C33" s="229" t="s">
        <v>1119</v>
      </c>
    </row>
    <row r="34" spans="1:3" ht="15">
      <c r="A34" s="227"/>
      <c r="B34" s="228"/>
      <c r="C34" s="229" t="s">
        <v>1120</v>
      </c>
    </row>
    <row r="35" spans="1:3" ht="15">
      <c r="A35" s="227"/>
      <c r="B35" s="228"/>
      <c r="C35" s="229" t="s">
        <v>1121</v>
      </c>
    </row>
    <row r="36" spans="1:3" ht="15">
      <c r="A36" s="227"/>
      <c r="B36" s="228"/>
      <c r="C36" s="229" t="s">
        <v>1122</v>
      </c>
    </row>
    <row r="37" spans="1:3" ht="15">
      <c r="A37" s="227"/>
      <c r="B37" s="228"/>
      <c r="C37" s="229" t="s">
        <v>1123</v>
      </c>
    </row>
    <row r="38" spans="1:3" ht="16" thickBot="1">
      <c r="A38" s="227"/>
      <c r="B38" s="230"/>
      <c r="C38" s="231" t="s">
        <v>1124</v>
      </c>
    </row>
    <row r="39" spans="1:3" ht="16" thickTop="1">
      <c r="A39" s="227"/>
      <c r="B39" s="225" t="s">
        <v>1125</v>
      </c>
      <c r="C39" s="226" t="s">
        <v>1126</v>
      </c>
    </row>
    <row r="40" spans="1:3" ht="15">
      <c r="A40" s="227"/>
      <c r="B40" s="228"/>
      <c r="C40" s="229" t="s">
        <v>1127</v>
      </c>
    </row>
    <row r="41" spans="1:3" ht="16" thickBot="1">
      <c r="A41" s="227"/>
      <c r="B41" s="230"/>
      <c r="C41" s="231" t="s">
        <v>1128</v>
      </c>
    </row>
    <row r="42" spans="1:3" ht="16" thickTop="1">
      <c r="A42" s="227"/>
      <c r="B42" s="225" t="s">
        <v>1129</v>
      </c>
      <c r="C42" s="226" t="s">
        <v>1130</v>
      </c>
    </row>
    <row r="43" spans="1:3" ht="15">
      <c r="A43" s="227"/>
      <c r="B43" s="228"/>
      <c r="C43" s="229" t="s">
        <v>1131</v>
      </c>
    </row>
    <row r="44" spans="1:3" ht="16" thickBot="1">
      <c r="A44" s="227"/>
      <c r="B44" s="230"/>
      <c r="C44" s="231" t="s">
        <v>1132</v>
      </c>
    </row>
    <row r="45" spans="1:3" ht="16" thickTop="1">
      <c r="A45" s="227"/>
      <c r="B45" s="225" t="s">
        <v>1133</v>
      </c>
      <c r="C45" s="226" t="s">
        <v>1134</v>
      </c>
    </row>
    <row r="46" spans="1:3" ht="15">
      <c r="A46" s="227"/>
      <c r="B46" s="228"/>
      <c r="C46" s="229" t="s">
        <v>1135</v>
      </c>
    </row>
    <row r="47" spans="1:3" ht="16" thickBot="1">
      <c r="A47" s="227"/>
      <c r="B47" s="230"/>
      <c r="C47" s="231" t="s">
        <v>1136</v>
      </c>
    </row>
    <row r="48" spans="1:3" ht="16" thickTop="1">
      <c r="A48" s="227"/>
      <c r="B48" s="225" t="s">
        <v>1137</v>
      </c>
      <c r="C48" s="226" t="s">
        <v>1138</v>
      </c>
    </row>
    <row r="49" spans="1:3" ht="15">
      <c r="A49" s="227"/>
      <c r="B49" s="228"/>
      <c r="C49" s="229" t="s">
        <v>1139</v>
      </c>
    </row>
    <row r="50" spans="1:3" ht="16" thickBot="1">
      <c r="A50" s="227"/>
      <c r="B50" s="230"/>
      <c r="C50" s="231" t="s">
        <v>1140</v>
      </c>
    </row>
    <row r="51" spans="1:3" ht="16" thickTop="1">
      <c r="A51" s="227"/>
      <c r="B51" s="225" t="s">
        <v>1141</v>
      </c>
      <c r="C51" s="226" t="s">
        <v>1142</v>
      </c>
    </row>
    <row r="52" spans="1:3" ht="15">
      <c r="A52" s="227"/>
      <c r="B52" s="228"/>
      <c r="C52" s="229" t="s">
        <v>1143</v>
      </c>
    </row>
    <row r="53" spans="1:3" ht="15">
      <c r="A53" s="227"/>
      <c r="B53" s="228"/>
      <c r="C53" s="229" t="s">
        <v>1144</v>
      </c>
    </row>
    <row r="54" spans="1:3" ht="15">
      <c r="A54" s="227"/>
      <c r="B54" s="228"/>
      <c r="C54" s="229" t="s">
        <v>1145</v>
      </c>
    </row>
    <row r="55" spans="1:3" ht="15">
      <c r="A55" s="227"/>
      <c r="B55" s="228"/>
      <c r="C55" s="229" t="s">
        <v>1146</v>
      </c>
    </row>
    <row r="56" spans="1:3" ht="15">
      <c r="A56" s="227"/>
      <c r="B56" s="228"/>
      <c r="C56" s="229" t="s">
        <v>1147</v>
      </c>
    </row>
    <row r="57" spans="1:3" ht="15">
      <c r="A57" s="227"/>
      <c r="B57" s="228"/>
      <c r="C57" s="229" t="s">
        <v>1148</v>
      </c>
    </row>
    <row r="58" spans="1:3" ht="15">
      <c r="A58" s="227"/>
      <c r="B58" s="228"/>
      <c r="C58" s="229" t="s">
        <v>1149</v>
      </c>
    </row>
    <row r="59" spans="1:3" ht="15">
      <c r="A59" s="227"/>
      <c r="B59" s="228"/>
      <c r="C59" s="229" t="s">
        <v>1150</v>
      </c>
    </row>
    <row r="60" spans="1:3" ht="15">
      <c r="A60" s="227"/>
      <c r="B60" s="228"/>
      <c r="C60" s="229" t="s">
        <v>1151</v>
      </c>
    </row>
    <row r="61" spans="1:3" ht="15">
      <c r="A61" s="227"/>
      <c r="B61" s="228"/>
      <c r="C61" s="229" t="s">
        <v>1152</v>
      </c>
    </row>
    <row r="62" spans="1:3" ht="15">
      <c r="A62" s="227"/>
      <c r="B62" s="228"/>
      <c r="C62" s="229" t="s">
        <v>1153</v>
      </c>
    </row>
    <row r="63" spans="1:3" ht="15">
      <c r="A63" s="227"/>
      <c r="B63" s="228"/>
      <c r="C63" s="229" t="s">
        <v>1154</v>
      </c>
    </row>
    <row r="64" spans="1:3" ht="15">
      <c r="A64" s="227"/>
      <c r="B64" s="228"/>
      <c r="C64" s="229" t="s">
        <v>1155</v>
      </c>
    </row>
    <row r="65" spans="1:3" ht="15">
      <c r="A65" s="227"/>
      <c r="B65" s="228"/>
      <c r="C65" s="229" t="s">
        <v>1156</v>
      </c>
    </row>
    <row r="66" spans="1:3" ht="15">
      <c r="A66" s="227"/>
      <c r="B66" s="228"/>
      <c r="C66" s="229" t="s">
        <v>1157</v>
      </c>
    </row>
    <row r="67" spans="1:3" ht="15">
      <c r="A67" s="227"/>
      <c r="B67" s="228"/>
      <c r="C67" s="229" t="s">
        <v>1096</v>
      </c>
    </row>
    <row r="68" spans="1:3" ht="15">
      <c r="A68" s="227"/>
      <c r="B68" s="228"/>
      <c r="C68" s="229" t="s">
        <v>1158</v>
      </c>
    </row>
    <row r="69" spans="1:3" ht="15">
      <c r="A69" s="227"/>
      <c r="B69" s="228"/>
      <c r="C69" s="229" t="s">
        <v>1159</v>
      </c>
    </row>
    <row r="70" spans="1:3" ht="15">
      <c r="A70" s="227"/>
      <c r="B70" s="228"/>
      <c r="C70" s="229" t="s">
        <v>1160</v>
      </c>
    </row>
    <row r="71" spans="1:3" ht="16" thickBot="1">
      <c r="A71" s="232"/>
      <c r="B71" s="230"/>
      <c r="C71" s="233" t="s">
        <v>1161</v>
      </c>
    </row>
    <row r="72" spans="1:3" ht="16" thickTop="1">
      <c r="A72" s="224" t="s">
        <v>1162</v>
      </c>
      <c r="B72" s="225" t="s">
        <v>1163</v>
      </c>
      <c r="C72" s="226" t="s">
        <v>1164</v>
      </c>
    </row>
    <row r="73" spans="1:3" ht="15">
      <c r="A73" s="227"/>
      <c r="B73" s="228"/>
      <c r="C73" s="229" t="s">
        <v>1165</v>
      </c>
    </row>
    <row r="74" spans="1:3" ht="15">
      <c r="A74" s="227"/>
      <c r="B74" s="228"/>
      <c r="C74" s="229" t="s">
        <v>1166</v>
      </c>
    </row>
    <row r="75" spans="1:3" ht="15">
      <c r="A75" s="227"/>
      <c r="B75" s="228"/>
      <c r="C75" s="229" t="s">
        <v>1167</v>
      </c>
    </row>
    <row r="76" spans="1:3" ht="16" thickBot="1">
      <c r="A76" s="227"/>
      <c r="B76" s="230"/>
      <c r="C76" s="231" t="s">
        <v>1168</v>
      </c>
    </row>
    <row r="77" spans="1:3" ht="17" thickTop="1" thickBot="1">
      <c r="A77" s="227"/>
      <c r="B77" s="225" t="s">
        <v>1169</v>
      </c>
      <c r="C77" s="226" t="s">
        <v>1170</v>
      </c>
    </row>
    <row r="78" spans="1:3" ht="16" thickTop="1">
      <c r="A78" s="227"/>
      <c r="B78" s="228"/>
      <c r="C78" s="226" t="s">
        <v>1171</v>
      </c>
    </row>
    <row r="79" spans="1:3" ht="15">
      <c r="A79" s="227"/>
      <c r="B79" s="228"/>
      <c r="C79" s="229" t="s">
        <v>1172</v>
      </c>
    </row>
    <row r="80" spans="1:3" ht="15">
      <c r="A80" s="227"/>
      <c r="B80" s="228"/>
      <c r="C80" s="229" t="s">
        <v>1173</v>
      </c>
    </row>
    <row r="81" spans="1:3" ht="16" thickBot="1">
      <c r="A81" s="227"/>
      <c r="B81" s="230"/>
      <c r="C81" s="231" t="s">
        <v>1174</v>
      </c>
    </row>
    <row r="82" spans="1:3" ht="17" thickTop="1" thickBot="1">
      <c r="A82" s="227"/>
      <c r="B82" s="234" t="s">
        <v>1175</v>
      </c>
      <c r="C82" s="235" t="s">
        <v>1176</v>
      </c>
    </row>
    <row r="83" spans="1:3" ht="16" thickTop="1">
      <c r="A83" s="227"/>
      <c r="B83" s="225" t="s">
        <v>1177</v>
      </c>
      <c r="C83" s="226" t="s">
        <v>1178</v>
      </c>
    </row>
    <row r="84" spans="1:3" ht="15">
      <c r="A84" s="227"/>
      <c r="B84" s="228"/>
      <c r="C84" s="229" t="s">
        <v>1179</v>
      </c>
    </row>
    <row r="85" spans="1:3" ht="15">
      <c r="A85" s="227"/>
      <c r="B85" s="228"/>
      <c r="C85" s="229" t="s">
        <v>1180</v>
      </c>
    </row>
    <row r="86" spans="1:3" ht="15">
      <c r="A86" s="227"/>
      <c r="B86" s="228"/>
      <c r="C86" s="229" t="s">
        <v>1181</v>
      </c>
    </row>
    <row r="87" spans="1:3" ht="15">
      <c r="A87" s="227"/>
      <c r="B87" s="228"/>
      <c r="C87" s="231" t="s">
        <v>1182</v>
      </c>
    </row>
    <row r="88" spans="1:3" ht="16" thickBot="1">
      <c r="A88" s="227"/>
      <c r="B88" s="228"/>
      <c r="C88" s="231" t="s">
        <v>1183</v>
      </c>
    </row>
    <row r="89" spans="1:3" ht="17" thickTop="1" thickBot="1">
      <c r="A89" s="232"/>
      <c r="B89" s="236" t="s">
        <v>1184</v>
      </c>
      <c r="C89" s="237" t="s">
        <v>1184</v>
      </c>
    </row>
    <row r="90" spans="1:3" ht="17" thickTop="1" thickBot="1">
      <c r="A90" s="227" t="s">
        <v>1185</v>
      </c>
      <c r="B90" s="234" t="s">
        <v>1186</v>
      </c>
      <c r="C90" s="235" t="s">
        <v>1186</v>
      </c>
    </row>
    <row r="91" spans="1:3" ht="17" thickTop="1" thickBot="1">
      <c r="A91" s="227"/>
      <c r="B91" s="234" t="s">
        <v>1187</v>
      </c>
      <c r="C91" s="235" t="s">
        <v>1187</v>
      </c>
    </row>
    <row r="92" spans="1:3" ht="17" thickTop="1" thickBot="1">
      <c r="A92" s="227"/>
      <c r="B92" s="234" t="s">
        <v>1188</v>
      </c>
      <c r="C92" s="235" t="s">
        <v>1188</v>
      </c>
    </row>
    <row r="93" spans="1:3" ht="16" thickTop="1">
      <c r="A93" s="227"/>
      <c r="B93" s="225" t="s">
        <v>1189</v>
      </c>
      <c r="C93" s="226" t="s">
        <v>1190</v>
      </c>
    </row>
    <row r="94" spans="1:3" ht="15">
      <c r="A94" s="227"/>
      <c r="B94" s="228"/>
      <c r="C94" s="229" t="s">
        <v>1191</v>
      </c>
    </row>
    <row r="95" spans="1:3" ht="15">
      <c r="A95" s="227"/>
      <c r="B95" s="228"/>
      <c r="C95" s="229" t="s">
        <v>1192</v>
      </c>
    </row>
    <row r="96" spans="1:3" ht="15">
      <c r="A96" s="227"/>
      <c r="B96" s="228"/>
      <c r="C96" s="229" t="s">
        <v>1193</v>
      </c>
    </row>
    <row r="97" spans="1:3" ht="15">
      <c r="A97" s="227"/>
      <c r="B97" s="228"/>
      <c r="C97" s="229" t="s">
        <v>1194</v>
      </c>
    </row>
    <row r="98" spans="1:3" ht="16" thickBot="1">
      <c r="A98" s="227"/>
      <c r="B98" s="230"/>
      <c r="C98" s="231" t="s">
        <v>1195</v>
      </c>
    </row>
    <row r="99" spans="1:3" ht="16" thickTop="1">
      <c r="A99" s="227"/>
      <c r="B99" s="225" t="s">
        <v>1196</v>
      </c>
      <c r="C99" s="226" t="s">
        <v>1197</v>
      </c>
    </row>
    <row r="100" spans="1:3" ht="15">
      <c r="A100" s="227"/>
      <c r="B100" s="228"/>
      <c r="C100" s="229" t="s">
        <v>1198</v>
      </c>
    </row>
    <row r="101" spans="1:3" ht="15">
      <c r="A101" s="227"/>
      <c r="B101" s="228"/>
      <c r="C101" s="229" t="s">
        <v>1199</v>
      </c>
    </row>
    <row r="102" spans="1:3" ht="15">
      <c r="A102" s="227"/>
      <c r="B102" s="228"/>
      <c r="C102" s="229" t="s">
        <v>1200</v>
      </c>
    </row>
    <row r="103" spans="1:3" ht="15">
      <c r="A103" s="227"/>
      <c r="B103" s="228"/>
      <c r="C103" s="229" t="s">
        <v>1201</v>
      </c>
    </row>
    <row r="104" spans="1:3" ht="15">
      <c r="A104" s="227"/>
      <c r="B104" s="228"/>
      <c r="C104" s="229" t="s">
        <v>1202</v>
      </c>
    </row>
    <row r="105" spans="1:3" ht="15">
      <c r="A105" s="227"/>
      <c r="B105" s="228"/>
      <c r="C105" s="229" t="s">
        <v>1203</v>
      </c>
    </row>
    <row r="106" spans="1:3" ht="15">
      <c r="A106" s="227"/>
      <c r="B106" s="228"/>
      <c r="C106" s="229" t="s">
        <v>1204</v>
      </c>
    </row>
    <row r="107" spans="1:3" ht="15">
      <c r="A107" s="227"/>
      <c r="B107" s="228"/>
      <c r="C107" s="229" t="s">
        <v>1205</v>
      </c>
    </row>
    <row r="108" spans="1:3" ht="15">
      <c r="A108" s="227"/>
      <c r="B108" s="228"/>
      <c r="C108" s="229" t="s">
        <v>1206</v>
      </c>
    </row>
    <row r="109" spans="1:3" ht="16" thickBot="1">
      <c r="A109" s="227"/>
      <c r="B109" s="230"/>
      <c r="C109" s="231" t="s">
        <v>1207</v>
      </c>
    </row>
    <row r="110" spans="1:3" ht="17" thickTop="1" thickBot="1">
      <c r="A110" s="238"/>
      <c r="B110" s="239" t="s">
        <v>1208</v>
      </c>
      <c r="C110" s="240" t="s">
        <v>1208</v>
      </c>
    </row>
    <row r="111" spans="1:3" ht="17" thickTop="1" thickBot="1">
      <c r="A111" s="241" t="s">
        <v>1209</v>
      </c>
      <c r="B111" s="234" t="s">
        <v>1210</v>
      </c>
      <c r="C111" s="235" t="s">
        <v>1211</v>
      </c>
    </row>
    <row r="112" spans="1:3" ht="17" thickTop="1" thickBot="1">
      <c r="A112" s="242"/>
      <c r="B112" s="234" t="s">
        <v>1212</v>
      </c>
      <c r="C112" s="235" t="s">
        <v>1213</v>
      </c>
    </row>
    <row r="113" spans="1:3" ht="16" thickTop="1">
      <c r="A113" s="242"/>
      <c r="B113" s="225" t="s">
        <v>1214</v>
      </c>
      <c r="C113" s="226" t="s">
        <v>1215</v>
      </c>
    </row>
    <row r="114" spans="1:3" ht="15">
      <c r="A114" s="242"/>
      <c r="B114" s="228"/>
      <c r="C114" s="229" t="s">
        <v>1216</v>
      </c>
    </row>
    <row r="115" spans="1:3" ht="15">
      <c r="A115" s="242"/>
      <c r="B115" s="228"/>
      <c r="C115" s="229" t="s">
        <v>1217</v>
      </c>
    </row>
    <row r="116" spans="1:3" ht="15">
      <c r="A116" s="242"/>
      <c r="B116" s="228"/>
      <c r="C116" s="229" t="s">
        <v>1218</v>
      </c>
    </row>
    <row r="117" spans="1:3" ht="15">
      <c r="A117" s="242"/>
      <c r="B117" s="228"/>
      <c r="C117" s="229" t="s">
        <v>1219</v>
      </c>
    </row>
    <row r="118" spans="1:3" ht="15">
      <c r="A118" s="242"/>
      <c r="B118" s="228"/>
      <c r="C118" s="229" t="s">
        <v>1220</v>
      </c>
    </row>
    <row r="119" spans="1:3" ht="15">
      <c r="A119" s="242"/>
      <c r="B119" s="228"/>
      <c r="C119" s="229" t="s">
        <v>1221</v>
      </c>
    </row>
    <row r="120" spans="1:3" ht="15">
      <c r="A120" s="242"/>
      <c r="B120" s="228"/>
      <c r="C120" s="229" t="s">
        <v>1222</v>
      </c>
    </row>
    <row r="121" spans="1:3" ht="15">
      <c r="A121" s="242"/>
      <c r="B121" s="228"/>
      <c r="C121" s="229" t="s">
        <v>1223</v>
      </c>
    </row>
    <row r="122" spans="1:3" ht="15">
      <c r="A122" s="242"/>
      <c r="B122" s="228"/>
      <c r="C122" s="229" t="s">
        <v>1224</v>
      </c>
    </row>
    <row r="123" spans="1:3" ht="16" thickBot="1">
      <c r="A123" s="242"/>
      <c r="B123" s="228"/>
      <c r="C123" s="231" t="s">
        <v>1225</v>
      </c>
    </row>
    <row r="124" spans="1:3" ht="16" thickTop="1">
      <c r="A124" s="224" t="s">
        <v>1226</v>
      </c>
      <c r="B124" s="225" t="s">
        <v>1227</v>
      </c>
      <c r="C124" s="226" t="s">
        <v>1228</v>
      </c>
    </row>
    <row r="125" spans="1:3" ht="15">
      <c r="A125" s="227"/>
      <c r="B125" s="228"/>
      <c r="C125" s="229" t="s">
        <v>1229</v>
      </c>
    </row>
    <row r="126" spans="1:3" ht="15">
      <c r="A126" s="227"/>
      <c r="B126" s="228"/>
      <c r="C126" s="229" t="s">
        <v>1230</v>
      </c>
    </row>
    <row r="127" spans="1:3" ht="15">
      <c r="A127" s="227"/>
      <c r="B127" s="228"/>
      <c r="C127" s="229" t="s">
        <v>1231</v>
      </c>
    </row>
    <row r="128" spans="1:3" ht="15">
      <c r="A128" s="227"/>
      <c r="B128" s="228"/>
      <c r="C128" s="229" t="s">
        <v>1232</v>
      </c>
    </row>
    <row r="129" spans="1:3" ht="15">
      <c r="A129" s="227"/>
      <c r="B129" s="228"/>
      <c r="C129" s="229" t="s">
        <v>1233</v>
      </c>
    </row>
    <row r="130" spans="1:3" ht="15">
      <c r="A130" s="227"/>
      <c r="B130" s="228"/>
      <c r="C130" s="229" t="s">
        <v>1234</v>
      </c>
    </row>
    <row r="131" spans="1:3" ht="15">
      <c r="A131" s="227"/>
      <c r="B131" s="228"/>
      <c r="C131" s="229" t="s">
        <v>1235</v>
      </c>
    </row>
    <row r="132" spans="1:3" ht="15">
      <c r="A132" s="227"/>
      <c r="B132" s="228"/>
      <c r="C132" s="229" t="s">
        <v>1236</v>
      </c>
    </row>
    <row r="133" spans="1:3" ht="15">
      <c r="A133" s="227"/>
      <c r="B133" s="228"/>
      <c r="C133" s="229" t="s">
        <v>1237</v>
      </c>
    </row>
    <row r="134" spans="1:3" ht="15">
      <c r="A134" s="227"/>
      <c r="B134" s="228"/>
      <c r="C134" s="229" t="s">
        <v>1238</v>
      </c>
    </row>
    <row r="135" spans="1:3" ht="15">
      <c r="A135" s="227"/>
      <c r="B135" s="228"/>
      <c r="C135" s="229" t="s">
        <v>1239</v>
      </c>
    </row>
    <row r="136" spans="1:3" ht="15">
      <c r="A136" s="227"/>
      <c r="B136" s="228"/>
      <c r="C136" s="229" t="s">
        <v>1240</v>
      </c>
    </row>
    <row r="137" spans="1:3" ht="15">
      <c r="A137" s="227"/>
      <c r="B137" s="228"/>
      <c r="C137" s="229" t="s">
        <v>1241</v>
      </c>
    </row>
    <row r="138" spans="1:3" ht="15">
      <c r="A138" s="227"/>
      <c r="B138" s="228"/>
      <c r="C138" s="229" t="s">
        <v>1242</v>
      </c>
    </row>
    <row r="139" spans="1:3" ht="16" thickBot="1">
      <c r="A139" s="232"/>
      <c r="B139" s="230"/>
      <c r="C139" s="233" t="s">
        <v>1243</v>
      </c>
    </row>
    <row r="140" spans="1:3" ht="16" thickTop="1">
      <c r="A140" s="224" t="s">
        <v>1244</v>
      </c>
      <c r="B140" s="225" t="s">
        <v>1245</v>
      </c>
      <c r="C140" s="226" t="s">
        <v>1246</v>
      </c>
    </row>
    <row r="141" spans="1:3" ht="15">
      <c r="A141" s="227"/>
      <c r="B141" s="228"/>
      <c r="C141" s="243" t="s">
        <v>1247</v>
      </c>
    </row>
    <row r="142" spans="1:3" ht="15">
      <c r="A142" s="227"/>
      <c r="B142" s="228"/>
      <c r="C142" s="229" t="s">
        <v>1248</v>
      </c>
    </row>
    <row r="143" spans="1:3" ht="16" thickBot="1">
      <c r="A143" s="227"/>
      <c r="B143" s="228"/>
      <c r="C143" s="229" t="s">
        <v>1249</v>
      </c>
    </row>
    <row r="144" spans="1:3" ht="16" thickTop="1">
      <c r="A144" s="227"/>
      <c r="B144" s="228"/>
      <c r="C144" s="235" t="s">
        <v>1250</v>
      </c>
    </row>
    <row r="145" spans="1:3" ht="16" thickBot="1">
      <c r="A145" s="227"/>
      <c r="B145" s="230"/>
      <c r="C145" s="233" t="s">
        <v>1251</v>
      </c>
    </row>
    <row r="146" spans="1:3" ht="16" thickTop="1">
      <c r="A146" s="227"/>
      <c r="B146" s="225" t="s">
        <v>1252</v>
      </c>
      <c r="C146" s="243" t="s">
        <v>1253</v>
      </c>
    </row>
    <row r="147" spans="1:3" ht="15">
      <c r="A147" s="227"/>
      <c r="B147" s="228"/>
      <c r="C147" s="229" t="s">
        <v>1254</v>
      </c>
    </row>
    <row r="148" spans="1:3" ht="15">
      <c r="A148" s="227"/>
      <c r="B148" s="228"/>
      <c r="C148" s="229" t="s">
        <v>1255</v>
      </c>
    </row>
    <row r="149" spans="1:3" ht="16" thickBot="1">
      <c r="A149" s="227"/>
      <c r="B149" s="230"/>
      <c r="C149" s="231" t="s">
        <v>1256</v>
      </c>
    </row>
    <row r="150" spans="1:3" ht="17" thickTop="1" thickBot="1">
      <c r="A150" s="227"/>
      <c r="B150" s="236" t="s">
        <v>1257</v>
      </c>
      <c r="C150" s="237" t="s">
        <v>1257</v>
      </c>
    </row>
    <row r="151" spans="1:3" ht="16" thickTop="1">
      <c r="A151" s="227"/>
      <c r="B151" s="225" t="s">
        <v>1258</v>
      </c>
      <c r="C151" s="243" t="s">
        <v>1259</v>
      </c>
    </row>
    <row r="152" spans="1:3" ht="15">
      <c r="A152" s="227"/>
      <c r="B152" s="228"/>
      <c r="C152" s="229" t="s">
        <v>1260</v>
      </c>
    </row>
    <row r="153" spans="1:3" ht="16" thickBot="1">
      <c r="A153" s="227"/>
      <c r="B153" s="230"/>
      <c r="C153" s="231" t="s">
        <v>1261</v>
      </c>
    </row>
    <row r="154" spans="1:3" ht="17" thickTop="1" thickBot="1">
      <c r="A154" s="227"/>
      <c r="B154" s="236" t="s">
        <v>1262</v>
      </c>
      <c r="C154" s="237" t="s">
        <v>1262</v>
      </c>
    </row>
    <row r="155" spans="1:3" ht="16" thickTop="1">
      <c r="A155" s="227"/>
      <c r="B155" s="225" t="s">
        <v>1263</v>
      </c>
      <c r="C155" s="243" t="s">
        <v>1264</v>
      </c>
    </row>
    <row r="156" spans="1:3" ht="15">
      <c r="A156" s="227"/>
      <c r="B156" s="228"/>
      <c r="C156" s="229" t="s">
        <v>1265</v>
      </c>
    </row>
    <row r="157" spans="1:3" ht="16" thickBot="1">
      <c r="A157" s="227"/>
      <c r="B157" s="230"/>
      <c r="C157" s="231" t="s">
        <v>1266</v>
      </c>
    </row>
    <row r="158" spans="1:3" ht="17" thickTop="1" thickBot="1">
      <c r="A158" s="227"/>
      <c r="B158" s="236" t="s">
        <v>1267</v>
      </c>
      <c r="C158" s="237" t="s">
        <v>1267</v>
      </c>
    </row>
    <row r="159" spans="1:3" ht="16" thickTop="1">
      <c r="A159" s="227"/>
      <c r="B159" s="244" t="s">
        <v>1268</v>
      </c>
      <c r="C159" s="243" t="s">
        <v>1269</v>
      </c>
    </row>
    <row r="160" spans="1:3" ht="16" thickBot="1">
      <c r="A160" s="227"/>
      <c r="B160" s="245"/>
      <c r="C160" s="231" t="s">
        <v>1270</v>
      </c>
    </row>
    <row r="161" spans="1:3" ht="16" thickTop="1">
      <c r="A161" s="227"/>
      <c r="B161" s="246" t="s">
        <v>1271</v>
      </c>
      <c r="C161" s="226" t="s">
        <v>1271</v>
      </c>
    </row>
    <row r="162" spans="1:3" ht="16" thickBot="1">
      <c r="A162" s="227"/>
      <c r="B162" s="247"/>
      <c r="C162" s="233" t="s">
        <v>1272</v>
      </c>
    </row>
    <row r="163" spans="1:3" ht="16" thickTop="1">
      <c r="A163" s="227"/>
      <c r="B163" s="225" t="s">
        <v>1273</v>
      </c>
      <c r="C163" s="226" t="s">
        <v>1274</v>
      </c>
    </row>
    <row r="164" spans="1:3" ht="15">
      <c r="A164" s="227"/>
      <c r="B164" s="228"/>
      <c r="C164" s="229" t="s">
        <v>1275</v>
      </c>
    </row>
    <row r="165" spans="1:3" ht="15">
      <c r="A165" s="227"/>
      <c r="B165" s="228"/>
      <c r="C165" s="229" t="s">
        <v>1276</v>
      </c>
    </row>
    <row r="166" spans="1:3" ht="15">
      <c r="A166" s="227"/>
      <c r="B166" s="228"/>
      <c r="C166" s="229" t="s">
        <v>1277</v>
      </c>
    </row>
    <row r="167" spans="1:3" ht="15">
      <c r="A167" s="227"/>
      <c r="B167" s="228"/>
      <c r="C167" s="229" t="s">
        <v>1278</v>
      </c>
    </row>
    <row r="168" spans="1:3" ht="15">
      <c r="A168" s="227"/>
      <c r="B168" s="228"/>
      <c r="C168" s="229" t="s">
        <v>1279</v>
      </c>
    </row>
    <row r="169" spans="1:3" ht="15">
      <c r="A169" s="227"/>
      <c r="B169" s="228"/>
      <c r="C169" s="229" t="s">
        <v>1280</v>
      </c>
    </row>
    <row r="170" spans="1:3" ht="15">
      <c r="A170" s="227"/>
      <c r="B170" s="228"/>
      <c r="C170" s="229" t="s">
        <v>1281</v>
      </c>
    </row>
    <row r="171" spans="1:3" ht="15">
      <c r="A171" s="227"/>
      <c r="B171" s="228"/>
      <c r="C171" s="229" t="s">
        <v>1282</v>
      </c>
    </row>
    <row r="172" spans="1:3" ht="15">
      <c r="A172" s="227"/>
      <c r="B172" s="228"/>
      <c r="C172" s="229" t="s">
        <v>1283</v>
      </c>
    </row>
    <row r="173" spans="1:3" ht="15">
      <c r="A173" s="227"/>
      <c r="B173" s="228"/>
      <c r="C173" s="229" t="s">
        <v>1284</v>
      </c>
    </row>
    <row r="174" spans="1:3" ht="15">
      <c r="A174" s="227"/>
      <c r="B174" s="228"/>
      <c r="C174" s="229" t="s">
        <v>1285</v>
      </c>
    </row>
    <row r="175" spans="1:3" ht="15">
      <c r="A175" s="227"/>
      <c r="B175" s="228"/>
      <c r="C175" s="229" t="s">
        <v>1286</v>
      </c>
    </row>
    <row r="176" spans="1:3" ht="15">
      <c r="A176" s="227"/>
      <c r="B176" s="228"/>
      <c r="C176" s="229" t="s">
        <v>1287</v>
      </c>
    </row>
    <row r="177" spans="1:3" ht="16" thickBot="1">
      <c r="A177" s="232"/>
      <c r="B177" s="230"/>
      <c r="C177" s="233" t="s">
        <v>1288</v>
      </c>
    </row>
    <row r="178" spans="1:3" ht="16" thickTop="1">
      <c r="A178" s="224" t="s">
        <v>1289</v>
      </c>
      <c r="B178" s="225" t="s">
        <v>1290</v>
      </c>
      <c r="C178" s="226" t="s">
        <v>1291</v>
      </c>
    </row>
    <row r="179" spans="1:3" ht="15">
      <c r="A179" s="227"/>
      <c r="B179" s="228"/>
      <c r="C179" s="229" t="s">
        <v>1292</v>
      </c>
    </row>
    <row r="180" spans="1:3" ht="15">
      <c r="A180" s="227"/>
      <c r="B180" s="228"/>
      <c r="C180" s="229" t="s">
        <v>1293</v>
      </c>
    </row>
    <row r="181" spans="1:3" ht="15">
      <c r="A181" s="227"/>
      <c r="B181" s="228"/>
      <c r="C181" s="229" t="s">
        <v>1294</v>
      </c>
    </row>
    <row r="182" spans="1:3" ht="16" thickBot="1">
      <c r="A182" s="227"/>
      <c r="B182" s="230"/>
      <c r="C182" s="231" t="s">
        <v>1295</v>
      </c>
    </row>
    <row r="183" spans="1:3" ht="17" thickTop="1" thickBot="1">
      <c r="A183" s="227"/>
      <c r="B183" s="236" t="s">
        <v>1296</v>
      </c>
      <c r="C183" s="237" t="s">
        <v>1296</v>
      </c>
    </row>
    <row r="184" spans="1:3" ht="16" thickTop="1">
      <c r="A184" s="227"/>
      <c r="B184" s="225" t="s">
        <v>1297</v>
      </c>
      <c r="C184" s="243" t="s">
        <v>1298</v>
      </c>
    </row>
    <row r="185" spans="1:3" ht="15">
      <c r="A185" s="227"/>
      <c r="B185" s="228"/>
      <c r="C185" s="229" t="s">
        <v>1299</v>
      </c>
    </row>
    <row r="186" spans="1:3" ht="15">
      <c r="A186" s="227"/>
      <c r="B186" s="228"/>
      <c r="C186" s="229" t="s">
        <v>1300</v>
      </c>
    </row>
    <row r="187" spans="1:3" ht="15">
      <c r="A187" s="227"/>
      <c r="B187" s="228"/>
      <c r="C187" s="229" t="s">
        <v>1301</v>
      </c>
    </row>
    <row r="188" spans="1:3" ht="15">
      <c r="A188" s="227"/>
      <c r="B188" s="228"/>
      <c r="C188" s="229" t="s">
        <v>1302</v>
      </c>
    </row>
    <row r="189" spans="1:3" ht="15">
      <c r="A189" s="227"/>
      <c r="B189" s="228"/>
      <c r="C189" s="229" t="s">
        <v>1303</v>
      </c>
    </row>
    <row r="190" spans="1:3" ht="15">
      <c r="A190" s="227"/>
      <c r="B190" s="228"/>
      <c r="C190" s="229" t="s">
        <v>1304</v>
      </c>
    </row>
    <row r="191" spans="1:3" ht="15">
      <c r="A191" s="227"/>
      <c r="B191" s="228"/>
      <c r="C191" s="229" t="s">
        <v>1305</v>
      </c>
    </row>
    <row r="192" spans="1:3" ht="15">
      <c r="A192" s="227"/>
      <c r="B192" s="228"/>
      <c r="C192" s="229" t="s">
        <v>1306</v>
      </c>
    </row>
    <row r="193" spans="1:3" ht="15">
      <c r="A193" s="227"/>
      <c r="B193" s="228"/>
      <c r="C193" s="229" t="s">
        <v>1307</v>
      </c>
    </row>
    <row r="194" spans="1:3" ht="15">
      <c r="A194" s="227"/>
      <c r="B194" s="228"/>
      <c r="C194" s="229" t="s">
        <v>1308</v>
      </c>
    </row>
    <row r="195" spans="1:3" ht="15">
      <c r="A195" s="227"/>
      <c r="B195" s="228"/>
      <c r="C195" s="229" t="s">
        <v>1309</v>
      </c>
    </row>
    <row r="196" spans="1:3" ht="15">
      <c r="A196" s="227"/>
      <c r="B196" s="228"/>
      <c r="C196" s="229" t="s">
        <v>1310</v>
      </c>
    </row>
    <row r="197" spans="1:3" ht="15">
      <c r="A197" s="227"/>
      <c r="B197" s="228"/>
      <c r="C197" s="229" t="s">
        <v>1311</v>
      </c>
    </row>
    <row r="198" spans="1:3" ht="15">
      <c r="A198" s="227"/>
      <c r="B198" s="228"/>
      <c r="C198" s="229" t="s">
        <v>1312</v>
      </c>
    </row>
    <row r="199" spans="1:3" ht="15">
      <c r="A199" s="227"/>
      <c r="B199" s="228"/>
      <c r="C199" s="229" t="s">
        <v>1313</v>
      </c>
    </row>
    <row r="200" spans="1:3" ht="15">
      <c r="A200" s="227"/>
      <c r="B200" s="228"/>
      <c r="C200" s="229" t="s">
        <v>1314</v>
      </c>
    </row>
    <row r="201" spans="1:3" ht="15">
      <c r="A201" s="227"/>
      <c r="B201" s="228"/>
      <c r="C201" s="229" t="s">
        <v>1315</v>
      </c>
    </row>
    <row r="202" spans="1:3" ht="15">
      <c r="A202" s="227"/>
      <c r="B202" s="228"/>
      <c r="C202" s="229" t="s">
        <v>1316</v>
      </c>
    </row>
    <row r="203" spans="1:3" ht="15">
      <c r="A203" s="227"/>
      <c r="B203" s="228"/>
      <c r="C203" s="229" t="s">
        <v>1317</v>
      </c>
    </row>
    <row r="204" spans="1:3" ht="15">
      <c r="A204" s="227"/>
      <c r="B204" s="228"/>
      <c r="C204" s="229" t="s">
        <v>1318</v>
      </c>
    </row>
    <row r="205" spans="1:3" ht="15">
      <c r="A205" s="227"/>
      <c r="B205" s="228"/>
      <c r="C205" s="229" t="s">
        <v>1319</v>
      </c>
    </row>
    <row r="206" spans="1:3" ht="15">
      <c r="A206" s="227"/>
      <c r="B206" s="228"/>
      <c r="C206" s="229" t="s">
        <v>1320</v>
      </c>
    </row>
    <row r="207" spans="1:3" ht="15">
      <c r="A207" s="227"/>
      <c r="B207" s="228"/>
      <c r="C207" s="229" t="s">
        <v>1321</v>
      </c>
    </row>
    <row r="208" spans="1:3" ht="15">
      <c r="A208" s="227"/>
      <c r="B208" s="228"/>
      <c r="C208" s="229" t="s">
        <v>1322</v>
      </c>
    </row>
    <row r="209" spans="1:3" ht="15">
      <c r="A209" s="227"/>
      <c r="B209" s="228"/>
      <c r="C209" s="229" t="s">
        <v>1323</v>
      </c>
    </row>
    <row r="210" spans="1:3" ht="15">
      <c r="A210" s="227"/>
      <c r="B210" s="228"/>
      <c r="C210" s="229" t="s">
        <v>1324</v>
      </c>
    </row>
    <row r="211" spans="1:3" ht="15">
      <c r="A211" s="227"/>
      <c r="B211" s="228"/>
      <c r="C211" s="229" t="s">
        <v>1325</v>
      </c>
    </row>
    <row r="212" spans="1:3" ht="15">
      <c r="A212" s="227"/>
      <c r="B212" s="228"/>
      <c r="C212" s="229" t="s">
        <v>1326</v>
      </c>
    </row>
    <row r="213" spans="1:3" ht="15">
      <c r="A213" s="227"/>
      <c r="B213" s="228"/>
      <c r="C213" s="229" t="s">
        <v>1327</v>
      </c>
    </row>
    <row r="214" spans="1:3" ht="15">
      <c r="A214" s="227"/>
      <c r="B214" s="228"/>
      <c r="C214" s="229" t="s">
        <v>1328</v>
      </c>
    </row>
    <row r="215" spans="1:3" ht="15">
      <c r="A215" s="227"/>
      <c r="B215" s="228"/>
      <c r="C215" s="229" t="s">
        <v>1329</v>
      </c>
    </row>
    <row r="216" spans="1:3" ht="15">
      <c r="A216" s="227"/>
      <c r="B216" s="228"/>
      <c r="C216" s="229" t="s">
        <v>1330</v>
      </c>
    </row>
    <row r="217" spans="1:3" ht="15">
      <c r="A217" s="227"/>
      <c r="B217" s="228"/>
      <c r="C217" s="229" t="s">
        <v>1331</v>
      </c>
    </row>
    <row r="218" spans="1:3" ht="15">
      <c r="A218" s="227"/>
      <c r="B218" s="228"/>
      <c r="C218" s="229" t="s">
        <v>1332</v>
      </c>
    </row>
    <row r="219" spans="1:3" ht="15">
      <c r="A219" s="227"/>
      <c r="B219" s="228"/>
      <c r="C219" s="229" t="s">
        <v>1333</v>
      </c>
    </row>
    <row r="220" spans="1:3" ht="15">
      <c r="A220" s="227"/>
      <c r="B220" s="228"/>
      <c r="C220" s="229" t="s">
        <v>1334</v>
      </c>
    </row>
    <row r="221" spans="1:3" ht="16" thickBot="1">
      <c r="A221" s="227"/>
      <c r="B221" s="230"/>
      <c r="C221" s="229" t="s">
        <v>1335</v>
      </c>
    </row>
    <row r="222" spans="1:3" ht="16" thickTop="1">
      <c r="A222" s="224" t="s">
        <v>1336</v>
      </c>
      <c r="B222" s="225" t="s">
        <v>1337</v>
      </c>
      <c r="C222" s="226" t="s">
        <v>1338</v>
      </c>
    </row>
    <row r="223" spans="1:3" ht="15">
      <c r="A223" s="227"/>
      <c r="B223" s="228"/>
      <c r="C223" s="229" t="s">
        <v>1339</v>
      </c>
    </row>
    <row r="224" spans="1:3" ht="15">
      <c r="A224" s="227"/>
      <c r="B224" s="228"/>
      <c r="C224" s="229" t="s">
        <v>1340</v>
      </c>
    </row>
    <row r="225" spans="1:3" ht="15">
      <c r="A225" s="227"/>
      <c r="B225" s="228"/>
      <c r="C225" s="229" t="s">
        <v>1341</v>
      </c>
    </row>
    <row r="226" spans="1:3" ht="16" thickBot="1">
      <c r="A226" s="227"/>
      <c r="B226" s="230"/>
      <c r="C226" s="231" t="s">
        <v>1342</v>
      </c>
    </row>
    <row r="227" spans="1:3" ht="16" thickTop="1">
      <c r="A227" s="227"/>
      <c r="B227" s="225" t="s">
        <v>1343</v>
      </c>
      <c r="C227" s="226" t="s">
        <v>1344</v>
      </c>
    </row>
    <row r="228" spans="1:3" ht="15">
      <c r="A228" s="227"/>
      <c r="B228" s="228"/>
      <c r="C228" s="229" t="s">
        <v>1345</v>
      </c>
    </row>
    <row r="229" spans="1:3" ht="16" thickBot="1">
      <c r="A229" s="227"/>
      <c r="B229" s="230"/>
      <c r="C229" s="233" t="s">
        <v>1346</v>
      </c>
    </row>
    <row r="230" spans="1:3" ht="16" thickTop="1">
      <c r="A230" s="227"/>
      <c r="B230" s="225" t="s">
        <v>1347</v>
      </c>
      <c r="C230" s="243" t="s">
        <v>1348</v>
      </c>
    </row>
    <row r="231" spans="1:3" ht="16" thickBot="1">
      <c r="A231" s="227"/>
      <c r="B231" s="230"/>
      <c r="C231" s="231" t="s">
        <v>1349</v>
      </c>
    </row>
    <row r="232" spans="1:3" ht="16" thickTop="1">
      <c r="A232" s="227"/>
      <c r="B232" s="225" t="s">
        <v>1350</v>
      </c>
      <c r="C232" s="226" t="s">
        <v>1351</v>
      </c>
    </row>
    <row r="233" spans="1:3" ht="15">
      <c r="A233" s="227"/>
      <c r="B233" s="228"/>
      <c r="C233" s="229" t="s">
        <v>1352</v>
      </c>
    </row>
    <row r="234" spans="1:3" ht="16" thickBot="1">
      <c r="A234" s="227"/>
      <c r="B234" s="230"/>
      <c r="C234" s="233" t="s">
        <v>1353</v>
      </c>
    </row>
    <row r="235" spans="1:3" ht="17" thickTop="1" thickBot="1">
      <c r="A235" s="227"/>
      <c r="B235" s="248" t="s">
        <v>1354</v>
      </c>
      <c r="C235" s="249" t="s">
        <v>1355</v>
      </c>
    </row>
    <row r="236" spans="1:3" ht="17" thickTop="1" thickBot="1">
      <c r="A236" s="227"/>
      <c r="B236" s="236" t="s">
        <v>1356</v>
      </c>
      <c r="C236" s="237" t="s">
        <v>1356</v>
      </c>
    </row>
    <row r="237" spans="1:3" ht="16" thickTop="1">
      <c r="A237" s="227"/>
      <c r="B237" s="225" t="s">
        <v>1357</v>
      </c>
      <c r="C237" s="243" t="s">
        <v>1358</v>
      </c>
    </row>
    <row r="238" spans="1:3" ht="15">
      <c r="A238" s="227"/>
      <c r="B238" s="228"/>
      <c r="C238" s="229" t="s">
        <v>1359</v>
      </c>
    </row>
    <row r="239" spans="1:3" ht="16" thickBot="1">
      <c r="A239" s="227"/>
      <c r="B239" s="230"/>
      <c r="C239" s="231" t="s">
        <v>1360</v>
      </c>
    </row>
    <row r="240" spans="1:3" ht="16" thickTop="1">
      <c r="A240" s="227"/>
      <c r="B240" s="225" t="s">
        <v>1361</v>
      </c>
      <c r="C240" s="226" t="s">
        <v>1362</v>
      </c>
    </row>
    <row r="241" spans="1:3" ht="15">
      <c r="A241" s="227"/>
      <c r="B241" s="228"/>
      <c r="C241" s="229" t="s">
        <v>1363</v>
      </c>
    </row>
    <row r="242" spans="1:3" ht="15">
      <c r="A242" s="227"/>
      <c r="B242" s="228"/>
      <c r="C242" s="229" t="s">
        <v>1364</v>
      </c>
    </row>
    <row r="243" spans="1:3" ht="16" thickBot="1">
      <c r="A243" s="227"/>
      <c r="B243" s="230"/>
      <c r="C243" s="233" t="s">
        <v>1365</v>
      </c>
    </row>
    <row r="244" spans="1:3" ht="17" thickTop="1" thickBot="1">
      <c r="A244" s="227"/>
      <c r="B244" s="248" t="s">
        <v>1366</v>
      </c>
      <c r="C244" s="249" t="s">
        <v>1366</v>
      </c>
    </row>
    <row r="245" spans="1:3" ht="16" thickTop="1">
      <c r="A245" s="227"/>
      <c r="B245" s="225" t="s">
        <v>1367</v>
      </c>
      <c r="C245" s="226" t="s">
        <v>1368</v>
      </c>
    </row>
    <row r="246" spans="1:3" ht="15">
      <c r="A246" s="227"/>
      <c r="B246" s="228"/>
      <c r="C246" s="229" t="s">
        <v>1369</v>
      </c>
    </row>
    <row r="247" spans="1:3" ht="16" thickBot="1">
      <c r="A247" s="227"/>
      <c r="B247" s="230"/>
      <c r="C247" s="233" t="s">
        <v>1370</v>
      </c>
    </row>
    <row r="248" spans="1:3" ht="16" thickTop="1">
      <c r="A248" s="227"/>
      <c r="B248" s="225" t="s">
        <v>1371</v>
      </c>
      <c r="C248" s="243" t="s">
        <v>1372</v>
      </c>
    </row>
    <row r="249" spans="1:3" ht="15">
      <c r="A249" s="227"/>
      <c r="B249" s="228"/>
      <c r="C249" s="229" t="s">
        <v>1373</v>
      </c>
    </row>
    <row r="250" spans="1:3" ht="15">
      <c r="A250" s="227"/>
      <c r="B250" s="228"/>
      <c r="C250" s="229" t="s">
        <v>1374</v>
      </c>
    </row>
    <row r="251" spans="1:3" ht="15">
      <c r="A251" s="227"/>
      <c r="B251" s="228"/>
      <c r="C251" s="229" t="s">
        <v>1375</v>
      </c>
    </row>
    <row r="252" spans="1:3" ht="15">
      <c r="A252" s="227"/>
      <c r="B252" s="228"/>
      <c r="C252" s="229" t="s">
        <v>1376</v>
      </c>
    </row>
    <row r="253" spans="1:3" ht="15">
      <c r="A253" s="227"/>
      <c r="B253" s="228"/>
      <c r="C253" s="229" t="s">
        <v>1377</v>
      </c>
    </row>
    <row r="254" spans="1:3" ht="15">
      <c r="A254" s="227"/>
      <c r="B254" s="228"/>
      <c r="C254" s="229" t="s">
        <v>1378</v>
      </c>
    </row>
    <row r="255" spans="1:3" ht="15">
      <c r="A255" s="227"/>
      <c r="B255" s="228"/>
      <c r="C255" s="229" t="s">
        <v>1379</v>
      </c>
    </row>
    <row r="256" spans="1:3" ht="15">
      <c r="A256" s="227"/>
      <c r="B256" s="228"/>
      <c r="C256" s="229" t="s">
        <v>1380</v>
      </c>
    </row>
    <row r="257" spans="1:3" ht="15">
      <c r="A257" s="227"/>
      <c r="B257" s="228"/>
      <c r="C257" s="229" t="s">
        <v>1381</v>
      </c>
    </row>
    <row r="258" spans="1:3" ht="15">
      <c r="A258" s="227"/>
      <c r="B258" s="228"/>
      <c r="C258" s="229" t="s">
        <v>1382</v>
      </c>
    </row>
    <row r="259" spans="1:3" ht="15">
      <c r="A259" s="227"/>
      <c r="B259" s="228"/>
      <c r="C259" s="229" t="s">
        <v>1383</v>
      </c>
    </row>
    <row r="260" spans="1:3" ht="15">
      <c r="A260" s="227"/>
      <c r="B260" s="228"/>
      <c r="C260" s="229" t="s">
        <v>1384</v>
      </c>
    </row>
    <row r="261" spans="1:3" ht="15">
      <c r="A261" s="227"/>
      <c r="B261" s="228"/>
      <c r="C261" s="229" t="s">
        <v>1385</v>
      </c>
    </row>
    <row r="262" spans="1:3" ht="15">
      <c r="A262" s="227"/>
      <c r="B262" s="228"/>
      <c r="C262" s="229" t="s">
        <v>1386</v>
      </c>
    </row>
    <row r="263" spans="1:3" ht="15">
      <c r="A263" s="227"/>
      <c r="B263" s="228"/>
      <c r="C263" s="229" t="s">
        <v>1387</v>
      </c>
    </row>
    <row r="264" spans="1:3" ht="15">
      <c r="A264" s="227"/>
      <c r="B264" s="228"/>
      <c r="C264" s="229" t="s">
        <v>1388</v>
      </c>
    </row>
    <row r="265" spans="1:3" ht="15">
      <c r="A265" s="227"/>
      <c r="B265" s="228"/>
      <c r="C265" s="229" t="s">
        <v>1389</v>
      </c>
    </row>
    <row r="266" spans="1:3" ht="15">
      <c r="A266" s="227"/>
      <c r="B266" s="228"/>
      <c r="C266" s="229" t="s">
        <v>1390</v>
      </c>
    </row>
    <row r="267" spans="1:3" ht="15">
      <c r="A267" s="227"/>
      <c r="B267" s="228"/>
      <c r="C267" s="229" t="s">
        <v>1391</v>
      </c>
    </row>
    <row r="268" spans="1:3" ht="15">
      <c r="A268" s="227"/>
      <c r="B268" s="228"/>
      <c r="C268" s="229" t="s">
        <v>1392</v>
      </c>
    </row>
    <row r="269" spans="1:3" ht="15">
      <c r="A269" s="227"/>
      <c r="B269" s="228"/>
      <c r="C269" s="229" t="s">
        <v>1393</v>
      </c>
    </row>
    <row r="270" spans="1:3" ht="15">
      <c r="A270" s="227"/>
      <c r="B270" s="228"/>
      <c r="C270" s="229" t="s">
        <v>1394</v>
      </c>
    </row>
    <row r="271" spans="1:3" ht="15">
      <c r="A271" s="227"/>
      <c r="B271" s="228"/>
      <c r="C271" s="229" t="s">
        <v>1395</v>
      </c>
    </row>
    <row r="272" spans="1:3" ht="15">
      <c r="A272" s="227"/>
      <c r="B272" s="228"/>
      <c r="C272" s="229" t="s">
        <v>1396</v>
      </c>
    </row>
    <row r="273" spans="1:3" ht="15">
      <c r="A273" s="227"/>
      <c r="B273" s="228"/>
      <c r="C273" s="229" t="s">
        <v>1397</v>
      </c>
    </row>
    <row r="274" spans="1:3" ht="15">
      <c r="A274" s="227"/>
      <c r="B274" s="228"/>
      <c r="C274" s="229" t="s">
        <v>1398</v>
      </c>
    </row>
    <row r="275" spans="1:3" ht="15">
      <c r="A275" s="227"/>
      <c r="B275" s="228"/>
      <c r="C275" s="229" t="s">
        <v>1399</v>
      </c>
    </row>
    <row r="276" spans="1:3" ht="15">
      <c r="A276" s="227"/>
      <c r="B276" s="228"/>
      <c r="C276" s="229" t="s">
        <v>1400</v>
      </c>
    </row>
    <row r="277" spans="1:3" ht="15">
      <c r="A277" s="227"/>
      <c r="B277" s="228"/>
      <c r="C277" s="229" t="s">
        <v>1401</v>
      </c>
    </row>
    <row r="278" spans="1:3" ht="15">
      <c r="A278" s="227"/>
      <c r="B278" s="228"/>
      <c r="C278" s="229" t="s">
        <v>1402</v>
      </c>
    </row>
    <row r="279" spans="1:3" ht="15">
      <c r="A279" s="227"/>
      <c r="B279" s="228"/>
      <c r="C279" s="229" t="s">
        <v>1403</v>
      </c>
    </row>
    <row r="280" spans="1:3" ht="15">
      <c r="A280" s="227"/>
      <c r="B280" s="228"/>
      <c r="C280" s="229" t="s">
        <v>1404</v>
      </c>
    </row>
    <row r="281" spans="1:3" ht="15">
      <c r="A281" s="227"/>
      <c r="B281" s="228"/>
      <c r="C281" s="229" t="s">
        <v>1405</v>
      </c>
    </row>
    <row r="282" spans="1:3" ht="15">
      <c r="A282" s="227"/>
      <c r="B282" s="228"/>
      <c r="C282" s="229" t="s">
        <v>1406</v>
      </c>
    </row>
    <row r="283" spans="1:3" ht="15">
      <c r="A283" s="227"/>
      <c r="B283" s="228"/>
      <c r="C283" s="229" t="s">
        <v>1407</v>
      </c>
    </row>
    <row r="284" spans="1:3" ht="15">
      <c r="A284" s="227"/>
      <c r="B284" s="228"/>
      <c r="C284" s="229" t="s">
        <v>1408</v>
      </c>
    </row>
    <row r="285" spans="1:3" ht="15">
      <c r="A285" s="227"/>
      <c r="B285" s="228"/>
      <c r="C285" s="229" t="s">
        <v>1409</v>
      </c>
    </row>
    <row r="286" spans="1:3" ht="15">
      <c r="A286" s="227"/>
      <c r="B286" s="228"/>
      <c r="C286" s="229" t="s">
        <v>1410</v>
      </c>
    </row>
    <row r="287" spans="1:3" ht="16" thickBot="1">
      <c r="A287" s="232"/>
      <c r="B287" s="230"/>
      <c r="C287" s="233" t="s">
        <v>1411</v>
      </c>
    </row>
    <row r="288" spans="1:3" ht="16" thickTop="1">
      <c r="A288" s="224" t="s">
        <v>1412</v>
      </c>
      <c r="B288" s="225" t="s">
        <v>1413</v>
      </c>
      <c r="C288" s="226" t="s">
        <v>1414</v>
      </c>
    </row>
    <row r="289" spans="1:3" ht="15">
      <c r="A289" s="227"/>
      <c r="B289" s="228"/>
      <c r="C289" s="229" t="s">
        <v>1415</v>
      </c>
    </row>
    <row r="290" spans="1:3" ht="15">
      <c r="A290" s="227"/>
      <c r="B290" s="228"/>
      <c r="C290" s="231" t="s">
        <v>1416</v>
      </c>
    </row>
    <row r="291" spans="1:3" ht="16" thickBot="1">
      <c r="A291" s="227"/>
      <c r="B291" s="230"/>
      <c r="C291" s="231" t="s">
        <v>1417</v>
      </c>
    </row>
    <row r="292" spans="1:3" ht="16" thickTop="1">
      <c r="A292" s="227"/>
      <c r="B292" s="225" t="s">
        <v>1418</v>
      </c>
      <c r="C292" s="226" t="s">
        <v>1419</v>
      </c>
    </row>
    <row r="293" spans="1:3" ht="15">
      <c r="A293" s="227"/>
      <c r="B293" s="228"/>
      <c r="C293" s="229" t="s">
        <v>1420</v>
      </c>
    </row>
    <row r="294" spans="1:3" ht="16" thickBot="1">
      <c r="A294" s="227"/>
      <c r="B294" s="230"/>
      <c r="C294" s="233" t="s">
        <v>1421</v>
      </c>
    </row>
    <row r="295" spans="1:3" ht="16" thickTop="1">
      <c r="A295" s="227"/>
      <c r="B295" s="225" t="s">
        <v>1422</v>
      </c>
      <c r="C295" s="243" t="s">
        <v>1423</v>
      </c>
    </row>
    <row r="296" spans="1:3" ht="15">
      <c r="A296" s="227"/>
      <c r="B296" s="228"/>
      <c r="C296" s="229" t="s">
        <v>1424</v>
      </c>
    </row>
    <row r="297" spans="1:3" ht="16" thickBot="1">
      <c r="A297" s="232"/>
      <c r="B297" s="230"/>
      <c r="C297" s="233" t="s">
        <v>1425</v>
      </c>
    </row>
    <row r="298" spans="1:3" ht="17" thickTop="1" thickBot="1">
      <c r="A298" s="224" t="s">
        <v>1426</v>
      </c>
      <c r="B298" s="250" t="s">
        <v>1427</v>
      </c>
      <c r="C298" s="235" t="s">
        <v>1428</v>
      </c>
    </row>
    <row r="299" spans="1:3" ht="17" thickTop="1" thickBot="1">
      <c r="A299" s="227"/>
      <c r="B299" s="236" t="s">
        <v>1429</v>
      </c>
      <c r="C299" s="237" t="s">
        <v>1429</v>
      </c>
    </row>
    <row r="300" spans="1:3" ht="17" thickTop="1" thickBot="1">
      <c r="A300" s="227"/>
      <c r="B300" s="248" t="s">
        <v>1430</v>
      </c>
      <c r="C300" s="249" t="s">
        <v>1430</v>
      </c>
    </row>
    <row r="301" spans="1:3" ht="16" thickTop="1">
      <c r="A301" s="227"/>
      <c r="B301" s="225" t="s">
        <v>1431</v>
      </c>
      <c r="C301" s="226" t="s">
        <v>1432</v>
      </c>
    </row>
    <row r="302" spans="1:3" ht="15">
      <c r="A302" s="227"/>
      <c r="B302" s="228"/>
      <c r="C302" s="229" t="s">
        <v>1433</v>
      </c>
    </row>
    <row r="303" spans="1:3" ht="15">
      <c r="A303" s="227"/>
      <c r="B303" s="228"/>
      <c r="C303" s="229" t="s">
        <v>1434</v>
      </c>
    </row>
    <row r="304" spans="1:3" ht="15">
      <c r="A304" s="227"/>
      <c r="B304" s="228"/>
      <c r="C304" s="229" t="s">
        <v>1435</v>
      </c>
    </row>
    <row r="305" spans="1:3" ht="15">
      <c r="A305" s="227"/>
      <c r="B305" s="228"/>
      <c r="C305" s="229" t="s">
        <v>1436</v>
      </c>
    </row>
    <row r="306" spans="1:3" ht="15">
      <c r="A306" s="227"/>
      <c r="B306" s="228"/>
      <c r="C306" s="229" t="s">
        <v>1437</v>
      </c>
    </row>
    <row r="307" spans="1:3" ht="15">
      <c r="A307" s="227"/>
      <c r="B307" s="228"/>
      <c r="C307" s="229" t="s">
        <v>1438</v>
      </c>
    </row>
    <row r="308" spans="1:3" ht="15" thickBot="1">
      <c r="A308" s="227"/>
      <c r="B308" s="230"/>
      <c r="C308" s="251" t="s">
        <v>1439</v>
      </c>
    </row>
    <row r="309" spans="1:3" ht="17" thickTop="1" thickBot="1">
      <c r="A309" s="224" t="s">
        <v>1440</v>
      </c>
      <c r="B309" s="248" t="s">
        <v>1441</v>
      </c>
      <c r="C309" s="249" t="s">
        <v>1441</v>
      </c>
    </row>
    <row r="310" spans="1:3" ht="17" thickTop="1" thickBot="1">
      <c r="A310" s="227"/>
      <c r="B310" s="236" t="s">
        <v>1442</v>
      </c>
      <c r="C310" s="237" t="s">
        <v>1443</v>
      </c>
    </row>
    <row r="311" spans="1:3" ht="16" thickTop="1">
      <c r="A311" s="227"/>
      <c r="B311" s="225" t="s">
        <v>1444</v>
      </c>
      <c r="C311" s="226" t="s">
        <v>1445</v>
      </c>
    </row>
    <row r="312" spans="1:3" ht="15">
      <c r="A312" s="227"/>
      <c r="B312" s="228"/>
      <c r="C312" s="229" t="s">
        <v>1446</v>
      </c>
    </row>
    <row r="313" spans="1:3" ht="15">
      <c r="A313" s="227"/>
      <c r="B313" s="228"/>
      <c r="C313" s="229" t="s">
        <v>1447</v>
      </c>
    </row>
    <row r="314" spans="1:3" ht="15">
      <c r="A314" s="227"/>
      <c r="B314" s="228"/>
      <c r="C314" s="229" t="s">
        <v>1448</v>
      </c>
    </row>
    <row r="315" spans="1:3" ht="15">
      <c r="A315" s="227"/>
      <c r="B315" s="228"/>
      <c r="C315" s="229" t="s">
        <v>1449</v>
      </c>
    </row>
    <row r="316" spans="1:3" ht="16" thickBot="1">
      <c r="A316" s="227"/>
      <c r="B316" s="230"/>
      <c r="C316" s="233" t="s">
        <v>1450</v>
      </c>
    </row>
    <row r="317" spans="1:3" ht="16" thickTop="1">
      <c r="A317" s="227"/>
      <c r="B317" s="234"/>
      <c r="C317" s="243" t="s">
        <v>1451</v>
      </c>
    </row>
    <row r="318" spans="1:3" ht="15">
      <c r="A318" s="227"/>
      <c r="B318" s="252"/>
      <c r="C318" s="231" t="s">
        <v>1452</v>
      </c>
    </row>
    <row r="319" spans="1:3" ht="31" thickBot="1">
      <c r="A319" s="232"/>
      <c r="B319" s="253" t="s">
        <v>1453</v>
      </c>
      <c r="C319" s="233" t="s">
        <v>1453</v>
      </c>
    </row>
    <row r="320" spans="1:3" ht="16" thickTop="1">
      <c r="A320" s="224" t="s">
        <v>1454</v>
      </c>
      <c r="B320" s="225" t="s">
        <v>1455</v>
      </c>
      <c r="C320" s="226" t="s">
        <v>1456</v>
      </c>
    </row>
    <row r="321" spans="1:3" ht="15">
      <c r="A321" s="227"/>
      <c r="B321" s="228"/>
      <c r="C321" s="229" t="s">
        <v>1457</v>
      </c>
    </row>
    <row r="322" spans="1:3" ht="15">
      <c r="A322" s="227"/>
      <c r="B322" s="228"/>
      <c r="C322" s="229" t="s">
        <v>1458</v>
      </c>
    </row>
    <row r="323" spans="1:3" ht="15">
      <c r="A323" s="227"/>
      <c r="B323" s="228"/>
      <c r="C323" s="229" t="s">
        <v>1459</v>
      </c>
    </row>
    <row r="324" spans="1:3" ht="15">
      <c r="A324" s="227"/>
      <c r="B324" s="228"/>
      <c r="C324" s="229" t="s">
        <v>1460</v>
      </c>
    </row>
    <row r="325" spans="1:3" ht="15">
      <c r="A325" s="227"/>
      <c r="B325" s="228"/>
      <c r="C325" s="229" t="s">
        <v>1461</v>
      </c>
    </row>
    <row r="326" spans="1:3" ht="15">
      <c r="A326" s="227"/>
      <c r="B326" s="228"/>
      <c r="C326" s="229" t="s">
        <v>1462</v>
      </c>
    </row>
    <row r="327" spans="1:3" ht="15">
      <c r="A327" s="227"/>
      <c r="B327" s="228"/>
      <c r="C327" s="229" t="s">
        <v>1463</v>
      </c>
    </row>
    <row r="328" spans="1:3" ht="16" thickBot="1">
      <c r="A328" s="227"/>
      <c r="B328" s="230"/>
      <c r="C328" s="231" t="s">
        <v>1464</v>
      </c>
    </row>
    <row r="329" spans="1:3" ht="16" thickTop="1">
      <c r="A329" s="227"/>
      <c r="B329" s="225" t="s">
        <v>1465</v>
      </c>
      <c r="C329" s="226" t="s">
        <v>1466</v>
      </c>
    </row>
    <row r="330" spans="1:3" ht="16" thickBot="1">
      <c r="A330" s="227"/>
      <c r="B330" s="230"/>
      <c r="C330" s="233" t="s">
        <v>1467</v>
      </c>
    </row>
    <row r="331" spans="1:3" ht="16" thickTop="1">
      <c r="A331" s="227"/>
      <c r="B331" s="225" t="s">
        <v>1468</v>
      </c>
      <c r="C331" s="243" t="s">
        <v>1469</v>
      </c>
    </row>
    <row r="332" spans="1:3" ht="15">
      <c r="A332" s="227"/>
      <c r="B332" s="228"/>
      <c r="C332" s="229" t="s">
        <v>1470</v>
      </c>
    </row>
    <row r="333" spans="1:3" ht="15">
      <c r="A333" s="227"/>
      <c r="B333" s="228"/>
      <c r="C333" s="229" t="s">
        <v>1471</v>
      </c>
    </row>
    <row r="334" spans="1:3" ht="16" thickBot="1">
      <c r="A334" s="227"/>
      <c r="B334" s="230"/>
      <c r="C334" s="231" t="s">
        <v>1472</v>
      </c>
    </row>
    <row r="335" spans="1:3" ht="16" thickTop="1">
      <c r="A335" s="227"/>
      <c r="B335" s="225" t="s">
        <v>1473</v>
      </c>
      <c r="C335" s="226" t="s">
        <v>1474</v>
      </c>
    </row>
    <row r="336" spans="1:3" ht="15">
      <c r="A336" s="227"/>
      <c r="B336" s="228"/>
      <c r="C336" s="243" t="s">
        <v>1475</v>
      </c>
    </row>
    <row r="337" spans="1:3" ht="15">
      <c r="A337" s="227"/>
      <c r="B337" s="228"/>
      <c r="C337" s="229" t="s">
        <v>1476</v>
      </c>
    </row>
    <row r="338" spans="1:3" ht="15">
      <c r="A338" s="227"/>
      <c r="B338" s="228"/>
      <c r="C338" s="229" t="s">
        <v>1477</v>
      </c>
    </row>
    <row r="339" spans="1:3" ht="15">
      <c r="A339" s="227"/>
      <c r="B339" s="228"/>
      <c r="C339" s="229" t="s">
        <v>1478</v>
      </c>
    </row>
    <row r="340" spans="1:3" ht="15">
      <c r="A340" s="227"/>
      <c r="B340" s="228"/>
      <c r="C340" s="229" t="s">
        <v>1479</v>
      </c>
    </row>
    <row r="341" spans="1:3" ht="16" thickBot="1">
      <c r="A341" s="227"/>
      <c r="B341" s="230"/>
      <c r="C341" s="233" t="s">
        <v>1480</v>
      </c>
    </row>
    <row r="342" spans="1:3" ht="16" thickTop="1">
      <c r="A342" s="227"/>
      <c r="B342" s="225" t="s">
        <v>1481</v>
      </c>
      <c r="C342" s="226" t="s">
        <v>1482</v>
      </c>
    </row>
    <row r="343" spans="1:3" ht="15">
      <c r="A343" s="227"/>
      <c r="B343" s="228"/>
      <c r="C343" s="229" t="s">
        <v>1483</v>
      </c>
    </row>
    <row r="344" spans="1:3" ht="15">
      <c r="A344" s="227"/>
      <c r="B344" s="228"/>
      <c r="C344" s="229" t="s">
        <v>1484</v>
      </c>
    </row>
    <row r="345" spans="1:3" ht="15">
      <c r="A345" s="227"/>
      <c r="B345" s="228"/>
      <c r="C345" s="229" t="s">
        <v>1485</v>
      </c>
    </row>
    <row r="346" spans="1:3" ht="15">
      <c r="A346" s="227"/>
      <c r="B346" s="228"/>
      <c r="C346" s="229" t="s">
        <v>1486</v>
      </c>
    </row>
    <row r="347" spans="1:3" ht="15">
      <c r="A347" s="227"/>
      <c r="B347" s="228"/>
      <c r="C347" s="229" t="s">
        <v>1487</v>
      </c>
    </row>
    <row r="348" spans="1:3" ht="15">
      <c r="A348" s="227"/>
      <c r="B348" s="228"/>
      <c r="C348" s="229" t="s">
        <v>1488</v>
      </c>
    </row>
    <row r="349" spans="1:3" ht="15">
      <c r="A349" s="227"/>
      <c r="B349" s="228"/>
      <c r="C349" s="229" t="s">
        <v>1489</v>
      </c>
    </row>
    <row r="350" spans="1:3" ht="15">
      <c r="A350" s="227"/>
      <c r="B350" s="228"/>
      <c r="C350" s="229" t="s">
        <v>1490</v>
      </c>
    </row>
    <row r="351" spans="1:3" ht="15">
      <c r="A351" s="227"/>
      <c r="B351" s="228"/>
      <c r="C351" s="229" t="s">
        <v>1491</v>
      </c>
    </row>
    <row r="352" spans="1:3" ht="15">
      <c r="A352" s="227"/>
      <c r="B352" s="228"/>
      <c r="C352" s="229" t="s">
        <v>1492</v>
      </c>
    </row>
    <row r="353" spans="1:3" ht="16" thickBot="1">
      <c r="A353" s="227"/>
      <c r="B353" s="230"/>
      <c r="C353" s="233" t="s">
        <v>1493</v>
      </c>
    </row>
    <row r="354" spans="1:3" ht="16" thickTop="1">
      <c r="A354" s="242"/>
      <c r="B354" s="225" t="s">
        <v>1494</v>
      </c>
      <c r="C354" s="226" t="s">
        <v>1495</v>
      </c>
    </row>
    <row r="355" spans="1:3" ht="15">
      <c r="A355" s="242"/>
      <c r="B355" s="228"/>
      <c r="C355" s="229" t="s">
        <v>1496</v>
      </c>
    </row>
    <row r="356" spans="1:3" ht="15">
      <c r="A356" s="242"/>
      <c r="B356" s="228"/>
      <c r="C356" s="229" t="s">
        <v>1497</v>
      </c>
    </row>
    <row r="357" spans="1:3" ht="15">
      <c r="A357" s="242"/>
      <c r="B357" s="228"/>
      <c r="C357" s="229" t="s">
        <v>1498</v>
      </c>
    </row>
    <row r="358" spans="1:3" ht="15">
      <c r="A358" s="242"/>
      <c r="B358" s="228"/>
      <c r="C358" s="229" t="s">
        <v>1499</v>
      </c>
    </row>
    <row r="359" spans="1:3" ht="15">
      <c r="A359" s="242"/>
      <c r="B359" s="228"/>
      <c r="C359" s="229" t="s">
        <v>1500</v>
      </c>
    </row>
    <row r="360" spans="1:3" ht="15">
      <c r="A360" s="242"/>
      <c r="B360" s="228"/>
      <c r="C360" s="229" t="s">
        <v>1501</v>
      </c>
    </row>
    <row r="361" spans="1:3" ht="15">
      <c r="A361" s="242"/>
      <c r="B361" s="228"/>
      <c r="C361" s="229" t="s">
        <v>1502</v>
      </c>
    </row>
    <row r="362" spans="1:3" ht="15">
      <c r="A362" s="242"/>
      <c r="B362" s="228"/>
      <c r="C362" s="229" t="s">
        <v>1503</v>
      </c>
    </row>
    <row r="363" spans="1:3" ht="15">
      <c r="A363" s="242"/>
      <c r="B363" s="228"/>
      <c r="C363" s="229" t="s">
        <v>1504</v>
      </c>
    </row>
    <row r="364" spans="1:3" ht="15">
      <c r="A364" s="242"/>
      <c r="B364" s="228"/>
      <c r="C364" s="229" t="s">
        <v>1505</v>
      </c>
    </row>
    <row r="365" spans="1:3" ht="15">
      <c r="A365" s="242"/>
      <c r="B365" s="228"/>
      <c r="C365" s="229" t="s">
        <v>1506</v>
      </c>
    </row>
    <row r="366" spans="1:3" ht="15">
      <c r="A366" s="242"/>
      <c r="B366" s="228"/>
      <c r="C366" s="229" t="s">
        <v>1507</v>
      </c>
    </row>
    <row r="367" spans="1:3" ht="15">
      <c r="A367" s="242"/>
      <c r="B367" s="228"/>
      <c r="C367" s="229" t="s">
        <v>1508</v>
      </c>
    </row>
    <row r="368" spans="1:3" ht="15">
      <c r="A368" s="242"/>
      <c r="B368" s="254"/>
      <c r="C368" s="229" t="s">
        <v>1509</v>
      </c>
    </row>
    <row r="369" spans="1:3" ht="16" thickBot="1">
      <c r="A369" s="242"/>
      <c r="B369" s="255"/>
      <c r="C369" s="233" t="s">
        <v>1510</v>
      </c>
    </row>
    <row r="370" spans="1:3" ht="16" thickTop="1">
      <c r="A370" s="224" t="s">
        <v>1511</v>
      </c>
      <c r="B370" s="225" t="s">
        <v>1512</v>
      </c>
      <c r="C370" s="226" t="s">
        <v>1513</v>
      </c>
    </row>
    <row r="371" spans="1:3" ht="15">
      <c r="A371" s="227"/>
      <c r="B371" s="228"/>
      <c r="C371" s="243" t="s">
        <v>1514</v>
      </c>
    </row>
    <row r="372" spans="1:3" ht="15">
      <c r="A372" s="227"/>
      <c r="B372" s="228"/>
      <c r="C372" s="229" t="s">
        <v>1515</v>
      </c>
    </row>
    <row r="373" spans="1:3" ht="15">
      <c r="A373" s="227"/>
      <c r="B373" s="228"/>
      <c r="C373" s="231" t="s">
        <v>1516</v>
      </c>
    </row>
    <row r="374" spans="1:3" ht="16" thickBot="1">
      <c r="A374" s="232"/>
      <c r="B374" s="230"/>
      <c r="C374" s="233" t="s">
        <v>1517</v>
      </c>
    </row>
    <row r="375" spans="1:3" ht="16" thickTop="1">
      <c r="A375" s="224" t="s">
        <v>1518</v>
      </c>
      <c r="B375" s="256" t="s">
        <v>1519</v>
      </c>
      <c r="C375" s="257" t="s">
        <v>1520</v>
      </c>
    </row>
    <row r="376" spans="1:3" ht="15">
      <c r="A376" s="227"/>
      <c r="B376" s="258"/>
      <c r="C376" s="259" t="s">
        <v>1521</v>
      </c>
    </row>
    <row r="377" spans="1:3" ht="15">
      <c r="A377" s="227"/>
      <c r="B377" s="258"/>
      <c r="C377" s="259" t="s">
        <v>1522</v>
      </c>
    </row>
    <row r="378" spans="1:3" ht="15">
      <c r="A378" s="227"/>
      <c r="B378" s="258"/>
      <c r="C378" s="259" t="s">
        <v>1523</v>
      </c>
    </row>
    <row r="379" spans="1:3" ht="16" thickBot="1">
      <c r="A379" s="227"/>
      <c r="B379" s="260"/>
      <c r="C379" s="261" t="s">
        <v>1524</v>
      </c>
    </row>
    <row r="380" spans="1:3" ht="16" thickTop="1">
      <c r="A380" s="227"/>
      <c r="B380" s="258" t="s">
        <v>1525</v>
      </c>
      <c r="C380" s="257" t="s">
        <v>1526</v>
      </c>
    </row>
    <row r="381" spans="1:3" ht="15">
      <c r="A381" s="227"/>
      <c r="B381" s="258"/>
      <c r="C381" s="259" t="s">
        <v>1527</v>
      </c>
    </row>
    <row r="382" spans="1:3" ht="15">
      <c r="A382" s="227"/>
      <c r="B382" s="258"/>
      <c r="C382" s="259" t="s">
        <v>1528</v>
      </c>
    </row>
    <row r="383" spans="1:3" ht="15">
      <c r="A383" s="227"/>
      <c r="B383" s="258"/>
      <c r="C383" s="259" t="s">
        <v>1529</v>
      </c>
    </row>
    <row r="384" spans="1:3" ht="16" thickBot="1">
      <c r="A384" s="227"/>
      <c r="B384" s="260"/>
      <c r="C384" s="261" t="s">
        <v>1530</v>
      </c>
    </row>
    <row r="385" spans="1:3" ht="16" thickTop="1">
      <c r="A385" s="227"/>
      <c r="B385" s="258" t="s">
        <v>1531</v>
      </c>
      <c r="C385" s="257" t="s">
        <v>1532</v>
      </c>
    </row>
    <row r="386" spans="1:3" ht="15">
      <c r="A386" s="227"/>
      <c r="B386" s="258"/>
      <c r="C386" s="259" t="s">
        <v>1533</v>
      </c>
    </row>
    <row r="387" spans="1:3" ht="15">
      <c r="A387" s="227"/>
      <c r="B387" s="258"/>
      <c r="C387" s="259" t="s">
        <v>1534</v>
      </c>
    </row>
    <row r="388" spans="1:3" ht="15">
      <c r="A388" s="227"/>
      <c r="B388" s="258"/>
      <c r="C388" s="259" t="s">
        <v>1535</v>
      </c>
    </row>
    <row r="389" spans="1:3" ht="16" thickBot="1">
      <c r="A389" s="227"/>
      <c r="B389" s="258"/>
      <c r="C389" s="261" t="s">
        <v>1536</v>
      </c>
    </row>
    <row r="390" spans="1:3" ht="16" thickTop="1">
      <c r="A390" s="227"/>
      <c r="B390" s="256" t="s">
        <v>1537</v>
      </c>
      <c r="C390" s="257" t="s">
        <v>1538</v>
      </c>
    </row>
    <row r="391" spans="1:3" ht="15">
      <c r="A391" s="227"/>
      <c r="B391" s="258"/>
      <c r="C391" s="259" t="s">
        <v>1539</v>
      </c>
    </row>
    <row r="392" spans="1:3" ht="15">
      <c r="A392" s="227"/>
      <c r="B392" s="258"/>
      <c r="C392" s="259" t="s">
        <v>1540</v>
      </c>
    </row>
    <row r="393" spans="1:3" ht="15">
      <c r="A393" s="227"/>
      <c r="B393" s="258"/>
      <c r="C393" s="259" t="s">
        <v>1541</v>
      </c>
    </row>
    <row r="394" spans="1:3" ht="16" thickBot="1">
      <c r="A394" s="227"/>
      <c r="B394" s="258"/>
      <c r="C394" s="261" t="s">
        <v>1542</v>
      </c>
    </row>
    <row r="395" spans="1:3" ht="16" thickTop="1">
      <c r="A395" s="227"/>
      <c r="B395" s="225" t="s">
        <v>1543</v>
      </c>
      <c r="C395" s="226" t="s">
        <v>1544</v>
      </c>
    </row>
    <row r="396" spans="1:3" ht="15">
      <c r="A396" s="227"/>
      <c r="B396" s="228"/>
      <c r="C396" s="229" t="s">
        <v>1545</v>
      </c>
    </row>
    <row r="397" spans="1:3" ht="15">
      <c r="A397" s="227"/>
      <c r="B397" s="228"/>
      <c r="C397" s="229" t="s">
        <v>1546</v>
      </c>
    </row>
    <row r="398" spans="1:3" ht="15">
      <c r="A398" s="227"/>
      <c r="B398" s="228"/>
      <c r="C398" s="229" t="s">
        <v>1547</v>
      </c>
    </row>
    <row r="399" spans="1:3" ht="15">
      <c r="A399" s="227"/>
      <c r="B399" s="228"/>
      <c r="C399" s="229" t="s">
        <v>1548</v>
      </c>
    </row>
    <row r="400" spans="1:3" ht="15">
      <c r="A400" s="227"/>
      <c r="B400" s="228"/>
      <c r="C400" s="229" t="s">
        <v>1549</v>
      </c>
    </row>
    <row r="401" spans="1:3" ht="15">
      <c r="A401" s="262"/>
      <c r="B401" s="228"/>
      <c r="C401" s="229" t="s">
        <v>1550</v>
      </c>
    </row>
    <row r="402" spans="1:3" ht="15">
      <c r="A402" s="262"/>
      <c r="B402" s="228"/>
      <c r="C402" s="229" t="s">
        <v>1551</v>
      </c>
    </row>
    <row r="403" spans="1:3" ht="15">
      <c r="A403" s="262"/>
      <c r="B403" s="228"/>
      <c r="C403" s="229" t="s">
        <v>1552</v>
      </c>
    </row>
    <row r="404" spans="1:3" ht="15">
      <c r="A404" s="262"/>
      <c r="B404" s="228"/>
      <c r="C404" s="229" t="s">
        <v>1553</v>
      </c>
    </row>
    <row r="405" spans="1:3" ht="15">
      <c r="A405" s="262"/>
      <c r="B405" s="228"/>
      <c r="C405" s="229" t="s">
        <v>1554</v>
      </c>
    </row>
    <row r="406" spans="1:3" ht="16" thickBot="1">
      <c r="A406" s="262"/>
      <c r="B406" s="230"/>
      <c r="C406" s="233" t="s">
        <v>1555</v>
      </c>
    </row>
    <row r="407" spans="1:3" ht="16" thickTop="1">
      <c r="A407" s="262"/>
      <c r="B407" s="225" t="s">
        <v>1556</v>
      </c>
      <c r="C407" s="226" t="s">
        <v>1557</v>
      </c>
    </row>
    <row r="408" spans="1:3" ht="15">
      <c r="A408" s="262"/>
      <c r="B408" s="228"/>
      <c r="C408" s="229" t="s">
        <v>1558</v>
      </c>
    </row>
    <row r="409" spans="1:3" ht="15">
      <c r="A409" s="262"/>
      <c r="B409" s="228"/>
      <c r="C409" s="229" t="s">
        <v>1559</v>
      </c>
    </row>
    <row r="410" spans="1:3" ht="15">
      <c r="A410" s="262"/>
      <c r="B410" s="228"/>
      <c r="C410" s="229" t="s">
        <v>1560</v>
      </c>
    </row>
    <row r="411" spans="1:3" ht="16" thickBot="1">
      <c r="A411" s="262"/>
      <c r="B411" s="230"/>
      <c r="C411" s="231" t="s">
        <v>1561</v>
      </c>
    </row>
    <row r="412" spans="1:3" ht="16" thickTop="1">
      <c r="A412" s="262"/>
      <c r="B412" s="225" t="s">
        <v>1562</v>
      </c>
      <c r="C412" s="226" t="s">
        <v>1563</v>
      </c>
    </row>
    <row r="413" spans="1:3" ht="16" thickBot="1">
      <c r="A413" s="262"/>
      <c r="B413" s="230"/>
      <c r="C413" s="233" t="s">
        <v>1564</v>
      </c>
    </row>
    <row r="414" spans="1:3" ht="16" thickTop="1">
      <c r="A414" s="262"/>
      <c r="B414" s="225" t="s">
        <v>1565</v>
      </c>
      <c r="C414" s="226" t="s">
        <v>1566</v>
      </c>
    </row>
    <row r="415" spans="1:3" ht="15">
      <c r="A415" s="262"/>
      <c r="B415" s="228"/>
      <c r="C415" s="229" t="s">
        <v>1567</v>
      </c>
    </row>
    <row r="416" spans="1:3" ht="15">
      <c r="A416" s="262"/>
      <c r="B416" s="228"/>
      <c r="C416" s="229" t="s">
        <v>1568</v>
      </c>
    </row>
    <row r="417" spans="1:3" ht="16" thickBot="1">
      <c r="A417" s="262"/>
      <c r="B417" s="230"/>
      <c r="C417" s="233" t="s">
        <v>1569</v>
      </c>
    </row>
    <row r="418" spans="1:3" ht="16" thickTop="1">
      <c r="A418" s="262"/>
      <c r="B418" s="225" t="s">
        <v>1570</v>
      </c>
      <c r="C418" s="226" t="s">
        <v>1571</v>
      </c>
    </row>
    <row r="419" spans="1:3" ht="15">
      <c r="A419" s="262"/>
      <c r="B419" s="228"/>
      <c r="C419" s="229" t="s">
        <v>1572</v>
      </c>
    </row>
    <row r="420" spans="1:3" ht="16" thickBot="1">
      <c r="A420" s="263"/>
      <c r="B420" s="230"/>
      <c r="C420" s="233" t="s">
        <v>1573</v>
      </c>
    </row>
    <row r="421" spans="1:3" ht="16" thickTop="1">
      <c r="A421" s="224" t="s">
        <v>1574</v>
      </c>
      <c r="B421" s="225" t="s">
        <v>1575</v>
      </c>
      <c r="C421" s="226" t="s">
        <v>1576</v>
      </c>
    </row>
    <row r="422" spans="1:3" ht="15">
      <c r="A422" s="227"/>
      <c r="B422" s="228"/>
      <c r="C422" s="229" t="s">
        <v>1577</v>
      </c>
    </row>
    <row r="423" spans="1:3" ht="15">
      <c r="A423" s="227"/>
      <c r="B423" s="228"/>
      <c r="C423" s="229" t="s">
        <v>1578</v>
      </c>
    </row>
    <row r="424" spans="1:3" ht="15">
      <c r="A424" s="227"/>
      <c r="B424" s="228"/>
      <c r="C424" s="229" t="s">
        <v>1579</v>
      </c>
    </row>
    <row r="425" spans="1:3" ht="15">
      <c r="A425" s="227"/>
      <c r="B425" s="228"/>
      <c r="C425" s="229" t="s">
        <v>1580</v>
      </c>
    </row>
    <row r="426" spans="1:3" ht="15">
      <c r="A426" s="227"/>
      <c r="B426" s="228"/>
      <c r="C426" s="229" t="s">
        <v>1581</v>
      </c>
    </row>
    <row r="427" spans="1:3" ht="15">
      <c r="A427" s="227"/>
      <c r="B427" s="228"/>
      <c r="C427" s="229" t="s">
        <v>1582</v>
      </c>
    </row>
    <row r="428" spans="1:3" ht="15">
      <c r="A428" s="227"/>
      <c r="B428" s="228"/>
      <c r="C428" s="229" t="s">
        <v>1583</v>
      </c>
    </row>
    <row r="429" spans="1:3" ht="15">
      <c r="A429" s="227"/>
      <c r="B429" s="228"/>
      <c r="C429" s="229" t="s">
        <v>1584</v>
      </c>
    </row>
    <row r="430" spans="1:3" ht="15">
      <c r="A430" s="227"/>
      <c r="B430" s="228"/>
      <c r="C430" s="229" t="s">
        <v>1585</v>
      </c>
    </row>
    <row r="431" spans="1:3" ht="15">
      <c r="A431" s="227"/>
      <c r="B431" s="228"/>
      <c r="C431" s="229" t="s">
        <v>1586</v>
      </c>
    </row>
    <row r="432" spans="1:3" ht="15">
      <c r="A432" s="227"/>
      <c r="B432" s="228"/>
      <c r="C432" s="229" t="s">
        <v>1587</v>
      </c>
    </row>
    <row r="433" spans="1:3" ht="15">
      <c r="A433" s="227"/>
      <c r="B433" s="228"/>
      <c r="C433" s="229" t="s">
        <v>1588</v>
      </c>
    </row>
    <row r="434" spans="1:3" ht="15">
      <c r="A434" s="227"/>
      <c r="B434" s="228"/>
      <c r="C434" s="229" t="s">
        <v>1589</v>
      </c>
    </row>
    <row r="435" spans="1:3" ht="15">
      <c r="A435" s="227"/>
      <c r="B435" s="228"/>
      <c r="C435" s="229" t="s">
        <v>1590</v>
      </c>
    </row>
    <row r="436" spans="1:3" ht="15">
      <c r="A436" s="227"/>
      <c r="B436" s="228"/>
      <c r="C436" s="229" t="s">
        <v>1591</v>
      </c>
    </row>
    <row r="437" spans="1:3" ht="15">
      <c r="A437" s="227"/>
      <c r="B437" s="228"/>
      <c r="C437" s="229" t="s">
        <v>1592</v>
      </c>
    </row>
    <row r="438" spans="1:3" ht="15">
      <c r="A438" s="227"/>
      <c r="B438" s="228"/>
      <c r="C438" s="229" t="s">
        <v>1593</v>
      </c>
    </row>
    <row r="439" spans="1:3" ht="15">
      <c r="A439" s="227"/>
      <c r="B439" s="228"/>
      <c r="C439" s="229" t="s">
        <v>1594</v>
      </c>
    </row>
    <row r="440" spans="1:3" ht="15">
      <c r="A440" s="227"/>
      <c r="B440" s="228"/>
      <c r="C440" s="229" t="s">
        <v>1595</v>
      </c>
    </row>
    <row r="441" spans="1:3" ht="15">
      <c r="A441" s="227"/>
      <c r="B441" s="228"/>
      <c r="C441" s="229" t="s">
        <v>1596</v>
      </c>
    </row>
    <row r="442" spans="1:3" ht="15">
      <c r="A442" s="227"/>
      <c r="B442" s="228"/>
      <c r="C442" s="229" t="s">
        <v>1597</v>
      </c>
    </row>
    <row r="443" spans="1:3" ht="15">
      <c r="A443" s="227"/>
      <c r="B443" s="228"/>
      <c r="C443" s="229" t="s">
        <v>1598</v>
      </c>
    </row>
    <row r="444" spans="1:3" ht="15">
      <c r="A444" s="227"/>
      <c r="B444" s="228"/>
      <c r="C444" s="229" t="s">
        <v>1599</v>
      </c>
    </row>
    <row r="445" spans="1:3" ht="15">
      <c r="A445" s="227"/>
      <c r="B445" s="228"/>
      <c r="C445" s="229" t="s">
        <v>1600</v>
      </c>
    </row>
    <row r="446" spans="1:3" ht="15">
      <c r="A446" s="227"/>
      <c r="B446" s="228"/>
      <c r="C446" s="229" t="s">
        <v>1601</v>
      </c>
    </row>
    <row r="447" spans="1:3" ht="15">
      <c r="A447" s="227"/>
      <c r="B447" s="228"/>
      <c r="C447" s="229" t="s">
        <v>1602</v>
      </c>
    </row>
    <row r="448" spans="1:3" ht="15">
      <c r="A448" s="227"/>
      <c r="B448" s="228"/>
      <c r="C448" s="229" t="s">
        <v>1603</v>
      </c>
    </row>
    <row r="449" spans="1:3" ht="15">
      <c r="A449" s="227"/>
      <c r="B449" s="228"/>
      <c r="C449" s="229" t="s">
        <v>1604</v>
      </c>
    </row>
    <row r="450" spans="1:3" ht="15">
      <c r="A450" s="227"/>
      <c r="B450" s="228"/>
      <c r="C450" s="231" t="s">
        <v>1605</v>
      </c>
    </row>
    <row r="451" spans="1:3" ht="16" thickBot="1">
      <c r="A451" s="227"/>
      <c r="B451" s="230"/>
      <c r="C451" s="233" t="s">
        <v>1606</v>
      </c>
    </row>
    <row r="452" spans="1:3" ht="17" thickTop="1" thickBot="1">
      <c r="A452" s="227" t="s">
        <v>1607</v>
      </c>
      <c r="B452" s="234" t="s">
        <v>1608</v>
      </c>
      <c r="C452" s="235" t="s">
        <v>1609</v>
      </c>
    </row>
    <row r="453" spans="1:3" ht="17" thickTop="1" thickBot="1">
      <c r="A453" s="227"/>
      <c r="B453" s="234" t="s">
        <v>1610</v>
      </c>
      <c r="C453" s="235" t="s">
        <v>1611</v>
      </c>
    </row>
    <row r="454" spans="1:3" ht="16" thickTop="1">
      <c r="A454" s="227"/>
      <c r="B454" s="225" t="s">
        <v>1612</v>
      </c>
      <c r="C454" s="226" t="s">
        <v>1613</v>
      </c>
    </row>
    <row r="455" spans="1:3" ht="16" thickBot="1">
      <c r="A455" s="227"/>
      <c r="B455" s="230"/>
      <c r="C455" s="231" t="s">
        <v>1614</v>
      </c>
    </row>
    <row r="456" spans="1:3" ht="17" thickTop="1" thickBot="1">
      <c r="A456" s="227"/>
      <c r="B456" s="234" t="s">
        <v>1615</v>
      </c>
      <c r="C456" s="235" t="s">
        <v>1616</v>
      </c>
    </row>
    <row r="457" spans="1:3" ht="17" thickTop="1" thickBot="1">
      <c r="A457" s="227"/>
      <c r="B457" s="234" t="s">
        <v>1617</v>
      </c>
      <c r="C457" s="235" t="s">
        <v>1618</v>
      </c>
    </row>
    <row r="458" spans="1:3" ht="16" thickTop="1">
      <c r="A458" s="227"/>
      <c r="B458" s="225" t="s">
        <v>1619</v>
      </c>
      <c r="C458" s="226" t="s">
        <v>1620</v>
      </c>
    </row>
    <row r="459" spans="1:3" ht="15">
      <c r="A459" s="227"/>
      <c r="B459" s="228"/>
      <c r="C459" s="229" t="s">
        <v>1621</v>
      </c>
    </row>
    <row r="460" spans="1:3" ht="16" thickBot="1">
      <c r="A460" s="227"/>
      <c r="B460" s="230"/>
      <c r="C460" s="231" t="s">
        <v>1622</v>
      </c>
    </row>
    <row r="461" spans="1:3" ht="17" thickTop="1" thickBot="1">
      <c r="A461" s="227"/>
      <c r="B461" s="234" t="s">
        <v>1623</v>
      </c>
      <c r="C461" s="235" t="s">
        <v>1624</v>
      </c>
    </row>
    <row r="462" spans="1:3" ht="17" thickTop="1" thickBot="1">
      <c r="A462" s="227"/>
      <c r="B462" s="236" t="s">
        <v>1625</v>
      </c>
      <c r="C462" s="237" t="s">
        <v>1625</v>
      </c>
    </row>
    <row r="463" spans="1:3" ht="16" thickTop="1">
      <c r="A463" s="227"/>
      <c r="B463" s="225" t="s">
        <v>1626</v>
      </c>
      <c r="C463" s="226" t="s">
        <v>1627</v>
      </c>
    </row>
    <row r="464" spans="1:3" ht="16" thickBot="1">
      <c r="A464" s="227"/>
      <c r="B464" s="230"/>
      <c r="C464" s="231" t="s">
        <v>1628</v>
      </c>
    </row>
    <row r="465" spans="1:3" ht="17" thickTop="1" thickBot="1">
      <c r="A465" s="227"/>
      <c r="B465" s="234" t="s">
        <v>1629</v>
      </c>
      <c r="C465" s="235" t="s">
        <v>1630</v>
      </c>
    </row>
    <row r="466" spans="1:3" ht="17" thickTop="1" thickBot="1">
      <c r="A466" s="227"/>
      <c r="B466" s="234" t="s">
        <v>1631</v>
      </c>
      <c r="C466" s="235" t="s">
        <v>1632</v>
      </c>
    </row>
    <row r="467" spans="1:3" ht="16" thickTop="1">
      <c r="A467" s="227"/>
      <c r="B467" s="225" t="s">
        <v>1633</v>
      </c>
      <c r="C467" s="226" t="s">
        <v>1634</v>
      </c>
    </row>
    <row r="468" spans="1:3" ht="15">
      <c r="A468" s="227"/>
      <c r="B468" s="254"/>
      <c r="C468" s="229" t="s">
        <v>1635</v>
      </c>
    </row>
    <row r="469" spans="1:3" ht="15">
      <c r="A469" s="227"/>
      <c r="B469" s="254"/>
      <c r="C469" s="229" t="s">
        <v>1636</v>
      </c>
    </row>
    <row r="470" spans="1:3" ht="15">
      <c r="A470" s="227"/>
      <c r="B470" s="254"/>
      <c r="C470" s="229" t="s">
        <v>1637</v>
      </c>
    </row>
    <row r="471" spans="1:3" ht="15">
      <c r="A471" s="227"/>
      <c r="B471" s="254"/>
      <c r="C471" s="229" t="s">
        <v>1638</v>
      </c>
    </row>
    <row r="472" spans="1:3" ht="15">
      <c r="A472" s="227"/>
      <c r="B472" s="254"/>
      <c r="C472" s="229" t="s">
        <v>1639</v>
      </c>
    </row>
    <row r="473" spans="1:3" ht="15">
      <c r="A473" s="227"/>
      <c r="B473" s="254"/>
      <c r="C473" s="229" t="s">
        <v>1640</v>
      </c>
    </row>
    <row r="474" spans="1:3" ht="15">
      <c r="A474" s="227"/>
      <c r="B474" s="254"/>
      <c r="C474" s="229" t="s">
        <v>1641</v>
      </c>
    </row>
    <row r="475" spans="1:3" ht="15">
      <c r="A475" s="227"/>
      <c r="B475" s="254"/>
      <c r="C475" s="229" t="s">
        <v>1642</v>
      </c>
    </row>
    <row r="476" spans="1:3" ht="15">
      <c r="A476" s="227"/>
      <c r="B476" s="254"/>
      <c r="C476" s="229" t="s">
        <v>1643</v>
      </c>
    </row>
    <row r="477" spans="1:3" ht="15">
      <c r="A477" s="227"/>
      <c r="B477" s="254"/>
      <c r="C477" s="229" t="s">
        <v>1644</v>
      </c>
    </row>
    <row r="478" spans="1:3" ht="15">
      <c r="A478" s="227"/>
      <c r="B478" s="254"/>
      <c r="C478" s="229" t="s">
        <v>1645</v>
      </c>
    </row>
    <row r="479" spans="1:3" ht="15">
      <c r="A479" s="227"/>
      <c r="B479" s="254"/>
      <c r="C479" s="229" t="s">
        <v>1646</v>
      </c>
    </row>
    <row r="480" spans="1:3" ht="15">
      <c r="A480" s="227"/>
      <c r="B480" s="254"/>
      <c r="C480" s="229" t="s">
        <v>1647</v>
      </c>
    </row>
    <row r="481" spans="1:3" ht="15">
      <c r="A481" s="227"/>
      <c r="B481" s="254"/>
      <c r="C481" s="229" t="s">
        <v>1648</v>
      </c>
    </row>
    <row r="482" spans="1:3" ht="15">
      <c r="A482" s="227"/>
      <c r="B482" s="254"/>
      <c r="C482" s="229" t="s">
        <v>1649</v>
      </c>
    </row>
    <row r="483" spans="1:3" ht="16" thickBot="1">
      <c r="A483" s="227"/>
      <c r="B483" s="255"/>
      <c r="C483" s="231" t="s">
        <v>1650</v>
      </c>
    </row>
    <row r="484" spans="1:3" ht="15" thickTop="1">
      <c r="A484" s="227"/>
      <c r="B484" s="264" t="s">
        <v>1651</v>
      </c>
      <c r="C484" s="265" t="s">
        <v>1652</v>
      </c>
    </row>
    <row r="485" spans="1:3" ht="15" thickBot="1">
      <c r="A485" s="232"/>
      <c r="B485" s="255"/>
      <c r="C485" s="266" t="s">
        <v>1653</v>
      </c>
    </row>
    <row r="486" spans="1:3" ht="16" thickTop="1">
      <c r="A486" s="224" t="s">
        <v>1654</v>
      </c>
      <c r="B486" s="225" t="s">
        <v>1655</v>
      </c>
      <c r="C486" s="226" t="s">
        <v>1656</v>
      </c>
    </row>
    <row r="487" spans="1:3" ht="15">
      <c r="A487" s="227"/>
      <c r="B487" s="228"/>
      <c r="C487" s="229" t="s">
        <v>1657</v>
      </c>
    </row>
    <row r="488" spans="1:3" ht="15">
      <c r="A488" s="227"/>
      <c r="B488" s="228"/>
      <c r="C488" s="229" t="s">
        <v>1658</v>
      </c>
    </row>
    <row r="489" spans="1:3" ht="15">
      <c r="A489" s="227"/>
      <c r="B489" s="228"/>
      <c r="C489" s="229" t="s">
        <v>1659</v>
      </c>
    </row>
    <row r="490" spans="1:3" ht="15">
      <c r="A490" s="227"/>
      <c r="B490" s="228"/>
      <c r="C490" s="229" t="s">
        <v>1660</v>
      </c>
    </row>
    <row r="491" spans="1:3" ht="15">
      <c r="A491" s="227"/>
      <c r="B491" s="228"/>
      <c r="C491" s="229" t="s">
        <v>1661</v>
      </c>
    </row>
    <row r="492" spans="1:3" ht="15">
      <c r="A492" s="227"/>
      <c r="B492" s="228"/>
      <c r="C492" s="229" t="s">
        <v>1662</v>
      </c>
    </row>
    <row r="493" spans="1:3" ht="15">
      <c r="A493" s="227"/>
      <c r="B493" s="228"/>
      <c r="C493" s="229" t="s">
        <v>1663</v>
      </c>
    </row>
    <row r="494" spans="1:3" ht="15">
      <c r="A494" s="227"/>
      <c r="B494" s="228"/>
      <c r="C494" s="229" t="s">
        <v>1664</v>
      </c>
    </row>
    <row r="495" spans="1:3" ht="15">
      <c r="A495" s="227"/>
      <c r="B495" s="228"/>
      <c r="C495" s="229" t="s">
        <v>1665</v>
      </c>
    </row>
    <row r="496" spans="1:3" ht="15">
      <c r="A496" s="227"/>
      <c r="B496" s="228"/>
      <c r="C496" s="229" t="s">
        <v>1666</v>
      </c>
    </row>
    <row r="497" spans="1:3" ht="15">
      <c r="A497" s="227"/>
      <c r="B497" s="228"/>
      <c r="C497" s="229" t="s">
        <v>1667</v>
      </c>
    </row>
    <row r="498" spans="1:3" ht="15">
      <c r="A498" s="227"/>
      <c r="B498" s="228"/>
      <c r="C498" s="229" t="s">
        <v>1668</v>
      </c>
    </row>
    <row r="499" spans="1:3" ht="15">
      <c r="A499" s="227"/>
      <c r="B499" s="228"/>
      <c r="C499" s="229" t="s">
        <v>1669</v>
      </c>
    </row>
    <row r="500" spans="1:3" ht="15">
      <c r="A500" s="227"/>
      <c r="B500" s="228"/>
      <c r="C500" s="229" t="s">
        <v>1670</v>
      </c>
    </row>
    <row r="501" spans="1:3" ht="15">
      <c r="A501" s="227"/>
      <c r="B501" s="228"/>
      <c r="C501" s="229" t="s">
        <v>1671</v>
      </c>
    </row>
    <row r="502" spans="1:3" ht="16" thickBot="1">
      <c r="A502" s="227"/>
      <c r="B502" s="230"/>
      <c r="C502" s="231" t="s">
        <v>1672</v>
      </c>
    </row>
    <row r="503" spans="1:3" ht="16" thickTop="1">
      <c r="A503" s="227"/>
      <c r="B503" s="225" t="s">
        <v>1673</v>
      </c>
      <c r="C503" s="226" t="s">
        <v>1674</v>
      </c>
    </row>
    <row r="504" spans="1:3" ht="15">
      <c r="A504" s="227"/>
      <c r="B504" s="228"/>
      <c r="C504" s="229" t="s">
        <v>1675</v>
      </c>
    </row>
    <row r="505" spans="1:3" ht="15">
      <c r="A505" s="227"/>
      <c r="B505" s="228"/>
      <c r="C505" s="229" t="s">
        <v>1676</v>
      </c>
    </row>
    <row r="506" spans="1:3" ht="15">
      <c r="A506" s="227"/>
      <c r="B506" s="228"/>
      <c r="C506" s="229" t="s">
        <v>1677</v>
      </c>
    </row>
    <row r="507" spans="1:3" ht="16" thickBot="1">
      <c r="A507" s="227"/>
      <c r="B507" s="230"/>
      <c r="C507" s="231" t="s">
        <v>1678</v>
      </c>
    </row>
    <row r="508" spans="1:3" ht="16" thickTop="1">
      <c r="A508" s="227"/>
      <c r="B508" s="225" t="s">
        <v>1679</v>
      </c>
      <c r="C508" s="226" t="s">
        <v>1680</v>
      </c>
    </row>
    <row r="509" spans="1:3" ht="15">
      <c r="A509" s="227"/>
      <c r="B509" s="228"/>
      <c r="C509" s="229" t="s">
        <v>1681</v>
      </c>
    </row>
    <row r="510" spans="1:3" ht="16" thickBot="1">
      <c r="A510" s="227"/>
      <c r="B510" s="228"/>
      <c r="C510" s="231" t="s">
        <v>1682</v>
      </c>
    </row>
    <row r="511" spans="1:3" ht="17" thickTop="1" thickBot="1">
      <c r="A511" s="262"/>
      <c r="B511" s="267" t="s">
        <v>1683</v>
      </c>
      <c r="C511" s="268" t="s">
        <v>1683</v>
      </c>
    </row>
    <row r="512" spans="1:3" ht="16" thickTop="1">
      <c r="A512" s="269"/>
      <c r="B512" s="225" t="s">
        <v>1684</v>
      </c>
      <c r="C512" s="226" t="s">
        <v>1685</v>
      </c>
    </row>
    <row r="513" spans="1:3" ht="15">
      <c r="A513" s="269"/>
      <c r="B513" s="228"/>
      <c r="C513" s="229" t="s">
        <v>1686</v>
      </c>
    </row>
    <row r="514" spans="1:3" ht="15">
      <c r="A514" s="269"/>
      <c r="B514" s="228"/>
      <c r="C514" s="229" t="s">
        <v>1687</v>
      </c>
    </row>
    <row r="515" spans="1:3" ht="15">
      <c r="A515" s="269"/>
      <c r="B515" s="228"/>
      <c r="C515" s="229" t="s">
        <v>1688</v>
      </c>
    </row>
    <row r="516" spans="1:3" ht="15">
      <c r="A516" s="269"/>
      <c r="B516" s="228"/>
      <c r="C516" s="229" t="s">
        <v>1689</v>
      </c>
    </row>
    <row r="517" spans="1:3" ht="16" thickBot="1">
      <c r="A517" s="269"/>
      <c r="B517" s="230"/>
      <c r="C517" s="231" t="s">
        <v>1690</v>
      </c>
    </row>
    <row r="518" spans="1:3" ht="15" thickTop="1">
      <c r="A518" s="224" t="s">
        <v>1691</v>
      </c>
      <c r="B518" s="264" t="s">
        <v>1692</v>
      </c>
      <c r="C518" s="268" t="s">
        <v>1693</v>
      </c>
    </row>
    <row r="519" spans="1:3" ht="15" thickBot="1">
      <c r="A519" s="232"/>
      <c r="B519" s="255"/>
      <c r="C519" s="266" t="s">
        <v>1694</v>
      </c>
    </row>
    <row r="520" spans="1:3" ht="16" thickTop="1">
      <c r="A520" s="224" t="s">
        <v>1695</v>
      </c>
      <c r="B520" s="225" t="s">
        <v>1696</v>
      </c>
      <c r="C520" s="226" t="s">
        <v>1697</v>
      </c>
    </row>
    <row r="521" spans="1:3" ht="15">
      <c r="A521" s="227"/>
      <c r="B521" s="254"/>
      <c r="C521" s="229" t="s">
        <v>1698</v>
      </c>
    </row>
    <row r="522" spans="1:3" ht="15">
      <c r="A522" s="227"/>
      <c r="B522" s="254"/>
      <c r="C522" s="229" t="s">
        <v>1699</v>
      </c>
    </row>
    <row r="523" spans="1:3" ht="15">
      <c r="A523" s="227"/>
      <c r="B523" s="254"/>
      <c r="C523" s="229" t="s">
        <v>1700</v>
      </c>
    </row>
    <row r="524" spans="1:3">
      <c r="A524" s="227"/>
      <c r="B524" s="254"/>
      <c r="C524" s="270" t="s">
        <v>1701</v>
      </c>
    </row>
    <row r="525" spans="1:3">
      <c r="A525" s="227"/>
      <c r="B525" s="254"/>
      <c r="C525" s="270" t="s">
        <v>1702</v>
      </c>
    </row>
    <row r="526" spans="1:3" ht="15" thickBot="1">
      <c r="A526" s="271"/>
      <c r="B526" s="272"/>
      <c r="C526" s="251" t="s">
        <v>1703</v>
      </c>
    </row>
    <row r="527" spans="1:3" ht="15" thickTop="1"/>
  </sheetData>
  <mergeCells count="82">
    <mergeCell ref="A520:A526"/>
    <mergeCell ref="B520:B526"/>
    <mergeCell ref="A486:A511"/>
    <mergeCell ref="B486:B502"/>
    <mergeCell ref="B503:B507"/>
    <mergeCell ref="B508:B510"/>
    <mergeCell ref="B512:B517"/>
    <mergeCell ref="A518:A519"/>
    <mergeCell ref="B518:B519"/>
    <mergeCell ref="A421:A451"/>
    <mergeCell ref="B421:B451"/>
    <mergeCell ref="A452:A485"/>
    <mergeCell ref="B454:B455"/>
    <mergeCell ref="B458:B460"/>
    <mergeCell ref="B463:B464"/>
    <mergeCell ref="B467:B483"/>
    <mergeCell ref="B484:B485"/>
    <mergeCell ref="B354:B369"/>
    <mergeCell ref="A370:A374"/>
    <mergeCell ref="B370:B374"/>
    <mergeCell ref="A375:A420"/>
    <mergeCell ref="B395:B406"/>
    <mergeCell ref="B407:B411"/>
    <mergeCell ref="B412:B413"/>
    <mergeCell ref="B414:B417"/>
    <mergeCell ref="B418:B420"/>
    <mergeCell ref="A298:A308"/>
    <mergeCell ref="B301:B308"/>
    <mergeCell ref="A309:A319"/>
    <mergeCell ref="B311:B316"/>
    <mergeCell ref="A320:A369"/>
    <mergeCell ref="B320:B328"/>
    <mergeCell ref="B329:B330"/>
    <mergeCell ref="B331:B334"/>
    <mergeCell ref="B335:B341"/>
    <mergeCell ref="B342:B353"/>
    <mergeCell ref="B245:B247"/>
    <mergeCell ref="B248:B287"/>
    <mergeCell ref="A288:A297"/>
    <mergeCell ref="B288:B291"/>
    <mergeCell ref="B292:B294"/>
    <mergeCell ref="B295:B297"/>
    <mergeCell ref="A178:A221"/>
    <mergeCell ref="B178:B182"/>
    <mergeCell ref="B184:B221"/>
    <mergeCell ref="A222:A287"/>
    <mergeCell ref="B222:B226"/>
    <mergeCell ref="B227:B229"/>
    <mergeCell ref="B230:B231"/>
    <mergeCell ref="B232:B234"/>
    <mergeCell ref="B237:B239"/>
    <mergeCell ref="B240:B243"/>
    <mergeCell ref="A140:A177"/>
    <mergeCell ref="B140:B145"/>
    <mergeCell ref="B146:B149"/>
    <mergeCell ref="B151:B153"/>
    <mergeCell ref="B155:B157"/>
    <mergeCell ref="B159:B160"/>
    <mergeCell ref="B161:B162"/>
    <mergeCell ref="B163:B177"/>
    <mergeCell ref="A90:A110"/>
    <mergeCell ref="B93:B98"/>
    <mergeCell ref="B99:B109"/>
    <mergeCell ref="A111:A123"/>
    <mergeCell ref="B113:B123"/>
    <mergeCell ref="A124:A139"/>
    <mergeCell ref="B124:B139"/>
    <mergeCell ref="B48:B50"/>
    <mergeCell ref="B51:B71"/>
    <mergeCell ref="A72:A89"/>
    <mergeCell ref="B72:B76"/>
    <mergeCell ref="B77:B81"/>
    <mergeCell ref="B83:B88"/>
    <mergeCell ref="A1:C1"/>
    <mergeCell ref="A3:A71"/>
    <mergeCell ref="B3:B15"/>
    <mergeCell ref="B16:B24"/>
    <mergeCell ref="B25:B31"/>
    <mergeCell ref="B32:B38"/>
    <mergeCell ref="B39:B41"/>
    <mergeCell ref="B42:B44"/>
    <mergeCell ref="B45:B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Example</vt:lpstr>
      <vt:lpstr>Example Averages</vt:lpstr>
      <vt:lpstr>Archival</vt:lpstr>
      <vt:lpstr>Reference</vt:lpstr>
      <vt:lpstr>Upload</vt:lpstr>
      <vt:lpstr>Averages</vt:lpstr>
      <vt:lpstr>GIFT Groups</vt:lpstr>
      <vt:lpstr>Dietary Diversity Groups</vt:lpstr>
      <vt:lpstr>FBS Groups</vt:lpstr>
      <vt:lpstr>'Dietary Diversity Groups'!_ftn1</vt:lpstr>
      <vt:lpstr>'Dietary Diversity Groups'!_ftnref1</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moltedo</dc:creator>
  <cp:lastModifiedBy>Microsoft Office User</cp:lastModifiedBy>
  <dcterms:created xsi:type="dcterms:W3CDTF">2010-03-30T13:50:29Z</dcterms:created>
  <dcterms:modified xsi:type="dcterms:W3CDTF">2020-05-27T12:31:41Z</dcterms:modified>
</cp:coreProperties>
</file>