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autoCompressPictures="0" defaultThemeVersion="124226"/>
  <mc:AlternateContent xmlns:mc="http://schemas.openxmlformats.org/markup-compatibility/2006">
    <mc:Choice Requires="x15">
      <x15ac:absPath xmlns:x15ac="http://schemas.microsoft.com/office/spreadsheetml/2010/11/ac" url="C:\Users\CAPETOWN\Documents\Namibia\Namibia_2019\"/>
    </mc:Choice>
  </mc:AlternateContent>
  <xr:revisionPtr revIDLastSave="0" documentId="8_{BEC3DE12-1CC8-46BA-AB00-573F6EE9BE46}" xr6:coauthVersionLast="45" xr6:coauthVersionMax="45" xr10:uidLastSave="{00000000-0000-0000-0000-000000000000}"/>
  <bookViews>
    <workbookView xWindow="-120" yWindow="-120" windowWidth="20730" windowHeight="11760" firstSheet="2" activeTab="6" xr2:uid="{00000000-000D-0000-FFFF-FFFF00000000}"/>
  </bookViews>
  <sheets>
    <sheet name="How to fill Archival" sheetId="8" r:id="rId1"/>
    <sheet name="How to fill Reference" sheetId="9" r:id="rId2"/>
    <sheet name="Example Averages" sheetId="10" r:id="rId3"/>
    <sheet name="Archival" sheetId="1" r:id="rId4"/>
    <sheet name="Reference" sheetId="2" r:id="rId5"/>
    <sheet name="Upload" sheetId="5" r:id="rId6"/>
    <sheet name="ADePT_upload" sheetId="11" r:id="rId7"/>
    <sheet name="Averages" sheetId="7"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P194" i="5" l="1"/>
  <c r="R194" i="5" s="1"/>
  <c r="P193" i="5"/>
  <c r="R193" i="5" s="1"/>
  <c r="P192" i="5"/>
  <c r="R192" i="5" s="1"/>
  <c r="P191" i="5"/>
  <c r="R191" i="5" s="1"/>
  <c r="P190" i="5"/>
  <c r="R190" i="5" s="1"/>
  <c r="P189" i="5"/>
  <c r="R189" i="5" s="1"/>
  <c r="P188" i="5"/>
  <c r="R188" i="5" s="1"/>
  <c r="P187" i="5"/>
  <c r="R187" i="5" s="1"/>
  <c r="R186" i="5"/>
  <c r="P186" i="5"/>
  <c r="P185" i="5"/>
  <c r="R185" i="5" s="1"/>
  <c r="R184" i="5"/>
  <c r="R183" i="5"/>
  <c r="P183" i="5"/>
  <c r="P182" i="5"/>
  <c r="R182" i="5" s="1"/>
  <c r="P181" i="5"/>
  <c r="R181" i="5" s="1"/>
  <c r="P180" i="5"/>
  <c r="R180" i="5" s="1"/>
  <c r="P179" i="5"/>
  <c r="R179" i="5" s="1"/>
  <c r="P178" i="5"/>
  <c r="R178" i="5" s="1"/>
  <c r="P177" i="5"/>
  <c r="R177" i="5" s="1"/>
  <c r="P176" i="5"/>
  <c r="R176" i="5" s="1"/>
  <c r="P175" i="5"/>
  <c r="R175" i="5" s="1"/>
  <c r="P174" i="5"/>
  <c r="R174" i="5" s="1"/>
  <c r="P173" i="5"/>
  <c r="R173" i="5" s="1"/>
  <c r="R172" i="5"/>
  <c r="P171" i="5"/>
  <c r="R171" i="5" s="1"/>
  <c r="P170" i="5"/>
  <c r="R170" i="5" s="1"/>
  <c r="P169" i="5"/>
  <c r="R169" i="5" s="1"/>
  <c r="P168" i="5"/>
  <c r="R168" i="5" s="1"/>
  <c r="P167" i="5"/>
  <c r="R167" i="5" s="1"/>
  <c r="P166" i="5"/>
  <c r="R166" i="5" s="1"/>
  <c r="P165" i="5"/>
  <c r="R165" i="5" s="1"/>
  <c r="P164" i="5"/>
  <c r="R164" i="5" s="1"/>
  <c r="P163" i="5"/>
  <c r="R163" i="5" s="1"/>
  <c r="P162" i="5"/>
  <c r="R162" i="5" s="1"/>
  <c r="P161" i="5"/>
  <c r="R161" i="5" s="1"/>
  <c r="P160" i="5"/>
  <c r="R160" i="5" s="1"/>
  <c r="P159" i="5"/>
  <c r="R159" i="5" s="1"/>
  <c r="P158" i="5"/>
  <c r="R158" i="5" s="1"/>
  <c r="P157" i="5"/>
  <c r="R157" i="5" s="1"/>
  <c r="R156" i="5"/>
  <c r="P156" i="5"/>
  <c r="P155" i="5"/>
  <c r="R155" i="5" s="1"/>
  <c r="P154" i="5"/>
  <c r="R154" i="5" s="1"/>
  <c r="P153" i="5"/>
  <c r="R153" i="5" s="1"/>
  <c r="P152" i="5"/>
  <c r="R152" i="5" s="1"/>
  <c r="P151" i="5"/>
  <c r="R151" i="5" s="1"/>
  <c r="P150" i="5"/>
  <c r="R150" i="5" s="1"/>
  <c r="P149" i="5"/>
  <c r="R149" i="5" s="1"/>
  <c r="P148" i="5"/>
  <c r="R148" i="5" s="1"/>
  <c r="P147" i="5"/>
  <c r="R147" i="5" s="1"/>
  <c r="P146" i="5"/>
  <c r="R146" i="5" s="1"/>
  <c r="P145" i="5"/>
  <c r="R145" i="5" s="1"/>
  <c r="P144" i="5"/>
  <c r="R144" i="5" s="1"/>
  <c r="P143" i="5"/>
  <c r="R143" i="5" s="1"/>
  <c r="P142" i="5"/>
  <c r="R142" i="5" s="1"/>
  <c r="P141" i="5"/>
  <c r="R141" i="5" s="1"/>
  <c r="R140" i="5"/>
  <c r="P140" i="5"/>
  <c r="P139" i="5"/>
  <c r="R139" i="5" s="1"/>
  <c r="P138" i="5"/>
  <c r="R138" i="5" s="1"/>
  <c r="P137" i="5"/>
  <c r="R137" i="5" s="1"/>
  <c r="P136" i="5"/>
  <c r="R136" i="5" s="1"/>
  <c r="P135" i="5"/>
  <c r="R135" i="5" s="1"/>
  <c r="P134" i="5"/>
  <c r="R134" i="5" s="1"/>
  <c r="P133" i="5"/>
  <c r="R133" i="5" s="1"/>
  <c r="P132" i="5"/>
  <c r="R132" i="5" s="1"/>
  <c r="P131" i="5"/>
  <c r="R131" i="5" s="1"/>
  <c r="P130" i="5"/>
  <c r="R130" i="5" s="1"/>
  <c r="P129" i="5"/>
  <c r="R129" i="5" s="1"/>
  <c r="P128" i="5"/>
  <c r="R128" i="5" s="1"/>
  <c r="P127" i="5"/>
  <c r="R127" i="5" s="1"/>
  <c r="P126" i="5"/>
  <c r="R126" i="5" s="1"/>
  <c r="P125" i="5"/>
  <c r="R125" i="5" s="1"/>
  <c r="R124" i="5"/>
  <c r="P124" i="5"/>
  <c r="P123" i="5"/>
  <c r="R123" i="5" s="1"/>
  <c r="P122" i="5"/>
  <c r="R122" i="5" s="1"/>
  <c r="P121" i="5"/>
  <c r="R121" i="5" s="1"/>
  <c r="P120" i="5"/>
  <c r="R120" i="5" s="1"/>
  <c r="P119" i="5"/>
  <c r="R119" i="5" s="1"/>
  <c r="P118" i="5"/>
  <c r="R118" i="5" s="1"/>
  <c r="P117" i="5"/>
  <c r="R117" i="5" s="1"/>
  <c r="P116" i="5"/>
  <c r="R116" i="5" s="1"/>
  <c r="P115" i="5"/>
  <c r="R115" i="5" s="1"/>
  <c r="P114" i="5"/>
  <c r="R114" i="5" s="1"/>
  <c r="P113" i="5"/>
  <c r="R113" i="5" s="1"/>
  <c r="P112" i="5"/>
  <c r="R112" i="5" s="1"/>
  <c r="P111" i="5"/>
  <c r="R111" i="5" s="1"/>
  <c r="P110" i="5"/>
  <c r="R110" i="5" s="1"/>
  <c r="P109" i="5"/>
  <c r="R109" i="5" s="1"/>
  <c r="R108" i="5"/>
  <c r="P108" i="5"/>
  <c r="P107" i="5"/>
  <c r="R107" i="5" s="1"/>
  <c r="P106" i="5"/>
  <c r="R106" i="5" s="1"/>
  <c r="P105" i="5"/>
  <c r="R105" i="5" s="1"/>
  <c r="P104" i="5"/>
  <c r="R104" i="5" s="1"/>
  <c r="P103" i="5"/>
  <c r="R103" i="5" s="1"/>
  <c r="P102" i="5"/>
  <c r="R102" i="5" s="1"/>
  <c r="P101" i="5"/>
  <c r="R101" i="5" s="1"/>
  <c r="P100" i="5"/>
  <c r="R100" i="5" s="1"/>
  <c r="P99" i="5"/>
  <c r="R99" i="5" s="1"/>
  <c r="P98" i="5"/>
  <c r="R98" i="5" s="1"/>
  <c r="P97" i="5"/>
  <c r="R97" i="5" s="1"/>
  <c r="P96" i="5"/>
  <c r="R96" i="5" s="1"/>
  <c r="P95" i="5"/>
  <c r="R95" i="5" s="1"/>
  <c r="P94" i="5"/>
  <c r="R94" i="5" s="1"/>
  <c r="P93" i="5"/>
  <c r="R93" i="5" s="1"/>
  <c r="P92" i="5"/>
  <c r="R92" i="5" s="1"/>
  <c r="P91" i="5"/>
  <c r="R91" i="5" s="1"/>
  <c r="P90" i="5"/>
  <c r="R90" i="5" s="1"/>
  <c r="P89" i="5"/>
  <c r="R89" i="5" s="1"/>
  <c r="P88" i="5"/>
  <c r="R88" i="5" s="1"/>
  <c r="P87" i="5"/>
  <c r="R87" i="5" s="1"/>
  <c r="R86" i="5"/>
  <c r="P86" i="5"/>
  <c r="P85" i="5"/>
  <c r="R85" i="5" s="1"/>
  <c r="R84" i="5"/>
  <c r="P84" i="5"/>
  <c r="P83" i="5"/>
  <c r="R83" i="5" s="1"/>
  <c r="P82" i="5"/>
  <c r="R82" i="5" s="1"/>
  <c r="R81" i="5"/>
  <c r="P80" i="5"/>
  <c r="R80" i="5" s="1"/>
  <c r="P79" i="5"/>
  <c r="R79" i="5" s="1"/>
  <c r="P78" i="5"/>
  <c r="R78" i="5" s="1"/>
  <c r="P77" i="5"/>
  <c r="R77" i="5" s="1"/>
  <c r="P76" i="5"/>
  <c r="R76" i="5" s="1"/>
  <c r="R75" i="5"/>
  <c r="P75" i="5"/>
  <c r="P74" i="5"/>
  <c r="R74" i="5" s="1"/>
  <c r="P73" i="5"/>
  <c r="R73" i="5" s="1"/>
  <c r="P72" i="5"/>
  <c r="R72" i="5" s="1"/>
  <c r="P71" i="5"/>
  <c r="R71" i="5" s="1"/>
  <c r="P70" i="5"/>
  <c r="R70" i="5" s="1"/>
  <c r="P69" i="5"/>
  <c r="R69" i="5" s="1"/>
  <c r="P68" i="5"/>
  <c r="R68" i="5" s="1"/>
  <c r="R67" i="5"/>
  <c r="P67" i="5"/>
  <c r="P66" i="5"/>
  <c r="R66" i="5" s="1"/>
  <c r="P65" i="5"/>
  <c r="R65" i="5" s="1"/>
  <c r="P64" i="5"/>
  <c r="R64" i="5" s="1"/>
  <c r="P63" i="5"/>
  <c r="R63" i="5" s="1"/>
  <c r="P62" i="5"/>
  <c r="R62" i="5" s="1"/>
  <c r="P61" i="5"/>
  <c r="R61" i="5" s="1"/>
  <c r="P60" i="5"/>
  <c r="R60" i="5" s="1"/>
  <c r="P59" i="5"/>
  <c r="R59" i="5" s="1"/>
  <c r="P58" i="5"/>
  <c r="R58" i="5" s="1"/>
  <c r="R57" i="5"/>
  <c r="P57" i="5"/>
  <c r="P56" i="5"/>
  <c r="R56" i="5" s="1"/>
  <c r="P55" i="5"/>
  <c r="R55" i="5" s="1"/>
  <c r="P54" i="5"/>
  <c r="R54" i="5" s="1"/>
  <c r="P53" i="5"/>
  <c r="R53" i="5" s="1"/>
  <c r="P52" i="5"/>
  <c r="R52" i="5" s="1"/>
  <c r="R51" i="5"/>
  <c r="P50" i="5"/>
  <c r="R50" i="5" s="1"/>
  <c r="R49" i="5"/>
  <c r="P48" i="5"/>
  <c r="R48" i="5" s="1"/>
  <c r="P47" i="5"/>
  <c r="R47" i="5" s="1"/>
  <c r="R46" i="5"/>
  <c r="R45" i="5"/>
  <c r="R44" i="5"/>
  <c r="P43" i="5"/>
  <c r="R43" i="5" s="1"/>
  <c r="R42" i="5"/>
  <c r="P42" i="5"/>
  <c r="R41" i="5"/>
  <c r="P40" i="5"/>
  <c r="R40" i="5" s="1"/>
  <c r="R39" i="5"/>
  <c r="P38" i="5"/>
  <c r="R38" i="5" s="1"/>
  <c r="P37" i="5"/>
  <c r="R37" i="5" s="1"/>
  <c r="R36" i="5"/>
  <c r="R35" i="5"/>
  <c r="R34" i="5"/>
  <c r="P33" i="5"/>
  <c r="R33" i="5" s="1"/>
  <c r="R32" i="5"/>
  <c r="P31" i="5"/>
  <c r="R31" i="5" s="1"/>
  <c r="R30" i="5"/>
  <c r="P29" i="5"/>
  <c r="R29" i="5" s="1"/>
  <c r="R28" i="5"/>
  <c r="P27" i="5"/>
  <c r="R27" i="5" s="1"/>
  <c r="P26" i="5"/>
  <c r="R26" i="5" s="1"/>
  <c r="R25" i="5"/>
  <c r="R24" i="5"/>
  <c r="P23" i="5"/>
  <c r="R23" i="5" s="1"/>
  <c r="P22" i="5"/>
  <c r="R22" i="5" s="1"/>
  <c r="P21" i="5"/>
  <c r="R21" i="5" s="1"/>
  <c r="R20" i="5"/>
  <c r="R19" i="5"/>
  <c r="P18" i="5"/>
  <c r="R18" i="5" s="1"/>
  <c r="P17" i="5"/>
  <c r="R17" i="5" s="1"/>
  <c r="P16" i="5"/>
  <c r="R16" i="5" s="1"/>
  <c r="P15" i="5"/>
  <c r="R15" i="5" s="1"/>
  <c r="R14" i="5"/>
  <c r="P14" i="5"/>
  <c r="P13" i="5"/>
  <c r="R13" i="5" s="1"/>
  <c r="P12" i="5"/>
  <c r="R12" i="5" s="1"/>
  <c r="P11" i="5"/>
  <c r="R11" i="5" s="1"/>
  <c r="P10" i="5"/>
  <c r="R10" i="5" s="1"/>
  <c r="P9" i="5"/>
  <c r="R9" i="5" s="1"/>
  <c r="P8" i="5"/>
  <c r="R8" i="5" s="1"/>
  <c r="P7" i="5"/>
  <c r="R7" i="5" s="1"/>
  <c r="P6" i="5"/>
  <c r="R6" i="5" s="1"/>
  <c r="P5" i="5"/>
  <c r="R5" i="5" s="1"/>
  <c r="P4" i="5"/>
  <c r="R4" i="5" s="1"/>
  <c r="P3" i="5"/>
  <c r="R3" i="5" s="1"/>
  <c r="P2" i="5"/>
  <c r="R2" i="5" s="1"/>
  <c r="P101" i="2"/>
  <c r="R101" i="2" s="1"/>
  <c r="P74" i="2"/>
  <c r="R74" i="2" s="1"/>
  <c r="P104" i="2"/>
  <c r="R104" i="2" s="1"/>
  <c r="R19" i="2"/>
  <c r="R20" i="2"/>
  <c r="R24" i="2"/>
  <c r="R25" i="2"/>
  <c r="R28" i="2"/>
  <c r="R30" i="2"/>
  <c r="R32" i="2"/>
  <c r="R34" i="2"/>
  <c r="R35" i="2"/>
  <c r="R36" i="2"/>
  <c r="R39" i="2"/>
  <c r="R41" i="2"/>
  <c r="R44" i="2"/>
  <c r="R45" i="2"/>
  <c r="R46" i="2"/>
  <c r="R49" i="2"/>
  <c r="R51" i="2"/>
  <c r="R81" i="2"/>
  <c r="R172" i="2"/>
  <c r="R184" i="2"/>
  <c r="P3" i="2"/>
  <c r="R3" i="2" s="1"/>
  <c r="P4" i="2"/>
  <c r="R4" i="2" s="1"/>
  <c r="P5" i="2"/>
  <c r="R5" i="2" s="1"/>
  <c r="P6" i="2"/>
  <c r="R6" i="2" s="1"/>
  <c r="P7" i="2"/>
  <c r="R7" i="2" s="1"/>
  <c r="P8" i="2"/>
  <c r="R8" i="2" s="1"/>
  <c r="P9" i="2"/>
  <c r="R9" i="2" s="1"/>
  <c r="P10" i="2"/>
  <c r="R10" i="2" s="1"/>
  <c r="P11" i="2"/>
  <c r="R11" i="2" s="1"/>
  <c r="P12" i="2"/>
  <c r="R12" i="2" s="1"/>
  <c r="P13" i="2"/>
  <c r="R13" i="2" s="1"/>
  <c r="P14" i="2"/>
  <c r="R14" i="2" s="1"/>
  <c r="P15" i="2"/>
  <c r="R15" i="2" s="1"/>
  <c r="P16" i="2"/>
  <c r="R16" i="2" s="1"/>
  <c r="P17" i="2"/>
  <c r="R17" i="2" s="1"/>
  <c r="P18" i="2"/>
  <c r="R18" i="2" s="1"/>
  <c r="P21" i="2"/>
  <c r="R21" i="2" s="1"/>
  <c r="P22" i="2"/>
  <c r="R22" i="2" s="1"/>
  <c r="P23" i="2"/>
  <c r="R23" i="2" s="1"/>
  <c r="P26" i="2"/>
  <c r="R26" i="2" s="1"/>
  <c r="P27" i="2"/>
  <c r="R27" i="2" s="1"/>
  <c r="P29" i="2"/>
  <c r="R29" i="2" s="1"/>
  <c r="P31" i="2"/>
  <c r="R31" i="2" s="1"/>
  <c r="P33" i="2"/>
  <c r="R33" i="2" s="1"/>
  <c r="P37" i="2"/>
  <c r="R37" i="2" s="1"/>
  <c r="P38" i="2"/>
  <c r="R38" i="2" s="1"/>
  <c r="P40" i="2"/>
  <c r="R40" i="2" s="1"/>
  <c r="P42" i="2"/>
  <c r="R42" i="2" s="1"/>
  <c r="P43" i="2"/>
  <c r="R43" i="2" s="1"/>
  <c r="P47" i="2"/>
  <c r="R47" i="2" s="1"/>
  <c r="P48" i="2"/>
  <c r="R48" i="2" s="1"/>
  <c r="P50" i="2"/>
  <c r="R50" i="2" s="1"/>
  <c r="P52" i="2"/>
  <c r="R52" i="2" s="1"/>
  <c r="P53" i="2"/>
  <c r="R53" i="2" s="1"/>
  <c r="P54" i="2"/>
  <c r="R54" i="2" s="1"/>
  <c r="P55" i="2"/>
  <c r="R55" i="2" s="1"/>
  <c r="P56" i="2"/>
  <c r="R56" i="2" s="1"/>
  <c r="P57" i="2"/>
  <c r="R57" i="2" s="1"/>
  <c r="P58" i="2"/>
  <c r="R58" i="2" s="1"/>
  <c r="P59" i="2"/>
  <c r="R59" i="2" s="1"/>
  <c r="P60" i="2"/>
  <c r="R60" i="2" s="1"/>
  <c r="P61" i="2"/>
  <c r="R61" i="2" s="1"/>
  <c r="P62" i="2"/>
  <c r="R62" i="2" s="1"/>
  <c r="P63" i="2"/>
  <c r="R63" i="2" s="1"/>
  <c r="P64" i="2"/>
  <c r="R64" i="2" s="1"/>
  <c r="P65" i="2"/>
  <c r="R65" i="2" s="1"/>
  <c r="P66" i="2"/>
  <c r="R66" i="2" s="1"/>
  <c r="P67" i="2"/>
  <c r="R67" i="2" s="1"/>
  <c r="P68" i="2"/>
  <c r="R68" i="2" s="1"/>
  <c r="P69" i="2"/>
  <c r="R69" i="2" s="1"/>
  <c r="P70" i="2"/>
  <c r="R70" i="2" s="1"/>
  <c r="P71" i="2"/>
  <c r="R71" i="2" s="1"/>
  <c r="P72" i="2"/>
  <c r="R72" i="2" s="1"/>
  <c r="P73" i="2"/>
  <c r="R73" i="2" s="1"/>
  <c r="P75" i="2"/>
  <c r="R75" i="2" s="1"/>
  <c r="P76" i="2"/>
  <c r="R76" i="2" s="1"/>
  <c r="P77" i="2"/>
  <c r="R77" i="2" s="1"/>
  <c r="P78" i="2"/>
  <c r="R78" i="2" s="1"/>
  <c r="P79" i="2"/>
  <c r="R79" i="2" s="1"/>
  <c r="P80" i="2"/>
  <c r="R80" i="2" s="1"/>
  <c r="P82" i="2"/>
  <c r="R82" i="2" s="1"/>
  <c r="P83" i="2"/>
  <c r="R83" i="2" s="1"/>
  <c r="P84" i="2"/>
  <c r="R84" i="2" s="1"/>
  <c r="P85" i="2"/>
  <c r="R85" i="2" s="1"/>
  <c r="P86" i="2"/>
  <c r="R86" i="2" s="1"/>
  <c r="P87" i="2"/>
  <c r="R87" i="2" s="1"/>
  <c r="P88" i="2"/>
  <c r="R88" i="2" s="1"/>
  <c r="P89" i="2"/>
  <c r="R89" i="2" s="1"/>
  <c r="P90" i="2"/>
  <c r="R90" i="2" s="1"/>
  <c r="P91" i="2"/>
  <c r="R91" i="2" s="1"/>
  <c r="P92" i="2"/>
  <c r="R92" i="2" s="1"/>
  <c r="P93" i="2"/>
  <c r="R93" i="2" s="1"/>
  <c r="P94" i="2"/>
  <c r="R94" i="2" s="1"/>
  <c r="P95" i="2"/>
  <c r="R95" i="2" s="1"/>
  <c r="P96" i="2"/>
  <c r="R96" i="2" s="1"/>
  <c r="P97" i="2"/>
  <c r="R97" i="2" s="1"/>
  <c r="P98" i="2"/>
  <c r="R98" i="2" s="1"/>
  <c r="P99" i="2"/>
  <c r="R99" i="2" s="1"/>
  <c r="P100" i="2"/>
  <c r="R100" i="2" s="1"/>
  <c r="P102" i="2"/>
  <c r="R102" i="2" s="1"/>
  <c r="P103" i="2"/>
  <c r="R103" i="2" s="1"/>
  <c r="P105" i="2"/>
  <c r="R105" i="2" s="1"/>
  <c r="P106" i="2"/>
  <c r="R106" i="2" s="1"/>
  <c r="P107" i="2"/>
  <c r="R107" i="2" s="1"/>
  <c r="P108" i="2"/>
  <c r="R108" i="2" s="1"/>
  <c r="P109" i="2"/>
  <c r="R109" i="2" s="1"/>
  <c r="P110" i="2"/>
  <c r="R110" i="2" s="1"/>
  <c r="P111" i="2"/>
  <c r="R111" i="2" s="1"/>
  <c r="P112" i="2"/>
  <c r="R112" i="2" s="1"/>
  <c r="P113" i="2"/>
  <c r="R113" i="2" s="1"/>
  <c r="P114" i="2"/>
  <c r="R114" i="2" s="1"/>
  <c r="P115" i="2"/>
  <c r="R115" i="2" s="1"/>
  <c r="P116" i="2"/>
  <c r="R116" i="2" s="1"/>
  <c r="P117" i="2"/>
  <c r="R117" i="2" s="1"/>
  <c r="P118" i="2"/>
  <c r="R118" i="2" s="1"/>
  <c r="P119" i="2"/>
  <c r="R119" i="2" s="1"/>
  <c r="P120" i="2"/>
  <c r="R120" i="2" s="1"/>
  <c r="P121" i="2"/>
  <c r="R121" i="2" s="1"/>
  <c r="P122" i="2"/>
  <c r="R122" i="2" s="1"/>
  <c r="P123" i="2"/>
  <c r="R123" i="2" s="1"/>
  <c r="P124" i="2"/>
  <c r="R124" i="2" s="1"/>
  <c r="P125" i="2"/>
  <c r="R125" i="2" s="1"/>
  <c r="P126" i="2"/>
  <c r="R126" i="2" s="1"/>
  <c r="P127" i="2"/>
  <c r="R127" i="2" s="1"/>
  <c r="P128" i="2"/>
  <c r="R128" i="2" s="1"/>
  <c r="P129" i="2"/>
  <c r="R129" i="2" s="1"/>
  <c r="P130" i="2"/>
  <c r="R130" i="2" s="1"/>
  <c r="P131" i="2"/>
  <c r="R131" i="2" s="1"/>
  <c r="P132" i="2"/>
  <c r="R132" i="2" s="1"/>
  <c r="P133" i="2"/>
  <c r="R133" i="2" s="1"/>
  <c r="P134" i="2"/>
  <c r="R134" i="2" s="1"/>
  <c r="P135" i="2"/>
  <c r="R135" i="2" s="1"/>
  <c r="P136" i="2"/>
  <c r="R136" i="2" s="1"/>
  <c r="P137" i="2"/>
  <c r="R137" i="2" s="1"/>
  <c r="P138" i="2"/>
  <c r="R138" i="2" s="1"/>
  <c r="P139" i="2"/>
  <c r="R139" i="2" s="1"/>
  <c r="P140" i="2"/>
  <c r="R140" i="2" s="1"/>
  <c r="P141" i="2"/>
  <c r="R141" i="2" s="1"/>
  <c r="P142" i="2"/>
  <c r="R142" i="2" s="1"/>
  <c r="P143" i="2"/>
  <c r="R143" i="2" s="1"/>
  <c r="P144" i="2"/>
  <c r="R144" i="2" s="1"/>
  <c r="P145" i="2"/>
  <c r="R145" i="2" s="1"/>
  <c r="P146" i="2"/>
  <c r="R146" i="2" s="1"/>
  <c r="P147" i="2"/>
  <c r="R147" i="2" s="1"/>
  <c r="P148" i="2"/>
  <c r="R148" i="2" s="1"/>
  <c r="P149" i="2"/>
  <c r="R149" i="2" s="1"/>
  <c r="P150" i="2"/>
  <c r="R150" i="2" s="1"/>
  <c r="P151" i="2"/>
  <c r="R151" i="2" s="1"/>
  <c r="P152" i="2"/>
  <c r="R152" i="2" s="1"/>
  <c r="P153" i="2"/>
  <c r="R153" i="2" s="1"/>
  <c r="P154" i="2"/>
  <c r="R154" i="2" s="1"/>
  <c r="P155" i="2"/>
  <c r="R155" i="2" s="1"/>
  <c r="P156" i="2"/>
  <c r="R156" i="2" s="1"/>
  <c r="P157" i="2"/>
  <c r="R157" i="2" s="1"/>
  <c r="P158" i="2"/>
  <c r="R158" i="2" s="1"/>
  <c r="P159" i="2"/>
  <c r="R159" i="2" s="1"/>
  <c r="P160" i="2"/>
  <c r="R160" i="2" s="1"/>
  <c r="P161" i="2"/>
  <c r="R161" i="2" s="1"/>
  <c r="P162" i="2"/>
  <c r="R162" i="2" s="1"/>
  <c r="P163" i="2"/>
  <c r="R163" i="2" s="1"/>
  <c r="P164" i="2"/>
  <c r="R164" i="2" s="1"/>
  <c r="P165" i="2"/>
  <c r="R165" i="2" s="1"/>
  <c r="P166" i="2"/>
  <c r="R166" i="2" s="1"/>
  <c r="P167" i="2"/>
  <c r="R167" i="2" s="1"/>
  <c r="P168" i="2"/>
  <c r="R168" i="2" s="1"/>
  <c r="P169" i="2"/>
  <c r="R169" i="2" s="1"/>
  <c r="P170" i="2"/>
  <c r="R170" i="2" s="1"/>
  <c r="P171" i="2"/>
  <c r="R171" i="2" s="1"/>
  <c r="P173" i="2"/>
  <c r="R173" i="2" s="1"/>
  <c r="P174" i="2"/>
  <c r="R174" i="2" s="1"/>
  <c r="P175" i="2"/>
  <c r="R175" i="2" s="1"/>
  <c r="P176" i="2"/>
  <c r="R176" i="2" s="1"/>
  <c r="P177" i="2"/>
  <c r="R177" i="2" s="1"/>
  <c r="P178" i="2"/>
  <c r="R178" i="2" s="1"/>
  <c r="P179" i="2"/>
  <c r="R179" i="2" s="1"/>
  <c r="P180" i="2"/>
  <c r="R180" i="2" s="1"/>
  <c r="P181" i="2"/>
  <c r="R181" i="2" s="1"/>
  <c r="P182" i="2"/>
  <c r="R182" i="2" s="1"/>
  <c r="P183" i="2"/>
  <c r="R183" i="2" s="1"/>
  <c r="P185" i="2"/>
  <c r="R185" i="2" s="1"/>
  <c r="P186" i="2"/>
  <c r="R186" i="2" s="1"/>
  <c r="P187" i="2"/>
  <c r="R187" i="2" s="1"/>
  <c r="P188" i="2"/>
  <c r="R188" i="2" s="1"/>
  <c r="P189" i="2"/>
  <c r="R189" i="2" s="1"/>
  <c r="P190" i="2"/>
  <c r="R190" i="2" s="1"/>
  <c r="P191" i="2"/>
  <c r="R191" i="2" s="1"/>
  <c r="P192" i="2"/>
  <c r="R192" i="2" s="1"/>
  <c r="P193" i="2"/>
  <c r="R193" i="2" s="1"/>
  <c r="P194" i="2"/>
  <c r="R194" i="2" s="1"/>
  <c r="P2" i="2"/>
  <c r="R2" i="2" s="1"/>
  <c r="I60" i="7" l="1"/>
  <c r="J60" i="7"/>
  <c r="K60" i="7"/>
  <c r="L60" i="7"/>
  <c r="M60" i="7"/>
  <c r="P60" i="7"/>
  <c r="Q60" i="7"/>
  <c r="R60" i="7"/>
  <c r="G60" i="7"/>
  <c r="H33" i="7"/>
  <c r="I33" i="7"/>
  <c r="J33" i="7"/>
  <c r="K33" i="7"/>
  <c r="L33" i="7"/>
  <c r="M33" i="7"/>
  <c r="N33" i="7"/>
  <c r="O33" i="7"/>
  <c r="P33" i="7"/>
  <c r="Q33" i="7"/>
  <c r="G33" i="7"/>
  <c r="I14" i="7"/>
  <c r="J14" i="7"/>
  <c r="K14" i="7"/>
  <c r="L14" i="7"/>
  <c r="M14" i="7"/>
  <c r="N14" i="7"/>
  <c r="O14" i="7"/>
  <c r="P14" i="7"/>
  <c r="Q14" i="7"/>
  <c r="G14" i="7"/>
  <c r="AT36" i="10" l="1"/>
  <c r="AT37" i="10"/>
  <c r="AT38" i="10"/>
  <c r="AT42" i="10" s="1"/>
  <c r="AT39" i="10"/>
  <c r="AT40" i="10"/>
  <c r="AS36" i="10"/>
  <c r="AS37" i="10"/>
  <c r="AS38" i="10"/>
  <c r="AS39" i="10"/>
  <c r="AS40" i="10"/>
  <c r="AR36" i="10"/>
  <c r="AR37" i="10"/>
  <c r="AR38" i="10"/>
  <c r="AR39" i="10"/>
  <c r="AR40" i="10"/>
  <c r="AQ36" i="10"/>
  <c r="AQ37" i="10"/>
  <c r="AQ38" i="10"/>
  <c r="AQ39" i="10"/>
  <c r="AQ40" i="10"/>
  <c r="AP36" i="10"/>
  <c r="AP37" i="10"/>
  <c r="AP38" i="10"/>
  <c r="AP42" i="10" s="1"/>
  <c r="AP39" i="10"/>
  <c r="AP40" i="10"/>
  <c r="AO36" i="10"/>
  <c r="AO37" i="10"/>
  <c r="AO38" i="10"/>
  <c r="AO39" i="10"/>
  <c r="AO40" i="10"/>
  <c r="AN36" i="10"/>
  <c r="AN37" i="10"/>
  <c r="AN38" i="10"/>
  <c r="AN39" i="10"/>
  <c r="AN40" i="10"/>
  <c r="AM36" i="10"/>
  <c r="AM37" i="10"/>
  <c r="AM38" i="10"/>
  <c r="AM39" i="10"/>
  <c r="AM40" i="10"/>
  <c r="AL36" i="10"/>
  <c r="AL37" i="10"/>
  <c r="AL38" i="10"/>
  <c r="AL39" i="10"/>
  <c r="AL40" i="10"/>
  <c r="AK36" i="10"/>
  <c r="AK37" i="10"/>
  <c r="AK38" i="10"/>
  <c r="AK39" i="10"/>
  <c r="AK40" i="10"/>
  <c r="AJ36" i="10"/>
  <c r="AJ37" i="10"/>
  <c r="AJ38" i="10"/>
  <c r="AJ42" i="10" s="1"/>
  <c r="AJ39" i="10"/>
  <c r="AJ40" i="10"/>
  <c r="AI36" i="10"/>
  <c r="AI37" i="10"/>
  <c r="AI38" i="10"/>
  <c r="AI39" i="10"/>
  <c r="AI40" i="10"/>
  <c r="AH36" i="10"/>
  <c r="AH37" i="10"/>
  <c r="AH38" i="10"/>
  <c r="AH39" i="10"/>
  <c r="AH40" i="10"/>
  <c r="AG36" i="10"/>
  <c r="AG37" i="10"/>
  <c r="AG38" i="10"/>
  <c r="AG39" i="10"/>
  <c r="AG40" i="10"/>
  <c r="AF36" i="10"/>
  <c r="AF37" i="10"/>
  <c r="AF38" i="10"/>
  <c r="AF39" i="10"/>
  <c r="AF40" i="10"/>
  <c r="AE36" i="10"/>
  <c r="AE37" i="10"/>
  <c r="AE38" i="10"/>
  <c r="AE39" i="10"/>
  <c r="AE40" i="10"/>
  <c r="AD36" i="10"/>
  <c r="AD37" i="10"/>
  <c r="AD38" i="10"/>
  <c r="AD39" i="10"/>
  <c r="AD40" i="10"/>
  <c r="AC36" i="10"/>
  <c r="AC37" i="10"/>
  <c r="AC38" i="10"/>
  <c r="AC39" i="10"/>
  <c r="AC40" i="10"/>
  <c r="AB36" i="10"/>
  <c r="AB37" i="10"/>
  <c r="AB38" i="10"/>
  <c r="AB39" i="10"/>
  <c r="AB40" i="10"/>
  <c r="AA36" i="10"/>
  <c r="AA37" i="10"/>
  <c r="AA38" i="10"/>
  <c r="AA39" i="10"/>
  <c r="AA40" i="10"/>
  <c r="Z36" i="10"/>
  <c r="Z37" i="10"/>
  <c r="Z38" i="10"/>
  <c r="Z39" i="10"/>
  <c r="Z40" i="10"/>
  <c r="Y36" i="10"/>
  <c r="Y37" i="10"/>
  <c r="Y38" i="10"/>
  <c r="Y39" i="10"/>
  <c r="Y40" i="10"/>
  <c r="X36" i="10"/>
  <c r="X37" i="10"/>
  <c r="X38" i="10"/>
  <c r="X39" i="10"/>
  <c r="X40" i="10"/>
  <c r="U36" i="10"/>
  <c r="U37" i="10"/>
  <c r="U38" i="10"/>
  <c r="U39" i="10"/>
  <c r="U40" i="10"/>
  <c r="T36" i="10"/>
  <c r="T37" i="10"/>
  <c r="T38" i="10"/>
  <c r="T39" i="10"/>
  <c r="T40" i="10"/>
  <c r="R36" i="10"/>
  <c r="R37" i="10"/>
  <c r="R38" i="10"/>
  <c r="R39" i="10"/>
  <c r="R40" i="10"/>
  <c r="Q30" i="10"/>
  <c r="Q36" i="10"/>
  <c r="Q31" i="10"/>
  <c r="Q37" i="10" s="1"/>
  <c r="Q32" i="10"/>
  <c r="Q38" i="10" s="1"/>
  <c r="Q33" i="10"/>
  <c r="Q39" i="10" s="1"/>
  <c r="Q34" i="10"/>
  <c r="Q40" i="10"/>
  <c r="P36" i="10"/>
  <c r="P37" i="10"/>
  <c r="P38" i="10"/>
  <c r="P39" i="10"/>
  <c r="P40" i="10"/>
  <c r="O36" i="10"/>
  <c r="O37" i="10"/>
  <c r="O38" i="10"/>
  <c r="O39" i="10"/>
  <c r="O40" i="10"/>
  <c r="N36" i="10"/>
  <c r="N37" i="10"/>
  <c r="N38" i="10"/>
  <c r="N39" i="10"/>
  <c r="N40" i="10"/>
  <c r="M36" i="10"/>
  <c r="M37" i="10"/>
  <c r="M38" i="10"/>
  <c r="M39" i="10"/>
  <c r="M40" i="10"/>
  <c r="L36" i="10"/>
  <c r="L37" i="10"/>
  <c r="L38" i="10"/>
  <c r="L39" i="10"/>
  <c r="L40" i="10"/>
  <c r="K36" i="10"/>
  <c r="K37" i="10"/>
  <c r="K38" i="10"/>
  <c r="K39" i="10"/>
  <c r="K40" i="10"/>
  <c r="J36" i="10"/>
  <c r="J37" i="10"/>
  <c r="J38" i="10"/>
  <c r="J39" i="10"/>
  <c r="J40" i="10"/>
  <c r="I42" i="10"/>
  <c r="H42" i="10"/>
  <c r="G42" i="10"/>
  <c r="AT27" i="10"/>
  <c r="AS27" i="10"/>
  <c r="AR27" i="10"/>
  <c r="AQ27" i="10"/>
  <c r="AP27" i="10"/>
  <c r="AO27" i="10"/>
  <c r="AN27" i="10"/>
  <c r="AM27" i="10"/>
  <c r="AL27" i="10"/>
  <c r="AK27" i="10"/>
  <c r="AJ27" i="10"/>
  <c r="AI27" i="10"/>
  <c r="AH27" i="10"/>
  <c r="AG27" i="10"/>
  <c r="AF24" i="10"/>
  <c r="AF27" i="10" s="1"/>
  <c r="AE27" i="10"/>
  <c r="AD27" i="10"/>
  <c r="AC27" i="10"/>
  <c r="AB27" i="10"/>
  <c r="AA27" i="10"/>
  <c r="Z27" i="10"/>
  <c r="Y27" i="10"/>
  <c r="X27" i="10"/>
  <c r="U27" i="10"/>
  <c r="T27" i="10"/>
  <c r="R27" i="10"/>
  <c r="Q22" i="10"/>
  <c r="Q23" i="10"/>
  <c r="Q24" i="10"/>
  <c r="Q25" i="10"/>
  <c r="P27" i="10"/>
  <c r="O27" i="10"/>
  <c r="N27" i="10"/>
  <c r="M27" i="10"/>
  <c r="L27" i="10"/>
  <c r="K27" i="10"/>
  <c r="J27" i="10"/>
  <c r="H27" i="10"/>
  <c r="G27" i="10"/>
  <c r="AT19" i="10"/>
  <c r="AS19" i="10"/>
  <c r="AR19" i="10"/>
  <c r="AQ19" i="10"/>
  <c r="AP19" i="10"/>
  <c r="AO19" i="10"/>
  <c r="AN19" i="10"/>
  <c r="AM19" i="10"/>
  <c r="AL19" i="10"/>
  <c r="AK19" i="10"/>
  <c r="AJ19" i="10"/>
  <c r="AI19" i="10"/>
  <c r="AH19" i="10"/>
  <c r="AG19" i="10"/>
  <c r="AF19" i="10"/>
  <c r="AE19" i="10"/>
  <c r="AD19" i="10"/>
  <c r="AC19" i="10"/>
  <c r="AB19" i="10"/>
  <c r="AA19" i="10"/>
  <c r="Z19" i="10"/>
  <c r="Y19" i="10"/>
  <c r="X19" i="10"/>
  <c r="U19" i="10"/>
  <c r="T19" i="10"/>
  <c r="R19" i="10"/>
  <c r="Q12" i="10"/>
  <c r="Q13" i="10"/>
  <c r="Q14" i="10"/>
  <c r="Q15" i="10"/>
  <c r="Q16" i="10"/>
  <c r="Q17" i="10"/>
  <c r="P19" i="10"/>
  <c r="O19" i="10"/>
  <c r="N19" i="10"/>
  <c r="M19" i="10"/>
  <c r="L19" i="10"/>
  <c r="K19" i="10"/>
  <c r="J19" i="10"/>
  <c r="G19" i="10"/>
  <c r="Q23" i="9"/>
  <c r="S23" i="9" s="1"/>
  <c r="Q22" i="9"/>
  <c r="S22" i="9"/>
  <c r="X21" i="9"/>
  <c r="Y21" i="9" s="1"/>
  <c r="S21" i="9"/>
  <c r="Q20" i="9"/>
  <c r="S20" i="9"/>
  <c r="S19" i="9"/>
  <c r="S18" i="9"/>
  <c r="Q17" i="9"/>
  <c r="S17" i="9"/>
  <c r="Q16" i="9"/>
  <c r="S16" i="9"/>
  <c r="S15" i="9"/>
  <c r="X19" i="8"/>
  <c r="Y19" i="8" s="1"/>
  <c r="X42" i="10" l="1"/>
  <c r="Y42" i="10"/>
  <c r="AF42" i="10"/>
  <c r="AG42" i="10"/>
  <c r="T42" i="10"/>
  <c r="Z42" i="10"/>
  <c r="AD42" i="10"/>
  <c r="AH42" i="10"/>
  <c r="AR42" i="10"/>
  <c r="AB42" i="10"/>
  <c r="AN42" i="10"/>
  <c r="AQ42" i="10"/>
  <c r="Q27" i="10"/>
  <c r="K42" i="10"/>
  <c r="O42" i="10"/>
  <c r="AM42" i="10"/>
  <c r="J42" i="10"/>
  <c r="N42" i="10"/>
  <c r="U42" i="10"/>
  <c r="AE42" i="10"/>
  <c r="AO42" i="10"/>
  <c r="M42" i="10"/>
  <c r="R42" i="10"/>
  <c r="AC42" i="10"/>
  <c r="AK42" i="10"/>
  <c r="AL42" i="10"/>
  <c r="Q19" i="10"/>
  <c r="L42" i="10"/>
  <c r="P42" i="10"/>
  <c r="AA42" i="10"/>
  <c r="AI42" i="10"/>
  <c r="AS42" i="10"/>
  <c r="Q42"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Moltedo</author>
    <author>Ana Moltedo</author>
  </authors>
  <commentList>
    <comment ref="F12" authorId="0" shapeId="0" xr:uid="{00000000-0006-0000-0000-000001000000}">
      <text>
        <r>
          <rPr>
            <b/>
            <sz val="8"/>
            <color indexed="81"/>
            <rFont val="Tahoma"/>
            <family val="2"/>
          </rPr>
          <t>Moltedo:</t>
        </r>
        <r>
          <rPr>
            <sz val="8"/>
            <color indexed="81"/>
            <rFont val="Tahoma"/>
            <family val="2"/>
          </rPr>
          <t xml:space="preserve">
A - Single, perfect match, no modifications required (apart from edible portion, if indicated).
A2 - Exact match, but multiple selections, need weighting.
B - Similar, single match
B2 - Similar match, multiple selections, need weighting
C - Poor, single match
C2 - Poor match, multiple selections, need weighting
D - Calories estimated by ADePT using unit calorie cost</t>
        </r>
      </text>
    </comment>
    <comment ref="Q12" authorId="0" shapeId="0" xr:uid="{00000000-0006-0000-0000-000002000000}">
      <text>
        <r>
          <rPr>
            <b/>
            <sz val="8"/>
            <color indexed="81"/>
            <rFont val="Tahoma"/>
            <family val="2"/>
          </rPr>
          <t>Moltedo:</t>
        </r>
        <r>
          <rPr>
            <sz val="8"/>
            <color indexed="81"/>
            <rFont val="Tahoma"/>
            <family val="2"/>
          </rPr>
          <t xml:space="preserve">
If the nutrients are estimated as an average of nutrients from other food items we copy the value from "Averages" worksheet.
Otherwise:
If there is information on water, ash, protein, fats, fiber and alcohol we use the formula:
fd_car=100 - Water - Protein - Fat - Alcohol - Fibre - Ash
Ifinformation on one of the macronutrients is missing we use the formula:
fd_car=total carbohydrates - fiber</t>
        </r>
      </text>
    </comment>
    <comment ref="S12" authorId="0" shapeId="0" xr:uid="{00000000-0006-0000-0000-000003000000}">
      <text>
        <r>
          <rPr>
            <b/>
            <sz val="8"/>
            <color indexed="81"/>
            <rFont val="Tahoma"/>
            <family val="2"/>
          </rPr>
          <t>Moltedo:</t>
        </r>
        <r>
          <rPr>
            <sz val="8"/>
            <color indexed="81"/>
            <rFont val="Tahoma"/>
            <family val="2"/>
          </rPr>
          <t xml:space="preserve">
fd_kcal = fd_pro*4 + fd_fat*9 + fd_fib*2 + fd_car*4 + fd_alc*7</t>
        </r>
      </text>
    </comment>
    <comment ref="X19" authorId="1" shapeId="0" xr:uid="{00000000-0006-0000-0000-000004000000}">
      <text>
        <r>
          <rPr>
            <b/>
            <sz val="9"/>
            <color indexed="81"/>
            <rFont val="Arial"/>
            <family val="2"/>
          </rPr>
          <t>Ana Moltedo:</t>
        </r>
        <r>
          <rPr>
            <sz val="9"/>
            <color indexed="81"/>
            <rFont val="Arial"/>
            <family val="2"/>
          </rPr>
          <t xml:space="preserve">
From Lombardi-Boccia G, B.M. Dominguez, A. Aguzzi. 2002. Total Heme and Non-heme Iron in Raw and Cooked Meat. Vol. 67, Nr. 5, 2002—Journal of Food Science.</t>
        </r>
      </text>
    </comment>
    <comment ref="AJ20" authorId="0" shapeId="0" xr:uid="{00000000-0006-0000-0000-000005000000}">
      <text>
        <r>
          <rPr>
            <b/>
            <sz val="8"/>
            <color indexed="81"/>
            <rFont val="Tahoma"/>
            <family val="2"/>
          </rPr>
          <t>Moltedo:</t>
        </r>
        <r>
          <rPr>
            <sz val="8"/>
            <color indexed="81"/>
            <rFont val="Tahoma"/>
            <family val="2"/>
          </rPr>
          <t xml:space="preserve">
I assume 0</t>
        </r>
      </text>
    </comment>
    <comment ref="AK20" authorId="0" shapeId="0" xr:uid="{00000000-0006-0000-0000-000006000000}">
      <text>
        <r>
          <rPr>
            <b/>
            <sz val="8"/>
            <color indexed="81"/>
            <rFont val="Tahoma"/>
            <family val="2"/>
          </rPr>
          <t>Moltedo:</t>
        </r>
        <r>
          <rPr>
            <sz val="8"/>
            <color indexed="81"/>
            <rFont val="Tahoma"/>
            <family val="2"/>
          </rPr>
          <t xml:space="preserve">
I assume 0</t>
        </r>
      </text>
    </comment>
    <comment ref="AL20" authorId="0" shapeId="0" xr:uid="{00000000-0006-0000-0000-000007000000}">
      <text>
        <r>
          <rPr>
            <b/>
            <sz val="8"/>
            <color indexed="81"/>
            <rFont val="Tahoma"/>
            <family val="2"/>
          </rPr>
          <t>Moltedo:</t>
        </r>
        <r>
          <rPr>
            <sz val="8"/>
            <color indexed="81"/>
            <rFont val="Tahoma"/>
            <family val="2"/>
          </rPr>
          <t xml:space="preserve">
I assume 0</t>
        </r>
      </text>
    </comment>
    <comment ref="AM20" authorId="0" shapeId="0" xr:uid="{00000000-0006-0000-0000-000008000000}">
      <text>
        <r>
          <rPr>
            <b/>
            <sz val="8"/>
            <color indexed="81"/>
            <rFont val="Tahoma"/>
            <family val="2"/>
          </rPr>
          <t>Moltedo:</t>
        </r>
        <r>
          <rPr>
            <sz val="8"/>
            <color indexed="81"/>
            <rFont val="Tahoma"/>
            <family val="2"/>
          </rPr>
          <t xml:space="preserve">
I assume 0</t>
        </r>
      </text>
    </comment>
    <comment ref="AN20" authorId="0" shapeId="0" xr:uid="{00000000-0006-0000-0000-000009000000}">
      <text>
        <r>
          <rPr>
            <b/>
            <sz val="8"/>
            <color indexed="81"/>
            <rFont val="Tahoma"/>
            <family val="2"/>
          </rPr>
          <t>Moltedo:</t>
        </r>
        <r>
          <rPr>
            <sz val="8"/>
            <color indexed="81"/>
            <rFont val="Tahoma"/>
            <family val="2"/>
          </rPr>
          <t xml:space="preserve">
I assume 0</t>
        </r>
      </text>
    </comment>
    <comment ref="AO20" authorId="0" shapeId="0" xr:uid="{00000000-0006-0000-0000-00000A000000}">
      <text>
        <r>
          <rPr>
            <b/>
            <sz val="8"/>
            <color indexed="81"/>
            <rFont val="Tahoma"/>
            <family val="2"/>
          </rPr>
          <t>Moltedo:</t>
        </r>
        <r>
          <rPr>
            <sz val="8"/>
            <color indexed="81"/>
            <rFont val="Tahoma"/>
            <family val="2"/>
          </rPr>
          <t xml:space="preserve">
I assume 0</t>
        </r>
      </text>
    </comment>
    <comment ref="AQ20" authorId="0" shapeId="0" xr:uid="{00000000-0006-0000-0000-00000B000000}">
      <text>
        <r>
          <rPr>
            <b/>
            <sz val="8"/>
            <color indexed="81"/>
            <rFont val="Tahoma"/>
            <family val="2"/>
          </rPr>
          <t>Moltedo:</t>
        </r>
        <r>
          <rPr>
            <sz val="8"/>
            <color indexed="81"/>
            <rFont val="Tahoma"/>
            <family val="2"/>
          </rPr>
          <t xml:space="preserve">
I assume 0</t>
        </r>
      </text>
    </comment>
    <comment ref="AR20" authorId="0" shapeId="0" xr:uid="{00000000-0006-0000-0000-00000C000000}">
      <text>
        <r>
          <rPr>
            <b/>
            <sz val="8"/>
            <color indexed="81"/>
            <rFont val="Tahoma"/>
            <family val="2"/>
          </rPr>
          <t>Moltedo:</t>
        </r>
        <r>
          <rPr>
            <sz val="8"/>
            <color indexed="81"/>
            <rFont val="Tahoma"/>
            <family val="2"/>
          </rPr>
          <t xml:space="preserve">
I assume 0</t>
        </r>
      </text>
    </comment>
    <comment ref="AS20" authorId="0" shapeId="0" xr:uid="{00000000-0006-0000-0000-00000D000000}">
      <text>
        <r>
          <rPr>
            <b/>
            <sz val="8"/>
            <color indexed="81"/>
            <rFont val="Tahoma"/>
            <family val="2"/>
          </rPr>
          <t>Moltedo:</t>
        </r>
        <r>
          <rPr>
            <sz val="8"/>
            <color indexed="81"/>
            <rFont val="Tahoma"/>
            <family val="2"/>
          </rPr>
          <t xml:space="preserve">
I assume 0</t>
        </r>
      </text>
    </comment>
    <comment ref="AT20" authorId="0" shapeId="0" xr:uid="{00000000-0006-0000-0000-00000E000000}">
      <text>
        <r>
          <rPr>
            <b/>
            <sz val="8"/>
            <color indexed="81"/>
            <rFont val="Tahoma"/>
            <family val="2"/>
          </rPr>
          <t>Moltedo:</t>
        </r>
        <r>
          <rPr>
            <sz val="8"/>
            <color indexed="81"/>
            <rFont val="Tahoma"/>
            <family val="2"/>
          </rPr>
          <t xml:space="preserve">
I assume 0</t>
        </r>
      </text>
    </comment>
    <comment ref="J22" authorId="0" shapeId="0" xr:uid="{00000000-0006-0000-0000-00000F000000}">
      <text>
        <r>
          <rPr>
            <b/>
            <sz val="8"/>
            <color indexed="81"/>
            <rFont val="Tahoma"/>
            <family val="2"/>
          </rPr>
          <t>Moltedo:</t>
        </r>
        <r>
          <rPr>
            <sz val="8"/>
            <color indexed="81"/>
            <rFont val="Tahoma"/>
            <family val="2"/>
          </rPr>
          <t xml:space="preserve">
Undefined food items consumed away from should have missing data in this variable</t>
        </r>
      </text>
    </comment>
    <comment ref="K22" authorId="0" shapeId="0" xr:uid="{00000000-0006-0000-0000-000010000000}">
      <text>
        <r>
          <rPr>
            <b/>
            <sz val="8"/>
            <color indexed="81"/>
            <rFont val="Tahoma"/>
            <family val="2"/>
          </rPr>
          <t>Moltedo:</t>
        </r>
        <r>
          <rPr>
            <sz val="8"/>
            <color indexed="81"/>
            <rFont val="Tahoma"/>
            <family val="2"/>
          </rPr>
          <t xml:space="preserve">
Undefined food items consumed away from should have missing data in this variable</t>
        </r>
      </text>
    </comment>
    <comment ref="L22" authorId="0" shapeId="0" xr:uid="{00000000-0006-0000-0000-000011000000}">
      <text>
        <r>
          <rPr>
            <b/>
            <sz val="8"/>
            <color indexed="81"/>
            <rFont val="Tahoma"/>
            <family val="2"/>
          </rPr>
          <t>Moltedo:</t>
        </r>
        <r>
          <rPr>
            <sz val="8"/>
            <color indexed="81"/>
            <rFont val="Tahoma"/>
            <family val="2"/>
          </rPr>
          <t xml:space="preserve">
Undefined food items consumed away from should have missing data in this variable</t>
        </r>
      </text>
    </comment>
    <comment ref="M22" authorId="0" shapeId="0" xr:uid="{00000000-0006-0000-0000-000012000000}">
      <text>
        <r>
          <rPr>
            <b/>
            <sz val="8"/>
            <color indexed="81"/>
            <rFont val="Tahoma"/>
            <family val="2"/>
          </rPr>
          <t>Moltedo:</t>
        </r>
        <r>
          <rPr>
            <sz val="8"/>
            <color indexed="81"/>
            <rFont val="Tahoma"/>
            <family val="2"/>
          </rPr>
          <t xml:space="preserve">
Undefined food items consumed away from should have missing data in this variable</t>
        </r>
      </text>
    </comment>
    <comment ref="N22" authorId="0" shapeId="0" xr:uid="{00000000-0006-0000-0000-000013000000}">
      <text>
        <r>
          <rPr>
            <b/>
            <sz val="8"/>
            <color indexed="81"/>
            <rFont val="Tahoma"/>
            <family val="2"/>
          </rPr>
          <t>Moltedo:</t>
        </r>
        <r>
          <rPr>
            <sz val="8"/>
            <color indexed="81"/>
            <rFont val="Tahoma"/>
            <family val="2"/>
          </rPr>
          <t xml:space="preserve">
Undefined food items consumed away from should have missing data in this variable</t>
        </r>
      </text>
    </comment>
    <comment ref="O22" authorId="0" shapeId="0" xr:uid="{00000000-0006-0000-0000-000014000000}">
      <text>
        <r>
          <rPr>
            <b/>
            <sz val="8"/>
            <color indexed="81"/>
            <rFont val="Tahoma"/>
            <family val="2"/>
          </rPr>
          <t>Moltedo:</t>
        </r>
        <r>
          <rPr>
            <sz val="8"/>
            <color indexed="81"/>
            <rFont val="Tahoma"/>
            <family val="2"/>
          </rPr>
          <t xml:space="preserve">
Undefined food items consumed away from should have missing data in this variable</t>
        </r>
      </text>
    </comment>
    <comment ref="P22" authorId="0" shapeId="0" xr:uid="{00000000-0006-0000-0000-000015000000}">
      <text>
        <r>
          <rPr>
            <b/>
            <sz val="8"/>
            <color indexed="81"/>
            <rFont val="Tahoma"/>
            <family val="2"/>
          </rPr>
          <t>Moltedo:</t>
        </r>
        <r>
          <rPr>
            <sz val="8"/>
            <color indexed="81"/>
            <rFont val="Tahoma"/>
            <family val="2"/>
          </rPr>
          <t xml:space="preserve">
Undefined food items consumed away from should have missing data in this variable</t>
        </r>
      </text>
    </comment>
    <comment ref="Q22" authorId="0" shapeId="0" xr:uid="{00000000-0006-0000-0000-000016000000}">
      <text>
        <r>
          <rPr>
            <b/>
            <sz val="8"/>
            <color indexed="81"/>
            <rFont val="Tahoma"/>
            <family val="2"/>
          </rPr>
          <t>Moltedo:</t>
        </r>
        <r>
          <rPr>
            <sz val="8"/>
            <color indexed="81"/>
            <rFont val="Tahoma"/>
            <family val="2"/>
          </rPr>
          <t xml:space="preserve">
Undefined food items consumed away from should have missing data in this variable</t>
        </r>
      </text>
    </comment>
    <comment ref="R22" authorId="0" shapeId="0" xr:uid="{00000000-0006-0000-0000-000017000000}">
      <text>
        <r>
          <rPr>
            <b/>
            <sz val="8"/>
            <color indexed="81"/>
            <rFont val="Tahoma"/>
            <family val="2"/>
          </rPr>
          <t>Moltedo:</t>
        </r>
        <r>
          <rPr>
            <sz val="8"/>
            <color indexed="81"/>
            <rFont val="Tahoma"/>
            <family val="2"/>
          </rPr>
          <t xml:space="preserve">
Undefined food items consumed away from should have missing data in this variable</t>
        </r>
      </text>
    </comment>
    <comment ref="S22" authorId="0" shapeId="0" xr:uid="{00000000-0006-0000-0000-000018000000}">
      <text>
        <r>
          <rPr>
            <b/>
            <sz val="8"/>
            <color indexed="81"/>
            <rFont val="Tahoma"/>
            <family val="2"/>
          </rPr>
          <t>Moltedo:</t>
        </r>
        <r>
          <rPr>
            <sz val="8"/>
            <color indexed="81"/>
            <rFont val="Tahoma"/>
            <family val="2"/>
          </rPr>
          <t xml:space="preserve">
Undefined food items consumed away from should have missing data in this variable</t>
        </r>
      </text>
    </comment>
    <comment ref="T22" authorId="0" shapeId="0" xr:uid="{00000000-0006-0000-0000-000019000000}">
      <text>
        <r>
          <rPr>
            <b/>
            <sz val="8"/>
            <color indexed="81"/>
            <rFont val="Tahoma"/>
            <family val="2"/>
          </rPr>
          <t>Moltedo:</t>
        </r>
        <r>
          <rPr>
            <sz val="8"/>
            <color indexed="81"/>
            <rFont val="Tahoma"/>
            <family val="2"/>
          </rPr>
          <t xml:space="preserve">
Undefined food items consumed away from should have missing data in this variable</t>
        </r>
      </text>
    </comment>
    <comment ref="U22" authorId="0" shapeId="0" xr:uid="{00000000-0006-0000-0000-00001A000000}">
      <text>
        <r>
          <rPr>
            <b/>
            <sz val="8"/>
            <color indexed="81"/>
            <rFont val="Tahoma"/>
            <family val="2"/>
          </rPr>
          <t>Moltedo:</t>
        </r>
        <r>
          <rPr>
            <sz val="8"/>
            <color indexed="81"/>
            <rFont val="Tahoma"/>
            <family val="2"/>
          </rPr>
          <t xml:space="preserve">
Undefined food items consumed away from should have missing data in this variable</t>
        </r>
      </text>
    </comment>
    <comment ref="V22" authorId="0" shapeId="0" xr:uid="{00000000-0006-0000-0000-00001B000000}">
      <text>
        <r>
          <rPr>
            <b/>
            <sz val="8"/>
            <color indexed="81"/>
            <rFont val="Tahoma"/>
            <family val="2"/>
          </rPr>
          <t>Moltedo:</t>
        </r>
        <r>
          <rPr>
            <sz val="8"/>
            <color indexed="81"/>
            <rFont val="Tahoma"/>
            <family val="2"/>
          </rPr>
          <t xml:space="preserve">
Undefined food items consumed away from should have missing data in this variable</t>
        </r>
      </text>
    </comment>
    <comment ref="W22" authorId="0" shapeId="0" xr:uid="{00000000-0006-0000-0000-00001C000000}">
      <text>
        <r>
          <rPr>
            <b/>
            <sz val="8"/>
            <color indexed="81"/>
            <rFont val="Tahoma"/>
            <family val="2"/>
          </rPr>
          <t>Moltedo:</t>
        </r>
        <r>
          <rPr>
            <sz val="8"/>
            <color indexed="81"/>
            <rFont val="Tahoma"/>
            <family val="2"/>
          </rPr>
          <t xml:space="preserve">
Undefined food items consumed away from should have missing data in this variable</t>
        </r>
      </text>
    </comment>
    <comment ref="Z22" authorId="0" shapeId="0" xr:uid="{00000000-0006-0000-0000-00001D000000}">
      <text>
        <r>
          <rPr>
            <b/>
            <sz val="8"/>
            <color indexed="81"/>
            <rFont val="Tahoma"/>
            <family val="2"/>
          </rPr>
          <t>Moltedo:</t>
        </r>
        <r>
          <rPr>
            <sz val="8"/>
            <color indexed="81"/>
            <rFont val="Tahoma"/>
            <family val="2"/>
          </rPr>
          <t xml:space="preserve">
Undefined food items consumed away from should have missing data in this variable</t>
        </r>
      </text>
    </comment>
    <comment ref="AA22" authorId="0" shapeId="0" xr:uid="{00000000-0006-0000-0000-00001E000000}">
      <text>
        <r>
          <rPr>
            <b/>
            <sz val="8"/>
            <color indexed="81"/>
            <rFont val="Tahoma"/>
            <family val="2"/>
          </rPr>
          <t>Moltedo:</t>
        </r>
        <r>
          <rPr>
            <sz val="8"/>
            <color indexed="81"/>
            <rFont val="Tahoma"/>
            <family val="2"/>
          </rPr>
          <t xml:space="preserve">
Undefined food items consumed away from should have missing data in this variable</t>
        </r>
      </text>
    </comment>
    <comment ref="AB22" authorId="0" shapeId="0" xr:uid="{00000000-0006-0000-0000-00001F000000}">
      <text>
        <r>
          <rPr>
            <b/>
            <sz val="8"/>
            <color indexed="81"/>
            <rFont val="Tahoma"/>
            <family val="2"/>
          </rPr>
          <t>Moltedo:</t>
        </r>
        <r>
          <rPr>
            <sz val="8"/>
            <color indexed="81"/>
            <rFont val="Tahoma"/>
            <family val="2"/>
          </rPr>
          <t xml:space="preserve">
Undefined food items consumed away from should have missing data in this variable</t>
        </r>
      </text>
    </comment>
    <comment ref="AC22" authorId="0" shapeId="0" xr:uid="{00000000-0006-0000-0000-000020000000}">
      <text>
        <r>
          <rPr>
            <b/>
            <sz val="8"/>
            <color indexed="81"/>
            <rFont val="Tahoma"/>
            <family val="2"/>
          </rPr>
          <t>Moltedo:</t>
        </r>
        <r>
          <rPr>
            <sz val="8"/>
            <color indexed="81"/>
            <rFont val="Tahoma"/>
            <family val="2"/>
          </rPr>
          <t xml:space="preserve">
Undefined food items consumed away from should have missing data in this variable</t>
        </r>
      </text>
    </comment>
    <comment ref="AD22" authorId="0" shapeId="0" xr:uid="{00000000-0006-0000-0000-000021000000}">
      <text>
        <r>
          <rPr>
            <b/>
            <sz val="8"/>
            <color indexed="81"/>
            <rFont val="Tahoma"/>
            <family val="2"/>
          </rPr>
          <t>Moltedo:</t>
        </r>
        <r>
          <rPr>
            <sz val="8"/>
            <color indexed="81"/>
            <rFont val="Tahoma"/>
            <family val="2"/>
          </rPr>
          <t xml:space="preserve">
Undefined food items consumed away from should have missing data in this variable</t>
        </r>
      </text>
    </comment>
    <comment ref="AE22" authorId="0" shapeId="0" xr:uid="{00000000-0006-0000-0000-000022000000}">
      <text>
        <r>
          <rPr>
            <b/>
            <sz val="8"/>
            <color indexed="81"/>
            <rFont val="Tahoma"/>
            <family val="2"/>
          </rPr>
          <t>Moltedo:</t>
        </r>
        <r>
          <rPr>
            <sz val="8"/>
            <color indexed="81"/>
            <rFont val="Tahoma"/>
            <family val="2"/>
          </rPr>
          <t xml:space="preserve">
Undefined food items consumed away from should have missing data in this variable</t>
        </r>
      </text>
    </comment>
    <comment ref="AF22" authorId="0" shapeId="0" xr:uid="{00000000-0006-0000-0000-000023000000}">
      <text>
        <r>
          <rPr>
            <b/>
            <sz val="8"/>
            <color indexed="81"/>
            <rFont val="Tahoma"/>
            <family val="2"/>
          </rPr>
          <t>Moltedo:</t>
        </r>
        <r>
          <rPr>
            <sz val="8"/>
            <color indexed="81"/>
            <rFont val="Tahoma"/>
            <family val="2"/>
          </rPr>
          <t xml:space="preserve">
Undefined food items consumed away from should have missing data in this variable</t>
        </r>
      </text>
    </comment>
    <comment ref="AG22" authorId="0" shapeId="0" xr:uid="{00000000-0006-0000-0000-000024000000}">
      <text>
        <r>
          <rPr>
            <b/>
            <sz val="8"/>
            <color indexed="81"/>
            <rFont val="Tahoma"/>
            <family val="2"/>
          </rPr>
          <t>Moltedo:</t>
        </r>
        <r>
          <rPr>
            <sz val="8"/>
            <color indexed="81"/>
            <rFont val="Tahoma"/>
            <family val="2"/>
          </rPr>
          <t xml:space="preserve">
Undefined food items consumed away from should have missing data in this variable</t>
        </r>
      </text>
    </comment>
    <comment ref="AH22" authorId="0" shapeId="0" xr:uid="{00000000-0006-0000-0000-000025000000}">
      <text>
        <r>
          <rPr>
            <b/>
            <sz val="8"/>
            <color indexed="81"/>
            <rFont val="Tahoma"/>
            <family val="2"/>
          </rPr>
          <t>Moltedo:</t>
        </r>
        <r>
          <rPr>
            <sz val="8"/>
            <color indexed="81"/>
            <rFont val="Tahoma"/>
            <family val="2"/>
          </rPr>
          <t xml:space="preserve">
Undefined food items consumed away from should have missing data in this variable</t>
        </r>
      </text>
    </comment>
    <comment ref="AI22" authorId="0" shapeId="0" xr:uid="{00000000-0006-0000-0000-000026000000}">
      <text>
        <r>
          <rPr>
            <b/>
            <sz val="8"/>
            <color indexed="81"/>
            <rFont val="Tahoma"/>
            <family val="2"/>
          </rPr>
          <t>Moltedo:</t>
        </r>
        <r>
          <rPr>
            <sz val="8"/>
            <color indexed="81"/>
            <rFont val="Tahoma"/>
            <family val="2"/>
          </rPr>
          <t xml:space="preserve">
Undefined food items consumed away from should have missing data in this variable</t>
        </r>
      </text>
    </comment>
    <comment ref="AJ22" authorId="0" shapeId="0" xr:uid="{00000000-0006-0000-0000-000027000000}">
      <text>
        <r>
          <rPr>
            <b/>
            <sz val="8"/>
            <color indexed="81"/>
            <rFont val="Tahoma"/>
            <family val="2"/>
          </rPr>
          <t>Moltedo:</t>
        </r>
        <r>
          <rPr>
            <sz val="8"/>
            <color indexed="81"/>
            <rFont val="Tahoma"/>
            <family val="2"/>
          </rPr>
          <t xml:space="preserve">
Undefined food items consumed away from should have missing data in this variable</t>
        </r>
      </text>
    </comment>
    <comment ref="AK22" authorId="0" shapeId="0" xr:uid="{00000000-0006-0000-0000-000028000000}">
      <text>
        <r>
          <rPr>
            <b/>
            <sz val="8"/>
            <color indexed="81"/>
            <rFont val="Tahoma"/>
            <family val="2"/>
          </rPr>
          <t>Moltedo:</t>
        </r>
        <r>
          <rPr>
            <sz val="8"/>
            <color indexed="81"/>
            <rFont val="Tahoma"/>
            <family val="2"/>
          </rPr>
          <t xml:space="preserve">
Undefined food items consumed away from should have missing data in this variable</t>
        </r>
      </text>
    </comment>
    <comment ref="AL22" authorId="0" shapeId="0" xr:uid="{00000000-0006-0000-0000-000029000000}">
      <text>
        <r>
          <rPr>
            <b/>
            <sz val="8"/>
            <color indexed="81"/>
            <rFont val="Tahoma"/>
            <family val="2"/>
          </rPr>
          <t>Moltedo:</t>
        </r>
        <r>
          <rPr>
            <sz val="8"/>
            <color indexed="81"/>
            <rFont val="Tahoma"/>
            <family val="2"/>
          </rPr>
          <t xml:space="preserve">
Undefined food items consumed away from should have missing data in this variable</t>
        </r>
      </text>
    </comment>
    <comment ref="AM22" authorId="0" shapeId="0" xr:uid="{00000000-0006-0000-0000-00002A000000}">
      <text>
        <r>
          <rPr>
            <b/>
            <sz val="8"/>
            <color indexed="81"/>
            <rFont val="Tahoma"/>
            <family val="2"/>
          </rPr>
          <t>Moltedo:</t>
        </r>
        <r>
          <rPr>
            <sz val="8"/>
            <color indexed="81"/>
            <rFont val="Tahoma"/>
            <family val="2"/>
          </rPr>
          <t xml:space="preserve">
Undefined food items consumed away from should have missing data in this variable</t>
        </r>
      </text>
    </comment>
    <comment ref="AN22" authorId="0" shapeId="0" xr:uid="{00000000-0006-0000-0000-00002B000000}">
      <text>
        <r>
          <rPr>
            <b/>
            <sz val="8"/>
            <color indexed="81"/>
            <rFont val="Tahoma"/>
            <family val="2"/>
          </rPr>
          <t>Moltedo:</t>
        </r>
        <r>
          <rPr>
            <sz val="8"/>
            <color indexed="81"/>
            <rFont val="Tahoma"/>
            <family val="2"/>
          </rPr>
          <t xml:space="preserve">
Undefined food items consumed away from should have missing data in this variable</t>
        </r>
      </text>
    </comment>
    <comment ref="AO22" authorId="0" shapeId="0" xr:uid="{00000000-0006-0000-0000-00002C000000}">
      <text>
        <r>
          <rPr>
            <b/>
            <sz val="8"/>
            <color indexed="81"/>
            <rFont val="Tahoma"/>
            <family val="2"/>
          </rPr>
          <t>Moltedo:</t>
        </r>
        <r>
          <rPr>
            <sz val="8"/>
            <color indexed="81"/>
            <rFont val="Tahoma"/>
            <family val="2"/>
          </rPr>
          <t xml:space="preserve">
Undefined food items consumed away from should have missing data in this variable</t>
        </r>
      </text>
    </comment>
    <comment ref="AP22" authorId="0" shapeId="0" xr:uid="{00000000-0006-0000-0000-00002D000000}">
      <text>
        <r>
          <rPr>
            <b/>
            <sz val="8"/>
            <color indexed="81"/>
            <rFont val="Tahoma"/>
            <family val="2"/>
          </rPr>
          <t>Moltedo:</t>
        </r>
        <r>
          <rPr>
            <sz val="8"/>
            <color indexed="81"/>
            <rFont val="Tahoma"/>
            <family val="2"/>
          </rPr>
          <t xml:space="preserve">
Undefined food items consumed away from should have missing data in this variable</t>
        </r>
      </text>
    </comment>
    <comment ref="AQ22" authorId="0" shapeId="0" xr:uid="{00000000-0006-0000-0000-00002E000000}">
      <text>
        <r>
          <rPr>
            <b/>
            <sz val="8"/>
            <color indexed="81"/>
            <rFont val="Tahoma"/>
            <family val="2"/>
          </rPr>
          <t>Moltedo:</t>
        </r>
        <r>
          <rPr>
            <sz val="8"/>
            <color indexed="81"/>
            <rFont val="Tahoma"/>
            <family val="2"/>
          </rPr>
          <t xml:space="preserve">
Undefined food items consumed away from should have missing data in this variable</t>
        </r>
      </text>
    </comment>
    <comment ref="AR22" authorId="0" shapeId="0" xr:uid="{00000000-0006-0000-0000-00002F000000}">
      <text>
        <r>
          <rPr>
            <b/>
            <sz val="8"/>
            <color indexed="81"/>
            <rFont val="Tahoma"/>
            <family val="2"/>
          </rPr>
          <t>Moltedo:</t>
        </r>
        <r>
          <rPr>
            <sz val="8"/>
            <color indexed="81"/>
            <rFont val="Tahoma"/>
            <family val="2"/>
          </rPr>
          <t xml:space="preserve">
Undefined food items consumed away from should have missing data in this variable</t>
        </r>
      </text>
    </comment>
    <comment ref="AS22" authorId="0" shapeId="0" xr:uid="{00000000-0006-0000-0000-000030000000}">
      <text>
        <r>
          <rPr>
            <b/>
            <sz val="8"/>
            <color indexed="81"/>
            <rFont val="Tahoma"/>
            <family val="2"/>
          </rPr>
          <t>Moltedo:</t>
        </r>
        <r>
          <rPr>
            <sz val="8"/>
            <color indexed="81"/>
            <rFont val="Tahoma"/>
            <family val="2"/>
          </rPr>
          <t xml:space="preserve">
Undefined food items consumed away from should have missing data in this variable</t>
        </r>
      </text>
    </comment>
    <comment ref="AT22" authorId="0" shapeId="0" xr:uid="{00000000-0006-0000-0000-000031000000}">
      <text>
        <r>
          <rPr>
            <b/>
            <sz val="8"/>
            <color indexed="81"/>
            <rFont val="Tahoma"/>
            <family val="2"/>
          </rPr>
          <t>Moltedo:</t>
        </r>
        <r>
          <rPr>
            <sz val="8"/>
            <color indexed="81"/>
            <rFont val="Tahoma"/>
            <family val="2"/>
          </rPr>
          <t xml:space="preserve">
Undefined food items consumed away from should have missing data in this variable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Moltedo</author>
    <author>Ana Moltedo</author>
  </authors>
  <commentList>
    <comment ref="F14" authorId="0" shapeId="0" xr:uid="{00000000-0006-0000-0100-000001000000}">
      <text>
        <r>
          <rPr>
            <b/>
            <sz val="8"/>
            <color indexed="81"/>
            <rFont val="Tahoma"/>
            <family val="2"/>
          </rPr>
          <t>Moltedo:</t>
        </r>
        <r>
          <rPr>
            <sz val="8"/>
            <color indexed="81"/>
            <rFont val="Tahoma"/>
            <family val="2"/>
          </rPr>
          <t xml:space="preserve">
A - Single, perfect match, no modifications required (apart from edible portion, if indicated).
A2 - Exact match, but multiple selections, need weighting.
B - Similar, single match
B2 - Similar match, multiple selections, need weighting
C - Poor, single match
C2 - Poor match, multiple selections, need weighting
D - Calories estimated by ADePT using unit calorie cost</t>
        </r>
      </text>
    </comment>
    <comment ref="Q14" authorId="0" shapeId="0" xr:uid="{00000000-0006-0000-0100-000002000000}">
      <text>
        <r>
          <rPr>
            <b/>
            <sz val="8"/>
            <color indexed="81"/>
            <rFont val="Tahoma"/>
            <family val="2"/>
          </rPr>
          <t>Moltedo:</t>
        </r>
        <r>
          <rPr>
            <sz val="8"/>
            <color indexed="81"/>
            <rFont val="Tahoma"/>
            <family val="2"/>
          </rPr>
          <t xml:space="preserve">
If the nutrients are estimated as an average of nutrients from other food items we copy the value from "Averages" worksheet.
Otherwise:
If there is information on water, ash, protein, fats, fiber and alcohol we use the formula:
fd_car=100 - Water - Protein - Fat - Alcohol - Fibre - Ash
Ifinformation on one of the macronutrients is missing we use the formula:
fd_car=total carbohydrates - fiber</t>
        </r>
      </text>
    </comment>
    <comment ref="S14" authorId="0" shapeId="0" xr:uid="{00000000-0006-0000-0100-000003000000}">
      <text>
        <r>
          <rPr>
            <b/>
            <sz val="8"/>
            <color indexed="81"/>
            <rFont val="Tahoma"/>
            <family val="2"/>
          </rPr>
          <t>Moltedo:</t>
        </r>
        <r>
          <rPr>
            <sz val="8"/>
            <color indexed="81"/>
            <rFont val="Tahoma"/>
            <family val="2"/>
          </rPr>
          <t xml:space="preserve">
fd_kcal = fd_pro*4 + fd_fat*9 + fd_fib*2 + fd_car*4 + fd_alc*7</t>
        </r>
      </text>
    </comment>
    <comment ref="X21" authorId="1" shapeId="0" xr:uid="{00000000-0006-0000-0100-000004000000}">
      <text>
        <r>
          <rPr>
            <b/>
            <sz val="9"/>
            <color indexed="81"/>
            <rFont val="Arial"/>
            <family val="2"/>
          </rPr>
          <t>Ana Moltedo:</t>
        </r>
        <r>
          <rPr>
            <sz val="9"/>
            <color indexed="81"/>
            <rFont val="Arial"/>
            <family val="2"/>
          </rPr>
          <t xml:space="preserve">
From Lombardi-Boccia G, B.M. Dominguez, A. Aguzzi. 2002. Total Heme and Non-heme Iron in Raw and Cooked Meat. Vol. 67, Nr. 5, 2002—Journal of Food Science.</t>
        </r>
      </text>
    </comment>
    <comment ref="G22" authorId="0" shapeId="0" xr:uid="{00000000-0006-0000-0100-000005000000}">
      <text>
        <r>
          <rPr>
            <b/>
            <sz val="8"/>
            <color indexed="81"/>
            <rFont val="Tahoma"/>
            <family val="2"/>
          </rPr>
          <t>Moltedo:</t>
        </r>
        <r>
          <rPr>
            <sz val="8"/>
            <color indexed="81"/>
            <rFont val="Tahoma"/>
            <family val="2"/>
          </rPr>
          <t xml:space="preserve">
Estimation based on assumption that only 1/20 of nutrients is going to the liquid tea/coffee</t>
        </r>
      </text>
    </comment>
    <comment ref="AJ22" authorId="0" shapeId="0" xr:uid="{00000000-0006-0000-0100-000006000000}">
      <text>
        <r>
          <rPr>
            <b/>
            <sz val="8"/>
            <color indexed="81"/>
            <rFont val="Tahoma"/>
            <family val="2"/>
          </rPr>
          <t>Moltedo:</t>
        </r>
        <r>
          <rPr>
            <sz val="8"/>
            <color indexed="81"/>
            <rFont val="Tahoma"/>
            <family val="2"/>
          </rPr>
          <t xml:space="preserve">
I assume 0</t>
        </r>
      </text>
    </comment>
    <comment ref="AK22" authorId="0" shapeId="0" xr:uid="{00000000-0006-0000-0100-000007000000}">
      <text>
        <r>
          <rPr>
            <b/>
            <sz val="8"/>
            <color indexed="81"/>
            <rFont val="Tahoma"/>
            <family val="2"/>
          </rPr>
          <t>Moltedo:</t>
        </r>
        <r>
          <rPr>
            <sz val="8"/>
            <color indexed="81"/>
            <rFont val="Tahoma"/>
            <family val="2"/>
          </rPr>
          <t xml:space="preserve">
I assume 0</t>
        </r>
      </text>
    </comment>
    <comment ref="AL22" authorId="0" shapeId="0" xr:uid="{00000000-0006-0000-0100-000008000000}">
      <text>
        <r>
          <rPr>
            <b/>
            <sz val="8"/>
            <color indexed="81"/>
            <rFont val="Tahoma"/>
            <family val="2"/>
          </rPr>
          <t>Moltedo:</t>
        </r>
        <r>
          <rPr>
            <sz val="8"/>
            <color indexed="81"/>
            <rFont val="Tahoma"/>
            <family val="2"/>
          </rPr>
          <t xml:space="preserve">
I assume 0</t>
        </r>
      </text>
    </comment>
    <comment ref="AM22" authorId="0" shapeId="0" xr:uid="{00000000-0006-0000-0100-000009000000}">
      <text>
        <r>
          <rPr>
            <b/>
            <sz val="8"/>
            <color indexed="81"/>
            <rFont val="Tahoma"/>
            <family val="2"/>
          </rPr>
          <t>Moltedo:</t>
        </r>
        <r>
          <rPr>
            <sz val="8"/>
            <color indexed="81"/>
            <rFont val="Tahoma"/>
            <family val="2"/>
          </rPr>
          <t xml:space="preserve">
I assume 0</t>
        </r>
      </text>
    </comment>
    <comment ref="AN22" authorId="0" shapeId="0" xr:uid="{00000000-0006-0000-0100-00000A000000}">
      <text>
        <r>
          <rPr>
            <b/>
            <sz val="8"/>
            <color indexed="81"/>
            <rFont val="Tahoma"/>
            <family val="2"/>
          </rPr>
          <t>Moltedo:</t>
        </r>
        <r>
          <rPr>
            <sz val="8"/>
            <color indexed="81"/>
            <rFont val="Tahoma"/>
            <family val="2"/>
          </rPr>
          <t xml:space="preserve">
I assume 0</t>
        </r>
      </text>
    </comment>
    <comment ref="AO22" authorId="0" shapeId="0" xr:uid="{00000000-0006-0000-0100-00000B000000}">
      <text>
        <r>
          <rPr>
            <b/>
            <sz val="8"/>
            <color indexed="81"/>
            <rFont val="Tahoma"/>
            <family val="2"/>
          </rPr>
          <t>Moltedo:</t>
        </r>
        <r>
          <rPr>
            <sz val="8"/>
            <color indexed="81"/>
            <rFont val="Tahoma"/>
            <family val="2"/>
          </rPr>
          <t xml:space="preserve">
I assume 0</t>
        </r>
      </text>
    </comment>
    <comment ref="AQ22" authorId="0" shapeId="0" xr:uid="{00000000-0006-0000-0100-00000C000000}">
      <text>
        <r>
          <rPr>
            <b/>
            <sz val="8"/>
            <color indexed="81"/>
            <rFont val="Tahoma"/>
            <family val="2"/>
          </rPr>
          <t>Moltedo:</t>
        </r>
        <r>
          <rPr>
            <sz val="8"/>
            <color indexed="81"/>
            <rFont val="Tahoma"/>
            <family val="2"/>
          </rPr>
          <t xml:space="preserve">
I assume 0</t>
        </r>
      </text>
    </comment>
    <comment ref="AR22" authorId="0" shapeId="0" xr:uid="{00000000-0006-0000-0100-00000D000000}">
      <text>
        <r>
          <rPr>
            <b/>
            <sz val="8"/>
            <color indexed="81"/>
            <rFont val="Tahoma"/>
            <family val="2"/>
          </rPr>
          <t>Moltedo:</t>
        </r>
        <r>
          <rPr>
            <sz val="8"/>
            <color indexed="81"/>
            <rFont val="Tahoma"/>
            <family val="2"/>
          </rPr>
          <t xml:space="preserve">
I assume 0</t>
        </r>
      </text>
    </comment>
    <comment ref="AS22" authorId="0" shapeId="0" xr:uid="{00000000-0006-0000-0100-00000E000000}">
      <text>
        <r>
          <rPr>
            <b/>
            <sz val="8"/>
            <color indexed="81"/>
            <rFont val="Tahoma"/>
            <family val="2"/>
          </rPr>
          <t>Moltedo:</t>
        </r>
        <r>
          <rPr>
            <sz val="8"/>
            <color indexed="81"/>
            <rFont val="Tahoma"/>
            <family val="2"/>
          </rPr>
          <t xml:space="preserve">
I assume 0</t>
        </r>
      </text>
    </comment>
    <comment ref="AT22" authorId="0" shapeId="0" xr:uid="{00000000-0006-0000-0100-00000F000000}">
      <text>
        <r>
          <rPr>
            <b/>
            <sz val="8"/>
            <color indexed="81"/>
            <rFont val="Tahoma"/>
            <family val="2"/>
          </rPr>
          <t>Moltedo:</t>
        </r>
        <r>
          <rPr>
            <sz val="8"/>
            <color indexed="81"/>
            <rFont val="Tahoma"/>
            <family val="2"/>
          </rPr>
          <t xml:space="preserve">
I assume 0</t>
        </r>
      </text>
    </comment>
    <comment ref="J24" authorId="0" shapeId="0" xr:uid="{00000000-0006-0000-0100-000010000000}">
      <text>
        <r>
          <rPr>
            <b/>
            <sz val="8"/>
            <color indexed="81"/>
            <rFont val="Tahoma"/>
            <family val="2"/>
          </rPr>
          <t>Moltedo:</t>
        </r>
        <r>
          <rPr>
            <sz val="8"/>
            <color indexed="81"/>
            <rFont val="Tahoma"/>
            <family val="2"/>
          </rPr>
          <t xml:space="preserve">
Undefined food items consumed away from should have missing data in this variable</t>
        </r>
      </text>
    </comment>
    <comment ref="K24" authorId="0" shapeId="0" xr:uid="{00000000-0006-0000-0100-000011000000}">
      <text>
        <r>
          <rPr>
            <b/>
            <sz val="8"/>
            <color indexed="81"/>
            <rFont val="Tahoma"/>
            <family val="2"/>
          </rPr>
          <t>Moltedo:</t>
        </r>
        <r>
          <rPr>
            <sz val="8"/>
            <color indexed="81"/>
            <rFont val="Tahoma"/>
            <family val="2"/>
          </rPr>
          <t xml:space="preserve">
Undefined food items consumed away from should have missing data in this variable</t>
        </r>
      </text>
    </comment>
    <comment ref="L24" authorId="0" shapeId="0" xr:uid="{00000000-0006-0000-0100-000012000000}">
      <text>
        <r>
          <rPr>
            <b/>
            <sz val="8"/>
            <color indexed="81"/>
            <rFont val="Tahoma"/>
            <family val="2"/>
          </rPr>
          <t>Moltedo:</t>
        </r>
        <r>
          <rPr>
            <sz val="8"/>
            <color indexed="81"/>
            <rFont val="Tahoma"/>
            <family val="2"/>
          </rPr>
          <t xml:space="preserve">
Undefined food items consumed away from should have missing data in this variable</t>
        </r>
      </text>
    </comment>
    <comment ref="M24" authorId="0" shapeId="0" xr:uid="{00000000-0006-0000-0100-000013000000}">
      <text>
        <r>
          <rPr>
            <b/>
            <sz val="8"/>
            <color indexed="81"/>
            <rFont val="Tahoma"/>
            <family val="2"/>
          </rPr>
          <t>Moltedo:</t>
        </r>
        <r>
          <rPr>
            <sz val="8"/>
            <color indexed="81"/>
            <rFont val="Tahoma"/>
            <family val="2"/>
          </rPr>
          <t xml:space="preserve">
Undefined food items consumed away from should have missing data in this variable</t>
        </r>
      </text>
    </comment>
    <comment ref="N24" authorId="0" shapeId="0" xr:uid="{00000000-0006-0000-0100-000014000000}">
      <text>
        <r>
          <rPr>
            <b/>
            <sz val="8"/>
            <color indexed="81"/>
            <rFont val="Tahoma"/>
            <family val="2"/>
          </rPr>
          <t>Moltedo:</t>
        </r>
        <r>
          <rPr>
            <sz val="8"/>
            <color indexed="81"/>
            <rFont val="Tahoma"/>
            <family val="2"/>
          </rPr>
          <t xml:space="preserve">
Undefined food items consumed away from should have missing data in this variable</t>
        </r>
      </text>
    </comment>
    <comment ref="O24" authorId="0" shapeId="0" xr:uid="{00000000-0006-0000-0100-000015000000}">
      <text>
        <r>
          <rPr>
            <b/>
            <sz val="8"/>
            <color indexed="81"/>
            <rFont val="Tahoma"/>
            <family val="2"/>
          </rPr>
          <t>Moltedo:</t>
        </r>
        <r>
          <rPr>
            <sz val="8"/>
            <color indexed="81"/>
            <rFont val="Tahoma"/>
            <family val="2"/>
          </rPr>
          <t xml:space="preserve">
Undefined food items consumed away from should have missing data in this variable</t>
        </r>
      </text>
    </comment>
    <comment ref="P24" authorId="0" shapeId="0" xr:uid="{00000000-0006-0000-0100-000016000000}">
      <text>
        <r>
          <rPr>
            <b/>
            <sz val="8"/>
            <color indexed="81"/>
            <rFont val="Tahoma"/>
            <family val="2"/>
          </rPr>
          <t>Moltedo:</t>
        </r>
        <r>
          <rPr>
            <sz val="8"/>
            <color indexed="81"/>
            <rFont val="Tahoma"/>
            <family val="2"/>
          </rPr>
          <t xml:space="preserve">
Undefined food items consumed away from should have missing data in this variable</t>
        </r>
      </text>
    </comment>
    <comment ref="Q24" authorId="0" shapeId="0" xr:uid="{00000000-0006-0000-0100-000017000000}">
      <text>
        <r>
          <rPr>
            <b/>
            <sz val="8"/>
            <color indexed="81"/>
            <rFont val="Tahoma"/>
            <family val="2"/>
          </rPr>
          <t>Moltedo:</t>
        </r>
        <r>
          <rPr>
            <sz val="8"/>
            <color indexed="81"/>
            <rFont val="Tahoma"/>
            <family val="2"/>
          </rPr>
          <t xml:space="preserve">
Undefined food items consumed away from should have missing data in this variable</t>
        </r>
      </text>
    </comment>
    <comment ref="R24" authorId="0" shapeId="0" xr:uid="{00000000-0006-0000-0100-000018000000}">
      <text>
        <r>
          <rPr>
            <b/>
            <sz val="8"/>
            <color indexed="81"/>
            <rFont val="Tahoma"/>
            <family val="2"/>
          </rPr>
          <t>Moltedo:</t>
        </r>
        <r>
          <rPr>
            <sz val="8"/>
            <color indexed="81"/>
            <rFont val="Tahoma"/>
            <family val="2"/>
          </rPr>
          <t xml:space="preserve">
Undefined food items consumed away from should have missing data in this variable</t>
        </r>
      </text>
    </comment>
    <comment ref="S24" authorId="0" shapeId="0" xr:uid="{00000000-0006-0000-0100-000019000000}">
      <text>
        <r>
          <rPr>
            <b/>
            <sz val="8"/>
            <color indexed="81"/>
            <rFont val="Tahoma"/>
            <family val="2"/>
          </rPr>
          <t>Moltedo:</t>
        </r>
        <r>
          <rPr>
            <sz val="8"/>
            <color indexed="81"/>
            <rFont val="Tahoma"/>
            <family val="2"/>
          </rPr>
          <t xml:space="preserve">
Undefined food items consumed away from should have missing data in this variable</t>
        </r>
      </text>
    </comment>
    <comment ref="T24" authorId="0" shapeId="0" xr:uid="{00000000-0006-0000-0100-00001A000000}">
      <text>
        <r>
          <rPr>
            <b/>
            <sz val="8"/>
            <color indexed="81"/>
            <rFont val="Tahoma"/>
            <family val="2"/>
          </rPr>
          <t>Moltedo:</t>
        </r>
        <r>
          <rPr>
            <sz val="8"/>
            <color indexed="81"/>
            <rFont val="Tahoma"/>
            <family val="2"/>
          </rPr>
          <t xml:space="preserve">
Undefined food items consumed away from should have missing data in this variable</t>
        </r>
      </text>
    </comment>
    <comment ref="U24" authorId="0" shapeId="0" xr:uid="{00000000-0006-0000-0100-00001B000000}">
      <text>
        <r>
          <rPr>
            <b/>
            <sz val="8"/>
            <color indexed="81"/>
            <rFont val="Tahoma"/>
            <family val="2"/>
          </rPr>
          <t>Moltedo:</t>
        </r>
        <r>
          <rPr>
            <sz val="8"/>
            <color indexed="81"/>
            <rFont val="Tahoma"/>
            <family val="2"/>
          </rPr>
          <t xml:space="preserve">
Undefined food items consumed away from should have missing data in this variable</t>
        </r>
      </text>
    </comment>
    <comment ref="V24" authorId="0" shapeId="0" xr:uid="{00000000-0006-0000-0100-00001C000000}">
      <text>
        <r>
          <rPr>
            <b/>
            <sz val="8"/>
            <color indexed="81"/>
            <rFont val="Tahoma"/>
            <family val="2"/>
          </rPr>
          <t>Moltedo:</t>
        </r>
        <r>
          <rPr>
            <sz val="8"/>
            <color indexed="81"/>
            <rFont val="Tahoma"/>
            <family val="2"/>
          </rPr>
          <t xml:space="preserve">
Undefined food items consumed away from should have missing data in this variable</t>
        </r>
      </text>
    </comment>
    <comment ref="W24" authorId="0" shapeId="0" xr:uid="{00000000-0006-0000-0100-00001D000000}">
      <text>
        <r>
          <rPr>
            <b/>
            <sz val="8"/>
            <color indexed="81"/>
            <rFont val="Tahoma"/>
            <family val="2"/>
          </rPr>
          <t>Moltedo:</t>
        </r>
        <r>
          <rPr>
            <sz val="8"/>
            <color indexed="81"/>
            <rFont val="Tahoma"/>
            <family val="2"/>
          </rPr>
          <t xml:space="preserve">
Undefined food items consumed away from should have missing data in this variable</t>
        </r>
      </text>
    </comment>
    <comment ref="Z24" authorId="0" shapeId="0" xr:uid="{00000000-0006-0000-0100-00001E000000}">
      <text>
        <r>
          <rPr>
            <b/>
            <sz val="8"/>
            <color indexed="81"/>
            <rFont val="Tahoma"/>
            <family val="2"/>
          </rPr>
          <t>Moltedo:</t>
        </r>
        <r>
          <rPr>
            <sz val="8"/>
            <color indexed="81"/>
            <rFont val="Tahoma"/>
            <family val="2"/>
          </rPr>
          <t xml:space="preserve">
Undefined food items consumed away from should have missing data in this variable</t>
        </r>
      </text>
    </comment>
    <comment ref="AA24" authorId="0" shapeId="0" xr:uid="{00000000-0006-0000-0100-00001F000000}">
      <text>
        <r>
          <rPr>
            <b/>
            <sz val="8"/>
            <color indexed="81"/>
            <rFont val="Tahoma"/>
            <family val="2"/>
          </rPr>
          <t>Moltedo:</t>
        </r>
        <r>
          <rPr>
            <sz val="8"/>
            <color indexed="81"/>
            <rFont val="Tahoma"/>
            <family val="2"/>
          </rPr>
          <t xml:space="preserve">
Undefined food items consumed away from should have missing data in this variable</t>
        </r>
      </text>
    </comment>
    <comment ref="AB24" authorId="0" shapeId="0" xr:uid="{00000000-0006-0000-0100-000020000000}">
      <text>
        <r>
          <rPr>
            <b/>
            <sz val="8"/>
            <color indexed="81"/>
            <rFont val="Tahoma"/>
            <family val="2"/>
          </rPr>
          <t>Moltedo:</t>
        </r>
        <r>
          <rPr>
            <sz val="8"/>
            <color indexed="81"/>
            <rFont val="Tahoma"/>
            <family val="2"/>
          </rPr>
          <t xml:space="preserve">
Undefined food items consumed away from should have missing data in this variable</t>
        </r>
      </text>
    </comment>
    <comment ref="AC24" authorId="0" shapeId="0" xr:uid="{00000000-0006-0000-0100-000021000000}">
      <text>
        <r>
          <rPr>
            <b/>
            <sz val="8"/>
            <color indexed="81"/>
            <rFont val="Tahoma"/>
            <family val="2"/>
          </rPr>
          <t>Moltedo:</t>
        </r>
        <r>
          <rPr>
            <sz val="8"/>
            <color indexed="81"/>
            <rFont val="Tahoma"/>
            <family val="2"/>
          </rPr>
          <t xml:space="preserve">
Undefined food items consumed away from should have missing data in this variable</t>
        </r>
      </text>
    </comment>
    <comment ref="AD24" authorId="0" shapeId="0" xr:uid="{00000000-0006-0000-0100-000022000000}">
      <text>
        <r>
          <rPr>
            <b/>
            <sz val="8"/>
            <color indexed="81"/>
            <rFont val="Tahoma"/>
            <family val="2"/>
          </rPr>
          <t>Moltedo:</t>
        </r>
        <r>
          <rPr>
            <sz val="8"/>
            <color indexed="81"/>
            <rFont val="Tahoma"/>
            <family val="2"/>
          </rPr>
          <t xml:space="preserve">
Undefined food items consumed away from should have missing data in this variable</t>
        </r>
      </text>
    </comment>
    <comment ref="AE24" authorId="0" shapeId="0" xr:uid="{00000000-0006-0000-0100-000023000000}">
      <text>
        <r>
          <rPr>
            <b/>
            <sz val="8"/>
            <color indexed="81"/>
            <rFont val="Tahoma"/>
            <family val="2"/>
          </rPr>
          <t>Moltedo:</t>
        </r>
        <r>
          <rPr>
            <sz val="8"/>
            <color indexed="81"/>
            <rFont val="Tahoma"/>
            <family val="2"/>
          </rPr>
          <t xml:space="preserve">
Undefined food items consumed away from should have missing data in this variable</t>
        </r>
      </text>
    </comment>
    <comment ref="AF24" authorId="0" shapeId="0" xr:uid="{00000000-0006-0000-0100-000024000000}">
      <text>
        <r>
          <rPr>
            <b/>
            <sz val="8"/>
            <color indexed="81"/>
            <rFont val="Tahoma"/>
            <family val="2"/>
          </rPr>
          <t>Moltedo:</t>
        </r>
        <r>
          <rPr>
            <sz val="8"/>
            <color indexed="81"/>
            <rFont val="Tahoma"/>
            <family val="2"/>
          </rPr>
          <t xml:space="preserve">
Undefined food items consumed away from should have missing data in this variable</t>
        </r>
      </text>
    </comment>
    <comment ref="AG24" authorId="0" shapeId="0" xr:uid="{00000000-0006-0000-0100-000025000000}">
      <text>
        <r>
          <rPr>
            <b/>
            <sz val="8"/>
            <color indexed="81"/>
            <rFont val="Tahoma"/>
            <family val="2"/>
          </rPr>
          <t>Moltedo:</t>
        </r>
        <r>
          <rPr>
            <sz val="8"/>
            <color indexed="81"/>
            <rFont val="Tahoma"/>
            <family val="2"/>
          </rPr>
          <t xml:space="preserve">
Undefined food items consumed away from should have missing data in this variable</t>
        </r>
      </text>
    </comment>
    <comment ref="AH24" authorId="0" shapeId="0" xr:uid="{00000000-0006-0000-0100-000026000000}">
      <text>
        <r>
          <rPr>
            <b/>
            <sz val="8"/>
            <color indexed="81"/>
            <rFont val="Tahoma"/>
            <family val="2"/>
          </rPr>
          <t>Moltedo:</t>
        </r>
        <r>
          <rPr>
            <sz val="8"/>
            <color indexed="81"/>
            <rFont val="Tahoma"/>
            <family val="2"/>
          </rPr>
          <t xml:space="preserve">
Undefined food items consumed away from should have missing data in this variable</t>
        </r>
      </text>
    </comment>
    <comment ref="AI24" authorId="0" shapeId="0" xr:uid="{00000000-0006-0000-0100-000027000000}">
      <text>
        <r>
          <rPr>
            <b/>
            <sz val="8"/>
            <color indexed="81"/>
            <rFont val="Tahoma"/>
            <family val="2"/>
          </rPr>
          <t>Moltedo:</t>
        </r>
        <r>
          <rPr>
            <sz val="8"/>
            <color indexed="81"/>
            <rFont val="Tahoma"/>
            <family val="2"/>
          </rPr>
          <t xml:space="preserve">
Undefined food items consumed away from should have missing data in this variable</t>
        </r>
      </text>
    </comment>
    <comment ref="AJ24" authorId="0" shapeId="0" xr:uid="{00000000-0006-0000-0100-000028000000}">
      <text>
        <r>
          <rPr>
            <b/>
            <sz val="8"/>
            <color indexed="81"/>
            <rFont val="Tahoma"/>
            <family val="2"/>
          </rPr>
          <t>Moltedo:</t>
        </r>
        <r>
          <rPr>
            <sz val="8"/>
            <color indexed="81"/>
            <rFont val="Tahoma"/>
            <family val="2"/>
          </rPr>
          <t xml:space="preserve">
Undefined food items consumed away from should have missing data in this variable</t>
        </r>
      </text>
    </comment>
    <comment ref="AK24" authorId="0" shapeId="0" xr:uid="{00000000-0006-0000-0100-000029000000}">
      <text>
        <r>
          <rPr>
            <b/>
            <sz val="8"/>
            <color indexed="81"/>
            <rFont val="Tahoma"/>
            <family val="2"/>
          </rPr>
          <t>Moltedo:</t>
        </r>
        <r>
          <rPr>
            <sz val="8"/>
            <color indexed="81"/>
            <rFont val="Tahoma"/>
            <family val="2"/>
          </rPr>
          <t xml:space="preserve">
Undefined food items consumed away from should have missing data in this variable</t>
        </r>
      </text>
    </comment>
    <comment ref="AL24" authorId="0" shapeId="0" xr:uid="{00000000-0006-0000-0100-00002A000000}">
      <text>
        <r>
          <rPr>
            <b/>
            <sz val="8"/>
            <color indexed="81"/>
            <rFont val="Tahoma"/>
            <family val="2"/>
          </rPr>
          <t>Moltedo:</t>
        </r>
        <r>
          <rPr>
            <sz val="8"/>
            <color indexed="81"/>
            <rFont val="Tahoma"/>
            <family val="2"/>
          </rPr>
          <t xml:space="preserve">
Undefined food items consumed away from should have missing data in this variable</t>
        </r>
      </text>
    </comment>
    <comment ref="AM24" authorId="0" shapeId="0" xr:uid="{00000000-0006-0000-0100-00002B000000}">
      <text>
        <r>
          <rPr>
            <b/>
            <sz val="8"/>
            <color indexed="81"/>
            <rFont val="Tahoma"/>
            <family val="2"/>
          </rPr>
          <t>Moltedo:</t>
        </r>
        <r>
          <rPr>
            <sz val="8"/>
            <color indexed="81"/>
            <rFont val="Tahoma"/>
            <family val="2"/>
          </rPr>
          <t xml:space="preserve">
Undefined food items consumed away from should have missing data in this variable</t>
        </r>
      </text>
    </comment>
    <comment ref="AN24" authorId="0" shapeId="0" xr:uid="{00000000-0006-0000-0100-00002C000000}">
      <text>
        <r>
          <rPr>
            <b/>
            <sz val="8"/>
            <color indexed="81"/>
            <rFont val="Tahoma"/>
            <family val="2"/>
          </rPr>
          <t>Moltedo:</t>
        </r>
        <r>
          <rPr>
            <sz val="8"/>
            <color indexed="81"/>
            <rFont val="Tahoma"/>
            <family val="2"/>
          </rPr>
          <t xml:space="preserve">
Undefined food items consumed away from should have missing data in this variable</t>
        </r>
      </text>
    </comment>
    <comment ref="AO24" authorId="0" shapeId="0" xr:uid="{00000000-0006-0000-0100-00002D000000}">
      <text>
        <r>
          <rPr>
            <b/>
            <sz val="8"/>
            <color indexed="81"/>
            <rFont val="Tahoma"/>
            <family val="2"/>
          </rPr>
          <t>Moltedo:</t>
        </r>
        <r>
          <rPr>
            <sz val="8"/>
            <color indexed="81"/>
            <rFont val="Tahoma"/>
            <family val="2"/>
          </rPr>
          <t xml:space="preserve">
Undefined food items consumed away from should have missing data in this variable</t>
        </r>
      </text>
    </comment>
    <comment ref="AP24" authorId="0" shapeId="0" xr:uid="{00000000-0006-0000-0100-00002E000000}">
      <text>
        <r>
          <rPr>
            <b/>
            <sz val="8"/>
            <color indexed="81"/>
            <rFont val="Tahoma"/>
            <family val="2"/>
          </rPr>
          <t>Moltedo:</t>
        </r>
        <r>
          <rPr>
            <sz val="8"/>
            <color indexed="81"/>
            <rFont val="Tahoma"/>
            <family val="2"/>
          </rPr>
          <t xml:space="preserve">
Undefined food items consumed away from should have missing data in this variable</t>
        </r>
      </text>
    </comment>
    <comment ref="AQ24" authorId="0" shapeId="0" xr:uid="{00000000-0006-0000-0100-00002F000000}">
      <text>
        <r>
          <rPr>
            <b/>
            <sz val="8"/>
            <color indexed="81"/>
            <rFont val="Tahoma"/>
            <family val="2"/>
          </rPr>
          <t>Moltedo:</t>
        </r>
        <r>
          <rPr>
            <sz val="8"/>
            <color indexed="81"/>
            <rFont val="Tahoma"/>
            <family val="2"/>
          </rPr>
          <t xml:space="preserve">
Undefined food items consumed away from should have missing data in this variable</t>
        </r>
      </text>
    </comment>
    <comment ref="AR24" authorId="0" shapeId="0" xr:uid="{00000000-0006-0000-0100-000030000000}">
      <text>
        <r>
          <rPr>
            <b/>
            <sz val="8"/>
            <color indexed="81"/>
            <rFont val="Tahoma"/>
            <family val="2"/>
          </rPr>
          <t>Moltedo:</t>
        </r>
        <r>
          <rPr>
            <sz val="8"/>
            <color indexed="81"/>
            <rFont val="Tahoma"/>
            <family val="2"/>
          </rPr>
          <t xml:space="preserve">
Undefined food items consumed away from should have missing data in this variable</t>
        </r>
      </text>
    </comment>
    <comment ref="AS24" authorId="0" shapeId="0" xr:uid="{00000000-0006-0000-0100-000031000000}">
      <text>
        <r>
          <rPr>
            <b/>
            <sz val="8"/>
            <color indexed="81"/>
            <rFont val="Tahoma"/>
            <family val="2"/>
          </rPr>
          <t>Moltedo:</t>
        </r>
        <r>
          <rPr>
            <sz val="8"/>
            <color indexed="81"/>
            <rFont val="Tahoma"/>
            <family val="2"/>
          </rPr>
          <t xml:space="preserve">
Undefined food items consumed away from should have missing data in this variable</t>
        </r>
      </text>
    </comment>
    <comment ref="AT24" authorId="0" shapeId="0" xr:uid="{00000000-0006-0000-0100-000032000000}">
      <text>
        <r>
          <rPr>
            <b/>
            <sz val="8"/>
            <color indexed="81"/>
            <rFont val="Tahoma"/>
            <family val="2"/>
          </rPr>
          <t>Moltedo:</t>
        </r>
        <r>
          <rPr>
            <sz val="8"/>
            <color indexed="81"/>
            <rFont val="Tahoma"/>
            <family val="2"/>
          </rPr>
          <t xml:space="preserve">
Undefined food items consumed away from should have missing data in this variable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Moltedo</author>
  </authors>
  <commentList>
    <comment ref="Q11" authorId="0" shapeId="0" xr:uid="{00000000-0006-0000-0200-000001000000}">
      <text>
        <r>
          <rPr>
            <b/>
            <sz val="8"/>
            <color indexed="81"/>
            <rFont val="Tahoma"/>
            <family val="2"/>
          </rPr>
          <t>Moltedo:</t>
        </r>
        <r>
          <rPr>
            <sz val="8"/>
            <color indexed="81"/>
            <rFont val="Tahoma"/>
            <family val="2"/>
          </rPr>
          <t xml:space="preserve">
If the nutrients are estimated as an average of nutrients from other food items we copy the value from "Averages" worksheet.
Otherwise:
If there is information on water, ash, protein, fats, fiber and alcohol we use the formula:
fd_car=100 - Water - Protein - Fat - Alcohol - Fibre - Ash
Ifinformation on one of the macronutrients is missing we use the formula:
fd_car=total carbohydrates - fiber</t>
        </r>
      </text>
    </comment>
    <comment ref="S11" authorId="0" shapeId="0" xr:uid="{00000000-0006-0000-0200-000002000000}">
      <text>
        <r>
          <rPr>
            <b/>
            <sz val="8"/>
            <color indexed="81"/>
            <rFont val="Tahoma"/>
            <family val="2"/>
          </rPr>
          <t>Moltedo:</t>
        </r>
        <r>
          <rPr>
            <sz val="8"/>
            <color indexed="81"/>
            <rFont val="Tahoma"/>
            <family val="2"/>
          </rPr>
          <t xml:space="preserve">
fd_kcal = fd_pro*4 + fd_fat*9 + fd_fib*2 + fd_car*4 + fd_alc*7</t>
        </r>
      </text>
    </comment>
    <comment ref="AF24" authorId="0" shapeId="0" xr:uid="{00000000-0006-0000-0200-000003000000}">
      <text>
        <r>
          <rPr>
            <b/>
            <sz val="8"/>
            <color indexed="81"/>
            <rFont val="Tahoma"/>
            <family val="2"/>
          </rPr>
          <t>Moltedo:</t>
        </r>
        <r>
          <rPr>
            <sz val="8"/>
            <color indexed="81"/>
            <rFont val="Tahoma"/>
            <family val="2"/>
          </rPr>
          <t xml:space="preserve">
estimated as Vit A in RAE*12</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Moltedo</author>
    <author>Ana</author>
  </authors>
  <commentList>
    <comment ref="F1" authorId="0" shapeId="0" xr:uid="{00000000-0006-0000-0300-000001000000}">
      <text>
        <r>
          <rPr>
            <b/>
            <sz val="8"/>
            <color indexed="81"/>
            <rFont val="Tahoma"/>
            <family val="2"/>
          </rPr>
          <t>Moltedo:</t>
        </r>
        <r>
          <rPr>
            <sz val="8"/>
            <color indexed="81"/>
            <rFont val="Tahoma"/>
            <family val="2"/>
          </rPr>
          <t xml:space="preserve">
A - Single, perfect match, no modifications required (apart from edible portion, if indicated).
A2 - Exact match, but multiple selections, need weighting.
B - Similar, single match
B2 - Similar match, multiple selections, need weighting
C - Poor, single match
C2 - Poor match, multiple selections, need weighting
D - Calories estimated by ADePT using unit calorie cost</t>
        </r>
      </text>
    </comment>
    <comment ref="P1" authorId="0" shapeId="0" xr:uid="{00000000-0006-0000-0300-000002000000}">
      <text>
        <r>
          <rPr>
            <b/>
            <sz val="8"/>
            <color indexed="81"/>
            <rFont val="Tahoma"/>
            <family val="2"/>
          </rPr>
          <t>Moltedo:</t>
        </r>
        <r>
          <rPr>
            <sz val="8"/>
            <color indexed="81"/>
            <rFont val="Tahoma"/>
            <family val="2"/>
          </rPr>
          <t xml:space="preserve">
If the nutrients are estimated as an average of nutrients from other food items we copy the value from "Averages" worksheet.
Otherwise:
If there is information on water, ash, protein, fats, fiber and alcohol we use the formula:
fd_car=100 - Water - Protein - Fat - Alcohol - Fibre - Ash
Ifinformation on one of the macronutrients is missing we use the formula:
fd_car=total carbohydrates - fiber</t>
        </r>
      </text>
    </comment>
    <comment ref="R1" authorId="0" shapeId="0" xr:uid="{00000000-0006-0000-0300-000003000000}">
      <text>
        <r>
          <rPr>
            <b/>
            <sz val="8"/>
            <color indexed="81"/>
            <rFont val="Tahoma"/>
            <family val="2"/>
          </rPr>
          <t>Moltedo:</t>
        </r>
        <r>
          <rPr>
            <sz val="8"/>
            <color indexed="81"/>
            <rFont val="Tahoma"/>
            <family val="2"/>
          </rPr>
          <t xml:space="preserve">
fd_kcal = fd_pro*4 + fd_fat*9 + fd_fib*2 + fd_car*4 + fd_alc*7</t>
        </r>
      </text>
    </comment>
    <comment ref="M36" authorId="1" shapeId="0" xr:uid="{00000000-0006-0000-0300-000004000000}">
      <text>
        <r>
          <rPr>
            <b/>
            <sz val="9"/>
            <color indexed="81"/>
            <rFont val="Tahoma"/>
            <family val="2"/>
          </rPr>
          <t>Ana:</t>
        </r>
        <r>
          <rPr>
            <sz val="9"/>
            <color indexed="81"/>
            <rFont val="Tahoma"/>
            <family val="2"/>
          </rPr>
          <t xml:space="preserve">
usda code 11003</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Moltedo</author>
    <author>Ana</author>
  </authors>
  <commentList>
    <comment ref="F1" authorId="0" shapeId="0" xr:uid="{00000000-0006-0000-0400-000001000000}">
      <text>
        <r>
          <rPr>
            <b/>
            <sz val="8"/>
            <color indexed="81"/>
            <rFont val="Tahoma"/>
            <family val="2"/>
          </rPr>
          <t>Moltedo:</t>
        </r>
        <r>
          <rPr>
            <sz val="8"/>
            <color indexed="81"/>
            <rFont val="Tahoma"/>
            <family val="2"/>
          </rPr>
          <t xml:space="preserve">
A - Single, perfect match, no modifications required (apart from edible portion, if indicated).
A2 - Exact match, but multiple selections, need weighting.
B - Similar, single match
B2 - Similar match, multiple selections, need weighting
C - Poor, single match
C2 - Poor match, multiple selections, need weighting
D - Calories estimated by ADePT using unit calorie cost</t>
        </r>
      </text>
    </comment>
    <comment ref="P1" authorId="0" shapeId="0" xr:uid="{00000000-0006-0000-0400-000002000000}">
      <text>
        <r>
          <rPr>
            <b/>
            <sz val="8"/>
            <color indexed="81"/>
            <rFont val="Tahoma"/>
            <family val="2"/>
          </rPr>
          <t>Moltedo:</t>
        </r>
        <r>
          <rPr>
            <sz val="8"/>
            <color indexed="81"/>
            <rFont val="Tahoma"/>
            <family val="2"/>
          </rPr>
          <t xml:space="preserve">
If the nutrients are estimated as an average of nutrients from other food items we copy the value from "Averages" worksheet.
Otherwise:
If there is information on water, ash, protein, fats, fiber and alcohol we use the formula:
fd_car=100 - Water - Protein - Fat - Alcohol - Fibre - Ash
Ifinformation on one of the macronutrients is missing we use the formula:
fd_car=total carbohydrates - fiber</t>
        </r>
      </text>
    </comment>
    <comment ref="R1" authorId="0" shapeId="0" xr:uid="{00000000-0006-0000-0400-000003000000}">
      <text>
        <r>
          <rPr>
            <b/>
            <sz val="8"/>
            <color indexed="81"/>
            <rFont val="Tahoma"/>
            <family val="2"/>
          </rPr>
          <t>Moltedo:</t>
        </r>
        <r>
          <rPr>
            <sz val="8"/>
            <color indexed="81"/>
            <rFont val="Tahoma"/>
            <family val="2"/>
          </rPr>
          <t xml:space="preserve">
fd_kcal = fd_pro*4 + fd_fat*9 + fd_fib*2 + fd_car*4 + fd_alc*7</t>
        </r>
      </text>
    </comment>
    <comment ref="M36" authorId="1" shapeId="0" xr:uid="{00000000-0006-0000-0400-000004000000}">
      <text>
        <r>
          <rPr>
            <b/>
            <sz val="9"/>
            <color indexed="81"/>
            <rFont val="Tahoma"/>
            <family val="2"/>
          </rPr>
          <t>Ana:</t>
        </r>
        <r>
          <rPr>
            <sz val="9"/>
            <color indexed="81"/>
            <rFont val="Tahoma"/>
            <family val="2"/>
          </rPr>
          <t xml:space="preserve">
usda code 11003</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Moltedo</author>
    <author>Ana</author>
  </authors>
  <commentList>
    <comment ref="F1" authorId="0" shapeId="0" xr:uid="{00000000-0006-0000-0500-000001000000}">
      <text>
        <r>
          <rPr>
            <b/>
            <sz val="8"/>
            <color indexed="81"/>
            <rFont val="Tahoma"/>
            <family val="2"/>
          </rPr>
          <t>Moltedo:</t>
        </r>
        <r>
          <rPr>
            <sz val="8"/>
            <color indexed="81"/>
            <rFont val="Tahoma"/>
            <family val="2"/>
          </rPr>
          <t xml:space="preserve">
A - Single, perfect match, no modifications required (apart from edible portion, if indicated).
A2 - Exact match, but multiple selections, need weighting.
B - Similar, single match
B2 - Similar match, multiple selections, need weighting
C - Poor, single match
C2 - Poor match, multiple selections, need weighting
D - Calories estimated by ADePT using unit calorie cost</t>
        </r>
      </text>
    </comment>
    <comment ref="P1" authorId="0" shapeId="0" xr:uid="{00000000-0006-0000-0500-000002000000}">
      <text>
        <r>
          <rPr>
            <b/>
            <sz val="8"/>
            <color indexed="81"/>
            <rFont val="Tahoma"/>
            <family val="2"/>
          </rPr>
          <t>Moltedo:</t>
        </r>
        <r>
          <rPr>
            <sz val="8"/>
            <color indexed="81"/>
            <rFont val="Tahoma"/>
            <family val="2"/>
          </rPr>
          <t xml:space="preserve">
If the nutrients are estimated as an average of nutrients from other food items we copy the value from "Averages" worksheet.
Otherwise:
If there is information on water, ash, protein, fats, fiber and alcohol we use the formula:
fd_car=100 - Water - Protein - Fat - Alcohol - Fibre - Ash
Ifinformation on one of the macronutrients is missing we use the formula:
fd_car=total carbohydrates - fiber</t>
        </r>
      </text>
    </comment>
    <comment ref="R1" authorId="0" shapeId="0" xr:uid="{00000000-0006-0000-0500-000003000000}">
      <text>
        <r>
          <rPr>
            <b/>
            <sz val="8"/>
            <color indexed="81"/>
            <rFont val="Tahoma"/>
            <family val="2"/>
          </rPr>
          <t>Moltedo:</t>
        </r>
        <r>
          <rPr>
            <sz val="8"/>
            <color indexed="81"/>
            <rFont val="Tahoma"/>
            <family val="2"/>
          </rPr>
          <t xml:space="preserve">
fd_kcal = fd_pro*4 + fd_fat*9 + fd_fib*2 + fd_car*4 + fd_alc*7</t>
        </r>
      </text>
    </comment>
    <comment ref="M36" authorId="1" shapeId="0" xr:uid="{00000000-0006-0000-0500-000004000000}">
      <text>
        <r>
          <rPr>
            <b/>
            <sz val="9"/>
            <color indexed="81"/>
            <rFont val="Tahoma"/>
            <family val="2"/>
          </rPr>
          <t>Ana:</t>
        </r>
        <r>
          <rPr>
            <sz val="9"/>
            <color indexed="81"/>
            <rFont val="Tahoma"/>
            <family val="2"/>
          </rPr>
          <t xml:space="preserve">
usda code 11003</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Moltedo</author>
    <author>Ana</author>
  </authors>
  <commentList>
    <comment ref="P1" authorId="0" shapeId="0" xr:uid="{00000000-0006-0000-0700-000001000000}">
      <text>
        <r>
          <rPr>
            <b/>
            <sz val="8"/>
            <color indexed="81"/>
            <rFont val="Tahoma"/>
            <family val="2"/>
          </rPr>
          <t>Moltedo:</t>
        </r>
        <r>
          <rPr>
            <sz val="8"/>
            <color indexed="81"/>
            <rFont val="Tahoma"/>
            <family val="2"/>
          </rPr>
          <t xml:space="preserve">
If the nutrients are estimated as an average of nutrients from other food items we copy the value from "Averages" worksheet.
Otherwise:
If there is information on water, ash, protein, fats, fiber and alcohol we use the formula:
fd_car=100 - Water - Protein - Fat - Alcohol - Fibre - Ash
Ifinformation on one of the macronutrients is missing we use the formula:
fd_car=total carbohydrates - fiber</t>
        </r>
      </text>
    </comment>
    <comment ref="M15" authorId="1" shapeId="0" xr:uid="{00000000-0006-0000-0700-000002000000}">
      <text>
        <r>
          <rPr>
            <b/>
            <sz val="9"/>
            <color indexed="81"/>
            <rFont val="Tahoma"/>
            <family val="2"/>
          </rPr>
          <t>Ana:</t>
        </r>
        <r>
          <rPr>
            <sz val="9"/>
            <color indexed="81"/>
            <rFont val="Tahoma"/>
            <family val="2"/>
          </rPr>
          <t xml:space="preserve">
usda code 20052</t>
        </r>
      </text>
    </comment>
    <comment ref="M21" authorId="1" shapeId="0" xr:uid="{00000000-0006-0000-0700-000003000000}">
      <text>
        <r>
          <rPr>
            <b/>
            <sz val="9"/>
            <color indexed="81"/>
            <rFont val="Tahoma"/>
            <family val="2"/>
          </rPr>
          <t>Ana:</t>
        </r>
        <r>
          <rPr>
            <sz val="9"/>
            <color indexed="81"/>
            <rFont val="Tahoma"/>
            <family val="2"/>
          </rPr>
          <t xml:space="preserve">
idem yellow corn</t>
        </r>
      </text>
    </comment>
    <comment ref="AD73" authorId="1" shapeId="0" xr:uid="{00000000-0006-0000-0700-000004000000}">
      <text>
        <r>
          <rPr>
            <b/>
            <sz val="9"/>
            <color indexed="81"/>
            <rFont val="Tahoma"/>
            <family val="2"/>
          </rPr>
          <t>Ana:</t>
        </r>
        <r>
          <rPr>
            <sz val="9"/>
            <color indexed="81"/>
            <rFont val="Tahoma"/>
            <family val="2"/>
          </rPr>
          <t xml:space="preserve">
usda code 1145</t>
        </r>
      </text>
    </comment>
    <comment ref="AE73" authorId="1" shapeId="0" xr:uid="{00000000-0006-0000-0700-000005000000}">
      <text>
        <r>
          <rPr>
            <b/>
            <sz val="9"/>
            <color indexed="81"/>
            <rFont val="Tahoma"/>
            <family val="2"/>
          </rPr>
          <t>Ana:</t>
        </r>
        <r>
          <rPr>
            <sz val="9"/>
            <color indexed="81"/>
            <rFont val="Tahoma"/>
            <family val="2"/>
          </rPr>
          <t xml:space="preserve">
usda code 1145</t>
        </r>
      </text>
    </comment>
    <comment ref="M91" authorId="1" shapeId="0" xr:uid="{00000000-0006-0000-0700-000006000000}">
      <text>
        <r>
          <rPr>
            <b/>
            <sz val="9"/>
            <color indexed="81"/>
            <rFont val="Tahoma"/>
            <family val="2"/>
          </rPr>
          <t>Ana:</t>
        </r>
        <r>
          <rPr>
            <sz val="9"/>
            <color indexed="81"/>
            <rFont val="Tahoma"/>
            <family val="2"/>
          </rPr>
          <t xml:space="preserve">
usda code 9266</t>
        </r>
      </text>
    </comment>
  </commentList>
</comments>
</file>

<file path=xl/sharedStrings.xml><?xml version="1.0" encoding="utf-8"?>
<sst xmlns="http://schemas.openxmlformats.org/spreadsheetml/2006/main" count="2994" uniqueCount="716">
  <si>
    <t>Calories (Kcal)</t>
  </si>
  <si>
    <t>Reference Food Composition Table (FCT)</t>
  </si>
  <si>
    <t>Food code in FCT</t>
  </si>
  <si>
    <t>Food description in FCT</t>
  </si>
  <si>
    <t>Carbohydrates including fiber (Total) (grams)</t>
  </si>
  <si>
    <t>Water (grams)</t>
  </si>
  <si>
    <t>Ash (grams)</t>
  </si>
  <si>
    <t>USDA</t>
  </si>
  <si>
    <t>Banana ripe</t>
  </si>
  <si>
    <t>Bananas, raw</t>
  </si>
  <si>
    <t>Tomato, raw</t>
  </si>
  <si>
    <t>Tomatoes, red, ripe, raw, year round average</t>
  </si>
  <si>
    <t>Beer</t>
  </si>
  <si>
    <t xml:space="preserve">Alcoholic beverage, beer, regular, all  </t>
  </si>
  <si>
    <t>Lunch</t>
  </si>
  <si>
    <t>09040</t>
  </si>
  <si>
    <t>01123</t>
  </si>
  <si>
    <r>
      <t xml:space="preserve">Food item code in Household Survey </t>
    </r>
    <r>
      <rPr>
        <b/>
        <sz val="11"/>
        <color indexed="10"/>
        <rFont val="Calibri"/>
        <family val="2"/>
      </rPr>
      <t>(item_cod)</t>
    </r>
  </si>
  <si>
    <r>
      <t xml:space="preserve">Food item description in Household Survey </t>
    </r>
    <r>
      <rPr>
        <b/>
        <sz val="11"/>
        <color indexed="10"/>
        <rFont val="Calibri"/>
        <family val="2"/>
      </rPr>
      <t>(desc)</t>
    </r>
  </si>
  <si>
    <r>
      <t xml:space="preserve">Refuse factor </t>
    </r>
    <r>
      <rPr>
        <b/>
        <sz val="11"/>
        <color indexed="10"/>
        <rFont val="Calibri"/>
        <family val="2"/>
      </rPr>
      <t>(refuse)</t>
    </r>
  </si>
  <si>
    <r>
      <t xml:space="preserve">Item Group </t>
    </r>
    <r>
      <rPr>
        <b/>
        <sz val="11"/>
        <color indexed="10"/>
        <rFont val="Calibri"/>
        <family val="2"/>
      </rPr>
      <t>(item_grp)</t>
    </r>
  </si>
  <si>
    <r>
      <t xml:space="preserve">Protein (grams) </t>
    </r>
    <r>
      <rPr>
        <b/>
        <sz val="11"/>
        <color indexed="10"/>
        <rFont val="Calibri"/>
        <family val="2"/>
      </rPr>
      <t>(fd_pro)</t>
    </r>
  </si>
  <si>
    <r>
      <t xml:space="preserve">Fat (grams) </t>
    </r>
    <r>
      <rPr>
        <b/>
        <sz val="11"/>
        <color indexed="10"/>
        <rFont val="Calibri"/>
        <family val="2"/>
      </rPr>
      <t>(fd_fat)</t>
    </r>
  </si>
  <si>
    <r>
      <t xml:space="preserve">Fiber (grams) </t>
    </r>
    <r>
      <rPr>
        <b/>
        <sz val="11"/>
        <color indexed="10"/>
        <rFont val="Calibri"/>
        <family val="2"/>
      </rPr>
      <t>(fd_fib)</t>
    </r>
  </si>
  <si>
    <r>
      <t xml:space="preserve">Alcohol (grams) </t>
    </r>
    <r>
      <rPr>
        <b/>
        <sz val="11"/>
        <color indexed="10"/>
        <rFont val="Calibri"/>
        <family val="2"/>
      </rPr>
      <t>(fd_alc)</t>
    </r>
  </si>
  <si>
    <r>
      <t xml:space="preserve">Available Carbohydrates by difference (grams) </t>
    </r>
    <r>
      <rPr>
        <b/>
        <sz val="11"/>
        <color indexed="10"/>
        <rFont val="Calibri"/>
        <family val="2"/>
      </rPr>
      <t>(fd_car)</t>
    </r>
  </si>
  <si>
    <r>
      <t xml:space="preserve">Computed calories (Kcal) </t>
    </r>
    <r>
      <rPr>
        <b/>
        <sz val="11"/>
        <color indexed="10"/>
        <rFont val="Calibri"/>
        <family val="2"/>
      </rPr>
      <t>(fd_kcal)</t>
    </r>
  </si>
  <si>
    <r>
      <t xml:space="preserve">Calcium (milligrams) </t>
    </r>
    <r>
      <rPr>
        <b/>
        <sz val="11"/>
        <color indexed="10"/>
        <rFont val="Calibri"/>
        <family val="2"/>
      </rPr>
      <t>(calcium)</t>
    </r>
  </si>
  <si>
    <r>
      <t xml:space="preserve">Iron (milligrams) </t>
    </r>
    <r>
      <rPr>
        <b/>
        <sz val="11"/>
        <color indexed="10"/>
        <rFont val="Calibri"/>
        <family val="2"/>
      </rPr>
      <t>(iron)</t>
    </r>
  </si>
  <si>
    <r>
      <t xml:space="preserve">Animal iron (milligrams) </t>
    </r>
    <r>
      <rPr>
        <b/>
        <sz val="11"/>
        <color indexed="10"/>
        <rFont val="Calibri"/>
        <family val="2"/>
      </rPr>
      <t>(fe_anim)</t>
    </r>
  </si>
  <si>
    <r>
      <t xml:space="preserve">Non animal iron (milligrams) </t>
    </r>
    <r>
      <rPr>
        <b/>
        <sz val="11"/>
        <color indexed="10"/>
        <rFont val="Calibri"/>
        <family val="2"/>
      </rPr>
      <t>(fe_nanim)</t>
    </r>
  </si>
  <si>
    <r>
      <t xml:space="preserve">Vitamin C (Ascorbic Acid) (milligrams) </t>
    </r>
    <r>
      <rPr>
        <b/>
        <sz val="11"/>
        <color indexed="10"/>
        <rFont val="Calibri"/>
        <family val="2"/>
      </rPr>
      <t>(vit_c)</t>
    </r>
  </si>
  <si>
    <r>
      <t xml:space="preserve">Vitamin B1 (Thiamine) (milligrams) </t>
    </r>
    <r>
      <rPr>
        <b/>
        <sz val="11"/>
        <color indexed="10"/>
        <rFont val="Calibri"/>
        <family val="2"/>
      </rPr>
      <t>(vit_b1)</t>
    </r>
  </si>
  <si>
    <r>
      <t xml:space="preserve">Vitamin B2 (Riboflavin) (milligrams) </t>
    </r>
    <r>
      <rPr>
        <b/>
        <sz val="11"/>
        <color indexed="10"/>
        <rFont val="Calibri"/>
        <family val="2"/>
      </rPr>
      <t>(vit_b2)</t>
    </r>
  </si>
  <si>
    <r>
      <t xml:space="preserve">Retinol (micrograms) </t>
    </r>
    <r>
      <rPr>
        <b/>
        <sz val="11"/>
        <color indexed="10"/>
        <rFont val="Calibri"/>
        <family val="2"/>
      </rPr>
      <t>(retinol)</t>
    </r>
  </si>
  <si>
    <r>
      <t xml:space="preserve">Vitamin B6 (Pyridoxine) (milligrams) </t>
    </r>
    <r>
      <rPr>
        <b/>
        <sz val="11"/>
        <color indexed="10"/>
        <rFont val="Calibri"/>
        <family val="2"/>
      </rPr>
      <t>(vit_b6)</t>
    </r>
  </si>
  <si>
    <r>
      <t xml:space="preserve">Vitamin B12 (Cobalamine) (micrograms) </t>
    </r>
    <r>
      <rPr>
        <b/>
        <sz val="11"/>
        <color indexed="10"/>
        <rFont val="Calibri"/>
        <family val="2"/>
      </rPr>
      <t>(vit_b12)</t>
    </r>
  </si>
  <si>
    <r>
      <t xml:space="preserve">Isoleucine (grams) </t>
    </r>
    <r>
      <rPr>
        <b/>
        <sz val="11"/>
        <color indexed="10"/>
        <rFont val="Calibri"/>
        <family val="2"/>
      </rPr>
      <t>(isoleuc)</t>
    </r>
  </si>
  <si>
    <r>
      <t xml:space="preserve">Leucine (grams) </t>
    </r>
    <r>
      <rPr>
        <b/>
        <sz val="11"/>
        <color indexed="10"/>
        <rFont val="Calibri"/>
        <family val="2"/>
      </rPr>
      <t>(leucine)</t>
    </r>
  </si>
  <si>
    <r>
      <t xml:space="preserve">Lysine (grams) </t>
    </r>
    <r>
      <rPr>
        <b/>
        <sz val="11"/>
        <color indexed="10"/>
        <rFont val="Calibri"/>
        <family val="2"/>
      </rPr>
      <t>(lysine)</t>
    </r>
  </si>
  <si>
    <r>
      <t xml:space="preserve">Methionine (grams) </t>
    </r>
    <r>
      <rPr>
        <b/>
        <sz val="11"/>
        <color indexed="10"/>
        <rFont val="Calibri"/>
        <family val="2"/>
      </rPr>
      <t>(methion)</t>
    </r>
  </si>
  <si>
    <r>
      <t xml:space="preserve">Phenylalanine (grams) </t>
    </r>
    <r>
      <rPr>
        <b/>
        <sz val="11"/>
        <color indexed="10"/>
        <rFont val="Calibri"/>
        <family val="2"/>
      </rPr>
      <t>(phenyl)</t>
    </r>
  </si>
  <si>
    <r>
      <t xml:space="preserve">Threonine (grams) </t>
    </r>
    <r>
      <rPr>
        <b/>
        <sz val="11"/>
        <color indexed="10"/>
        <rFont val="Calibri"/>
        <family val="2"/>
      </rPr>
      <t>(threon)</t>
    </r>
  </si>
  <si>
    <r>
      <t xml:space="preserve">Tryptophan (grams) </t>
    </r>
    <r>
      <rPr>
        <b/>
        <sz val="11"/>
        <color indexed="10"/>
        <rFont val="Calibri"/>
        <family val="2"/>
      </rPr>
      <t>(trypto)</t>
    </r>
  </si>
  <si>
    <r>
      <t xml:space="preserve">Valine (grams) </t>
    </r>
    <r>
      <rPr>
        <b/>
        <sz val="11"/>
        <color indexed="10"/>
        <rFont val="Calibri"/>
        <family val="2"/>
      </rPr>
      <t>(valine)</t>
    </r>
  </si>
  <si>
    <r>
      <t xml:space="preserve">Histidine (grams) </t>
    </r>
    <r>
      <rPr>
        <b/>
        <sz val="11"/>
        <color indexed="10"/>
        <rFont val="Calibri"/>
        <family val="2"/>
      </rPr>
      <t>(histid)</t>
    </r>
  </si>
  <si>
    <r>
      <t xml:space="preserve">Cystine (grams) </t>
    </r>
    <r>
      <rPr>
        <b/>
        <sz val="11"/>
        <color indexed="10"/>
        <rFont val="Calibri"/>
        <family val="2"/>
      </rPr>
      <t>(cysteine)</t>
    </r>
  </si>
  <si>
    <r>
      <t xml:space="preserve">Tyrosine (grams) </t>
    </r>
    <r>
      <rPr>
        <b/>
        <sz val="11"/>
        <color indexed="10"/>
        <rFont val="Calibri"/>
        <family val="2"/>
      </rPr>
      <t>(tyrosine)</t>
    </r>
  </si>
  <si>
    <t>Egg, whole, raw, fresh</t>
  </si>
  <si>
    <r>
      <t xml:space="preserve">Total Fat (grams) </t>
    </r>
    <r>
      <rPr>
        <b/>
        <sz val="11"/>
        <color indexed="10"/>
        <rFont val="Calibri"/>
        <family val="2"/>
      </rPr>
      <t>(fd_fat)</t>
    </r>
  </si>
  <si>
    <r>
      <t xml:space="preserve">Total Fiber (grams) </t>
    </r>
    <r>
      <rPr>
        <b/>
        <sz val="11"/>
        <color indexed="10"/>
        <rFont val="Calibri"/>
        <family val="2"/>
      </rPr>
      <t>(fd_fib)</t>
    </r>
  </si>
  <si>
    <t>Example of the input Data File 4 (FACTORS) format</t>
  </si>
  <si>
    <t xml:space="preserve">Food Item Index Matching (Read the text in the comment of this cell)
</t>
  </si>
  <si>
    <t>20036</t>
  </si>
  <si>
    <t>Rice, brown, long-grain, raw</t>
  </si>
  <si>
    <t>20040</t>
  </si>
  <si>
    <t>Rice, brown, medium-grain, raw</t>
  </si>
  <si>
    <t>20054</t>
  </si>
  <si>
    <t>Rice, white, glutinous, raw</t>
  </si>
  <si>
    <t>20444</t>
  </si>
  <si>
    <t>Rice, white, long-grain, regular, raw, unenriched</t>
  </si>
  <si>
    <t>20450</t>
  </si>
  <si>
    <t>Rice, white, medium-grain, raw, unenriched</t>
  </si>
  <si>
    <t>20452</t>
  </si>
  <si>
    <t>Rice, white, short-grain, raw, unenriched</t>
  </si>
  <si>
    <t>Weighting factor</t>
  </si>
  <si>
    <t>A2</t>
  </si>
  <si>
    <t>From weighted average</t>
  </si>
  <si>
    <t>A</t>
  </si>
  <si>
    <t>11527</t>
  </si>
  <si>
    <t>Tomatoes, green, raw</t>
  </si>
  <si>
    <t>11529</t>
  </si>
  <si>
    <t>11695</t>
  </si>
  <si>
    <t>Tomatoes, orange, raw</t>
  </si>
  <si>
    <t>11696</t>
  </si>
  <si>
    <t>Tomatoes, yellow, raw</t>
  </si>
  <si>
    <r>
      <t xml:space="preserve">Food item code in Household Survey </t>
    </r>
    <r>
      <rPr>
        <b/>
        <sz val="11"/>
        <color indexed="10"/>
        <rFont val="Calibri"/>
        <family val="2"/>
        <scheme val="minor"/>
      </rPr>
      <t>(item_cod)</t>
    </r>
  </si>
  <si>
    <r>
      <t xml:space="preserve">Food item description in Household Survey </t>
    </r>
    <r>
      <rPr>
        <b/>
        <sz val="11"/>
        <color indexed="10"/>
        <rFont val="Calibri"/>
        <family val="2"/>
        <scheme val="minor"/>
      </rPr>
      <t>(desc)</t>
    </r>
  </si>
  <si>
    <r>
      <t xml:space="preserve">Refuse factor </t>
    </r>
    <r>
      <rPr>
        <b/>
        <sz val="11"/>
        <color indexed="10"/>
        <rFont val="Calibri"/>
        <family val="2"/>
        <scheme val="minor"/>
      </rPr>
      <t>(refuse)</t>
    </r>
  </si>
  <si>
    <r>
      <t xml:space="preserve">Item Group </t>
    </r>
    <r>
      <rPr>
        <b/>
        <sz val="11"/>
        <color indexed="10"/>
        <rFont val="Calibri"/>
        <family val="2"/>
        <scheme val="minor"/>
      </rPr>
      <t>(item_grp)</t>
    </r>
  </si>
  <si>
    <r>
      <t xml:space="preserve">Protein (grams) </t>
    </r>
    <r>
      <rPr>
        <b/>
        <sz val="11"/>
        <color indexed="10"/>
        <rFont val="Calibri"/>
        <family val="2"/>
        <scheme val="minor"/>
      </rPr>
      <t>(fd_pro)</t>
    </r>
  </si>
  <si>
    <r>
      <t xml:space="preserve">Fat (grams) </t>
    </r>
    <r>
      <rPr>
        <b/>
        <sz val="11"/>
        <color indexed="10"/>
        <rFont val="Calibri"/>
        <family val="2"/>
        <scheme val="minor"/>
      </rPr>
      <t>(fd_fat)</t>
    </r>
  </si>
  <si>
    <r>
      <t xml:space="preserve">Fiber (grams) </t>
    </r>
    <r>
      <rPr>
        <b/>
        <sz val="11"/>
        <color indexed="10"/>
        <rFont val="Calibri"/>
        <family val="2"/>
        <scheme val="minor"/>
      </rPr>
      <t>(fd_fib)</t>
    </r>
  </si>
  <si>
    <r>
      <t xml:space="preserve">Alcohol (grams) </t>
    </r>
    <r>
      <rPr>
        <b/>
        <sz val="11"/>
        <color indexed="10"/>
        <rFont val="Calibri"/>
        <family val="2"/>
        <scheme val="minor"/>
      </rPr>
      <t>(fd_alc)</t>
    </r>
  </si>
  <si>
    <r>
      <t xml:space="preserve">Available Carbohydrates by difference (grams) </t>
    </r>
    <r>
      <rPr>
        <b/>
        <sz val="11"/>
        <color indexed="10"/>
        <rFont val="Calibri"/>
        <family val="2"/>
        <scheme val="minor"/>
      </rPr>
      <t>(fd_car)</t>
    </r>
  </si>
  <si>
    <r>
      <t xml:space="preserve">Computed calories (Kcal) </t>
    </r>
    <r>
      <rPr>
        <b/>
        <sz val="11"/>
        <color indexed="10"/>
        <rFont val="Calibri"/>
        <family val="2"/>
        <scheme val="minor"/>
      </rPr>
      <t>(fd_kcal)</t>
    </r>
  </si>
  <si>
    <r>
      <t xml:space="preserve">Calcium (milligrams) </t>
    </r>
    <r>
      <rPr>
        <b/>
        <sz val="11"/>
        <color indexed="10"/>
        <rFont val="Calibri"/>
        <family val="2"/>
        <scheme val="minor"/>
      </rPr>
      <t>(calcium)</t>
    </r>
  </si>
  <si>
    <r>
      <t xml:space="preserve">Iron (milligrams) </t>
    </r>
    <r>
      <rPr>
        <b/>
        <sz val="11"/>
        <color indexed="10"/>
        <rFont val="Calibri"/>
        <family val="2"/>
        <scheme val="minor"/>
      </rPr>
      <t>(iron)</t>
    </r>
  </si>
  <si>
    <r>
      <t xml:space="preserve">Animal iron (milligrams) </t>
    </r>
    <r>
      <rPr>
        <b/>
        <sz val="11"/>
        <color indexed="10"/>
        <rFont val="Calibri"/>
        <family val="2"/>
        <scheme val="minor"/>
      </rPr>
      <t>(fe_anim)</t>
    </r>
  </si>
  <si>
    <r>
      <t xml:space="preserve">Non animal iron (milligrams) </t>
    </r>
    <r>
      <rPr>
        <b/>
        <sz val="11"/>
        <color indexed="10"/>
        <rFont val="Calibri"/>
        <family val="2"/>
        <scheme val="minor"/>
      </rPr>
      <t>(fe_nanim)</t>
    </r>
  </si>
  <si>
    <r>
      <t xml:space="preserve">Vitamin C (Ascorbic Acid) (milligrams) </t>
    </r>
    <r>
      <rPr>
        <b/>
        <sz val="11"/>
        <color indexed="10"/>
        <rFont val="Calibri"/>
        <family val="2"/>
        <scheme val="minor"/>
      </rPr>
      <t>(vit_c)</t>
    </r>
  </si>
  <si>
    <r>
      <t xml:space="preserve">Vitamin B1 (Thiamine) (milligrams) </t>
    </r>
    <r>
      <rPr>
        <b/>
        <sz val="11"/>
        <color indexed="10"/>
        <rFont val="Calibri"/>
        <family val="2"/>
        <scheme val="minor"/>
      </rPr>
      <t>(vit_b1)</t>
    </r>
  </si>
  <si>
    <r>
      <t xml:space="preserve">Vitamin B2 (Riboflavin) (milligrams) </t>
    </r>
    <r>
      <rPr>
        <b/>
        <sz val="11"/>
        <color indexed="10"/>
        <rFont val="Calibri"/>
        <family val="2"/>
        <scheme val="minor"/>
      </rPr>
      <t>(vit_b2)</t>
    </r>
  </si>
  <si>
    <r>
      <t xml:space="preserve">Retinol (micrograms) </t>
    </r>
    <r>
      <rPr>
        <b/>
        <sz val="11"/>
        <color indexed="10"/>
        <rFont val="Calibri"/>
        <family val="2"/>
        <scheme val="minor"/>
      </rPr>
      <t>(retinol)</t>
    </r>
  </si>
  <si>
    <r>
      <t xml:space="preserve">Betacaroteno (micrograms) </t>
    </r>
    <r>
      <rPr>
        <b/>
        <sz val="11"/>
        <color indexed="10"/>
        <rFont val="Calibri"/>
        <family val="2"/>
        <scheme val="minor"/>
      </rPr>
      <t>(betacar)</t>
    </r>
  </si>
  <si>
    <r>
      <t xml:space="preserve">Vitamin A (micrograms of Retinol Activity Equivalent) </t>
    </r>
    <r>
      <rPr>
        <b/>
        <sz val="11"/>
        <color indexed="10"/>
        <rFont val="Calibri"/>
        <family val="2"/>
        <scheme val="minor"/>
      </rPr>
      <t>(rae_vita)</t>
    </r>
  </si>
  <si>
    <r>
      <t xml:space="preserve">Vitamin B6 (Pyridoxine) (milligrams) </t>
    </r>
    <r>
      <rPr>
        <b/>
        <sz val="11"/>
        <color indexed="10"/>
        <rFont val="Calibri"/>
        <family val="2"/>
        <scheme val="minor"/>
      </rPr>
      <t>(vit_b6)</t>
    </r>
  </si>
  <si>
    <r>
      <t xml:space="preserve">Vitamin B12 (Cobalamine) (micrograms) </t>
    </r>
    <r>
      <rPr>
        <b/>
        <sz val="11"/>
        <color indexed="10"/>
        <rFont val="Calibri"/>
        <family val="2"/>
        <scheme val="minor"/>
      </rPr>
      <t>(vit_b12)</t>
    </r>
  </si>
  <si>
    <r>
      <t xml:space="preserve">Isoleucine (grams) </t>
    </r>
    <r>
      <rPr>
        <b/>
        <sz val="11"/>
        <color indexed="10"/>
        <rFont val="Calibri"/>
        <family val="2"/>
        <scheme val="minor"/>
      </rPr>
      <t>(isoleuc)</t>
    </r>
  </si>
  <si>
    <r>
      <t xml:space="preserve">Leucine (grams) </t>
    </r>
    <r>
      <rPr>
        <b/>
        <sz val="11"/>
        <color indexed="10"/>
        <rFont val="Calibri"/>
        <family val="2"/>
        <scheme val="minor"/>
      </rPr>
      <t>(leucine)</t>
    </r>
  </si>
  <si>
    <r>
      <t xml:space="preserve">Lysine (grams) </t>
    </r>
    <r>
      <rPr>
        <b/>
        <sz val="11"/>
        <color indexed="10"/>
        <rFont val="Calibri"/>
        <family val="2"/>
        <scheme val="minor"/>
      </rPr>
      <t>(lysine)</t>
    </r>
  </si>
  <si>
    <r>
      <t xml:space="preserve">Methionine (grams) </t>
    </r>
    <r>
      <rPr>
        <b/>
        <sz val="11"/>
        <color indexed="10"/>
        <rFont val="Calibri"/>
        <family val="2"/>
        <scheme val="minor"/>
      </rPr>
      <t>(methion)</t>
    </r>
  </si>
  <si>
    <r>
      <t xml:space="preserve">Phenylalanine (grams) </t>
    </r>
    <r>
      <rPr>
        <b/>
        <sz val="11"/>
        <color indexed="10"/>
        <rFont val="Calibri"/>
        <family val="2"/>
        <scheme val="minor"/>
      </rPr>
      <t>(phenyl)</t>
    </r>
  </si>
  <si>
    <r>
      <t xml:space="preserve">Threonine (grams) </t>
    </r>
    <r>
      <rPr>
        <b/>
        <sz val="11"/>
        <color indexed="10"/>
        <rFont val="Calibri"/>
        <family val="2"/>
        <scheme val="minor"/>
      </rPr>
      <t>(threon)</t>
    </r>
  </si>
  <si>
    <r>
      <t xml:space="preserve">Tryptophan (grams) </t>
    </r>
    <r>
      <rPr>
        <b/>
        <sz val="11"/>
        <color indexed="10"/>
        <rFont val="Calibri"/>
        <family val="2"/>
        <scheme val="minor"/>
      </rPr>
      <t>(trypto)</t>
    </r>
  </si>
  <si>
    <r>
      <t xml:space="preserve">Valine (grams) </t>
    </r>
    <r>
      <rPr>
        <b/>
        <sz val="11"/>
        <color indexed="10"/>
        <rFont val="Calibri"/>
        <family val="2"/>
        <scheme val="minor"/>
      </rPr>
      <t>(valine)</t>
    </r>
  </si>
  <si>
    <r>
      <t xml:space="preserve">Histidine (grams) </t>
    </r>
    <r>
      <rPr>
        <b/>
        <sz val="11"/>
        <color indexed="10"/>
        <rFont val="Calibri"/>
        <family val="2"/>
        <scheme val="minor"/>
      </rPr>
      <t>(histid)</t>
    </r>
  </si>
  <si>
    <r>
      <t xml:space="preserve">Cystine (grams) </t>
    </r>
    <r>
      <rPr>
        <b/>
        <sz val="11"/>
        <color indexed="10"/>
        <rFont val="Calibri"/>
        <family val="2"/>
        <scheme val="minor"/>
      </rPr>
      <t>(cysteine)</t>
    </r>
  </si>
  <si>
    <r>
      <t xml:space="preserve">Tyrosine (grams) </t>
    </r>
    <r>
      <rPr>
        <b/>
        <sz val="11"/>
        <color indexed="10"/>
        <rFont val="Calibri"/>
        <family val="2"/>
        <scheme val="minor"/>
      </rPr>
      <t>(tyrosine)</t>
    </r>
  </si>
  <si>
    <t>Chicken, eggs raw</t>
  </si>
  <si>
    <t>B</t>
  </si>
  <si>
    <t>D</t>
  </si>
  <si>
    <t>Rice, starch</t>
  </si>
  <si>
    <t>Cornstarch</t>
  </si>
  <si>
    <t>Tea leaves</t>
  </si>
  <si>
    <t>DAN</t>
  </si>
  <si>
    <t>Tea, leaves</t>
  </si>
  <si>
    <t>Rice grain, raw</t>
  </si>
  <si>
    <t>Rice</t>
  </si>
  <si>
    <t>Pork</t>
  </si>
  <si>
    <t>Eggs</t>
  </si>
  <si>
    <t>Cooking oil</t>
  </si>
  <si>
    <t>Sugar</t>
  </si>
  <si>
    <t>Zinc</t>
  </si>
  <si>
    <t>haem iron</t>
  </si>
  <si>
    <t>non-haem iron</t>
  </si>
  <si>
    <t>folate</t>
  </si>
  <si>
    <r>
      <t xml:space="preserve">Haem iron (milligrams) </t>
    </r>
    <r>
      <rPr>
        <b/>
        <sz val="11"/>
        <color indexed="10"/>
        <rFont val="Calibri"/>
        <family val="2"/>
        <scheme val="minor"/>
      </rPr>
      <t>(fe_haem)</t>
    </r>
  </si>
  <si>
    <r>
      <t xml:space="preserve">Non-haem iron (milligrams) </t>
    </r>
    <r>
      <rPr>
        <b/>
        <sz val="11"/>
        <color indexed="10"/>
        <rFont val="Calibri"/>
        <family val="2"/>
        <scheme val="minor"/>
      </rPr>
      <t>(fe_nhaem)</t>
    </r>
  </si>
  <si>
    <r>
      <t xml:space="preserve">Zinc (milligrams) </t>
    </r>
    <r>
      <rPr>
        <b/>
        <sz val="11"/>
        <color rgb="FFFF0000"/>
        <rFont val="Calibri"/>
        <family val="2"/>
        <scheme val="minor"/>
      </rPr>
      <t>zinc</t>
    </r>
  </si>
  <si>
    <r>
      <t xml:space="preserve">Betacarotene equivalents (micrograms) </t>
    </r>
    <r>
      <rPr>
        <b/>
        <sz val="11"/>
        <color indexed="10"/>
        <rFont val="Calibri"/>
        <family val="2"/>
        <scheme val="minor"/>
      </rPr>
      <t>(betacar)</t>
    </r>
  </si>
  <si>
    <r>
      <t xml:space="preserve">Vitamin A (micrograms of RAE) </t>
    </r>
    <r>
      <rPr>
        <b/>
        <sz val="11"/>
        <color indexed="10"/>
        <rFont val="Calibri"/>
        <family val="2"/>
      </rPr>
      <t>(rae_vita)</t>
    </r>
  </si>
  <si>
    <t>Chicken, breast</t>
  </si>
  <si>
    <t>05057</t>
  </si>
  <si>
    <t>Chicken, broilers or fryers, breast, meat and skin, raw</t>
  </si>
  <si>
    <t>537</t>
  </si>
  <si>
    <t>Well defined, just one entry</t>
  </si>
  <si>
    <t>Not very well defined (average in Example Average)</t>
  </si>
  <si>
    <t>Estimation based on the assumption that only 1/20 of nutrients is going to the liquid tea/coffee</t>
  </si>
  <si>
    <r>
      <t xml:space="preserve">Folate (micrograms) </t>
    </r>
    <r>
      <rPr>
        <b/>
        <sz val="11"/>
        <color rgb="FFFF0000"/>
        <rFont val="Calibri"/>
        <family val="2"/>
        <scheme val="minor"/>
      </rPr>
      <t>folate</t>
    </r>
  </si>
  <si>
    <t>Item Group (diversity_grp)</t>
  </si>
  <si>
    <r>
      <t xml:space="preserve">Item Group </t>
    </r>
    <r>
      <rPr>
        <b/>
        <sz val="11"/>
        <color indexed="10"/>
        <rFont val="Calibri"/>
        <family val="2"/>
        <scheme val="minor"/>
      </rPr>
      <t>(diversity_grp)</t>
    </r>
  </si>
  <si>
    <t>From Worksheet Average</t>
  </si>
  <si>
    <t xml:space="preserve">Beet, radish, onion, asparagus and leek (fresh) </t>
  </si>
  <si>
    <t xml:space="preserve">Note that in next example each food item has a different refuse factor, so the averge is computed in a different way </t>
  </si>
  <si>
    <t>Danish FCT</t>
  </si>
  <si>
    <t>Beet, red, raw</t>
  </si>
  <si>
    <t>Radish, raw</t>
  </si>
  <si>
    <t>Onion, raw</t>
  </si>
  <si>
    <t>Asparagus, all types, raw</t>
  </si>
  <si>
    <t>Leek, raw</t>
  </si>
  <si>
    <t>Powdered milk</t>
  </si>
  <si>
    <t>Yoghurt</t>
  </si>
  <si>
    <t>Onion</t>
  </si>
  <si>
    <t>Cabbage</t>
  </si>
  <si>
    <t>Bananas</t>
  </si>
  <si>
    <t>Mangoes</t>
  </si>
  <si>
    <t>Apples</t>
  </si>
  <si>
    <t>Watermelons</t>
  </si>
  <si>
    <t>Guavas</t>
  </si>
  <si>
    <t>Bread (white, brown, whole wheat, rye, maize, etc.)</t>
  </si>
  <si>
    <t>Brotchen</t>
  </si>
  <si>
    <t>Biscuits, rusks</t>
  </si>
  <si>
    <t>Vetkoek</t>
  </si>
  <si>
    <t>Traditional bread, ash bread, oshikwiila, oshima, omungome</t>
  </si>
  <si>
    <t>Macaroni, spaghetti, noodles</t>
  </si>
  <si>
    <t>Cakes (all types)</t>
  </si>
  <si>
    <t>Pies &amp; pizzas</t>
  </si>
  <si>
    <t>Breakfast cereals (all types)</t>
  </si>
  <si>
    <t>Baby foods, cereals</t>
  </si>
  <si>
    <t>Bread/ cake flour (all types)</t>
  </si>
  <si>
    <t>Maize meal/ grain/ samp</t>
  </si>
  <si>
    <t>Mahangu meal/ grain/ samp</t>
  </si>
  <si>
    <t>Sorghum meal/ grain</t>
  </si>
  <si>
    <t>Other bread &amp; cereals (specify)</t>
  </si>
  <si>
    <t>Beef</t>
  </si>
  <si>
    <t>Goat meat</t>
  </si>
  <si>
    <t>Mutton/ Lamb</t>
  </si>
  <si>
    <t>Chicken</t>
  </si>
  <si>
    <t>Bacon</t>
  </si>
  <si>
    <t>Biltong</t>
  </si>
  <si>
    <t>Smoked meat, other than bacon &amp; ham</t>
  </si>
  <si>
    <t>Polony</t>
  </si>
  <si>
    <t>Sausages, other than polony</t>
  </si>
  <si>
    <t>Offals, meat waste</t>
  </si>
  <si>
    <t>Liver &amp; kidneys</t>
  </si>
  <si>
    <t>Minced meat</t>
  </si>
  <si>
    <t>Canned meat</t>
  </si>
  <si>
    <t>Game/ Iguana</t>
  </si>
  <si>
    <t>Donkey</t>
  </si>
  <si>
    <t>Worms (omaungu, omanghandja, omaenghowa, murere, … etc.)</t>
  </si>
  <si>
    <t>Other meat (specify)</t>
  </si>
  <si>
    <t>Fresh fish</t>
  </si>
  <si>
    <t>Frozen fish</t>
  </si>
  <si>
    <t>Smoked fish</t>
  </si>
  <si>
    <t>Kapenta/ Eentangu (fresh)</t>
  </si>
  <si>
    <t>Dried fish</t>
  </si>
  <si>
    <t>Bottled/ Tinned fish</t>
  </si>
  <si>
    <t>Fresh milk</t>
  </si>
  <si>
    <t>Long life milk</t>
  </si>
  <si>
    <t>Other dairy products (specify)</t>
  </si>
  <si>
    <t>Coffee creamer</t>
  </si>
  <si>
    <t>Baby milk powdered</t>
  </si>
  <si>
    <t>Clotted/ Cultured milk</t>
  </si>
  <si>
    <t>Traditional sour milk</t>
  </si>
  <si>
    <t>Cheese, all types</t>
  </si>
  <si>
    <t>Cream</t>
  </si>
  <si>
    <t>Butter</t>
  </si>
  <si>
    <t>Margarine &amp; margarine spreads</t>
  </si>
  <si>
    <t>Peanut butter</t>
  </si>
  <si>
    <t>Olive oil</t>
  </si>
  <si>
    <t>Cooking fats</t>
  </si>
  <si>
    <t>Omaze ongombe</t>
  </si>
  <si>
    <t>Komazam &amp; sheep tail fat</t>
  </si>
  <si>
    <t>Other oils &amp; fats (specify)</t>
  </si>
  <si>
    <t>Citrus fruits (orange, lemon, etc.)</t>
  </si>
  <si>
    <t>Pears</t>
  </si>
  <si>
    <t>Grapes/ Omandjebere (fresh)</t>
  </si>
  <si>
    <t>Sweet melons, all types</t>
  </si>
  <si>
    <t>Eendunga/ Munganda</t>
  </si>
  <si>
    <t>Oombe</t>
  </si>
  <si>
    <t>Omauni</t>
  </si>
  <si>
    <t>Ground nuts/ Eefukwa</t>
  </si>
  <si>
    <t>Omahuku</t>
  </si>
  <si>
    <t>Peanuts &amp; other snack nuts</t>
  </si>
  <si>
    <t>Eenyandi</t>
  </si>
  <si>
    <t>Other fruits &amp; nuts (specify)</t>
  </si>
  <si>
    <t>Lettuce</t>
  </si>
  <si>
    <t>Spinach/ Ombindi/ Derere/ Mutete/ Ekaka</t>
  </si>
  <si>
    <t>Beans (fresh)</t>
  </si>
  <si>
    <t>Cucumber</t>
  </si>
  <si>
    <t>Green pepper/ Paprika</t>
  </si>
  <si>
    <t>Mealie/ Corn cob</t>
  </si>
  <si>
    <t>Peas</t>
  </si>
  <si>
    <t>Pumpkins baby marrows &amp; squashes, all types</t>
  </si>
  <si>
    <t>Tomatoes</t>
  </si>
  <si>
    <t>Beetroot</t>
  </si>
  <si>
    <t>Carrots</t>
  </si>
  <si>
    <t>Mushroom</t>
  </si>
  <si>
    <t>Beans (dried)</t>
  </si>
  <si>
    <t>Dried vegetables, other</t>
  </si>
  <si>
    <t>Tinned/ Pickled vegetables (e.g. cucumbers, onions, garlic, mixed)</t>
  </si>
  <si>
    <t>Potatoes, English</t>
  </si>
  <si>
    <t>Sweet potatoes</t>
  </si>
  <si>
    <t>Chips &amp; crisps</t>
  </si>
  <si>
    <t>Frozen vegetables</t>
  </si>
  <si>
    <t>Mixed vegetables</t>
  </si>
  <si>
    <t>Other vegetables &amp; tubers (specify)</t>
  </si>
  <si>
    <t>Jam</t>
  </si>
  <si>
    <t>Chocolate</t>
  </si>
  <si>
    <t>Sweets</t>
  </si>
  <si>
    <t>Ice cream</t>
  </si>
  <si>
    <t>Other sweeteners (specify)</t>
  </si>
  <si>
    <t>Mayonnaise</t>
  </si>
  <si>
    <t>Tomato Sauces</t>
  </si>
  <si>
    <t>Vinegar</t>
  </si>
  <si>
    <t>Salad dressings</t>
  </si>
  <si>
    <t>Salt</t>
  </si>
  <si>
    <t>Spices &amp; condiments</t>
  </si>
  <si>
    <t>Garlic</t>
  </si>
  <si>
    <t>Yeast</t>
  </si>
  <si>
    <t>Custards, puddings, jelly &amp; gelatine</t>
  </si>
  <si>
    <t>Ready-made soup</t>
  </si>
  <si>
    <t>Powdered soup</t>
  </si>
  <si>
    <t>Other foods (specify)</t>
  </si>
  <si>
    <t>Coffee</t>
  </si>
  <si>
    <t>Tea</t>
  </si>
  <si>
    <t>Chocolate drinks</t>
  </si>
  <si>
    <t>Other infusions (specify)</t>
  </si>
  <si>
    <t>Mineral water &amp; ice cubes blocks</t>
  </si>
  <si>
    <t>Soft drinks</t>
  </si>
  <si>
    <t>Other non-alcoholic drinks (Energade, Powerade) (specify)</t>
  </si>
  <si>
    <t>Fruit juice &amp; squashes</t>
  </si>
  <si>
    <t>Mageu/Oshikundu</t>
  </si>
  <si>
    <t>Other powdered drinks (specify)</t>
  </si>
  <si>
    <t>Local home-made distilled drinks, all types (ombike, kashipembe)</t>
  </si>
  <si>
    <t>Wines</t>
  </si>
  <si>
    <t>Other alcoholic beverages (specify)</t>
  </si>
  <si>
    <t>Beer/ Ales/ Ciders</t>
  </si>
  <si>
    <t>Local home-made brew, all types (tombo, epwaka, shafuluka)</t>
  </si>
  <si>
    <t>From West African FCT</t>
  </si>
  <si>
    <t>Bread, wheat, white</t>
  </si>
  <si>
    <t>01_046</t>
  </si>
  <si>
    <t>01_045</t>
  </si>
  <si>
    <t>Bread/rolls, white</t>
  </si>
  <si>
    <t>01_053</t>
  </si>
  <si>
    <t>Macaroni, boiled* (without salt)</t>
  </si>
  <si>
    <t>Rice, white, raw</t>
  </si>
  <si>
    <t>01_037</t>
  </si>
  <si>
    <t>07_001</t>
  </si>
  <si>
    <t>Beef liver, raw</t>
  </si>
  <si>
    <t>From WestAfrican FCT</t>
  </si>
  <si>
    <t>01_044</t>
  </si>
  <si>
    <t>07_002</t>
  </si>
  <si>
    <t>Beef, meat, 15-20  % fat, boneless, raw</t>
  </si>
  <si>
    <t>07_005</t>
  </si>
  <si>
    <t>Pork, meat, approx. 40 % fat, boneless, raw</t>
  </si>
  <si>
    <t>07_046</t>
  </si>
  <si>
    <t>Goat, meat, raw</t>
  </si>
  <si>
    <t>07_023</t>
  </si>
  <si>
    <t>Beef,  ground, 10 % fat, raw</t>
  </si>
  <si>
    <t>07_025</t>
  </si>
  <si>
    <t>Beef, meat, cured, corned, canned</t>
  </si>
  <si>
    <t>10_001</t>
  </si>
  <si>
    <t>Milk, cow, whole, 3.5 % fat (includes pasteurised, sterilised and UHT)</t>
  </si>
  <si>
    <t>From the West Africa FCT</t>
  </si>
  <si>
    <t>09_037</t>
  </si>
  <si>
    <t>Sardines in oil, canned (drained solids with bone)</t>
  </si>
  <si>
    <t>Game meat, horse raw</t>
  </si>
  <si>
    <t>Game meat,Deer, raw</t>
  </si>
  <si>
    <t>Fish, white fish, dried, Alska Native</t>
  </si>
  <si>
    <t>Tilapia, raw</t>
  </si>
  <si>
    <t>09_041</t>
  </si>
  <si>
    <t>09_003</t>
  </si>
  <si>
    <t>Mackerel, raw</t>
  </si>
  <si>
    <t>Fish,haddock,smoked</t>
  </si>
  <si>
    <t>Sardine, raw</t>
  </si>
  <si>
    <t>09_004</t>
  </si>
  <si>
    <t>07_021</t>
  </si>
  <si>
    <t>Beef, tripe, raw</t>
  </si>
  <si>
    <t>West African FCT</t>
  </si>
  <si>
    <t>B2</t>
  </si>
  <si>
    <t>10_017</t>
  </si>
  <si>
    <t>Milk, cow powder, skimmed</t>
  </si>
  <si>
    <t>10_011</t>
  </si>
  <si>
    <t>Infant formula, powder, for 3 months</t>
  </si>
  <si>
    <t>10_003</t>
  </si>
  <si>
    <t>Milk, Goat, Raw</t>
  </si>
  <si>
    <t>10_005</t>
  </si>
  <si>
    <t>Yoghurt, whole milk, plain</t>
  </si>
  <si>
    <t>10_013</t>
  </si>
  <si>
    <t>10_008</t>
  </si>
  <si>
    <t>Cheese, Gouda</t>
  </si>
  <si>
    <t>10_010</t>
  </si>
  <si>
    <t>Cream, 13 % fat</t>
  </si>
  <si>
    <t>08_001</t>
  </si>
  <si>
    <t>Egg, chicken, raw</t>
  </si>
  <si>
    <t>11_001</t>
  </si>
  <si>
    <t>Butter, from cow's milk (without salt)</t>
  </si>
  <si>
    <t>11_006</t>
  </si>
  <si>
    <t>Margarine, fortified</t>
  </si>
  <si>
    <t>06_025</t>
  </si>
  <si>
    <t>Groundnut, combined varieties, shelled, dried,raw (Ghana)</t>
  </si>
  <si>
    <t>C2</t>
  </si>
  <si>
    <t>11_010</t>
  </si>
  <si>
    <t>Vegetable oil</t>
  </si>
  <si>
    <t>05_036</t>
  </si>
  <si>
    <t>Mango, deep orange flesh</t>
  </si>
  <si>
    <t>0.29</t>
  </si>
  <si>
    <t>79.7</t>
  </si>
  <si>
    <t>0.3</t>
  </si>
  <si>
    <t>0.4</t>
  </si>
  <si>
    <t>0.2</t>
  </si>
  <si>
    <t>2.1</t>
  </si>
  <si>
    <t>05_010</t>
  </si>
  <si>
    <t>Guava, fruit, raw</t>
  </si>
  <si>
    <t>04_018</t>
  </si>
  <si>
    <t>06_029</t>
  </si>
  <si>
    <t>Palm nut kernel, shelled, raw</t>
  </si>
  <si>
    <t>13.5</t>
  </si>
  <si>
    <t>1.5</t>
  </si>
  <si>
    <t>6.1</t>
  </si>
  <si>
    <t>55.3</t>
  </si>
  <si>
    <t xml:space="preserve">West African Table </t>
  </si>
  <si>
    <t>12_005</t>
  </si>
  <si>
    <t>coffee, instant, powder</t>
  </si>
  <si>
    <t>12_008</t>
  </si>
  <si>
    <t>GOLD PEAK TEA, ICED TEA, SWEET TEA</t>
  </si>
  <si>
    <t>12_019</t>
  </si>
  <si>
    <t>Water, tap</t>
  </si>
  <si>
    <t>12_011</t>
  </si>
  <si>
    <t>Juice, orange, unsweetened</t>
  </si>
  <si>
    <t>01_061</t>
  </si>
  <si>
    <t>Maize, white, soft porridge* (without salt)</t>
  </si>
  <si>
    <t>13_002</t>
  </si>
  <si>
    <t>12_004</t>
  </si>
  <si>
    <t>Beer, sorghum (est. 3% alcohol)</t>
  </si>
  <si>
    <t>13_015</t>
  </si>
  <si>
    <t>13_016</t>
  </si>
  <si>
    <t>Spices, mix, ground</t>
  </si>
  <si>
    <t>04_015</t>
  </si>
  <si>
    <t>Garlic, raw</t>
  </si>
  <si>
    <t>13_017</t>
  </si>
  <si>
    <t>Yeast, dried</t>
  </si>
  <si>
    <t>12_001</t>
  </si>
  <si>
    <t>Beer european (4.4 % alcohol)</t>
  </si>
  <si>
    <t>12_006</t>
  </si>
  <si>
    <t>Palm wine (est. 3.8 % alcohol)</t>
  </si>
  <si>
    <t>12_003</t>
  </si>
  <si>
    <t>Beer, millet (est. 3 % alcohol)</t>
  </si>
  <si>
    <t>WAFCT</t>
  </si>
  <si>
    <t>13_003</t>
  </si>
  <si>
    <t>Bread, maize flour, yellow, with milk and egg</t>
  </si>
  <si>
    <t>01_014</t>
  </si>
  <si>
    <t>Maize, combined varieties, whole kernel, dried, raw (Benin)</t>
  </si>
  <si>
    <t>10_012</t>
  </si>
  <si>
    <t>Infant formula, powder, for 6 months</t>
  </si>
  <si>
    <t>07_049</t>
  </si>
  <si>
    <t>Lamb/mutton, meat, moderately fat, boiled* (without salt)</t>
  </si>
  <si>
    <t>07_003</t>
  </si>
  <si>
    <t>Chicken, dark meat, flesh, raw</t>
  </si>
  <si>
    <t>07_063</t>
  </si>
  <si>
    <t>Sausage, wiener (beef, pork, chicken) canned</t>
  </si>
  <si>
    <t>07_009</t>
  </si>
  <si>
    <t>Beef, meat, lean, boneless, raw</t>
  </si>
  <si>
    <t>07_027</t>
  </si>
  <si>
    <t>Game meat, dried</t>
  </si>
  <si>
    <t>(330)1390</t>
  </si>
  <si>
    <t>10_021</t>
  </si>
  <si>
    <t>Yoghurt, whole milk, with fruits</t>
  </si>
  <si>
    <t>11_003</t>
  </si>
  <si>
    <t>Groundnut oil</t>
  </si>
  <si>
    <t>05_016</t>
  </si>
  <si>
    <t>Orange, raw</t>
  </si>
  <si>
    <t>05_003</t>
  </si>
  <si>
    <t>Banana, white flesh, raw</t>
  </si>
  <si>
    <t>05_026</t>
  </si>
  <si>
    <t>Apple, with skin, raw</t>
  </si>
  <si>
    <t>05_035</t>
  </si>
  <si>
    <t>Grapefruit, pulp, raw</t>
  </si>
  <si>
    <t>05_038</t>
  </si>
  <si>
    <t>Melon, honeydew, raw</t>
  </si>
  <si>
    <t>03_001</t>
  </si>
  <si>
    <t xml:space="preserve">Bambara groundnut, dried, raw </t>
  </si>
  <si>
    <t>04_005</t>
  </si>
  <si>
    <t>Cabbage, raw</t>
  </si>
  <si>
    <t>04_057</t>
  </si>
  <si>
    <t>Spinach, raw</t>
  </si>
  <si>
    <t>04_049</t>
  </si>
  <si>
    <t>Pepper, sweet, green, raw</t>
  </si>
  <si>
    <t>04_032</t>
  </si>
  <si>
    <t>Cucumber, raw</t>
  </si>
  <si>
    <t>04_003</t>
  </si>
  <si>
    <t>Beans, green raw</t>
  </si>
  <si>
    <t>04_046</t>
  </si>
  <si>
    <t>Peppers, chilli, raw</t>
  </si>
  <si>
    <t>04_051</t>
  </si>
  <si>
    <t>Pumpkin, squash, raw</t>
  </si>
  <si>
    <t>04_021</t>
  </si>
  <si>
    <t>Tomato, red, ripe, raw</t>
  </si>
  <si>
    <t>04_006</t>
  </si>
  <si>
    <t>Carrot, raw</t>
  </si>
  <si>
    <t>02_009</t>
  </si>
  <si>
    <t>Potato, raw</t>
  </si>
  <si>
    <t>02_022</t>
  </si>
  <si>
    <t>Sweet potato, pale yellow, raw</t>
  </si>
  <si>
    <t>03_022</t>
  </si>
  <si>
    <t>Beans, white, dried</t>
  </si>
  <si>
    <t>04_031</t>
  </si>
  <si>
    <t>Cowpea leaves, dried</t>
  </si>
  <si>
    <t>06_010</t>
  </si>
  <si>
    <t>Groundnut, shelled, dried, raw</t>
  </si>
  <si>
    <t>WFCT</t>
  </si>
  <si>
    <t>18110</t>
  </si>
  <si>
    <t>CAKE,FRUITCAKE,COMMLY PREP</t>
  </si>
  <si>
    <t>18946</t>
  </si>
  <si>
    <t>PIE CRUST,REFR,REG,BKD</t>
  </si>
  <si>
    <t>08023</t>
  </si>
  <si>
    <t>CEREALS RTE,KELLOGG,KELLOGG'S CRACKLIN' OAT BRAN</t>
  </si>
  <si>
    <t>08411</t>
  </si>
  <si>
    <t>CERLS,QUKR,INST OTML,DNSR EGS W/ "DNSR BNS",BRN SGR CINN,DRY</t>
  </si>
  <si>
    <t>07027</t>
  </si>
  <si>
    <t>HAM,CHOPPED,NOT CANNED</t>
  </si>
  <si>
    <t>12635</t>
  </si>
  <si>
    <t>MIXED NUTS,DRY RSTD,W/PNUTS,W/SALT</t>
  </si>
  <si>
    <t>19074</t>
  </si>
  <si>
    <t>CANDIES,CARAMELS</t>
  </si>
  <si>
    <t>CANDIES,SWEET CHOCOLATE</t>
  </si>
  <si>
    <t>19906</t>
  </si>
  <si>
    <t>SWEETENERS,FOR BAKING,BROWN,CONTAINS SUGAR &amp; SUCRALOSE</t>
  </si>
  <si>
    <t>43598</t>
  </si>
  <si>
    <t>MAYONNAISE DRSNG,NO CHOL</t>
  </si>
  <si>
    <t>06973</t>
  </si>
  <si>
    <t>SAUCE,TOMATO CHILI SAU,BTLD,NO SALT,LO NA</t>
  </si>
  <si>
    <t>06147</t>
  </si>
  <si>
    <t>SOUP,BF MUSHROOM,CND,COND</t>
  </si>
  <si>
    <t>18969</t>
  </si>
  <si>
    <t>CREAM PUFF,ECLAIR,CUSTARD OR CRM FILLED,ICED</t>
  </si>
  <si>
    <t>01_017</t>
  </si>
  <si>
    <t>Pearl millet, whole grain, raw (with bran)</t>
  </si>
  <si>
    <t>01_039</t>
  </si>
  <si>
    <t xml:space="preserve">Sorghum, whole grain, raw </t>
  </si>
  <si>
    <t>(153)648</t>
  </si>
  <si>
    <t>02_001</t>
  </si>
  <si>
    <t>Cassava, tuber, raw</t>
  </si>
  <si>
    <t>04_028</t>
  </si>
  <si>
    <t>Cassava, leaves, boiled* (without salt)</t>
  </si>
  <si>
    <t>[3.8]</t>
  </si>
  <si>
    <t>(102)432</t>
  </si>
  <si>
    <t>04_042</t>
  </si>
  <si>
    <t>Okra fruit, boiled* (without salt)</t>
  </si>
  <si>
    <t>(37)158</t>
  </si>
  <si>
    <t>04_012</t>
  </si>
  <si>
    <t>Eggplant, raw</t>
  </si>
  <si>
    <t>(30)125</t>
  </si>
  <si>
    <t>Averages from average tab</t>
  </si>
  <si>
    <t>WAFTC</t>
  </si>
  <si>
    <t>07_061</t>
  </si>
  <si>
    <t>Rabbit, meat, stewed* (without salt)</t>
  </si>
  <si>
    <t>05_002</t>
  </si>
  <si>
    <t>Avocado, pulp, raw</t>
  </si>
  <si>
    <t>04_066</t>
  </si>
  <si>
    <t>Tomato paste, concentrated</t>
  </si>
  <si>
    <t>07_010</t>
  </si>
  <si>
    <t>Beef, meat, lean, boiled *(without salt)</t>
  </si>
  <si>
    <t>07_011</t>
  </si>
  <si>
    <t>Beef, meat, lean, grilled *(without salt and fat)</t>
  </si>
  <si>
    <t>07_012</t>
  </si>
  <si>
    <t>Beef, meat, 15-20  % fat, boiled* (without salt)</t>
  </si>
  <si>
    <t>07_013</t>
  </si>
  <si>
    <t>Beef, meat, 15-20  % fat, grilled* (without salt and fat)</t>
  </si>
  <si>
    <t>07_014</t>
  </si>
  <si>
    <t>Beef, meat, approx. 30 % fat, boneless, raw</t>
  </si>
  <si>
    <t>07_015</t>
  </si>
  <si>
    <t>Beef, meat, approx. 30 % fat, boiled* (without salt)</t>
  </si>
  <si>
    <t>07_016</t>
  </si>
  <si>
    <t>Beef, meat, approx. 30 % fat, grilled* (without salt and fat)</t>
  </si>
  <si>
    <t>07_017</t>
  </si>
  <si>
    <t>Beef, meat, lean, cured, dried</t>
  </si>
  <si>
    <t>07_018</t>
  </si>
  <si>
    <t>Beef liver, boiled* (without salt)</t>
  </si>
  <si>
    <t>07_019</t>
  </si>
  <si>
    <t>Beef, kidney, raw</t>
  </si>
  <si>
    <t>07_020</t>
  </si>
  <si>
    <t>Beef, kidney, stewed *(without salt)</t>
  </si>
  <si>
    <t>07_022</t>
  </si>
  <si>
    <t>Beef, tripe, boiled* (without salt)</t>
  </si>
  <si>
    <t>07_024</t>
  </si>
  <si>
    <t>Beef, ground stewed* (without salt)</t>
  </si>
  <si>
    <t>Plum nut kernel, shelled, raw</t>
  </si>
  <si>
    <t>Kenya NCT</t>
  </si>
  <si>
    <t>Oombe (bird plum)</t>
  </si>
  <si>
    <t>Mango, orange flesh,  raw</t>
  </si>
  <si>
    <t>05_015</t>
  </si>
  <si>
    <t>Eenyandi (Jackalberry)</t>
  </si>
  <si>
    <t>Dikanut, kernel, dried, raw</t>
  </si>
  <si>
    <t>06_008</t>
  </si>
  <si>
    <t>19297</t>
  </si>
  <si>
    <t>JAMS AND PRESERVES</t>
  </si>
  <si>
    <t>SALAD DRSNG,MAYO DRSNG,DIET,NO CHOL</t>
  </si>
  <si>
    <t>Cassava flour</t>
  </si>
  <si>
    <t>02_004</t>
  </si>
  <si>
    <t>Fresh milk - Low fat</t>
  </si>
  <si>
    <t>Milk, cow, partly skimmed, 1.5 % fat</t>
  </si>
  <si>
    <t>Long life - Low fat</t>
  </si>
  <si>
    <t>10_014</t>
  </si>
  <si>
    <t>Milk, cow,  skimmed, 0.5 % fat</t>
  </si>
  <si>
    <t>Condensed milk</t>
  </si>
  <si>
    <t>10_015</t>
  </si>
  <si>
    <t>Milk, cow, canned, condensed, sweetened</t>
  </si>
  <si>
    <t>Malt/ Mealie Rice</t>
  </si>
  <si>
    <t>USDA FCT</t>
  </si>
  <si>
    <t>08083</t>
  </si>
  <si>
    <t>CEREALS RTE,MALT-O-MEAL,CORN BURSTS</t>
  </si>
  <si>
    <t>Birds, other than chicken</t>
  </si>
  <si>
    <t>05306</t>
  </si>
  <si>
    <t>Poultry food products, ground turkey, cooked</t>
  </si>
  <si>
    <t>Ham</t>
  </si>
  <si>
    <t>Dog</t>
  </si>
  <si>
    <t>Tortoise</t>
  </si>
  <si>
    <t>Cray fish, all types</t>
  </si>
  <si>
    <t>15145</t>
  </si>
  <si>
    <t>CRAYFISH,MXD SP,WILD,RAW</t>
  </si>
  <si>
    <t>Snails, crabs</t>
  </si>
  <si>
    <t>15227</t>
  </si>
  <si>
    <t>CRAB,QUEEN,CKD,MOIST HEAT</t>
  </si>
  <si>
    <t>Frogs</t>
  </si>
  <si>
    <t>80200</t>
  </si>
  <si>
    <t>FROG LEGS,RAW</t>
  </si>
  <si>
    <t>Other amphibians (specify)</t>
  </si>
  <si>
    <t>West African</t>
  </si>
  <si>
    <t>07_056</t>
  </si>
  <si>
    <t>Mopanie worm, canned</t>
  </si>
  <si>
    <t>05_004</t>
  </si>
  <si>
    <t>(900)3700</t>
  </si>
  <si>
    <t>(720)2960</t>
  </si>
  <si>
    <t>Komazan</t>
  </si>
  <si>
    <t>(45)190</t>
  </si>
  <si>
    <t>(99)421</t>
  </si>
  <si>
    <t>(53)224</t>
  </si>
  <si>
    <t>Pears, raw</t>
  </si>
  <si>
    <t>Apricots</t>
  </si>
  <si>
    <t>Apricots, Raw</t>
  </si>
  <si>
    <t>Avocados</t>
  </si>
  <si>
    <t>KFCT</t>
  </si>
  <si>
    <t>Avocado, Ripe, Raw</t>
  </si>
  <si>
    <t>Cherries</t>
  </si>
  <si>
    <t>Cherries, Sweet, Raw</t>
  </si>
  <si>
    <t>Plums</t>
  </si>
  <si>
    <t>Plums, Raw</t>
  </si>
  <si>
    <t>Peaches</t>
  </si>
  <si>
    <t>Peach, Yellow Fleshed, unpealed, raw</t>
  </si>
  <si>
    <t>Strawberries</t>
  </si>
  <si>
    <t>Strawberry, Raw</t>
  </si>
  <si>
    <t>Mulberries</t>
  </si>
  <si>
    <t>Mullberries, Raw</t>
  </si>
  <si>
    <t>Figs</t>
  </si>
  <si>
    <t>Figs, Raw</t>
  </si>
  <si>
    <t>(33)141</t>
  </si>
  <si>
    <t>(57)238</t>
  </si>
  <si>
    <t>Olives, all types</t>
  </si>
  <si>
    <t>Olives, Pickles, CND or BTLD, GRN</t>
  </si>
  <si>
    <t>Capers, all types</t>
  </si>
  <si>
    <t>Cappers, Canned</t>
  </si>
  <si>
    <t>(29)123</t>
  </si>
  <si>
    <t>Pineapples</t>
  </si>
  <si>
    <t>05_018</t>
  </si>
  <si>
    <t>Pineapple, Pulp, Raw</t>
  </si>
  <si>
    <t>Passion fruit</t>
  </si>
  <si>
    <t>Passion fruit, dark purple skin, raw</t>
  </si>
  <si>
    <t>plum nut kernel, shelled, raw</t>
  </si>
  <si>
    <t>Grapes/ Omandjebere (dry)</t>
  </si>
  <si>
    <t>Omapea</t>
  </si>
  <si>
    <t>(376)1590</t>
  </si>
  <si>
    <t>(578)2390</t>
  </si>
  <si>
    <t>Ekwa/ Mubuyu</t>
  </si>
  <si>
    <t>Baobab, Fruit, Monkey bread, Pulp, Raw</t>
  </si>
  <si>
    <t>05_019</t>
  </si>
  <si>
    <t>Enyandi(jackalBerry)</t>
  </si>
  <si>
    <t>Eengungu</t>
  </si>
  <si>
    <t>Coconuts</t>
  </si>
  <si>
    <t>Coconut meat, raw</t>
  </si>
  <si>
    <t>Mixed nuts</t>
  </si>
  <si>
    <t>Mxd nuts, dry rstd, w/pnuts, wo/salt</t>
  </si>
  <si>
    <t>Dried figs</t>
  </si>
  <si>
    <t>Figs,dried,uncooked</t>
  </si>
  <si>
    <t>Dried pears</t>
  </si>
  <si>
    <t>Pears, dried, sulfured, unckd</t>
  </si>
  <si>
    <t>Dried dates</t>
  </si>
  <si>
    <t>05_031</t>
  </si>
  <si>
    <t>Dates, dried</t>
  </si>
  <si>
    <t>Dried fruits, other</t>
  </si>
  <si>
    <t>Fruit, MXD, Prune, Apricot &amp; Pear, Dried</t>
  </si>
  <si>
    <t>Tinned fruits</t>
  </si>
  <si>
    <t>Fruit,MXD,(Peach &amp;Pear, PNA, PPL,), CND,HVY Syrup, SOL and Liquids</t>
  </si>
  <si>
    <t>Frozen fruits</t>
  </si>
  <si>
    <t>Fruit,mxd, (pch, cher-swt &amp; sr, raspb, grape,boys), frz, swtned</t>
  </si>
  <si>
    <t>Mixed fruits (fresh)</t>
  </si>
  <si>
    <t>Mixed nuts, dry, RSTD,W/pnuts, w/salt</t>
  </si>
  <si>
    <t>04_040</t>
  </si>
  <si>
    <t>Lettuce, raw</t>
  </si>
  <si>
    <t>(18)75</t>
  </si>
  <si>
    <t>(28)115</t>
  </si>
  <si>
    <t>Celery</t>
  </si>
  <si>
    <t>Celery, raw</t>
  </si>
  <si>
    <t>Chives/ Grass onion</t>
  </si>
  <si>
    <t>Onions, Spring, Scallions(Inc ttops, &amp; Bulb), raw</t>
  </si>
  <si>
    <t>Broccoli</t>
  </si>
  <si>
    <t>Broccoli, raw</t>
  </si>
  <si>
    <t>Cauliflower</t>
  </si>
  <si>
    <t>Cauliflower , raw</t>
  </si>
  <si>
    <t>Brussels sprout</t>
  </si>
  <si>
    <t>Brussels sprout, raw</t>
  </si>
  <si>
    <t>Aubergine/ Egg plant</t>
  </si>
  <si>
    <t>Egg plant, Raw</t>
  </si>
  <si>
    <t>(40)167</t>
  </si>
  <si>
    <t>(15)63</t>
  </si>
  <si>
    <t>(26)109</t>
  </si>
  <si>
    <t>Peppers, Chilli, raw</t>
  </si>
  <si>
    <t>(45)191</t>
  </si>
  <si>
    <t>Corn, Sweet, White, raw</t>
  </si>
  <si>
    <t>Peas, green, raw</t>
  </si>
  <si>
    <t>(29)121</t>
  </si>
  <si>
    <t>(22)91</t>
  </si>
  <si>
    <t>Asparagus</t>
  </si>
  <si>
    <t>Asparagus,raw</t>
  </si>
  <si>
    <t>Beetroot,pealed,raw</t>
  </si>
  <si>
    <t>(35)149</t>
  </si>
  <si>
    <t>Leek</t>
  </si>
  <si>
    <t>Leeks, bulb and stem, raw</t>
  </si>
  <si>
    <t>(37)154</t>
  </si>
  <si>
    <t>Turnip</t>
  </si>
  <si>
    <t>04_068</t>
  </si>
  <si>
    <t>Turnip, raw</t>
  </si>
  <si>
    <t>(89)376</t>
  </si>
  <si>
    <t>Mushroom, shiitake,raw</t>
  </si>
  <si>
    <t>(335)1420</t>
  </si>
  <si>
    <t>Peas (dried)</t>
  </si>
  <si>
    <t>Chick peas, whole, dry, raw</t>
  </si>
  <si>
    <t>Lentils</t>
  </si>
  <si>
    <t>03_030</t>
  </si>
  <si>
    <t>(28)117</t>
  </si>
  <si>
    <t>(282)1180</t>
  </si>
  <si>
    <t>Picles, cucumbers, sour</t>
  </si>
  <si>
    <t>(80)338</t>
  </si>
  <si>
    <t>(115)486</t>
  </si>
  <si>
    <t>Potato, chips</t>
  </si>
  <si>
    <t>Cassava</t>
  </si>
  <si>
    <t>Cassava, raw</t>
  </si>
  <si>
    <t>Vegetables, MXD, FRZ, CKD, BLD, DRND,WO/SALT</t>
  </si>
  <si>
    <t>Vegetables,MXD, (Corn, lima, bns, Peas, GRN BNS, CRRT) CND, NOSALT</t>
  </si>
  <si>
    <t>(400)1700</t>
  </si>
  <si>
    <t>Sugar cane</t>
  </si>
  <si>
    <t>Sugar cane, juice, raw</t>
  </si>
  <si>
    <t>Icing sugar</t>
  </si>
  <si>
    <t>Sugars, powdered</t>
  </si>
  <si>
    <t>Other (sugar weed, etc.)</t>
  </si>
  <si>
    <t>Honey</t>
  </si>
  <si>
    <t>13_001</t>
  </si>
  <si>
    <t>(386)1640</t>
  </si>
  <si>
    <t>Food item code in Household Survey (item_cod)</t>
  </si>
  <si>
    <t>Food item description in Household Survey (desc)</t>
  </si>
  <si>
    <t>Refuse factor (refuse)</t>
  </si>
  <si>
    <t>Item Group (item_grp)</t>
  </si>
  <si>
    <t>Protein (grams) (fd_pro)</t>
  </si>
  <si>
    <t>Total Fat (grams) (fd_fat)</t>
  </si>
  <si>
    <t>Total Fiber (grams) (fd_fib)</t>
  </si>
  <si>
    <t>Alcohol (grams) (fd_alc)</t>
  </si>
  <si>
    <t>Available Carbohydrates by difference (grams) (fd_car)</t>
  </si>
  <si>
    <t>Computed calories (Kcal) (fd_kcal)</t>
  </si>
  <si>
    <t>Averages from Averages Tab</t>
  </si>
  <si>
    <t>Average beef from average tabs</t>
  </si>
  <si>
    <t xml:space="preserve"> WAFCT</t>
  </si>
  <si>
    <t xml:space="preserve"> KFCT</t>
  </si>
  <si>
    <t xml:space="preserve">13_001 </t>
  </si>
  <si>
    <t xml:space="preserve">11_010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</si>
</sst>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
  </numFmts>
  <fonts count="23" x14ac:knownFonts="1">
    <font>
      <sz val="10"/>
      <name val="Arial"/>
    </font>
    <font>
      <sz val="8"/>
      <name val="Arial"/>
      <family val="2"/>
    </font>
    <font>
      <sz val="10"/>
      <name val="MS Sans Serif"/>
      <family val="2"/>
    </font>
    <font>
      <sz val="8"/>
      <color indexed="81"/>
      <name val="Tahoma"/>
      <family val="2"/>
    </font>
    <font>
      <b/>
      <sz val="8"/>
      <color indexed="81"/>
      <name val="Tahoma"/>
      <family val="2"/>
    </font>
    <font>
      <b/>
      <sz val="11"/>
      <color indexed="10"/>
      <name val="Calibri"/>
      <family val="2"/>
    </font>
    <font>
      <sz val="11"/>
      <name val="Calibri"/>
      <family val="2"/>
      <scheme val="minor"/>
    </font>
    <font>
      <b/>
      <sz val="11"/>
      <name val="Calibri"/>
      <family val="2"/>
      <scheme val="minor"/>
    </font>
    <font>
      <b/>
      <sz val="11"/>
      <color indexed="10"/>
      <name val="Calibri"/>
      <family val="2"/>
      <scheme val="minor"/>
    </font>
    <font>
      <b/>
      <u/>
      <sz val="11"/>
      <color theme="4" tint="-0.249977111117893"/>
      <name val="Calibri"/>
      <family val="2"/>
      <scheme val="minor"/>
    </font>
    <font>
      <sz val="10"/>
      <name val="Calibri"/>
      <family val="2"/>
      <scheme val="minor"/>
    </font>
    <font>
      <sz val="9"/>
      <color indexed="81"/>
      <name val="Tahoma"/>
      <family val="2"/>
    </font>
    <font>
      <b/>
      <sz val="9"/>
      <color indexed="81"/>
      <name val="Tahoma"/>
      <family val="2"/>
    </font>
    <font>
      <sz val="10"/>
      <name val="Arial"/>
      <family val="2"/>
    </font>
    <font>
      <b/>
      <sz val="11"/>
      <color rgb="FFFF0000"/>
      <name val="Calibri"/>
      <family val="2"/>
      <scheme val="minor"/>
    </font>
    <font>
      <sz val="11"/>
      <name val="Calibri"/>
      <family val="2"/>
    </font>
    <font>
      <b/>
      <sz val="9"/>
      <color indexed="81"/>
      <name val="Arial"/>
      <family val="2"/>
    </font>
    <font>
      <sz val="9"/>
      <color indexed="81"/>
      <name val="Arial"/>
      <family val="2"/>
    </font>
    <font>
      <u/>
      <sz val="10"/>
      <color theme="10"/>
      <name val="Arial"/>
      <family val="2"/>
    </font>
    <font>
      <u/>
      <sz val="10"/>
      <color theme="11"/>
      <name val="Arial"/>
      <family val="2"/>
    </font>
    <font>
      <b/>
      <sz val="10"/>
      <color rgb="FFFF0000"/>
      <name val="Calibri"/>
      <family val="2"/>
      <scheme val="minor"/>
    </font>
    <font>
      <sz val="11"/>
      <color rgb="FFFF0000"/>
      <name val="Calibri"/>
      <family val="2"/>
      <scheme val="minor"/>
    </font>
    <font>
      <sz val="10"/>
      <name val="Arial"/>
      <family val="2"/>
    </font>
  </fonts>
  <fills count="13">
    <fill>
      <patternFill patternType="none"/>
    </fill>
    <fill>
      <patternFill patternType="gray125"/>
    </fill>
    <fill>
      <patternFill patternType="solid">
        <fgColor indexed="47"/>
        <bgColor indexed="64"/>
      </patternFill>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
      <patternFill patternType="solid">
        <fgColor theme="6" tint="0.39997558519241921"/>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8" tint="0.59999389629810485"/>
        <bgColor indexed="64"/>
      </patternFill>
    </fill>
    <fill>
      <patternFill patternType="solid">
        <fgColor theme="7" tint="0.79998168889431442"/>
        <bgColor indexed="64"/>
      </patternFill>
    </fill>
    <fill>
      <patternFill patternType="solid">
        <fgColor theme="6" tint="0.59999389629810485"/>
        <bgColor indexed="64"/>
      </patternFill>
    </fill>
    <fill>
      <patternFill patternType="solid">
        <fgColor theme="2" tint="-9.9978637043366805E-2"/>
        <bgColor indexed="64"/>
      </patternFill>
    </fill>
  </fills>
  <borders count="16">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ck">
        <color auto="1"/>
      </left>
      <right style="thick">
        <color auto="1"/>
      </right>
      <top style="thick">
        <color auto="1"/>
      </top>
      <bottom style="thick">
        <color auto="1"/>
      </bottom>
      <diagonal/>
    </border>
    <border>
      <left/>
      <right style="thick">
        <color auto="1"/>
      </right>
      <top style="thick">
        <color auto="1"/>
      </top>
      <bottom style="thick">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s>
  <cellStyleXfs count="113">
    <xf numFmtId="0" fontId="0" fillId="0" borderId="0"/>
    <xf numFmtId="0" fontId="2" fillId="0" borderId="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9" fontId="22" fillId="0" borderId="0" applyFont="0" applyFill="0" applyBorder="0" applyAlignment="0" applyProtection="0"/>
  </cellStyleXfs>
  <cellXfs count="126">
    <xf numFmtId="0" fontId="0" fillId="0" borderId="0" xfId="0"/>
    <xf numFmtId="0" fontId="6" fillId="0" borderId="0" xfId="0" applyFont="1"/>
    <xf numFmtId="0" fontId="7" fillId="2" borderId="1" xfId="0" applyFont="1" applyFill="1" applyBorder="1" applyAlignment="1">
      <alignment horizontal="center" vertical="center" wrapText="1"/>
    </xf>
    <xf numFmtId="0" fontId="6" fillId="0" borderId="1" xfId="0" applyFont="1" applyBorder="1" applyAlignment="1">
      <alignment horizontal="center" vertical="center"/>
    </xf>
    <xf numFmtId="0" fontId="6" fillId="0" borderId="1" xfId="0" applyFont="1" applyBorder="1" applyAlignment="1">
      <alignment horizontal="left" vertical="center"/>
    </xf>
    <xf numFmtId="1" fontId="6" fillId="0" borderId="1" xfId="0" applyNumberFormat="1" applyFont="1" applyBorder="1" applyAlignment="1">
      <alignment horizontal="center" vertical="center"/>
    </xf>
    <xf numFmtId="0" fontId="6" fillId="0" borderId="1" xfId="0" applyFont="1" applyFill="1" applyBorder="1" applyAlignment="1">
      <alignment horizontal="center" vertical="center"/>
    </xf>
    <xf numFmtId="0" fontId="6" fillId="0" borderId="1" xfId="0" applyFont="1" applyFill="1" applyBorder="1" applyAlignment="1">
      <alignment horizontal="left" vertical="center"/>
    </xf>
    <xf numFmtId="49" fontId="6" fillId="0" borderId="1" xfId="0" applyNumberFormat="1" applyFont="1" applyBorder="1" applyAlignment="1">
      <alignment horizontal="center" vertical="center"/>
    </xf>
    <xf numFmtId="0" fontId="6" fillId="0" borderId="1" xfId="0" applyFont="1" applyBorder="1" applyAlignment="1">
      <alignment horizontal="center" vertical="center" wrapText="1"/>
    </xf>
    <xf numFmtId="49" fontId="6" fillId="0" borderId="1" xfId="0" applyNumberFormat="1" applyFont="1" applyFill="1" applyBorder="1" applyAlignment="1">
      <alignment horizontal="center" vertical="center"/>
    </xf>
    <xf numFmtId="0" fontId="6" fillId="0" borderId="1" xfId="0" applyFont="1" applyFill="1" applyBorder="1" applyAlignment="1">
      <alignment horizontal="center" vertical="center" wrapText="1"/>
    </xf>
    <xf numFmtId="1" fontId="6" fillId="0" borderId="1" xfId="0" applyNumberFormat="1" applyFont="1" applyFill="1" applyBorder="1" applyAlignment="1">
      <alignment horizontal="center" vertical="center"/>
    </xf>
    <xf numFmtId="0" fontId="6" fillId="0" borderId="0" xfId="0" applyFont="1" applyFill="1"/>
    <xf numFmtId="0" fontId="6" fillId="0" borderId="1" xfId="0" applyFont="1" applyBorder="1" applyAlignment="1">
      <alignment horizontal="left" vertical="center" wrapText="1"/>
    </xf>
    <xf numFmtId="0" fontId="6" fillId="0" borderId="1" xfId="0" applyFont="1" applyFill="1" applyBorder="1" applyAlignment="1">
      <alignment horizontal="left" vertical="center" wrapText="1"/>
    </xf>
    <xf numFmtId="0" fontId="6" fillId="0" borderId="1" xfId="0" applyFont="1" applyBorder="1"/>
    <xf numFmtId="0" fontId="9" fillId="0" borderId="0" xfId="0" applyFont="1"/>
    <xf numFmtId="0" fontId="7" fillId="3" borderId="1" xfId="0" applyFont="1" applyFill="1" applyBorder="1" applyAlignment="1">
      <alignment horizontal="center" vertical="center" wrapText="1"/>
    </xf>
    <xf numFmtId="0" fontId="7" fillId="2" borderId="1" xfId="0" applyFont="1" applyFill="1" applyBorder="1" applyAlignment="1">
      <alignment horizontal="left" vertical="center" wrapText="1"/>
    </xf>
    <xf numFmtId="0" fontId="7" fillId="4" borderId="1" xfId="0" applyFont="1" applyFill="1" applyBorder="1" applyAlignment="1">
      <alignment horizontal="center" vertical="center" wrapText="1"/>
    </xf>
    <xf numFmtId="2" fontId="6" fillId="0" borderId="1" xfId="0" applyNumberFormat="1" applyFont="1" applyBorder="1" applyAlignment="1">
      <alignment horizontal="center" vertical="center"/>
    </xf>
    <xf numFmtId="2" fontId="6" fillId="0" borderId="1" xfId="0" applyNumberFormat="1" applyFont="1" applyFill="1" applyBorder="1" applyAlignment="1">
      <alignment horizontal="center" vertical="center"/>
    </xf>
    <xf numFmtId="0" fontId="10" fillId="0" borderId="0" xfId="0" applyFont="1"/>
    <xf numFmtId="0" fontId="6" fillId="0" borderId="0" xfId="0" applyNumberFormat="1" applyFont="1" applyFill="1" applyAlignment="1">
      <alignment horizontal="left" vertical="center" wrapText="1"/>
    </xf>
    <xf numFmtId="2" fontId="6" fillId="0" borderId="1" xfId="0" applyNumberFormat="1" applyFont="1" applyBorder="1" applyAlignment="1">
      <alignment horizontal="center" vertical="center" wrapText="1"/>
    </xf>
    <xf numFmtId="165" fontId="6" fillId="0" borderId="1" xfId="0" applyNumberFormat="1" applyFont="1" applyBorder="1" applyAlignment="1">
      <alignment horizontal="center" vertical="center"/>
    </xf>
    <xf numFmtId="0" fontId="6" fillId="0" borderId="1" xfId="0" applyNumberFormat="1" applyFont="1" applyFill="1" applyBorder="1" applyAlignment="1">
      <alignment horizontal="center" vertical="center"/>
    </xf>
    <xf numFmtId="0" fontId="6" fillId="0" borderId="1" xfId="0" quotePrefix="1" applyNumberFormat="1" applyFont="1" applyFill="1" applyBorder="1" applyAlignment="1">
      <alignment horizontal="center" vertical="center"/>
    </xf>
    <xf numFmtId="0" fontId="6" fillId="0" borderId="1" xfId="0" quotePrefix="1" applyNumberFormat="1" applyFont="1" applyFill="1" applyBorder="1" applyAlignment="1">
      <alignment horizontal="left" wrapText="1"/>
    </xf>
    <xf numFmtId="164" fontId="6" fillId="0" borderId="1" xfId="0" applyNumberFormat="1" applyFont="1" applyBorder="1" applyAlignment="1">
      <alignment horizontal="center" vertical="center"/>
    </xf>
    <xf numFmtId="0" fontId="10" fillId="0" borderId="1" xfId="0" applyFont="1" applyBorder="1"/>
    <xf numFmtId="0" fontId="6" fillId="0" borderId="1" xfId="0" applyNumberFormat="1" applyFont="1" applyFill="1" applyBorder="1" applyAlignment="1">
      <alignment horizontal="left" wrapText="1"/>
    </xf>
    <xf numFmtId="0" fontId="10" fillId="0" borderId="2" xfId="0" applyFont="1" applyBorder="1"/>
    <xf numFmtId="0" fontId="6" fillId="0" borderId="2" xfId="0" applyFont="1" applyBorder="1"/>
    <xf numFmtId="0" fontId="6" fillId="0" borderId="1" xfId="0" quotePrefix="1" applyNumberFormat="1" applyFont="1" applyFill="1" applyBorder="1" applyAlignment="1">
      <alignment horizontal="left" vertical="center"/>
    </xf>
    <xf numFmtId="0" fontId="6" fillId="0" borderId="1" xfId="0" applyFont="1" applyBorder="1" applyAlignment="1">
      <alignment horizontal="center"/>
    </xf>
    <xf numFmtId="0" fontId="0" fillId="0" borderId="0" xfId="0" applyFill="1"/>
    <xf numFmtId="0" fontId="0" fillId="5" borderId="0" xfId="0" applyFill="1"/>
    <xf numFmtId="0" fontId="0" fillId="6" borderId="0" xfId="0" applyFill="1"/>
    <xf numFmtId="0" fontId="6" fillId="0" borderId="1" xfId="0" applyFont="1" applyBorder="1" applyAlignment="1">
      <alignment horizontal="left"/>
    </xf>
    <xf numFmtId="0" fontId="6" fillId="0" borderId="0" xfId="0" applyFont="1" applyAlignment="1">
      <alignment horizontal="left"/>
    </xf>
    <xf numFmtId="0" fontId="13" fillId="0" borderId="0" xfId="0" applyFont="1" applyFill="1"/>
    <xf numFmtId="0" fontId="6" fillId="0" borderId="0" xfId="0" applyFont="1" applyFill="1" applyBorder="1"/>
    <xf numFmtId="165" fontId="6" fillId="0" borderId="0" xfId="0" applyNumberFormat="1" applyFont="1" applyFill="1" applyBorder="1"/>
    <xf numFmtId="1" fontId="6" fillId="0" borderId="0" xfId="0" applyNumberFormat="1" applyFont="1" applyFill="1" applyBorder="1"/>
    <xf numFmtId="166" fontId="6" fillId="0" borderId="0" xfId="0" applyNumberFormat="1" applyFont="1" applyFill="1" applyBorder="1"/>
    <xf numFmtId="2" fontId="6" fillId="0" borderId="0" xfId="0" applyNumberFormat="1" applyFont="1" applyFill="1" applyBorder="1"/>
    <xf numFmtId="165" fontId="0" fillId="0" borderId="0" xfId="0" applyNumberFormat="1"/>
    <xf numFmtId="0" fontId="6" fillId="5" borderId="0" xfId="0" applyFont="1" applyFill="1" applyBorder="1"/>
    <xf numFmtId="165" fontId="6" fillId="5" borderId="0" xfId="0" applyNumberFormat="1" applyFont="1" applyFill="1" applyBorder="1"/>
    <xf numFmtId="1" fontId="6" fillId="5" borderId="0" xfId="0" applyNumberFormat="1" applyFont="1" applyFill="1" applyBorder="1"/>
    <xf numFmtId="166" fontId="6" fillId="5" borderId="0" xfId="0" applyNumberFormat="1" applyFont="1" applyFill="1" applyBorder="1"/>
    <xf numFmtId="2" fontId="6" fillId="5" borderId="0" xfId="0" applyNumberFormat="1" applyFont="1" applyFill="1" applyBorder="1"/>
    <xf numFmtId="0" fontId="6" fillId="6" borderId="0" xfId="0" applyFont="1" applyFill="1" applyBorder="1"/>
    <xf numFmtId="0" fontId="0" fillId="7" borderId="0" xfId="0" applyFill="1"/>
    <xf numFmtId="164" fontId="13" fillId="0" borderId="0" xfId="0" applyNumberFormat="1" applyFont="1" applyFill="1" applyBorder="1"/>
    <xf numFmtId="0" fontId="0" fillId="8" borderId="0" xfId="0" applyFill="1"/>
    <xf numFmtId="0" fontId="0" fillId="9" borderId="0" xfId="0" applyFill="1"/>
    <xf numFmtId="2" fontId="0" fillId="0" borderId="0" xfId="0" applyNumberFormat="1" applyFill="1"/>
    <xf numFmtId="2" fontId="0" fillId="0" borderId="0" xfId="0" applyNumberFormat="1"/>
    <xf numFmtId="0" fontId="7" fillId="0" borderId="0" xfId="0" applyFont="1"/>
    <xf numFmtId="0" fontId="15" fillId="0" borderId="0" xfId="0" applyFont="1"/>
    <xf numFmtId="0" fontId="6" fillId="0" borderId="0" xfId="0" applyFont="1" applyFill="1" applyBorder="1" applyAlignment="1">
      <alignment horizontal="center" vertical="center" wrapText="1"/>
    </xf>
    <xf numFmtId="0" fontId="6" fillId="10" borderId="1" xfId="0" applyFont="1" applyFill="1" applyBorder="1" applyAlignment="1">
      <alignment horizontal="left" vertical="center"/>
    </xf>
    <xf numFmtId="165" fontId="6" fillId="0" borderId="1" xfId="0" applyNumberFormat="1" applyFont="1" applyFill="1" applyBorder="1" applyAlignment="1">
      <alignment horizontal="center" vertical="center"/>
    </xf>
    <xf numFmtId="0" fontId="6" fillId="11" borderId="1" xfId="0" applyFont="1" applyFill="1" applyBorder="1" applyAlignment="1">
      <alignment horizontal="center" vertical="center"/>
    </xf>
    <xf numFmtId="0" fontId="6" fillId="12" borderId="1" xfId="0" applyFont="1" applyFill="1" applyBorder="1" applyAlignment="1">
      <alignment horizontal="center" vertical="center"/>
    </xf>
    <xf numFmtId="0" fontId="6" fillId="10" borderId="3" xfId="0" applyFont="1" applyFill="1" applyBorder="1" applyAlignment="1">
      <alignment horizontal="center" vertical="center" wrapText="1"/>
    </xf>
    <xf numFmtId="0" fontId="6" fillId="10" borderId="4" xfId="0" applyFont="1" applyFill="1" applyBorder="1" applyAlignment="1">
      <alignment horizontal="center" vertical="center" wrapText="1"/>
    </xf>
    <xf numFmtId="0" fontId="6" fillId="12" borderId="3" xfId="0" applyFont="1" applyFill="1" applyBorder="1" applyAlignment="1">
      <alignment horizontal="center" vertical="center" wrapText="1"/>
    </xf>
    <xf numFmtId="0" fontId="6" fillId="0" borderId="0" xfId="0" applyFont="1" applyAlignment="1">
      <alignment wrapText="1"/>
    </xf>
    <xf numFmtId="2" fontId="6" fillId="0" borderId="1" xfId="0" quotePrefix="1" applyNumberFormat="1" applyFont="1" applyFill="1" applyBorder="1" applyAlignment="1">
      <alignment horizontal="center" vertical="center"/>
    </xf>
    <xf numFmtId="0" fontId="6" fillId="0" borderId="0" xfId="0" applyFont="1" applyFill="1" applyBorder="1" applyAlignment="1">
      <alignment wrapText="1"/>
    </xf>
    <xf numFmtId="0" fontId="15" fillId="0" borderId="0" xfId="0" applyFont="1" applyFill="1" applyBorder="1" applyAlignment="1">
      <alignment horizontal="left"/>
    </xf>
    <xf numFmtId="0" fontId="15" fillId="0" borderId="1" xfId="0" applyFont="1" applyBorder="1" applyAlignment="1">
      <alignment horizontal="center"/>
    </xf>
    <xf numFmtId="0" fontId="15" fillId="0" borderId="1" xfId="0" applyFont="1" applyBorder="1"/>
    <xf numFmtId="0" fontId="15" fillId="0" borderId="1" xfId="0" applyNumberFormat="1" applyFont="1" applyFill="1" applyBorder="1" applyAlignment="1">
      <alignment horizontal="left" wrapText="1"/>
    </xf>
    <xf numFmtId="2" fontId="15" fillId="0" borderId="1" xfId="0" applyNumberFormat="1" applyFont="1" applyBorder="1" applyAlignment="1">
      <alignment horizontal="center" vertical="center"/>
    </xf>
    <xf numFmtId="2" fontId="15" fillId="0" borderId="1" xfId="0" applyNumberFormat="1" applyFont="1" applyBorder="1"/>
    <xf numFmtId="166" fontId="15" fillId="0" borderId="1" xfId="0" applyNumberFormat="1" applyFont="1" applyBorder="1" applyAlignment="1">
      <alignment horizontal="center" vertical="center"/>
    </xf>
    <xf numFmtId="0" fontId="6" fillId="0" borderId="1" xfId="0" applyNumberFormat="1" applyFont="1" applyFill="1" applyBorder="1" applyAlignment="1">
      <alignment horizontal="left" vertical="center" wrapText="1"/>
    </xf>
    <xf numFmtId="2" fontId="6" fillId="0" borderId="2" xfId="0" applyNumberFormat="1" applyFont="1" applyBorder="1"/>
    <xf numFmtId="166" fontId="6" fillId="0" borderId="1" xfId="0" applyNumberFormat="1" applyFont="1" applyBorder="1" applyAlignment="1">
      <alignment horizontal="center"/>
    </xf>
    <xf numFmtId="0" fontId="20" fillId="0" borderId="0" xfId="0" applyFont="1"/>
    <xf numFmtId="2" fontId="15" fillId="0" borderId="1" xfId="0" applyNumberFormat="1" applyFont="1" applyBorder="1" applyAlignment="1">
      <alignment horizontal="center"/>
    </xf>
    <xf numFmtId="166" fontId="15" fillId="0" borderId="1" xfId="0" applyNumberFormat="1" applyFont="1" applyBorder="1" applyAlignment="1">
      <alignment horizontal="center"/>
    </xf>
    <xf numFmtId="0" fontId="15" fillId="0" borderId="0" xfId="0" applyFont="1" applyAlignment="1">
      <alignment horizontal="center"/>
    </xf>
    <xf numFmtId="2" fontId="15" fillId="0" borderId="0" xfId="0" applyNumberFormat="1" applyFont="1" applyAlignment="1">
      <alignment horizontal="center"/>
    </xf>
    <xf numFmtId="166" fontId="15" fillId="0" borderId="0" xfId="0" applyNumberFormat="1" applyFont="1" applyAlignment="1">
      <alignment horizontal="center"/>
    </xf>
    <xf numFmtId="166" fontId="15" fillId="0" borderId="0" xfId="0" applyNumberFormat="1" applyFont="1"/>
    <xf numFmtId="0" fontId="0" fillId="0" borderId="0" xfId="0" applyAlignment="1">
      <alignment horizontal="center"/>
    </xf>
    <xf numFmtId="0" fontId="0" fillId="0" borderId="1" xfId="0" applyBorder="1"/>
    <xf numFmtId="0" fontId="6" fillId="0" borderId="0" xfId="0" applyFont="1" applyAlignment="1">
      <alignment horizontal="center"/>
    </xf>
    <xf numFmtId="0" fontId="13" fillId="0" borderId="0" xfId="0" applyFont="1"/>
    <xf numFmtId="0" fontId="6" fillId="5" borderId="0" xfId="0" applyFont="1" applyFill="1"/>
    <xf numFmtId="0" fontId="21" fillId="0" borderId="0" xfId="0" applyFont="1" applyFill="1"/>
    <xf numFmtId="9" fontId="6" fillId="0" borderId="0" xfId="112" applyFont="1"/>
    <xf numFmtId="9" fontId="0" fillId="0" borderId="0" xfId="112" applyFont="1" applyAlignment="1">
      <alignment horizontal="center"/>
    </xf>
    <xf numFmtId="0" fontId="6" fillId="0" borderId="0" xfId="0" applyFont="1" applyAlignment="1">
      <alignment horizontal="right"/>
    </xf>
    <xf numFmtId="0" fontId="6" fillId="0" borderId="5" xfId="0" applyFont="1" applyBorder="1"/>
    <xf numFmtId="0" fontId="6" fillId="0" borderId="6" xfId="0" applyFont="1" applyBorder="1"/>
    <xf numFmtId="0" fontId="6" fillId="0" borderId="6" xfId="0" applyFont="1" applyBorder="1" applyAlignment="1">
      <alignment horizontal="center"/>
    </xf>
    <xf numFmtId="0" fontId="6" fillId="0" borderId="7" xfId="0" applyFont="1" applyBorder="1" applyAlignment="1">
      <alignment horizontal="center"/>
    </xf>
    <xf numFmtId="0" fontId="6" fillId="0" borderId="8" xfId="0" applyFont="1" applyBorder="1"/>
    <xf numFmtId="0" fontId="6" fillId="0" borderId="0" xfId="0" applyFont="1" applyBorder="1"/>
    <xf numFmtId="0" fontId="6" fillId="5" borderId="0" xfId="0" applyFont="1" applyFill="1" applyBorder="1" applyAlignment="1">
      <alignment horizontal="center"/>
    </xf>
    <xf numFmtId="0" fontId="6" fillId="0" borderId="0" xfId="0" applyFont="1" applyFill="1" applyBorder="1" applyAlignment="1">
      <alignment horizontal="center"/>
    </xf>
    <xf numFmtId="0" fontId="6" fillId="0" borderId="0" xfId="0" applyFont="1" applyBorder="1" applyAlignment="1">
      <alignment horizontal="center"/>
    </xf>
    <xf numFmtId="0" fontId="6" fillId="0" borderId="9" xfId="0" applyFont="1" applyBorder="1" applyAlignment="1">
      <alignment horizontal="center"/>
    </xf>
    <xf numFmtId="0" fontId="0" fillId="0" borderId="8" xfId="0" applyBorder="1"/>
    <xf numFmtId="0" fontId="0" fillId="5" borderId="0" xfId="0" applyFill="1" applyBorder="1" applyAlignment="1">
      <alignment horizontal="center"/>
    </xf>
    <xf numFmtId="0" fontId="0" fillId="0" borderId="0" xfId="0" applyBorder="1" applyAlignment="1">
      <alignment horizontal="center"/>
    </xf>
    <xf numFmtId="0" fontId="6" fillId="0" borderId="10" xfId="0" applyFont="1" applyBorder="1"/>
    <xf numFmtId="0" fontId="6" fillId="0" borderId="11" xfId="0" applyFont="1" applyBorder="1"/>
    <xf numFmtId="0" fontId="6" fillId="0" borderId="11" xfId="0" applyFont="1" applyBorder="1" applyAlignment="1">
      <alignment horizontal="center"/>
    </xf>
    <xf numFmtId="0" fontId="6" fillId="0" borderId="12" xfId="0" applyFont="1" applyBorder="1" applyAlignment="1">
      <alignment horizontal="center"/>
    </xf>
    <xf numFmtId="0" fontId="6" fillId="5" borderId="8" xfId="0" applyFont="1" applyFill="1" applyBorder="1"/>
    <xf numFmtId="0" fontId="6" fillId="0" borderId="0" xfId="0" applyFont="1" applyBorder="1" applyAlignment="1">
      <alignment horizontal="left"/>
    </xf>
    <xf numFmtId="0" fontId="6" fillId="0" borderId="11" xfId="0" applyFont="1" applyBorder="1" applyAlignment="1">
      <alignment horizontal="left"/>
    </xf>
    <xf numFmtId="0" fontId="7" fillId="2" borderId="13" xfId="0" applyFont="1" applyFill="1" applyBorder="1" applyAlignment="1">
      <alignment horizontal="center" vertical="center" wrapText="1"/>
    </xf>
    <xf numFmtId="0" fontId="7" fillId="2" borderId="14" xfId="0" applyFont="1" applyFill="1" applyBorder="1" applyAlignment="1">
      <alignment horizontal="center" vertical="center" wrapText="1"/>
    </xf>
    <xf numFmtId="0" fontId="7" fillId="2" borderId="14" xfId="0" applyFont="1" applyFill="1" applyBorder="1" applyAlignment="1">
      <alignment horizontal="left" vertical="center" wrapText="1"/>
    </xf>
    <xf numFmtId="0" fontId="7" fillId="2" borderId="14" xfId="0" applyFont="1" applyFill="1" applyBorder="1" applyAlignment="1">
      <alignment horizontal="right" vertical="center" wrapText="1"/>
    </xf>
    <xf numFmtId="0" fontId="7" fillId="3" borderId="14" xfId="0" applyFont="1" applyFill="1" applyBorder="1" applyAlignment="1">
      <alignment horizontal="center" vertical="center" wrapText="1"/>
    </xf>
    <xf numFmtId="0" fontId="7" fillId="3" borderId="15" xfId="0" applyFont="1" applyFill="1" applyBorder="1" applyAlignment="1">
      <alignment horizontal="center" vertical="center" wrapText="1"/>
    </xf>
  </cellXfs>
  <cellStyles count="113">
    <cellStyle name="Followed Hyperlink" xfId="3" builtinId="9" hidden="1"/>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5" builtinId="9" hidden="1"/>
    <cellStyle name="Followed Hyperlink" xfId="27" builtinId="9" hidden="1"/>
    <cellStyle name="Followed Hyperlink" xfId="29" builtinId="9" hidden="1"/>
    <cellStyle name="Followed Hyperlink" xfId="31" builtinId="9" hidden="1"/>
    <cellStyle name="Followed Hyperlink" xfId="33" builtinId="9" hidden="1"/>
    <cellStyle name="Followed Hyperlink" xfId="35" builtinId="9" hidden="1"/>
    <cellStyle name="Followed Hyperlink" xfId="37" builtinId="9" hidden="1"/>
    <cellStyle name="Followed Hyperlink" xfId="39" builtinId="9" hidden="1"/>
    <cellStyle name="Followed Hyperlink" xfId="41" builtinId="9" hidde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Followed Hyperlink" xfId="81" builtinId="9" hidden="1"/>
    <cellStyle name="Followed Hyperlink" xfId="83" builtinId="9" hidden="1"/>
    <cellStyle name="Followed Hyperlink" xfId="85" builtinId="9" hidden="1"/>
    <cellStyle name="Followed Hyperlink" xfId="87" builtinId="9" hidden="1"/>
    <cellStyle name="Followed Hyperlink" xfId="89" builtinId="9" hidden="1"/>
    <cellStyle name="Followed Hyperlink" xfId="91" builtinId="9" hidden="1"/>
    <cellStyle name="Followed Hyperlink" xfId="93" builtinId="9" hidden="1"/>
    <cellStyle name="Followed Hyperlink" xfId="95" builtinId="9" hidden="1"/>
    <cellStyle name="Followed Hyperlink" xfId="97" builtinId="9" hidden="1"/>
    <cellStyle name="Followed Hyperlink" xfId="99" builtinId="9" hidden="1"/>
    <cellStyle name="Followed Hyperlink" xfId="101" builtinId="9" hidden="1"/>
    <cellStyle name="Followed Hyperlink" xfId="103" builtinId="9" hidden="1"/>
    <cellStyle name="Followed Hyperlink" xfId="105" builtinId="9" hidden="1"/>
    <cellStyle name="Followed Hyperlink" xfId="107" builtinId="9" hidden="1"/>
    <cellStyle name="Followed Hyperlink" xfId="109" builtinId="9" hidden="1"/>
    <cellStyle name="Followed Hyperlink" xfId="111" builtinId="9" hidden="1"/>
    <cellStyle name="Hyperlink" xfId="2" builtinId="8"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4" builtinId="8" hidden="1"/>
    <cellStyle name="Hyperlink" xfId="26" builtinId="8" hidden="1"/>
    <cellStyle name="Hyperlink" xfId="28" builtinId="8" hidden="1"/>
    <cellStyle name="Hyperlink" xfId="30" builtinId="8" hidden="1"/>
    <cellStyle name="Hyperlink" xfId="32" builtinId="8" hidden="1"/>
    <cellStyle name="Hyperlink" xfId="34" builtinId="8" hidden="1"/>
    <cellStyle name="Hyperlink" xfId="36" builtinId="8" hidden="1"/>
    <cellStyle name="Hyperlink" xfId="38" builtinId="8" hidden="1"/>
    <cellStyle name="Hyperlink" xfId="40" builtinId="8" hidde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Hyperlink" xfId="92" builtinId="8" hidden="1"/>
    <cellStyle name="Hyperlink" xfId="94" builtinId="8" hidden="1"/>
    <cellStyle name="Hyperlink" xfId="96" builtinId="8" hidden="1"/>
    <cellStyle name="Hyperlink" xfId="98" builtinId="8" hidden="1"/>
    <cellStyle name="Hyperlink" xfId="100" builtinId="8" hidden="1"/>
    <cellStyle name="Hyperlink" xfId="102" builtinId="8" hidden="1"/>
    <cellStyle name="Hyperlink" xfId="104" builtinId="8" hidden="1"/>
    <cellStyle name="Hyperlink" xfId="106" builtinId="8" hidden="1"/>
    <cellStyle name="Hyperlink" xfId="108" builtinId="8" hidden="1"/>
    <cellStyle name="Hyperlink" xfId="110" builtinId="8" hidden="1"/>
    <cellStyle name="Normal" xfId="0" builtinId="0"/>
    <cellStyle name="Percent" xfId="112" builtinId="5"/>
    <cellStyle name="Standard_FDB602c" xfId="1" xr:uid="{00000000-0005-0000-0000-000070000000}"/>
  </cellStyles>
  <dxfs count="159">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8</xdr:col>
      <xdr:colOff>393700</xdr:colOff>
      <xdr:row>14</xdr:row>
      <xdr:rowOff>88900</xdr:rowOff>
    </xdr:from>
    <xdr:to>
      <xdr:col>10</xdr:col>
      <xdr:colOff>266700</xdr:colOff>
      <xdr:row>24</xdr:row>
      <xdr:rowOff>508000</xdr:rowOff>
    </xdr:to>
    <xdr:cxnSp macro="">
      <xdr:nvCxnSpPr>
        <xdr:cNvPr id="2" name="Straight Arrow Connector 1">
          <a:extLst>
            <a:ext uri="{FF2B5EF4-FFF2-40B4-BE49-F238E27FC236}">
              <a16:creationId xmlns:a16="http://schemas.microsoft.com/office/drawing/2014/main" id="{00000000-0008-0000-0000-000002000000}"/>
            </a:ext>
          </a:extLst>
        </xdr:cNvPr>
        <xdr:cNvCxnSpPr>
          <a:endCxn id="14" idx="0"/>
        </xdr:cNvCxnSpPr>
      </xdr:nvCxnSpPr>
      <xdr:spPr>
        <a:xfrm flipH="1">
          <a:off x="8750300" y="4000500"/>
          <a:ext cx="1473200" cy="292100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284480</xdr:colOff>
      <xdr:row>20</xdr:row>
      <xdr:rowOff>0</xdr:rowOff>
    </xdr:from>
    <xdr:to>
      <xdr:col>17</xdr:col>
      <xdr:colOff>295276</xdr:colOff>
      <xdr:row>25</xdr:row>
      <xdr:rowOff>66675</xdr:rowOff>
    </xdr:to>
    <xdr:cxnSp macro="">
      <xdr:nvCxnSpPr>
        <xdr:cNvPr id="3" name="Straight Arrow Connector 2">
          <a:extLst>
            <a:ext uri="{FF2B5EF4-FFF2-40B4-BE49-F238E27FC236}">
              <a16:creationId xmlns:a16="http://schemas.microsoft.com/office/drawing/2014/main" id="{00000000-0008-0000-0000-000003000000}"/>
            </a:ext>
          </a:extLst>
        </xdr:cNvPr>
        <xdr:cNvCxnSpPr/>
      </xdr:nvCxnSpPr>
      <xdr:spPr>
        <a:xfrm>
          <a:off x="15041880" y="5511800"/>
          <a:ext cx="10796" cy="152717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314960</xdr:colOff>
      <xdr:row>19</xdr:row>
      <xdr:rowOff>325120</xdr:rowOff>
    </xdr:from>
    <xdr:to>
      <xdr:col>18</xdr:col>
      <xdr:colOff>333376</xdr:colOff>
      <xdr:row>25</xdr:row>
      <xdr:rowOff>76200</xdr:rowOff>
    </xdr:to>
    <xdr:cxnSp macro="">
      <xdr:nvCxnSpPr>
        <xdr:cNvPr id="4" name="Straight Arrow Connector 3">
          <a:extLst>
            <a:ext uri="{FF2B5EF4-FFF2-40B4-BE49-F238E27FC236}">
              <a16:creationId xmlns:a16="http://schemas.microsoft.com/office/drawing/2014/main" id="{00000000-0008-0000-0000-000004000000}"/>
            </a:ext>
          </a:extLst>
        </xdr:cNvPr>
        <xdr:cNvCxnSpPr/>
      </xdr:nvCxnSpPr>
      <xdr:spPr>
        <a:xfrm>
          <a:off x="15745460" y="5506720"/>
          <a:ext cx="18416" cy="154178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67945</xdr:colOff>
      <xdr:row>10</xdr:row>
      <xdr:rowOff>635</xdr:rowOff>
    </xdr:from>
    <xdr:to>
      <xdr:col>15</xdr:col>
      <xdr:colOff>287021</xdr:colOff>
      <xdr:row>11</xdr:row>
      <xdr:rowOff>377191</xdr:rowOff>
    </xdr:to>
    <xdr:cxnSp macro="">
      <xdr:nvCxnSpPr>
        <xdr:cNvPr id="5" name="Straight Arrow Connector 4">
          <a:extLst>
            <a:ext uri="{FF2B5EF4-FFF2-40B4-BE49-F238E27FC236}">
              <a16:creationId xmlns:a16="http://schemas.microsoft.com/office/drawing/2014/main" id="{00000000-0008-0000-0000-000005000000}"/>
            </a:ext>
          </a:extLst>
        </xdr:cNvPr>
        <xdr:cNvCxnSpPr/>
      </xdr:nvCxnSpPr>
      <xdr:spPr>
        <a:xfrm flipH="1" flipV="1">
          <a:off x="13390245" y="1778635"/>
          <a:ext cx="219076" cy="55435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304800</xdr:colOff>
      <xdr:row>7</xdr:row>
      <xdr:rowOff>114300</xdr:rowOff>
    </xdr:from>
    <xdr:to>
      <xdr:col>16</xdr:col>
      <xdr:colOff>330200</xdr:colOff>
      <xdr:row>11</xdr:row>
      <xdr:rowOff>133352</xdr:rowOff>
    </xdr:to>
    <xdr:cxnSp macro="">
      <xdr:nvCxnSpPr>
        <xdr:cNvPr id="6" name="Straight Arrow Connector 5">
          <a:extLst>
            <a:ext uri="{FF2B5EF4-FFF2-40B4-BE49-F238E27FC236}">
              <a16:creationId xmlns:a16="http://schemas.microsoft.com/office/drawing/2014/main" id="{00000000-0008-0000-0000-000006000000}"/>
            </a:ext>
          </a:extLst>
        </xdr:cNvPr>
        <xdr:cNvCxnSpPr/>
      </xdr:nvCxnSpPr>
      <xdr:spPr>
        <a:xfrm flipV="1">
          <a:off x="14300200" y="1358900"/>
          <a:ext cx="25400" cy="730252"/>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323851</xdr:colOff>
      <xdr:row>14</xdr:row>
      <xdr:rowOff>101600</xdr:rowOff>
    </xdr:from>
    <xdr:to>
      <xdr:col>1</xdr:col>
      <xdr:colOff>203200</xdr:colOff>
      <xdr:row>23</xdr:row>
      <xdr:rowOff>104775</xdr:rowOff>
    </xdr:to>
    <xdr:cxnSp macro="">
      <xdr:nvCxnSpPr>
        <xdr:cNvPr id="7" name="Straight Arrow Connector 6">
          <a:extLst>
            <a:ext uri="{FF2B5EF4-FFF2-40B4-BE49-F238E27FC236}">
              <a16:creationId xmlns:a16="http://schemas.microsoft.com/office/drawing/2014/main" id="{00000000-0008-0000-0000-000007000000}"/>
            </a:ext>
          </a:extLst>
        </xdr:cNvPr>
        <xdr:cNvCxnSpPr/>
      </xdr:nvCxnSpPr>
      <xdr:spPr>
        <a:xfrm flipH="1">
          <a:off x="323851" y="4013200"/>
          <a:ext cx="692149" cy="231457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571500</xdr:colOff>
      <xdr:row>12</xdr:row>
      <xdr:rowOff>314325</xdr:rowOff>
    </xdr:from>
    <xdr:to>
      <xdr:col>1</xdr:col>
      <xdr:colOff>600075</xdr:colOff>
      <xdr:row>23</xdr:row>
      <xdr:rowOff>104775</xdr:rowOff>
    </xdr:to>
    <xdr:cxnSp macro="">
      <xdr:nvCxnSpPr>
        <xdr:cNvPr id="8" name="Straight Arrow Connector 7">
          <a:extLst>
            <a:ext uri="{FF2B5EF4-FFF2-40B4-BE49-F238E27FC236}">
              <a16:creationId xmlns:a16="http://schemas.microsoft.com/office/drawing/2014/main" id="{00000000-0008-0000-0000-000008000000}"/>
            </a:ext>
          </a:extLst>
        </xdr:cNvPr>
        <xdr:cNvCxnSpPr/>
      </xdr:nvCxnSpPr>
      <xdr:spPr>
        <a:xfrm flipH="1">
          <a:off x="1384300" y="3514725"/>
          <a:ext cx="28575" cy="28130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419100</xdr:colOff>
      <xdr:row>19</xdr:row>
      <xdr:rowOff>101600</xdr:rowOff>
    </xdr:from>
    <xdr:to>
      <xdr:col>8</xdr:col>
      <xdr:colOff>393700</xdr:colOff>
      <xdr:row>24</xdr:row>
      <xdr:rowOff>508000</xdr:rowOff>
    </xdr:to>
    <xdr:cxnSp macro="">
      <xdr:nvCxnSpPr>
        <xdr:cNvPr id="9" name="Straight Arrow Connector 8">
          <a:extLst>
            <a:ext uri="{FF2B5EF4-FFF2-40B4-BE49-F238E27FC236}">
              <a16:creationId xmlns:a16="http://schemas.microsoft.com/office/drawing/2014/main" id="{00000000-0008-0000-0000-000009000000}"/>
            </a:ext>
          </a:extLst>
        </xdr:cNvPr>
        <xdr:cNvCxnSpPr>
          <a:endCxn id="14" idx="0"/>
        </xdr:cNvCxnSpPr>
      </xdr:nvCxnSpPr>
      <xdr:spPr>
        <a:xfrm>
          <a:off x="7226300" y="5435600"/>
          <a:ext cx="1524000" cy="148590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457200</xdr:colOff>
      <xdr:row>8</xdr:row>
      <xdr:rowOff>50800</xdr:rowOff>
    </xdr:from>
    <xdr:to>
      <xdr:col>20</xdr:col>
      <xdr:colOff>431800</xdr:colOff>
      <xdr:row>11</xdr:row>
      <xdr:rowOff>114300</xdr:rowOff>
    </xdr:to>
    <xdr:cxnSp macro="">
      <xdr:nvCxnSpPr>
        <xdr:cNvPr id="10" name="Straight Arrow Connector 9">
          <a:extLst>
            <a:ext uri="{FF2B5EF4-FFF2-40B4-BE49-F238E27FC236}">
              <a16:creationId xmlns:a16="http://schemas.microsoft.com/office/drawing/2014/main" id="{00000000-0008-0000-0000-00000A000000}"/>
            </a:ext>
          </a:extLst>
        </xdr:cNvPr>
        <xdr:cNvCxnSpPr/>
      </xdr:nvCxnSpPr>
      <xdr:spPr>
        <a:xfrm flipV="1">
          <a:off x="15887700" y="1473200"/>
          <a:ext cx="1447800" cy="59690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9</xdr:col>
      <xdr:colOff>240030</xdr:colOff>
      <xdr:row>8</xdr:row>
      <xdr:rowOff>120015</xdr:rowOff>
    </xdr:from>
    <xdr:to>
      <xdr:col>15</xdr:col>
      <xdr:colOff>249555</xdr:colOff>
      <xdr:row>10</xdr:row>
      <xdr:rowOff>27940</xdr:rowOff>
    </xdr:to>
    <xdr:pic>
      <xdr:nvPicPr>
        <xdr:cNvPr id="11" name="Picture 156">
          <a:extLst>
            <a:ext uri="{FF2B5EF4-FFF2-40B4-BE49-F238E27FC236}">
              <a16:creationId xmlns:a16="http://schemas.microsoft.com/office/drawing/2014/main" id="{00000000-0008-0000-0000-00000B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523730" y="1542415"/>
          <a:ext cx="4048125" cy="263525"/>
        </a:xfrm>
        <a:prstGeom prst="rect">
          <a:avLst/>
        </a:prstGeom>
        <a:noFill/>
      </xdr:spPr>
    </xdr:pic>
    <xdr:clientData/>
  </xdr:twoCellAnchor>
  <xdr:twoCellAnchor>
    <xdr:from>
      <xdr:col>32</xdr:col>
      <xdr:colOff>535940</xdr:colOff>
      <xdr:row>8</xdr:row>
      <xdr:rowOff>152400</xdr:rowOff>
    </xdr:from>
    <xdr:to>
      <xdr:col>34</xdr:col>
      <xdr:colOff>38100</xdr:colOff>
      <xdr:row>11</xdr:row>
      <xdr:rowOff>173990</xdr:rowOff>
    </xdr:to>
    <xdr:cxnSp macro="">
      <xdr:nvCxnSpPr>
        <xdr:cNvPr id="12" name="Straight Arrow Connector 11">
          <a:extLst>
            <a:ext uri="{FF2B5EF4-FFF2-40B4-BE49-F238E27FC236}">
              <a16:creationId xmlns:a16="http://schemas.microsoft.com/office/drawing/2014/main" id="{00000000-0008-0000-0000-00000C000000}"/>
            </a:ext>
          </a:extLst>
        </xdr:cNvPr>
        <xdr:cNvCxnSpPr/>
      </xdr:nvCxnSpPr>
      <xdr:spPr>
        <a:xfrm flipV="1">
          <a:off x="27447240" y="1574800"/>
          <a:ext cx="1051560" cy="55499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203200</xdr:colOff>
      <xdr:row>10</xdr:row>
      <xdr:rowOff>50800</xdr:rowOff>
    </xdr:from>
    <xdr:to>
      <xdr:col>31</xdr:col>
      <xdr:colOff>345440</xdr:colOff>
      <xdr:row>11</xdr:row>
      <xdr:rowOff>233680</xdr:rowOff>
    </xdr:to>
    <xdr:cxnSp macro="">
      <xdr:nvCxnSpPr>
        <xdr:cNvPr id="13" name="Straight Arrow Connector 12">
          <a:extLst>
            <a:ext uri="{FF2B5EF4-FFF2-40B4-BE49-F238E27FC236}">
              <a16:creationId xmlns:a16="http://schemas.microsoft.com/office/drawing/2014/main" id="{00000000-0008-0000-0000-00000D000000}"/>
            </a:ext>
          </a:extLst>
        </xdr:cNvPr>
        <xdr:cNvCxnSpPr/>
      </xdr:nvCxnSpPr>
      <xdr:spPr>
        <a:xfrm flipH="1" flipV="1">
          <a:off x="25514300" y="1828800"/>
          <a:ext cx="815340" cy="36068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482600</xdr:colOff>
      <xdr:row>24</xdr:row>
      <xdr:rowOff>508000</xdr:rowOff>
    </xdr:from>
    <xdr:to>
      <xdr:col>10</xdr:col>
      <xdr:colOff>254000</xdr:colOff>
      <xdr:row>27</xdr:row>
      <xdr:rowOff>152400</xdr:rowOff>
    </xdr:to>
    <xdr:sp macro="" textlink="">
      <xdr:nvSpPr>
        <xdr:cNvPr id="14" name="Rectangle 13">
          <a:extLst>
            <a:ext uri="{FF2B5EF4-FFF2-40B4-BE49-F238E27FC236}">
              <a16:creationId xmlns:a16="http://schemas.microsoft.com/office/drawing/2014/main" id="{00000000-0008-0000-0000-00000E000000}"/>
            </a:ext>
          </a:extLst>
        </xdr:cNvPr>
        <xdr:cNvSpPr/>
      </xdr:nvSpPr>
      <xdr:spPr>
        <a:xfrm>
          <a:off x="7289800" y="6921500"/>
          <a:ext cx="2921000" cy="571500"/>
        </a:xfrm>
        <a:prstGeom prst="rect">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a:solidFill>
                <a:sysClr val="windowText" lastClr="000000"/>
              </a:solidFill>
            </a:rPr>
            <a:t>There is no informaiton in the FCT for these nutrients. So,</a:t>
          </a:r>
          <a:r>
            <a:rPr lang="en-US" sz="1100" b="0" baseline="0">
              <a:solidFill>
                <a:sysClr val="windowText" lastClr="000000"/>
              </a:solidFill>
            </a:rPr>
            <a:t> we fill these fields in the sheet "Reference"</a:t>
          </a:r>
          <a:endParaRPr lang="en-US" sz="1100" b="0">
            <a:solidFill>
              <a:sysClr val="windowText" lastClr="000000"/>
            </a:solidFill>
          </a:endParaRPr>
        </a:p>
      </xdr:txBody>
    </xdr:sp>
    <xdr:clientData/>
  </xdr:twoCellAnchor>
  <xdr:twoCellAnchor>
    <xdr:from>
      <xdr:col>15</xdr:col>
      <xdr:colOff>571500</xdr:colOff>
      <xdr:row>25</xdr:row>
      <xdr:rowOff>88900</xdr:rowOff>
    </xdr:from>
    <xdr:to>
      <xdr:col>19</xdr:col>
      <xdr:colOff>584200</xdr:colOff>
      <xdr:row>33</xdr:row>
      <xdr:rowOff>25400</xdr:rowOff>
    </xdr:to>
    <xdr:sp macro="" textlink="">
      <xdr:nvSpPr>
        <xdr:cNvPr id="15" name="Rectangle 14">
          <a:extLst>
            <a:ext uri="{FF2B5EF4-FFF2-40B4-BE49-F238E27FC236}">
              <a16:creationId xmlns:a16="http://schemas.microsoft.com/office/drawing/2014/main" id="{00000000-0008-0000-0000-00000F000000}"/>
            </a:ext>
          </a:extLst>
        </xdr:cNvPr>
        <xdr:cNvSpPr/>
      </xdr:nvSpPr>
      <xdr:spPr>
        <a:xfrm>
          <a:off x="13893800" y="7061200"/>
          <a:ext cx="2921000" cy="1371600"/>
        </a:xfrm>
        <a:prstGeom prst="rect">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a:solidFill>
                <a:sysClr val="windowText" lastClr="000000"/>
              </a:solidFill>
            </a:rPr>
            <a:t>The</a:t>
          </a:r>
          <a:r>
            <a:rPr lang="en-US" sz="1100" b="0" baseline="0">
              <a:solidFill>
                <a:sysClr val="windowText" lastClr="000000"/>
              </a:solidFill>
            </a:rPr>
            <a:t> calories compiled from FCTs may differ from the value derived using the Atwater system because in the FCT the amount of calories is:</a:t>
          </a:r>
        </a:p>
        <a:p>
          <a:pPr algn="l"/>
          <a:r>
            <a:rPr lang="en-US" sz="1100" b="0">
              <a:solidFill>
                <a:sysClr val="windowText" lastClr="000000"/>
              </a:solidFill>
            </a:rPr>
            <a:t>- from chemical analysis</a:t>
          </a:r>
          <a:r>
            <a:rPr lang="en-US" sz="1100" b="0" baseline="0">
              <a:solidFill>
                <a:sysClr val="windowText" lastClr="000000"/>
              </a:solidFill>
            </a:rPr>
            <a:t> (includes calories not assimilated by the body)</a:t>
          </a:r>
        </a:p>
        <a:p>
          <a:pPr algn="l"/>
          <a:r>
            <a:rPr lang="en-US" sz="1100" b="0" baseline="0">
              <a:solidFill>
                <a:sysClr val="windowText" lastClr="000000"/>
              </a:solidFill>
            </a:rPr>
            <a:t>- a system rather than the Atwater was used.</a:t>
          </a:r>
          <a:endParaRPr lang="en-US" sz="1100" b="0">
            <a:solidFill>
              <a:sysClr val="windowText" lastClr="000000"/>
            </a:solidFill>
          </a:endParaRPr>
        </a:p>
      </xdr:txBody>
    </xdr:sp>
    <xdr:clientData/>
  </xdr:twoCellAnchor>
  <xdr:twoCellAnchor>
    <xdr:from>
      <xdr:col>21</xdr:col>
      <xdr:colOff>266700</xdr:colOff>
      <xdr:row>8</xdr:row>
      <xdr:rowOff>50800</xdr:rowOff>
    </xdr:from>
    <xdr:to>
      <xdr:col>21</xdr:col>
      <xdr:colOff>419100</xdr:colOff>
      <xdr:row>11</xdr:row>
      <xdr:rowOff>190500</xdr:rowOff>
    </xdr:to>
    <xdr:cxnSp macro="">
      <xdr:nvCxnSpPr>
        <xdr:cNvPr id="16" name="Straight Arrow Connector 15">
          <a:extLst>
            <a:ext uri="{FF2B5EF4-FFF2-40B4-BE49-F238E27FC236}">
              <a16:creationId xmlns:a16="http://schemas.microsoft.com/office/drawing/2014/main" id="{00000000-0008-0000-0000-000010000000}"/>
            </a:ext>
          </a:extLst>
        </xdr:cNvPr>
        <xdr:cNvCxnSpPr/>
      </xdr:nvCxnSpPr>
      <xdr:spPr>
        <a:xfrm flipV="1">
          <a:off x="17843500" y="1473200"/>
          <a:ext cx="152400" cy="67310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127000</xdr:colOff>
      <xdr:row>8</xdr:row>
      <xdr:rowOff>50800</xdr:rowOff>
    </xdr:from>
    <xdr:to>
      <xdr:col>22</xdr:col>
      <xdr:colOff>279400</xdr:colOff>
      <xdr:row>11</xdr:row>
      <xdr:rowOff>152400</xdr:rowOff>
    </xdr:to>
    <xdr:cxnSp macro="">
      <xdr:nvCxnSpPr>
        <xdr:cNvPr id="17" name="Straight Arrow Connector 16">
          <a:extLst>
            <a:ext uri="{FF2B5EF4-FFF2-40B4-BE49-F238E27FC236}">
              <a16:creationId xmlns:a16="http://schemas.microsoft.com/office/drawing/2014/main" id="{00000000-0008-0000-0000-000011000000}"/>
            </a:ext>
          </a:extLst>
        </xdr:cNvPr>
        <xdr:cNvCxnSpPr/>
      </xdr:nvCxnSpPr>
      <xdr:spPr>
        <a:xfrm flipH="1" flipV="1">
          <a:off x="18592800" y="1473200"/>
          <a:ext cx="152400" cy="63500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241300</xdr:colOff>
      <xdr:row>6</xdr:row>
      <xdr:rowOff>12700</xdr:rowOff>
    </xdr:from>
    <xdr:to>
      <xdr:col>23</xdr:col>
      <xdr:colOff>482600</xdr:colOff>
      <xdr:row>8</xdr:row>
      <xdr:rowOff>38100</xdr:rowOff>
    </xdr:to>
    <xdr:sp macro="" textlink="">
      <xdr:nvSpPr>
        <xdr:cNvPr id="18" name="Rectangle 17">
          <a:extLst>
            <a:ext uri="{FF2B5EF4-FFF2-40B4-BE49-F238E27FC236}">
              <a16:creationId xmlns:a16="http://schemas.microsoft.com/office/drawing/2014/main" id="{00000000-0008-0000-0000-000012000000}"/>
            </a:ext>
          </a:extLst>
        </xdr:cNvPr>
        <xdr:cNvSpPr/>
      </xdr:nvSpPr>
      <xdr:spPr>
        <a:xfrm>
          <a:off x="16471900" y="1079500"/>
          <a:ext cx="3441700" cy="381000"/>
        </a:xfrm>
        <a:prstGeom prst="rect">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rgbClr val="FF0000"/>
              </a:solidFill>
            </a:rPr>
            <a:t>!!! In the sheet "Archival" we do not fill these fields</a:t>
          </a:r>
        </a:p>
      </xdr:txBody>
    </xdr:sp>
    <xdr:clientData/>
  </xdr:twoCellAnchor>
  <xdr:twoCellAnchor>
    <xdr:from>
      <xdr:col>33</xdr:col>
      <xdr:colOff>647700</xdr:colOff>
      <xdr:row>0</xdr:row>
      <xdr:rowOff>25400</xdr:rowOff>
    </xdr:from>
    <xdr:to>
      <xdr:col>41</xdr:col>
      <xdr:colOff>482600</xdr:colOff>
      <xdr:row>8</xdr:row>
      <xdr:rowOff>152400</xdr:rowOff>
    </xdr:to>
    <xdr:sp macro="" textlink="">
      <xdr:nvSpPr>
        <xdr:cNvPr id="19" name="Rectangle 18">
          <a:extLst>
            <a:ext uri="{FF2B5EF4-FFF2-40B4-BE49-F238E27FC236}">
              <a16:creationId xmlns:a16="http://schemas.microsoft.com/office/drawing/2014/main" id="{00000000-0008-0000-0000-000013000000}"/>
            </a:ext>
          </a:extLst>
        </xdr:cNvPr>
        <xdr:cNvSpPr/>
      </xdr:nvSpPr>
      <xdr:spPr>
        <a:xfrm>
          <a:off x="28435300" y="25400"/>
          <a:ext cx="5283200" cy="1549400"/>
        </a:xfrm>
        <a:prstGeom prst="rect">
          <a:avLst/>
        </a:prstGeom>
        <a:solidFill>
          <a:schemeClr val="accent3">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Vitamin A</a:t>
          </a:r>
          <a:r>
            <a:rPr lang="en-US" sz="1100" b="0">
              <a:solidFill>
                <a:sysClr val="windowText" lastClr="000000"/>
              </a:solidFill>
            </a:rPr>
            <a:t>: The analyst chooses between expressing total vitamin A in Retinol Activity Equivalents (RAE) or Retinol Equivalents (RE). The suggested variable names are vita_rae and vita_re respectively.</a:t>
          </a:r>
        </a:p>
      </xdr:txBody>
    </xdr:sp>
    <xdr:clientData/>
  </xdr:twoCellAnchor>
  <xdr:twoCellAnchor>
    <xdr:from>
      <xdr:col>25</xdr:col>
      <xdr:colOff>279400</xdr:colOff>
      <xdr:row>8</xdr:row>
      <xdr:rowOff>50800</xdr:rowOff>
    </xdr:from>
    <xdr:to>
      <xdr:col>32</xdr:col>
      <xdr:colOff>355600</xdr:colOff>
      <xdr:row>10</xdr:row>
      <xdr:rowOff>25400</xdr:rowOff>
    </xdr:to>
    <xdr:sp macro="" textlink="">
      <xdr:nvSpPr>
        <xdr:cNvPr id="20" name="Rectangle 19">
          <a:extLst>
            <a:ext uri="{FF2B5EF4-FFF2-40B4-BE49-F238E27FC236}">
              <a16:creationId xmlns:a16="http://schemas.microsoft.com/office/drawing/2014/main" id="{00000000-0008-0000-0000-000014000000}"/>
            </a:ext>
          </a:extLst>
        </xdr:cNvPr>
        <xdr:cNvSpPr/>
      </xdr:nvSpPr>
      <xdr:spPr>
        <a:xfrm>
          <a:off x="21640800" y="1473200"/>
          <a:ext cx="5626100" cy="330200"/>
        </a:xfrm>
        <a:prstGeom prst="rect">
          <a:avLst/>
        </a:prstGeom>
        <a:solidFill>
          <a:schemeClr val="accent3">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1 Beta-carotene equivalent </a:t>
          </a:r>
          <a:r>
            <a:rPr lang="en-US" sz="1100" b="0">
              <a:solidFill>
                <a:sysClr val="windowText" lastClr="000000"/>
              </a:solidFill>
            </a:rPr>
            <a:t>= 1 beta-carotene + 0.5 alpha-carotene + 0.5 beta-cryptoxanthin</a:t>
          </a:r>
        </a:p>
      </xdr:txBody>
    </xdr:sp>
    <xdr:clientData/>
  </xdr:twoCellAnchor>
  <xdr:twoCellAnchor>
    <xdr:from>
      <xdr:col>13</xdr:col>
      <xdr:colOff>165100</xdr:colOff>
      <xdr:row>2</xdr:row>
      <xdr:rowOff>76200</xdr:rowOff>
    </xdr:from>
    <xdr:to>
      <xdr:col>19</xdr:col>
      <xdr:colOff>139700</xdr:colOff>
      <xdr:row>7</xdr:row>
      <xdr:rowOff>101600</xdr:rowOff>
    </xdr:to>
    <xdr:sp macro="" textlink="">
      <xdr:nvSpPr>
        <xdr:cNvPr id="21" name="Rectangle 20">
          <a:extLst>
            <a:ext uri="{FF2B5EF4-FFF2-40B4-BE49-F238E27FC236}">
              <a16:creationId xmlns:a16="http://schemas.microsoft.com/office/drawing/2014/main" id="{00000000-0008-0000-0000-000015000000}"/>
            </a:ext>
          </a:extLst>
        </xdr:cNvPr>
        <xdr:cNvSpPr/>
      </xdr:nvSpPr>
      <xdr:spPr>
        <a:xfrm>
          <a:off x="12141200" y="431800"/>
          <a:ext cx="4229100" cy="914400"/>
        </a:xfrm>
        <a:prstGeom prst="rect">
          <a:avLst/>
        </a:prstGeom>
        <a:solidFill>
          <a:schemeClr val="accent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Available carbohydrates:</a:t>
          </a:r>
          <a:r>
            <a:rPr lang="en-US" sz="1100" b="0">
              <a:solidFill>
                <a:sysClr val="windowText" lastClr="000000"/>
              </a:solidFill>
            </a:rPr>
            <a:t> If the nutrients are estimated as an average of nutrients from other food items we copy the value from "Averages" worksheet.</a:t>
          </a:r>
        </a:p>
        <a:p>
          <a:pPr algn="l"/>
          <a:endParaRPr lang="en-US" sz="1100" b="0">
            <a:solidFill>
              <a:sysClr val="windowText" lastClr="000000"/>
            </a:solidFill>
          </a:endParaRPr>
        </a:p>
        <a:p>
          <a:pPr algn="l"/>
          <a:r>
            <a:rPr lang="en-US" sz="1100" b="1">
              <a:solidFill>
                <a:srgbClr val="FF0000"/>
              </a:solidFill>
            </a:rPr>
            <a:t>Otherwise, we fill these fields in the sheet "Reference"</a:t>
          </a:r>
        </a:p>
        <a:p>
          <a:pPr algn="l"/>
          <a:endParaRPr lang="en-US" sz="1100" b="0">
            <a:solidFill>
              <a:sysClr val="windowText" lastClr="00000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10</xdr:col>
      <xdr:colOff>266700</xdr:colOff>
      <xdr:row>16</xdr:row>
      <xdr:rowOff>333375</xdr:rowOff>
    </xdr:from>
    <xdr:to>
      <xdr:col>10</xdr:col>
      <xdr:colOff>266700</xdr:colOff>
      <xdr:row>24</xdr:row>
      <xdr:rowOff>123825</xdr:rowOff>
    </xdr:to>
    <xdr:cxnSp macro="">
      <xdr:nvCxnSpPr>
        <xdr:cNvPr id="2" name="Straight Arrow Connector 1">
          <a:extLst>
            <a:ext uri="{FF2B5EF4-FFF2-40B4-BE49-F238E27FC236}">
              <a16:creationId xmlns:a16="http://schemas.microsoft.com/office/drawing/2014/main" id="{00000000-0008-0000-0100-000002000000}"/>
            </a:ext>
          </a:extLst>
        </xdr:cNvPr>
        <xdr:cNvCxnSpPr/>
      </xdr:nvCxnSpPr>
      <xdr:spPr>
        <a:xfrm>
          <a:off x="10223500" y="4448175"/>
          <a:ext cx="0" cy="20764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284480</xdr:colOff>
      <xdr:row>21</xdr:row>
      <xdr:rowOff>304800</xdr:rowOff>
    </xdr:from>
    <xdr:to>
      <xdr:col>17</xdr:col>
      <xdr:colOff>295276</xdr:colOff>
      <xdr:row>27</xdr:row>
      <xdr:rowOff>66675</xdr:rowOff>
    </xdr:to>
    <xdr:cxnSp macro="">
      <xdr:nvCxnSpPr>
        <xdr:cNvPr id="3" name="Straight Arrow Connector 2">
          <a:extLst>
            <a:ext uri="{FF2B5EF4-FFF2-40B4-BE49-F238E27FC236}">
              <a16:creationId xmlns:a16="http://schemas.microsoft.com/office/drawing/2014/main" id="{00000000-0008-0000-0100-000003000000}"/>
            </a:ext>
          </a:extLst>
        </xdr:cNvPr>
        <xdr:cNvCxnSpPr/>
      </xdr:nvCxnSpPr>
      <xdr:spPr>
        <a:xfrm>
          <a:off x="15041880" y="5867400"/>
          <a:ext cx="10796" cy="170497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314960</xdr:colOff>
      <xdr:row>21</xdr:row>
      <xdr:rowOff>325120</xdr:rowOff>
    </xdr:from>
    <xdr:to>
      <xdr:col>18</xdr:col>
      <xdr:colOff>333376</xdr:colOff>
      <xdr:row>27</xdr:row>
      <xdr:rowOff>76200</xdr:rowOff>
    </xdr:to>
    <xdr:cxnSp macro="">
      <xdr:nvCxnSpPr>
        <xdr:cNvPr id="4" name="Straight Arrow Connector 3">
          <a:extLst>
            <a:ext uri="{FF2B5EF4-FFF2-40B4-BE49-F238E27FC236}">
              <a16:creationId xmlns:a16="http://schemas.microsoft.com/office/drawing/2014/main" id="{00000000-0008-0000-0100-000004000000}"/>
            </a:ext>
          </a:extLst>
        </xdr:cNvPr>
        <xdr:cNvCxnSpPr/>
      </xdr:nvCxnSpPr>
      <xdr:spPr>
        <a:xfrm>
          <a:off x="15745460" y="5862320"/>
          <a:ext cx="18416" cy="171958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279400</xdr:colOff>
      <xdr:row>12</xdr:row>
      <xdr:rowOff>88900</xdr:rowOff>
    </xdr:from>
    <xdr:to>
      <xdr:col>15</xdr:col>
      <xdr:colOff>287021</xdr:colOff>
      <xdr:row>13</xdr:row>
      <xdr:rowOff>377191</xdr:rowOff>
    </xdr:to>
    <xdr:cxnSp macro="">
      <xdr:nvCxnSpPr>
        <xdr:cNvPr id="5" name="Straight Arrow Connector 4">
          <a:extLst>
            <a:ext uri="{FF2B5EF4-FFF2-40B4-BE49-F238E27FC236}">
              <a16:creationId xmlns:a16="http://schemas.microsoft.com/office/drawing/2014/main" id="{00000000-0008-0000-0100-000005000000}"/>
            </a:ext>
          </a:extLst>
        </xdr:cNvPr>
        <xdr:cNvCxnSpPr/>
      </xdr:nvCxnSpPr>
      <xdr:spPr>
        <a:xfrm flipH="1" flipV="1">
          <a:off x="12928600" y="2222500"/>
          <a:ext cx="680721" cy="466091"/>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304800</xdr:colOff>
      <xdr:row>9</xdr:row>
      <xdr:rowOff>165100</xdr:rowOff>
    </xdr:from>
    <xdr:to>
      <xdr:col>16</xdr:col>
      <xdr:colOff>317500</xdr:colOff>
      <xdr:row>13</xdr:row>
      <xdr:rowOff>133352</xdr:rowOff>
    </xdr:to>
    <xdr:cxnSp macro="">
      <xdr:nvCxnSpPr>
        <xdr:cNvPr id="6" name="Straight Arrow Connector 5">
          <a:extLst>
            <a:ext uri="{FF2B5EF4-FFF2-40B4-BE49-F238E27FC236}">
              <a16:creationId xmlns:a16="http://schemas.microsoft.com/office/drawing/2014/main" id="{00000000-0008-0000-0100-000006000000}"/>
            </a:ext>
          </a:extLst>
        </xdr:cNvPr>
        <xdr:cNvCxnSpPr/>
      </xdr:nvCxnSpPr>
      <xdr:spPr>
        <a:xfrm flipV="1">
          <a:off x="14300200" y="1765300"/>
          <a:ext cx="12700" cy="679452"/>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323851</xdr:colOff>
      <xdr:row>16</xdr:row>
      <xdr:rowOff>101600</xdr:rowOff>
    </xdr:from>
    <xdr:to>
      <xdr:col>1</xdr:col>
      <xdr:colOff>203200</xdr:colOff>
      <xdr:row>25</xdr:row>
      <xdr:rowOff>104775</xdr:rowOff>
    </xdr:to>
    <xdr:cxnSp macro="">
      <xdr:nvCxnSpPr>
        <xdr:cNvPr id="7" name="Straight Arrow Connector 6">
          <a:extLst>
            <a:ext uri="{FF2B5EF4-FFF2-40B4-BE49-F238E27FC236}">
              <a16:creationId xmlns:a16="http://schemas.microsoft.com/office/drawing/2014/main" id="{00000000-0008-0000-0100-000007000000}"/>
            </a:ext>
          </a:extLst>
        </xdr:cNvPr>
        <xdr:cNvCxnSpPr/>
      </xdr:nvCxnSpPr>
      <xdr:spPr>
        <a:xfrm flipH="1">
          <a:off x="323851" y="4368800"/>
          <a:ext cx="692149" cy="231457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571500</xdr:colOff>
      <xdr:row>14</xdr:row>
      <xdr:rowOff>314325</xdr:rowOff>
    </xdr:from>
    <xdr:to>
      <xdr:col>1</xdr:col>
      <xdr:colOff>600075</xdr:colOff>
      <xdr:row>25</xdr:row>
      <xdr:rowOff>104775</xdr:rowOff>
    </xdr:to>
    <xdr:cxnSp macro="">
      <xdr:nvCxnSpPr>
        <xdr:cNvPr id="8" name="Straight Arrow Connector 7">
          <a:extLst>
            <a:ext uri="{FF2B5EF4-FFF2-40B4-BE49-F238E27FC236}">
              <a16:creationId xmlns:a16="http://schemas.microsoft.com/office/drawing/2014/main" id="{00000000-0008-0000-0100-000008000000}"/>
            </a:ext>
          </a:extLst>
        </xdr:cNvPr>
        <xdr:cNvCxnSpPr/>
      </xdr:nvCxnSpPr>
      <xdr:spPr>
        <a:xfrm flipH="1">
          <a:off x="1384300" y="3870325"/>
          <a:ext cx="28575" cy="28130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1381125</xdr:colOff>
      <xdr:row>21</xdr:row>
      <xdr:rowOff>333375</xdr:rowOff>
    </xdr:from>
    <xdr:to>
      <xdr:col>6</xdr:col>
      <xdr:colOff>219075</xdr:colOff>
      <xdr:row>25</xdr:row>
      <xdr:rowOff>123825</xdr:rowOff>
    </xdr:to>
    <xdr:cxnSp macro="">
      <xdr:nvCxnSpPr>
        <xdr:cNvPr id="9" name="Straight Arrow Connector 8">
          <a:extLst>
            <a:ext uri="{FF2B5EF4-FFF2-40B4-BE49-F238E27FC236}">
              <a16:creationId xmlns:a16="http://schemas.microsoft.com/office/drawing/2014/main" id="{00000000-0008-0000-0100-000009000000}"/>
            </a:ext>
          </a:extLst>
        </xdr:cNvPr>
        <xdr:cNvCxnSpPr/>
      </xdr:nvCxnSpPr>
      <xdr:spPr>
        <a:xfrm flipH="1">
          <a:off x="5038725" y="5870575"/>
          <a:ext cx="1987550" cy="8318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457200</xdr:colOff>
      <xdr:row>11</xdr:row>
      <xdr:rowOff>82550</xdr:rowOff>
    </xdr:from>
    <xdr:to>
      <xdr:col>19</xdr:col>
      <xdr:colOff>250825</xdr:colOff>
      <xdr:row>13</xdr:row>
      <xdr:rowOff>114300</xdr:rowOff>
    </xdr:to>
    <xdr:cxnSp macro="">
      <xdr:nvCxnSpPr>
        <xdr:cNvPr id="10" name="Straight Arrow Connector 9">
          <a:extLst>
            <a:ext uri="{FF2B5EF4-FFF2-40B4-BE49-F238E27FC236}">
              <a16:creationId xmlns:a16="http://schemas.microsoft.com/office/drawing/2014/main" id="{00000000-0008-0000-0100-00000A000000}"/>
            </a:ext>
          </a:extLst>
        </xdr:cNvPr>
        <xdr:cNvCxnSpPr>
          <a:endCxn id="12" idx="1"/>
        </xdr:cNvCxnSpPr>
      </xdr:nvCxnSpPr>
      <xdr:spPr>
        <a:xfrm flipV="1">
          <a:off x="15887700" y="2038350"/>
          <a:ext cx="593725" cy="3873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8</xdr:col>
      <xdr:colOff>709930</xdr:colOff>
      <xdr:row>11</xdr:row>
      <xdr:rowOff>5715</xdr:rowOff>
    </xdr:from>
    <xdr:to>
      <xdr:col>14</xdr:col>
      <xdr:colOff>465455</xdr:colOff>
      <xdr:row>12</xdr:row>
      <xdr:rowOff>91440</xdr:rowOff>
    </xdr:to>
    <xdr:pic>
      <xdr:nvPicPr>
        <xdr:cNvPr id="11" name="Picture 156">
          <a:extLst>
            <a:ext uri="{FF2B5EF4-FFF2-40B4-BE49-F238E27FC236}">
              <a16:creationId xmlns:a16="http://schemas.microsoft.com/office/drawing/2014/main" id="{00000000-0008-0000-0100-00000B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066530" y="1961515"/>
          <a:ext cx="4048125" cy="263525"/>
        </a:xfrm>
        <a:prstGeom prst="rect">
          <a:avLst/>
        </a:prstGeom>
        <a:noFill/>
      </xdr:spPr>
    </xdr:pic>
    <xdr:clientData/>
  </xdr:twoCellAnchor>
  <xdr:twoCellAnchor editAs="oneCell">
    <xdr:from>
      <xdr:col>19</xdr:col>
      <xdr:colOff>250825</xdr:colOff>
      <xdr:row>10</xdr:row>
      <xdr:rowOff>142875</xdr:rowOff>
    </xdr:from>
    <xdr:to>
      <xdr:col>25</xdr:col>
      <xdr:colOff>440055</xdr:colOff>
      <xdr:row>12</xdr:row>
      <xdr:rowOff>47625</xdr:rowOff>
    </xdr:to>
    <xdr:pic>
      <xdr:nvPicPr>
        <xdr:cNvPr id="12" name="Picture 157">
          <a:extLst>
            <a:ext uri="{FF2B5EF4-FFF2-40B4-BE49-F238E27FC236}">
              <a16:creationId xmlns:a16="http://schemas.microsoft.com/office/drawing/2014/main" id="{00000000-0008-0000-0100-00000C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16481425" y="1920875"/>
          <a:ext cx="5320030" cy="260350"/>
        </a:xfrm>
        <a:prstGeom prst="rect">
          <a:avLst/>
        </a:prstGeom>
        <a:noFill/>
      </xdr:spPr>
    </xdr:pic>
    <xdr:clientData/>
  </xdr:twoCellAnchor>
  <xdr:twoCellAnchor>
    <xdr:from>
      <xdr:col>32</xdr:col>
      <xdr:colOff>673100</xdr:colOff>
      <xdr:row>8</xdr:row>
      <xdr:rowOff>76200</xdr:rowOff>
    </xdr:from>
    <xdr:to>
      <xdr:col>35</xdr:col>
      <xdr:colOff>152400</xdr:colOff>
      <xdr:row>13</xdr:row>
      <xdr:rowOff>215900</xdr:rowOff>
    </xdr:to>
    <xdr:cxnSp macro="">
      <xdr:nvCxnSpPr>
        <xdr:cNvPr id="13" name="Straight Arrow Connector 12">
          <a:extLst>
            <a:ext uri="{FF2B5EF4-FFF2-40B4-BE49-F238E27FC236}">
              <a16:creationId xmlns:a16="http://schemas.microsoft.com/office/drawing/2014/main" id="{00000000-0008-0000-0100-00000D000000}"/>
            </a:ext>
          </a:extLst>
        </xdr:cNvPr>
        <xdr:cNvCxnSpPr/>
      </xdr:nvCxnSpPr>
      <xdr:spPr>
        <a:xfrm flipV="1">
          <a:off x="27584400" y="1498600"/>
          <a:ext cx="1701800" cy="102870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203200</xdr:colOff>
      <xdr:row>12</xdr:row>
      <xdr:rowOff>50800</xdr:rowOff>
    </xdr:from>
    <xdr:to>
      <xdr:col>31</xdr:col>
      <xdr:colOff>345440</xdr:colOff>
      <xdr:row>13</xdr:row>
      <xdr:rowOff>233680</xdr:rowOff>
    </xdr:to>
    <xdr:cxnSp macro="">
      <xdr:nvCxnSpPr>
        <xdr:cNvPr id="14" name="Straight Arrow Connector 13">
          <a:extLst>
            <a:ext uri="{FF2B5EF4-FFF2-40B4-BE49-F238E27FC236}">
              <a16:creationId xmlns:a16="http://schemas.microsoft.com/office/drawing/2014/main" id="{00000000-0008-0000-0100-00000E000000}"/>
            </a:ext>
          </a:extLst>
        </xdr:cNvPr>
        <xdr:cNvCxnSpPr/>
      </xdr:nvCxnSpPr>
      <xdr:spPr>
        <a:xfrm flipH="1" flipV="1">
          <a:off x="25514300" y="2184400"/>
          <a:ext cx="815340" cy="36068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xdr:col>
      <xdr:colOff>1016000</xdr:colOff>
      <xdr:row>25</xdr:row>
      <xdr:rowOff>20320</xdr:rowOff>
    </xdr:from>
    <xdr:to>
      <xdr:col>12</xdr:col>
      <xdr:colOff>517525</xdr:colOff>
      <xdr:row>31</xdr:row>
      <xdr:rowOff>90805</xdr:rowOff>
    </xdr:to>
    <xdr:pic>
      <xdr:nvPicPr>
        <xdr:cNvPr id="15" name="Picture 150">
          <a:extLst>
            <a:ext uri="{FF2B5EF4-FFF2-40B4-BE49-F238E27FC236}">
              <a16:creationId xmlns:a16="http://schemas.microsoft.com/office/drawing/2014/main" id="{00000000-0008-0000-0100-00000F00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6591300" y="6598920"/>
          <a:ext cx="5229225" cy="1721485"/>
        </a:xfrm>
        <a:prstGeom prst="rect">
          <a:avLst/>
        </a:prstGeom>
        <a:noFill/>
      </xdr:spPr>
    </xdr:pic>
    <xdr:clientData/>
  </xdr:twoCellAnchor>
  <xdr:twoCellAnchor>
    <xdr:from>
      <xdr:col>15</xdr:col>
      <xdr:colOff>596900</xdr:colOff>
      <xdr:row>27</xdr:row>
      <xdr:rowOff>76200</xdr:rowOff>
    </xdr:from>
    <xdr:to>
      <xdr:col>19</xdr:col>
      <xdr:colOff>609600</xdr:colOff>
      <xdr:row>35</xdr:row>
      <xdr:rowOff>12700</xdr:rowOff>
    </xdr:to>
    <xdr:sp macro="" textlink="">
      <xdr:nvSpPr>
        <xdr:cNvPr id="16" name="Rectangle 15">
          <a:extLst>
            <a:ext uri="{FF2B5EF4-FFF2-40B4-BE49-F238E27FC236}">
              <a16:creationId xmlns:a16="http://schemas.microsoft.com/office/drawing/2014/main" id="{00000000-0008-0000-0100-000010000000}"/>
            </a:ext>
          </a:extLst>
        </xdr:cNvPr>
        <xdr:cNvSpPr/>
      </xdr:nvSpPr>
      <xdr:spPr>
        <a:xfrm>
          <a:off x="13919200" y="7581900"/>
          <a:ext cx="2921000" cy="1371600"/>
        </a:xfrm>
        <a:prstGeom prst="rect">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a:solidFill>
                <a:sysClr val="windowText" lastClr="000000"/>
              </a:solidFill>
            </a:rPr>
            <a:t>The</a:t>
          </a:r>
          <a:r>
            <a:rPr lang="en-US" sz="1100" b="0" baseline="0">
              <a:solidFill>
                <a:sysClr val="windowText" lastClr="000000"/>
              </a:solidFill>
            </a:rPr>
            <a:t> calories compiled from FCTs may differ from the value derived using the Atwater system because in the FCT the amount of calories is:</a:t>
          </a:r>
        </a:p>
        <a:p>
          <a:pPr algn="l"/>
          <a:r>
            <a:rPr lang="en-US" sz="1100" b="0">
              <a:solidFill>
                <a:sysClr val="windowText" lastClr="000000"/>
              </a:solidFill>
            </a:rPr>
            <a:t>- from chemical analysis</a:t>
          </a:r>
          <a:r>
            <a:rPr lang="en-US" sz="1100" b="0" baseline="0">
              <a:solidFill>
                <a:sysClr val="windowText" lastClr="000000"/>
              </a:solidFill>
            </a:rPr>
            <a:t> (includes calories not assimilated by the body)</a:t>
          </a:r>
        </a:p>
        <a:p>
          <a:pPr algn="l"/>
          <a:r>
            <a:rPr lang="en-US" sz="1100" b="0" baseline="0">
              <a:solidFill>
                <a:sysClr val="windowText" lastClr="000000"/>
              </a:solidFill>
            </a:rPr>
            <a:t>- a system rather than the Atwater was used.</a:t>
          </a:r>
          <a:endParaRPr lang="en-US" sz="1100" b="0">
            <a:solidFill>
              <a:sysClr val="windowText" lastClr="000000"/>
            </a:solidFill>
          </a:endParaRPr>
        </a:p>
      </xdr:txBody>
    </xdr:sp>
    <xdr:clientData/>
  </xdr:twoCellAnchor>
  <xdr:twoCellAnchor>
    <xdr:from>
      <xdr:col>12</xdr:col>
      <xdr:colOff>190500</xdr:colOff>
      <xdr:row>0</xdr:row>
      <xdr:rowOff>38100</xdr:rowOff>
    </xdr:from>
    <xdr:to>
      <xdr:col>19</xdr:col>
      <xdr:colOff>546100</xdr:colOff>
      <xdr:row>9</xdr:row>
      <xdr:rowOff>152400</xdr:rowOff>
    </xdr:to>
    <xdr:sp macro="" textlink="">
      <xdr:nvSpPr>
        <xdr:cNvPr id="17" name="Rectangle 16">
          <a:extLst>
            <a:ext uri="{FF2B5EF4-FFF2-40B4-BE49-F238E27FC236}">
              <a16:creationId xmlns:a16="http://schemas.microsoft.com/office/drawing/2014/main" id="{00000000-0008-0000-0100-000011000000}"/>
            </a:ext>
          </a:extLst>
        </xdr:cNvPr>
        <xdr:cNvSpPr/>
      </xdr:nvSpPr>
      <xdr:spPr>
        <a:xfrm>
          <a:off x="11493500" y="38100"/>
          <a:ext cx="5283200" cy="1714500"/>
        </a:xfrm>
        <a:prstGeom prst="rect">
          <a:avLst/>
        </a:prstGeom>
        <a:solidFill>
          <a:schemeClr val="accent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Available carbohydrates:</a:t>
          </a:r>
          <a:r>
            <a:rPr lang="en-US" sz="1100" b="0">
              <a:solidFill>
                <a:sysClr val="windowText" lastClr="000000"/>
              </a:solidFill>
            </a:rPr>
            <a:t> If the nutrients are estimated as an average of nutrients from other food items we copy the value from "Averages" worksheet.</a:t>
          </a:r>
        </a:p>
        <a:p>
          <a:pPr algn="l"/>
          <a:endParaRPr lang="en-US" sz="1100" b="0">
            <a:solidFill>
              <a:sysClr val="windowText" lastClr="000000"/>
            </a:solidFill>
          </a:endParaRPr>
        </a:p>
        <a:p>
          <a:pPr algn="l"/>
          <a:r>
            <a:rPr lang="en-US" sz="1100" b="0">
              <a:solidFill>
                <a:sysClr val="windowText" lastClr="000000"/>
              </a:solidFill>
            </a:rPr>
            <a:t>Otherwise:</a:t>
          </a:r>
        </a:p>
        <a:p>
          <a:pPr algn="l"/>
          <a:endParaRPr lang="en-US" sz="1100" b="0">
            <a:solidFill>
              <a:sysClr val="windowText" lastClr="000000"/>
            </a:solidFill>
          </a:endParaRPr>
        </a:p>
        <a:p>
          <a:pPr algn="l"/>
          <a:r>
            <a:rPr lang="en-US" sz="1100" b="0">
              <a:solidFill>
                <a:sysClr val="windowText" lastClr="000000"/>
              </a:solidFill>
            </a:rPr>
            <a:t>If there is information on water, ash, protein, fats, fiber and alcohol we use the formula:</a:t>
          </a:r>
        </a:p>
        <a:p>
          <a:pPr algn="l"/>
          <a:r>
            <a:rPr lang="en-US" sz="1100" b="0">
              <a:solidFill>
                <a:sysClr val="windowText" lastClr="000000"/>
              </a:solidFill>
            </a:rPr>
            <a:t>fd_car=100 - Water - Protein - Fat - Alcohol - Fibre - Ash</a:t>
          </a:r>
        </a:p>
        <a:p>
          <a:pPr algn="l"/>
          <a:endParaRPr lang="en-US" sz="1100" b="0">
            <a:solidFill>
              <a:sysClr val="windowText" lastClr="000000"/>
            </a:solidFill>
          </a:endParaRPr>
        </a:p>
        <a:p>
          <a:pPr algn="l"/>
          <a:r>
            <a:rPr lang="en-US" sz="1100" b="0">
              <a:solidFill>
                <a:sysClr val="windowText" lastClr="000000"/>
              </a:solidFill>
            </a:rPr>
            <a:t>If in the FCT information on one of the macronutrients is missing we use the formula:</a:t>
          </a:r>
        </a:p>
        <a:p>
          <a:pPr algn="l"/>
          <a:r>
            <a:rPr lang="en-US" sz="1100" b="0">
              <a:solidFill>
                <a:sysClr val="windowText" lastClr="000000"/>
              </a:solidFill>
            </a:rPr>
            <a:t>fd_car=total carbohydrates - fiber</a:t>
          </a:r>
        </a:p>
      </xdr:txBody>
    </xdr:sp>
    <xdr:clientData/>
  </xdr:twoCellAnchor>
  <xdr:twoCellAnchor>
    <xdr:from>
      <xdr:col>31</xdr:col>
      <xdr:colOff>647700</xdr:colOff>
      <xdr:row>4</xdr:row>
      <xdr:rowOff>114300</xdr:rowOff>
    </xdr:from>
    <xdr:to>
      <xdr:col>39</xdr:col>
      <xdr:colOff>25400</xdr:colOff>
      <xdr:row>8</xdr:row>
      <xdr:rowOff>63500</xdr:rowOff>
    </xdr:to>
    <xdr:sp macro="" textlink="">
      <xdr:nvSpPr>
        <xdr:cNvPr id="18" name="Rectangle 17">
          <a:extLst>
            <a:ext uri="{FF2B5EF4-FFF2-40B4-BE49-F238E27FC236}">
              <a16:creationId xmlns:a16="http://schemas.microsoft.com/office/drawing/2014/main" id="{00000000-0008-0000-0100-000012000000}"/>
            </a:ext>
          </a:extLst>
        </xdr:cNvPr>
        <xdr:cNvSpPr/>
      </xdr:nvSpPr>
      <xdr:spPr>
        <a:xfrm>
          <a:off x="26631900" y="825500"/>
          <a:ext cx="5283200" cy="660400"/>
        </a:xfrm>
        <a:prstGeom prst="rect">
          <a:avLst/>
        </a:prstGeom>
        <a:solidFill>
          <a:schemeClr val="accent3">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Vitamin A</a:t>
          </a:r>
          <a:r>
            <a:rPr lang="en-US" sz="1100" b="0">
              <a:solidFill>
                <a:sysClr val="windowText" lastClr="000000"/>
              </a:solidFill>
            </a:rPr>
            <a:t>: The analyst chooses between expressing total vitamin A in Retinol Activity Equivalents (RAE) or Retinol Equivalents (RE). The suggested variable names are vita_rae and vita_re respectively.</a:t>
          </a:r>
        </a:p>
      </xdr:txBody>
    </xdr:sp>
    <xdr:clientData/>
  </xdr:twoCellAnchor>
  <xdr:twoCellAnchor>
    <xdr:from>
      <xdr:col>25</xdr:col>
      <xdr:colOff>914400</xdr:colOff>
      <xdr:row>10</xdr:row>
      <xdr:rowOff>25400</xdr:rowOff>
    </xdr:from>
    <xdr:to>
      <xdr:col>33</xdr:col>
      <xdr:colOff>114300</xdr:colOff>
      <xdr:row>12</xdr:row>
      <xdr:rowOff>0</xdr:rowOff>
    </xdr:to>
    <xdr:sp macro="" textlink="">
      <xdr:nvSpPr>
        <xdr:cNvPr id="19" name="Rectangle 18">
          <a:extLst>
            <a:ext uri="{FF2B5EF4-FFF2-40B4-BE49-F238E27FC236}">
              <a16:creationId xmlns:a16="http://schemas.microsoft.com/office/drawing/2014/main" id="{00000000-0008-0000-0100-000013000000}"/>
            </a:ext>
          </a:extLst>
        </xdr:cNvPr>
        <xdr:cNvSpPr/>
      </xdr:nvSpPr>
      <xdr:spPr>
        <a:xfrm>
          <a:off x="22275800" y="1803400"/>
          <a:ext cx="5626100" cy="330200"/>
        </a:xfrm>
        <a:prstGeom prst="rect">
          <a:avLst/>
        </a:prstGeom>
        <a:solidFill>
          <a:schemeClr val="accent3">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1 Beta-carotene equivalent </a:t>
          </a:r>
          <a:r>
            <a:rPr lang="en-US" sz="1100" b="0">
              <a:solidFill>
                <a:sysClr val="windowText" lastClr="000000"/>
              </a:solidFill>
            </a:rPr>
            <a:t>= 1 beta-carotene + 0.5 alpha-carotene + 0.5 beta-cryptoxanthin</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12</xdr:col>
      <xdr:colOff>88900</xdr:colOff>
      <xdr:row>0</xdr:row>
      <xdr:rowOff>101600</xdr:rowOff>
    </xdr:from>
    <xdr:to>
      <xdr:col>19</xdr:col>
      <xdr:colOff>419100</xdr:colOff>
      <xdr:row>8</xdr:row>
      <xdr:rowOff>127000</xdr:rowOff>
    </xdr:to>
    <xdr:sp macro="" textlink="">
      <xdr:nvSpPr>
        <xdr:cNvPr id="2" name="Rectangle 1">
          <a:extLst>
            <a:ext uri="{FF2B5EF4-FFF2-40B4-BE49-F238E27FC236}">
              <a16:creationId xmlns:a16="http://schemas.microsoft.com/office/drawing/2014/main" id="{00000000-0008-0000-0200-000002000000}"/>
            </a:ext>
          </a:extLst>
        </xdr:cNvPr>
        <xdr:cNvSpPr/>
      </xdr:nvSpPr>
      <xdr:spPr>
        <a:xfrm>
          <a:off x="10782300" y="101600"/>
          <a:ext cx="5041900" cy="1447800"/>
        </a:xfrm>
        <a:prstGeom prst="rect">
          <a:avLst/>
        </a:prstGeom>
        <a:solidFill>
          <a:schemeClr val="accent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Available carbohydrates:</a:t>
          </a:r>
          <a:r>
            <a:rPr lang="en-US" sz="1100" b="0">
              <a:solidFill>
                <a:sysClr val="windowText" lastClr="000000"/>
              </a:solidFill>
            </a:rPr>
            <a:t> </a:t>
          </a:r>
        </a:p>
        <a:p>
          <a:pPr algn="l"/>
          <a:r>
            <a:rPr lang="en-US" sz="1100" b="0">
              <a:solidFill>
                <a:sysClr val="windowText" lastClr="000000"/>
              </a:solidFill>
            </a:rPr>
            <a:t>If there is information on water, ash, protein, fats, fiber and alcohol we use the formula:</a:t>
          </a:r>
        </a:p>
        <a:p>
          <a:pPr algn="l"/>
          <a:r>
            <a:rPr lang="en-US" sz="1100" b="0">
              <a:solidFill>
                <a:sysClr val="windowText" lastClr="000000"/>
              </a:solidFill>
            </a:rPr>
            <a:t>fd_car=100 - Water - Protein - Fat - Alcohol - Fibre - Ash</a:t>
          </a:r>
        </a:p>
        <a:p>
          <a:pPr algn="l"/>
          <a:endParaRPr lang="en-US" sz="1100" b="0">
            <a:solidFill>
              <a:sysClr val="windowText" lastClr="000000"/>
            </a:solidFill>
          </a:endParaRPr>
        </a:p>
        <a:p>
          <a:pPr algn="l"/>
          <a:r>
            <a:rPr lang="en-US" sz="1100" b="0">
              <a:solidFill>
                <a:sysClr val="windowText" lastClr="000000"/>
              </a:solidFill>
            </a:rPr>
            <a:t>If in the FCT information on one of the macronutrients is missing we use the formula:</a:t>
          </a:r>
        </a:p>
        <a:p>
          <a:pPr algn="l"/>
          <a:r>
            <a:rPr lang="en-US" sz="1100" b="0">
              <a:solidFill>
                <a:sysClr val="windowText" lastClr="000000"/>
              </a:solidFill>
            </a:rPr>
            <a:t>fd_car=total carbohydrates - fiber</a:t>
          </a:r>
        </a:p>
        <a:p>
          <a:pPr algn="l"/>
          <a:endParaRPr lang="en-US" sz="1100" b="0">
            <a:solidFill>
              <a:sysClr val="windowText" lastClr="000000"/>
            </a:solidFill>
          </a:endParaRPr>
        </a:p>
      </xdr:txBody>
    </xdr:sp>
    <xdr:clientData/>
  </xdr:twoCellAnchor>
  <xdr:twoCellAnchor>
    <xdr:from>
      <xdr:col>16</xdr:col>
      <xdr:colOff>254000</xdr:colOff>
      <xdr:row>7</xdr:row>
      <xdr:rowOff>63500</xdr:rowOff>
    </xdr:from>
    <xdr:to>
      <xdr:col>16</xdr:col>
      <xdr:colOff>266700</xdr:colOff>
      <xdr:row>10</xdr:row>
      <xdr:rowOff>209552</xdr:rowOff>
    </xdr:to>
    <xdr:cxnSp macro="">
      <xdr:nvCxnSpPr>
        <xdr:cNvPr id="3" name="Straight Arrow Connector 2">
          <a:extLst>
            <a:ext uri="{FF2B5EF4-FFF2-40B4-BE49-F238E27FC236}">
              <a16:creationId xmlns:a16="http://schemas.microsoft.com/office/drawing/2014/main" id="{00000000-0008-0000-0200-000003000000}"/>
            </a:ext>
          </a:extLst>
        </xdr:cNvPr>
        <xdr:cNvCxnSpPr/>
      </xdr:nvCxnSpPr>
      <xdr:spPr>
        <a:xfrm flipV="1">
          <a:off x="13639800" y="1308100"/>
          <a:ext cx="12700" cy="679452"/>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533400</xdr:colOff>
      <xdr:row>2</xdr:row>
      <xdr:rowOff>25400</xdr:rowOff>
    </xdr:from>
    <xdr:to>
      <xdr:col>8</xdr:col>
      <xdr:colOff>762000</xdr:colOff>
      <xdr:row>8</xdr:row>
      <xdr:rowOff>152400</xdr:rowOff>
    </xdr:to>
    <xdr:sp macro="" textlink="">
      <xdr:nvSpPr>
        <xdr:cNvPr id="4" name="Rectangle 3">
          <a:extLst>
            <a:ext uri="{FF2B5EF4-FFF2-40B4-BE49-F238E27FC236}">
              <a16:creationId xmlns:a16="http://schemas.microsoft.com/office/drawing/2014/main" id="{00000000-0008-0000-0200-000004000000}"/>
            </a:ext>
          </a:extLst>
        </xdr:cNvPr>
        <xdr:cNvSpPr/>
      </xdr:nvSpPr>
      <xdr:spPr>
        <a:xfrm>
          <a:off x="3390900" y="381000"/>
          <a:ext cx="5041900" cy="1193800"/>
        </a:xfrm>
        <a:prstGeom prst="rect">
          <a:avLst/>
        </a:prstGeom>
        <a:solidFill>
          <a:srgbClr val="EBF1DE"/>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Weighting factor:</a:t>
          </a:r>
          <a:r>
            <a:rPr lang="en-US" sz="1100" b="0">
              <a:solidFill>
                <a:sysClr val="windowText" lastClr="000000"/>
              </a:solidFill>
            </a:rPr>
            <a:t> </a:t>
          </a:r>
        </a:p>
        <a:p>
          <a:pPr algn="l"/>
          <a:r>
            <a:rPr lang="en-US" sz="1100" b="0">
              <a:solidFill>
                <a:sysClr val="windowText" lastClr="000000"/>
              </a:solidFill>
            </a:rPr>
            <a:t>Corresponds</a:t>
          </a:r>
          <a:r>
            <a:rPr lang="en-US" sz="1100" b="0" baseline="0">
              <a:solidFill>
                <a:sysClr val="windowText" lastClr="000000"/>
              </a:solidFill>
            </a:rPr>
            <a:t> to the proportion of each type of the same food item consumed by the population. This information could be obtained from dietary intake surveys or from household and consumption expenditure suveys conducted in previous years. If no information is available the same weighthing factor should be applied to each food item's type.</a:t>
          </a:r>
          <a:endParaRPr lang="en-US" sz="1100" b="0">
            <a:solidFill>
              <a:sysClr val="windowText" lastClr="000000"/>
            </a:solidFill>
          </a:endParaRPr>
        </a:p>
        <a:p>
          <a:pPr algn="l"/>
          <a:endParaRPr lang="en-US" sz="1100" b="0">
            <a:solidFill>
              <a:sysClr val="windowText" lastClr="000000"/>
            </a:solidFill>
          </a:endParaRPr>
        </a:p>
      </xdr:txBody>
    </xdr:sp>
    <xdr:clientData/>
  </xdr:twoCellAnchor>
  <xdr:twoCellAnchor>
    <xdr:from>
      <xdr:col>5</xdr:col>
      <xdr:colOff>457200</xdr:colOff>
      <xdr:row>7</xdr:row>
      <xdr:rowOff>114300</xdr:rowOff>
    </xdr:from>
    <xdr:to>
      <xdr:col>5</xdr:col>
      <xdr:colOff>469900</xdr:colOff>
      <xdr:row>10</xdr:row>
      <xdr:rowOff>260352</xdr:rowOff>
    </xdr:to>
    <xdr:cxnSp macro="">
      <xdr:nvCxnSpPr>
        <xdr:cNvPr id="5" name="Straight Arrow Connector 4">
          <a:extLst>
            <a:ext uri="{FF2B5EF4-FFF2-40B4-BE49-F238E27FC236}">
              <a16:creationId xmlns:a16="http://schemas.microsoft.com/office/drawing/2014/main" id="{00000000-0008-0000-0200-000005000000}"/>
            </a:ext>
          </a:extLst>
        </xdr:cNvPr>
        <xdr:cNvCxnSpPr/>
      </xdr:nvCxnSpPr>
      <xdr:spPr>
        <a:xfrm flipV="1">
          <a:off x="5740400" y="1358900"/>
          <a:ext cx="12700" cy="679452"/>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26"/>
  <sheetViews>
    <sheetView showGridLines="0" topLeftCell="A12" workbookViewId="0">
      <selection activeCell="C21" sqref="C21"/>
    </sheetView>
  </sheetViews>
  <sheetFormatPr defaultColWidth="8.85546875" defaultRowHeight="15" x14ac:dyDescent="0.25"/>
  <cols>
    <col min="1" max="1" width="10.5703125" style="1" customWidth="1"/>
    <col min="2" max="2" width="18.42578125" style="1" customWidth="1"/>
    <col min="3" max="3" width="10.140625" style="1" customWidth="1"/>
    <col min="4" max="4" width="8.85546875" style="1"/>
    <col min="5" max="5" width="25.140625" style="1" customWidth="1"/>
    <col min="6" max="6" width="16.140625" style="1" customWidth="1"/>
    <col min="7" max="8" width="10.140625" style="1" customWidth="1"/>
    <col min="9" max="9" width="12.140625" style="1" customWidth="1"/>
    <col min="10" max="16" width="8.85546875" style="1"/>
    <col min="17" max="17" width="10" style="1" customWidth="1"/>
    <col min="18" max="18" width="8.85546875" style="1"/>
    <col min="19" max="19" width="10.42578125" style="1" customWidth="1"/>
    <col min="20" max="21" width="8.85546875" style="1"/>
    <col min="22" max="22" width="11.5703125" style="1" customWidth="1"/>
    <col min="23" max="27" width="12.5703125" style="1" customWidth="1"/>
    <col min="28" max="31" width="8.85546875" style="1"/>
    <col min="32" max="32" width="12.140625" style="1" customWidth="1"/>
    <col min="33" max="33" width="11.42578125" style="1" customWidth="1"/>
    <col min="34" max="38" width="8.85546875" style="1"/>
    <col min="39" max="39" width="9.5703125" style="1" customWidth="1"/>
    <col min="40" max="44" width="8.85546875" style="1"/>
    <col min="45" max="45" width="10" style="1" customWidth="1"/>
    <col min="46" max="46" width="10.140625" style="1" customWidth="1"/>
    <col min="47" max="16384" width="8.85546875" style="1"/>
  </cols>
  <sheetData>
    <row r="1" spans="1:46" ht="14.1" customHeight="1" x14ac:dyDescent="0.25">
      <c r="A1" s="17" t="s">
        <v>51</v>
      </c>
      <c r="AH1" s="73"/>
      <c r="AI1" s="63"/>
      <c r="AJ1" s="63"/>
      <c r="AK1" s="63"/>
      <c r="AL1" s="63"/>
      <c r="AM1" s="63"/>
      <c r="AN1" s="63"/>
    </row>
    <row r="2" spans="1:46" ht="14.1" customHeight="1" x14ac:dyDescent="0.25">
      <c r="A2" s="17"/>
      <c r="AH2" s="73"/>
      <c r="AI2" s="63"/>
      <c r="AJ2" s="63"/>
      <c r="AK2" s="63"/>
      <c r="AL2" s="63"/>
      <c r="AM2" s="63"/>
      <c r="AN2" s="63"/>
    </row>
    <row r="3" spans="1:46" ht="14.1" customHeight="1" x14ac:dyDescent="0.25">
      <c r="A3" s="17"/>
      <c r="AH3" s="73"/>
      <c r="AI3" s="63"/>
      <c r="AJ3" s="63"/>
      <c r="AK3" s="63"/>
      <c r="AL3" s="63"/>
      <c r="AM3" s="63"/>
      <c r="AN3" s="63"/>
    </row>
    <row r="4" spans="1:46" ht="14.1" customHeight="1" x14ac:dyDescent="0.25">
      <c r="A4" s="17"/>
      <c r="AH4" s="73"/>
      <c r="AI4" s="63"/>
      <c r="AJ4" s="63"/>
      <c r="AK4" s="63"/>
      <c r="AL4" s="63"/>
      <c r="AM4" s="63"/>
      <c r="AN4" s="63"/>
    </row>
    <row r="5" spans="1:46" ht="14.1" customHeight="1" x14ac:dyDescent="0.25">
      <c r="A5" s="17"/>
      <c r="AH5" s="73"/>
      <c r="AI5" s="63"/>
      <c r="AJ5" s="63"/>
      <c r="AK5" s="63"/>
      <c r="AL5" s="63"/>
      <c r="AM5" s="63"/>
      <c r="AN5" s="63"/>
    </row>
    <row r="6" spans="1:46" ht="14.1" customHeight="1" x14ac:dyDescent="0.25">
      <c r="A6" s="17"/>
      <c r="AH6" s="73"/>
      <c r="AI6" s="63"/>
      <c r="AJ6" s="63"/>
      <c r="AK6" s="63"/>
      <c r="AL6" s="63"/>
      <c r="AM6" s="63"/>
      <c r="AN6" s="63"/>
    </row>
    <row r="7" spans="1:46" x14ac:dyDescent="0.25">
      <c r="O7" s="61"/>
      <c r="AC7" s="62"/>
      <c r="AH7" s="73"/>
      <c r="AI7" s="63"/>
      <c r="AJ7" s="63"/>
      <c r="AK7" s="63"/>
      <c r="AL7" s="63"/>
      <c r="AM7" s="63"/>
      <c r="AN7" s="63"/>
    </row>
    <row r="8" spans="1:46" x14ac:dyDescent="0.25">
      <c r="AH8" s="73"/>
      <c r="AI8" s="63"/>
      <c r="AJ8" s="63"/>
      <c r="AK8" s="63"/>
      <c r="AL8" s="63"/>
      <c r="AM8" s="63"/>
      <c r="AN8" s="63"/>
    </row>
    <row r="9" spans="1:46" x14ac:dyDescent="0.25">
      <c r="AH9" s="73"/>
      <c r="AI9" s="63"/>
      <c r="AJ9" s="63"/>
      <c r="AK9" s="63"/>
      <c r="AL9" s="63"/>
      <c r="AM9" s="63"/>
      <c r="AN9" s="63"/>
    </row>
    <row r="10" spans="1:46" x14ac:dyDescent="0.25">
      <c r="AC10" s="74"/>
      <c r="AD10" s="74"/>
      <c r="AE10" s="74"/>
      <c r="AF10" s="74"/>
      <c r="AG10" s="74"/>
      <c r="AH10" s="74"/>
      <c r="AI10" s="74"/>
      <c r="AJ10" s="74"/>
      <c r="AK10" s="63"/>
      <c r="AL10" s="63"/>
      <c r="AM10" s="63"/>
      <c r="AN10" s="63"/>
    </row>
    <row r="12" spans="1:46" ht="105" x14ac:dyDescent="0.25">
      <c r="A12" s="2" t="s">
        <v>17</v>
      </c>
      <c r="B12" s="2" t="s">
        <v>18</v>
      </c>
      <c r="C12" s="2" t="s">
        <v>1</v>
      </c>
      <c r="D12" s="2" t="s">
        <v>2</v>
      </c>
      <c r="E12" s="2" t="s">
        <v>3</v>
      </c>
      <c r="F12" s="19" t="s">
        <v>52</v>
      </c>
      <c r="G12" s="2" t="s">
        <v>19</v>
      </c>
      <c r="H12" s="2" t="s">
        <v>20</v>
      </c>
      <c r="I12" s="2" t="s">
        <v>140</v>
      </c>
      <c r="J12" s="2" t="s">
        <v>5</v>
      </c>
      <c r="K12" s="2" t="s">
        <v>6</v>
      </c>
      <c r="L12" s="2" t="s">
        <v>21</v>
      </c>
      <c r="M12" s="2" t="s">
        <v>22</v>
      </c>
      <c r="N12" s="2" t="s">
        <v>23</v>
      </c>
      <c r="O12" s="2" t="s">
        <v>24</v>
      </c>
      <c r="P12" s="2" t="s">
        <v>4</v>
      </c>
      <c r="Q12" s="18" t="s">
        <v>25</v>
      </c>
      <c r="R12" s="2" t="s">
        <v>0</v>
      </c>
      <c r="S12" s="18" t="s">
        <v>26</v>
      </c>
      <c r="T12" s="2" t="s">
        <v>27</v>
      </c>
      <c r="U12" s="2" t="s">
        <v>28</v>
      </c>
      <c r="V12" s="18" t="s">
        <v>29</v>
      </c>
      <c r="W12" s="18" t="s">
        <v>30</v>
      </c>
      <c r="X12" s="2" t="s">
        <v>127</v>
      </c>
      <c r="Y12" s="2" t="s">
        <v>128</v>
      </c>
      <c r="Z12" s="2" t="s">
        <v>129</v>
      </c>
      <c r="AA12" s="2" t="s">
        <v>139</v>
      </c>
      <c r="AB12" s="2" t="s">
        <v>31</v>
      </c>
      <c r="AC12" s="2" t="s">
        <v>32</v>
      </c>
      <c r="AD12" s="2" t="s">
        <v>33</v>
      </c>
      <c r="AE12" s="2" t="s">
        <v>34</v>
      </c>
      <c r="AF12" s="2" t="s">
        <v>130</v>
      </c>
      <c r="AG12" s="2" t="s">
        <v>131</v>
      </c>
      <c r="AH12" s="2" t="s">
        <v>35</v>
      </c>
      <c r="AI12" s="2" t="s">
        <v>36</v>
      </c>
      <c r="AJ12" s="2" t="s">
        <v>37</v>
      </c>
      <c r="AK12" s="2" t="s">
        <v>38</v>
      </c>
      <c r="AL12" s="2" t="s">
        <v>39</v>
      </c>
      <c r="AM12" s="2" t="s">
        <v>40</v>
      </c>
      <c r="AN12" s="2" t="s">
        <v>41</v>
      </c>
      <c r="AO12" s="2" t="s">
        <v>42</v>
      </c>
      <c r="AP12" s="2" t="s">
        <v>43</v>
      </c>
      <c r="AQ12" s="2" t="s">
        <v>44</v>
      </c>
      <c r="AR12" s="2" t="s">
        <v>45</v>
      </c>
      <c r="AS12" s="2" t="s">
        <v>46</v>
      </c>
      <c r="AT12" s="2" t="s">
        <v>47</v>
      </c>
    </row>
    <row r="13" spans="1:46" ht="45" x14ac:dyDescent="0.25">
      <c r="A13" s="3">
        <v>1001</v>
      </c>
      <c r="B13" s="64" t="s">
        <v>117</v>
      </c>
      <c r="C13" s="9" t="s">
        <v>142</v>
      </c>
      <c r="D13" s="3"/>
      <c r="E13" s="14" t="s">
        <v>67</v>
      </c>
      <c r="F13" s="3" t="s">
        <v>66</v>
      </c>
      <c r="G13" s="3">
        <v>0</v>
      </c>
      <c r="H13" s="3">
        <v>1</v>
      </c>
      <c r="I13" s="3">
        <v>1</v>
      </c>
      <c r="J13" s="21">
        <v>11.891249999999999</v>
      </c>
      <c r="K13" s="21">
        <v>0.77187499999999987</v>
      </c>
      <c r="L13" s="21">
        <v>7.0018750000000001</v>
      </c>
      <c r="M13" s="21">
        <v>1.1331249999999999</v>
      </c>
      <c r="N13" s="21">
        <v>2.4187500000000002</v>
      </c>
      <c r="O13" s="5">
        <v>0</v>
      </c>
      <c r="P13" s="21">
        <v>79.201875000000015</v>
      </c>
      <c r="Q13" s="21">
        <v>76.391666666666666</v>
      </c>
      <c r="R13" s="21">
        <v>363.9375</v>
      </c>
      <c r="S13" s="5"/>
      <c r="T13" s="22">
        <v>16.5625</v>
      </c>
      <c r="U13" s="22">
        <v>1.1587499999999999</v>
      </c>
      <c r="V13" s="12"/>
      <c r="W13" s="22"/>
      <c r="X13" s="65">
        <v>0</v>
      </c>
      <c r="Y13" s="22">
        <v>1.04</v>
      </c>
      <c r="Z13" s="22">
        <v>1.3718750000000002</v>
      </c>
      <c r="AA13" s="22">
        <v>11</v>
      </c>
      <c r="AB13" s="22">
        <v>0</v>
      </c>
      <c r="AC13" s="22">
        <v>0.174875</v>
      </c>
      <c r="AD13" s="22">
        <v>5.4500000000000007E-2</v>
      </c>
      <c r="AE13" s="22">
        <v>0</v>
      </c>
      <c r="AF13" s="22">
        <v>0</v>
      </c>
      <c r="AG13" s="22">
        <v>0</v>
      </c>
      <c r="AH13" s="22">
        <v>0.23731250000000001</v>
      </c>
      <c r="AI13" s="65">
        <v>0</v>
      </c>
      <c r="AJ13" s="22">
        <v>0.30075000000000002</v>
      </c>
      <c r="AK13" s="22">
        <v>0.57887500000000003</v>
      </c>
      <c r="AL13" s="22">
        <v>0.25700000000000001</v>
      </c>
      <c r="AM13" s="22">
        <v>0.16275000000000001</v>
      </c>
      <c r="AN13" s="22">
        <v>0.37075000000000002</v>
      </c>
      <c r="AO13" s="22">
        <v>0.25224999999999997</v>
      </c>
      <c r="AP13" s="22">
        <v>8.3499999999999991E-2</v>
      </c>
      <c r="AQ13" s="22">
        <v>0.42281249999999998</v>
      </c>
      <c r="AR13" s="22">
        <v>0.16825000000000001</v>
      </c>
      <c r="AS13" s="22">
        <v>0.12725</v>
      </c>
      <c r="AT13" s="22">
        <v>0.24187500000000001</v>
      </c>
    </row>
    <row r="14" spans="1:46" x14ac:dyDescent="0.25">
      <c r="A14" s="3">
        <v>1002</v>
      </c>
      <c r="B14" s="4" t="s">
        <v>112</v>
      </c>
      <c r="C14" s="3" t="s">
        <v>7</v>
      </c>
      <c r="D14" s="3">
        <v>20027</v>
      </c>
      <c r="E14" s="14" t="s">
        <v>113</v>
      </c>
      <c r="F14" s="3" t="s">
        <v>110</v>
      </c>
      <c r="G14" s="3">
        <v>0</v>
      </c>
      <c r="H14" s="3">
        <v>1</v>
      </c>
      <c r="I14" s="3">
        <v>1</v>
      </c>
      <c r="J14" s="21">
        <v>8.32</v>
      </c>
      <c r="K14" s="21">
        <v>0.09</v>
      </c>
      <c r="L14" s="21">
        <v>0.26</v>
      </c>
      <c r="M14" s="21">
        <v>0.05</v>
      </c>
      <c r="N14" s="21">
        <v>0.9</v>
      </c>
      <c r="O14" s="5">
        <v>0</v>
      </c>
      <c r="P14" s="21">
        <v>91.27</v>
      </c>
      <c r="Q14" s="6"/>
      <c r="R14" s="21">
        <v>381</v>
      </c>
      <c r="S14" s="5"/>
      <c r="T14" s="22">
        <v>2</v>
      </c>
      <c r="U14" s="22">
        <v>0.47</v>
      </c>
      <c r="V14" s="12"/>
      <c r="W14" s="22"/>
      <c r="X14" s="65">
        <v>0</v>
      </c>
      <c r="Y14" s="22">
        <v>0.47</v>
      </c>
      <c r="Z14" s="22">
        <v>0.06</v>
      </c>
      <c r="AA14" s="22">
        <v>0</v>
      </c>
      <c r="AB14" s="22">
        <v>0</v>
      </c>
      <c r="AC14" s="22">
        <v>0</v>
      </c>
      <c r="AD14" s="22">
        <v>0</v>
      </c>
      <c r="AE14" s="22">
        <v>0</v>
      </c>
      <c r="AF14" s="22">
        <v>0</v>
      </c>
      <c r="AG14" s="22">
        <v>0</v>
      </c>
      <c r="AH14" s="22">
        <v>0</v>
      </c>
      <c r="AI14" s="65">
        <v>0</v>
      </c>
      <c r="AJ14" s="22">
        <v>0.01</v>
      </c>
      <c r="AK14" s="22">
        <v>3.5999999999999997E-2</v>
      </c>
      <c r="AL14" s="22">
        <v>6.0000000000000001E-3</v>
      </c>
      <c r="AM14" s="22">
        <v>6.0000000000000001E-3</v>
      </c>
      <c r="AN14" s="22">
        <v>1.2999999999999999E-2</v>
      </c>
      <c r="AO14" s="22">
        <v>8.9999999999999993E-3</v>
      </c>
      <c r="AP14" s="22">
        <v>1E-3</v>
      </c>
      <c r="AQ14" s="22">
        <v>1.4E-2</v>
      </c>
      <c r="AR14" s="22">
        <v>8.0000000000000002E-3</v>
      </c>
      <c r="AS14" s="22">
        <v>6.0000000000000001E-3</v>
      </c>
      <c r="AT14" s="22">
        <v>0.01</v>
      </c>
    </row>
    <row r="15" spans="1:46" x14ac:dyDescent="0.25">
      <c r="A15" s="6">
        <v>3002</v>
      </c>
      <c r="B15" s="64" t="s">
        <v>8</v>
      </c>
      <c r="C15" s="3" t="s">
        <v>7</v>
      </c>
      <c r="D15" s="8" t="s">
        <v>15</v>
      </c>
      <c r="E15" s="14" t="s">
        <v>9</v>
      </c>
      <c r="F15" s="3" t="s">
        <v>68</v>
      </c>
      <c r="G15" s="3">
        <v>36</v>
      </c>
      <c r="H15" s="3">
        <v>8</v>
      </c>
      <c r="I15" s="3">
        <v>7</v>
      </c>
      <c r="J15" s="3">
        <v>74.91</v>
      </c>
      <c r="K15" s="66"/>
      <c r="L15" s="3">
        <v>1.0900000000000001</v>
      </c>
      <c r="M15" s="3">
        <v>0.33</v>
      </c>
      <c r="N15" s="3">
        <v>2.6</v>
      </c>
      <c r="O15" s="3">
        <v>0</v>
      </c>
      <c r="P15" s="3">
        <v>22.84</v>
      </c>
      <c r="Q15" s="6"/>
      <c r="R15" s="3">
        <v>89</v>
      </c>
      <c r="S15" s="5"/>
      <c r="T15" s="6">
        <v>5</v>
      </c>
      <c r="U15" s="6">
        <v>0.26</v>
      </c>
      <c r="V15" s="12"/>
      <c r="W15" s="6"/>
      <c r="X15" s="65">
        <v>0</v>
      </c>
      <c r="Y15" s="6">
        <v>0.26</v>
      </c>
      <c r="Z15" s="6">
        <v>0.15</v>
      </c>
      <c r="AA15" s="6">
        <v>20</v>
      </c>
      <c r="AB15" s="6">
        <v>8.6999999999999993</v>
      </c>
      <c r="AC15" s="6">
        <v>3.1E-2</v>
      </c>
      <c r="AD15" s="6">
        <v>7.2999999999999995E-2</v>
      </c>
      <c r="AE15" s="6">
        <v>0</v>
      </c>
      <c r="AF15" s="6">
        <v>38.5</v>
      </c>
      <c r="AG15" s="6">
        <v>3</v>
      </c>
      <c r="AH15" s="6">
        <v>0.36699999999999999</v>
      </c>
      <c r="AI15" s="65">
        <v>0</v>
      </c>
      <c r="AJ15" s="6">
        <v>2.8000000000000001E-2</v>
      </c>
      <c r="AK15" s="6">
        <v>6.8000000000000005E-2</v>
      </c>
      <c r="AL15" s="6">
        <v>0.05</v>
      </c>
      <c r="AM15" s="6">
        <v>8.0000000000000002E-3</v>
      </c>
      <c r="AN15" s="6">
        <v>4.9000000000000002E-2</v>
      </c>
      <c r="AO15" s="6">
        <v>2.8000000000000001E-2</v>
      </c>
      <c r="AP15" s="6">
        <v>8.9999999999999993E-3</v>
      </c>
      <c r="AQ15" s="6">
        <v>4.7E-2</v>
      </c>
      <c r="AR15" s="6">
        <v>7.6999999999999999E-2</v>
      </c>
      <c r="AS15" s="6">
        <v>8.9999999999999993E-3</v>
      </c>
      <c r="AT15" s="6">
        <v>8.9999999999999993E-3</v>
      </c>
    </row>
    <row r="16" spans="1:46" ht="45" x14ac:dyDescent="0.25">
      <c r="A16" s="6">
        <v>4002</v>
      </c>
      <c r="B16" s="7" t="s">
        <v>10</v>
      </c>
      <c r="C16" s="9" t="s">
        <v>142</v>
      </c>
      <c r="D16" s="3"/>
      <c r="E16" s="24" t="s">
        <v>67</v>
      </c>
      <c r="F16" s="9" t="s">
        <v>66</v>
      </c>
      <c r="G16" s="3">
        <v>9</v>
      </c>
      <c r="H16" s="3">
        <v>7</v>
      </c>
      <c r="I16" s="3">
        <v>5</v>
      </c>
      <c r="J16" s="25">
        <v>94.39500000000001</v>
      </c>
      <c r="K16" s="25">
        <v>0.54749999999999999</v>
      </c>
      <c r="L16" s="21">
        <v>1.0549999999999999</v>
      </c>
      <c r="M16" s="21">
        <v>0.21250000000000002</v>
      </c>
      <c r="N16" s="21">
        <v>0.97499999999999998</v>
      </c>
      <c r="O16" s="5">
        <v>0</v>
      </c>
      <c r="P16" s="21">
        <v>3.7875000000000001</v>
      </c>
      <c r="Q16" s="6">
        <v>2.8149999999999999</v>
      </c>
      <c r="R16" s="21">
        <v>18</v>
      </c>
      <c r="S16" s="5"/>
      <c r="T16" s="22">
        <v>9.75</v>
      </c>
      <c r="U16" s="22">
        <v>0.435</v>
      </c>
      <c r="V16" s="12"/>
      <c r="W16" s="22"/>
      <c r="X16" s="65">
        <v>0</v>
      </c>
      <c r="Y16" s="22">
        <v>0.435</v>
      </c>
      <c r="Z16" s="22">
        <v>0.18000000000000002</v>
      </c>
      <c r="AA16" s="22">
        <v>20.75</v>
      </c>
      <c r="AB16" s="22">
        <v>15.525</v>
      </c>
      <c r="AC16" s="22">
        <v>4.5999999999999999E-2</v>
      </c>
      <c r="AD16" s="22">
        <v>3.5000000000000003E-2</v>
      </c>
      <c r="AE16" s="22">
        <v>0</v>
      </c>
      <c r="AF16" s="22">
        <v>446.125</v>
      </c>
      <c r="AG16" s="22">
        <v>37.25</v>
      </c>
      <c r="AH16" s="22">
        <v>6.9250000000000006E-2</v>
      </c>
      <c r="AI16" s="65">
        <v>0</v>
      </c>
      <c r="AJ16" s="22">
        <v>2.4250000000000001E-2</v>
      </c>
      <c r="AK16" s="22">
        <v>3.6750000000000005E-2</v>
      </c>
      <c r="AL16" s="22">
        <v>3.7250000000000005E-2</v>
      </c>
      <c r="AM16" s="22">
        <v>8.5000000000000006E-3</v>
      </c>
      <c r="AN16" s="22">
        <v>2.8249999999999997E-2</v>
      </c>
      <c r="AO16" s="22">
        <v>2.75E-2</v>
      </c>
      <c r="AP16" s="22">
        <v>7.4999999999999997E-3</v>
      </c>
      <c r="AQ16" s="22">
        <v>2.6000000000000002E-2</v>
      </c>
      <c r="AR16" s="22">
        <v>1.6250000000000001E-2</v>
      </c>
      <c r="AS16" s="22">
        <v>1.325E-2</v>
      </c>
      <c r="AT16" s="22">
        <v>1.8000000000000002E-2</v>
      </c>
    </row>
    <row r="17" spans="1:46" s="62" customFormat="1" x14ac:dyDescent="0.25">
      <c r="A17" s="75">
        <v>4004</v>
      </c>
      <c r="B17" s="76" t="s">
        <v>143</v>
      </c>
      <c r="C17" s="76"/>
      <c r="D17" s="76"/>
      <c r="E17" s="77" t="s">
        <v>67</v>
      </c>
      <c r="F17" s="75" t="s">
        <v>66</v>
      </c>
      <c r="G17" s="78">
        <v>0</v>
      </c>
      <c r="H17" s="78">
        <v>7.0000000000000009</v>
      </c>
      <c r="I17" s="78">
        <v>5</v>
      </c>
      <c r="J17" s="78">
        <v>62.32480000000001</v>
      </c>
      <c r="K17" s="78">
        <v>0.4466</v>
      </c>
      <c r="L17" s="78">
        <v>1.0284</v>
      </c>
      <c r="M17" s="78">
        <v>0.17920000000000003</v>
      </c>
      <c r="N17" s="78">
        <v>1.2686000000000002</v>
      </c>
      <c r="O17" s="78">
        <v>0</v>
      </c>
      <c r="P17" s="78">
        <v>4.8390000000000004</v>
      </c>
      <c r="Q17" s="78">
        <v>3.5523999999999996</v>
      </c>
      <c r="R17" s="78">
        <v>22.474</v>
      </c>
      <c r="S17" s="79"/>
      <c r="T17" s="78">
        <v>20.029800000000002</v>
      </c>
      <c r="U17" s="78">
        <v>0.38</v>
      </c>
      <c r="V17" s="79"/>
      <c r="W17" s="79"/>
      <c r="X17" s="78">
        <v>0</v>
      </c>
      <c r="Y17" s="78">
        <v>0.38</v>
      </c>
      <c r="Z17" s="78">
        <v>0.25638</v>
      </c>
      <c r="AA17" s="78">
        <v>46.110000000000007</v>
      </c>
      <c r="AB17" s="78">
        <v>11.958200000000001</v>
      </c>
      <c r="AC17" s="78">
        <v>3.2690000000000004E-2</v>
      </c>
      <c r="AD17" s="78">
        <v>3.4270000000000002E-2</v>
      </c>
      <c r="AE17" s="78">
        <v>0</v>
      </c>
      <c r="AF17" s="78">
        <v>31.262</v>
      </c>
      <c r="AG17" s="78">
        <v>2.6025420000000006</v>
      </c>
      <c r="AH17" s="78">
        <v>7.5560000000000002E-2</v>
      </c>
      <c r="AI17" s="78">
        <v>0</v>
      </c>
      <c r="AJ17" s="80">
        <v>2.4850000000000004E-2</v>
      </c>
      <c r="AK17" s="80">
        <v>3.9028E-2</v>
      </c>
      <c r="AL17" s="80">
        <v>3.8464000000000005E-2</v>
      </c>
      <c r="AM17" s="80">
        <v>8.7599999999999987E-3</v>
      </c>
      <c r="AN17" s="80">
        <v>2.1956000000000003E-2</v>
      </c>
      <c r="AO17" s="80">
        <v>2.3766000000000002E-2</v>
      </c>
      <c r="AP17" s="80">
        <v>9.4199999999999996E-3</v>
      </c>
      <c r="AQ17" s="80">
        <v>3.5476000000000001E-2</v>
      </c>
      <c r="AR17" s="80">
        <v>1.4055999999999999E-2</v>
      </c>
      <c r="AS17" s="80">
        <v>3.7360000000000006E-3</v>
      </c>
      <c r="AT17" s="80">
        <v>1.3845999999999999E-2</v>
      </c>
    </row>
    <row r="18" spans="1:46" s="13" customFormat="1" x14ac:dyDescent="0.25">
      <c r="A18" s="6">
        <v>5005</v>
      </c>
      <c r="B18" s="7" t="s">
        <v>109</v>
      </c>
      <c r="C18" s="3" t="s">
        <v>7</v>
      </c>
      <c r="D18" s="10" t="s">
        <v>16</v>
      </c>
      <c r="E18" s="15" t="s">
        <v>48</v>
      </c>
      <c r="F18" s="3" t="s">
        <v>110</v>
      </c>
      <c r="G18" s="6">
        <v>12</v>
      </c>
      <c r="H18" s="6">
        <v>13</v>
      </c>
      <c r="I18" s="6">
        <v>10</v>
      </c>
      <c r="J18" s="11">
        <v>76.150000000000006</v>
      </c>
      <c r="K18" s="11">
        <v>1.06</v>
      </c>
      <c r="L18" s="6">
        <v>12.56</v>
      </c>
      <c r="M18" s="6">
        <v>9.51</v>
      </c>
      <c r="N18" s="6">
        <v>0</v>
      </c>
      <c r="O18" s="6">
        <v>0</v>
      </c>
      <c r="P18" s="6">
        <v>0.72</v>
      </c>
      <c r="Q18" s="6"/>
      <c r="R18" s="6">
        <v>143</v>
      </c>
      <c r="S18" s="12"/>
      <c r="T18" s="6">
        <v>56</v>
      </c>
      <c r="U18" s="6">
        <v>1.75</v>
      </c>
      <c r="V18" s="6"/>
      <c r="W18" s="6"/>
      <c r="X18" s="65">
        <v>0</v>
      </c>
      <c r="Y18" s="6">
        <v>1.75</v>
      </c>
      <c r="Z18" s="6">
        <v>1.29</v>
      </c>
      <c r="AA18" s="6">
        <v>47</v>
      </c>
      <c r="AB18" s="6">
        <v>0</v>
      </c>
      <c r="AC18" s="6">
        <v>0.04</v>
      </c>
      <c r="AD18" s="6">
        <v>0.45700000000000002</v>
      </c>
      <c r="AE18" s="6">
        <v>160</v>
      </c>
      <c r="AF18" s="6">
        <v>0</v>
      </c>
      <c r="AG18" s="6">
        <v>160</v>
      </c>
      <c r="AH18" s="6">
        <v>0.17</v>
      </c>
      <c r="AI18" s="6">
        <v>0.89</v>
      </c>
      <c r="AJ18" s="6">
        <v>0.67100000000000004</v>
      </c>
      <c r="AK18" s="6">
        <v>1.0860000000000001</v>
      </c>
      <c r="AL18" s="6">
        <v>0.91200000000000003</v>
      </c>
      <c r="AM18" s="6">
        <v>0.38</v>
      </c>
      <c r="AN18" s="6">
        <v>0.68</v>
      </c>
      <c r="AO18" s="6">
        <v>0.55600000000000005</v>
      </c>
      <c r="AP18" s="6">
        <v>0.16700000000000001</v>
      </c>
      <c r="AQ18" s="6">
        <v>0.85799999999999998</v>
      </c>
      <c r="AR18" s="6">
        <v>0.309</v>
      </c>
      <c r="AS18" s="6">
        <v>0.27200000000000002</v>
      </c>
      <c r="AT18" s="6">
        <v>0.499</v>
      </c>
    </row>
    <row r="19" spans="1:46" s="13" customFormat="1" ht="30" x14ac:dyDescent="0.25">
      <c r="A19" s="6">
        <v>6002</v>
      </c>
      <c r="B19" s="7" t="s">
        <v>132</v>
      </c>
      <c r="C19" s="3" t="s">
        <v>7</v>
      </c>
      <c r="D19" s="10" t="s">
        <v>133</v>
      </c>
      <c r="E19" s="15" t="s">
        <v>134</v>
      </c>
      <c r="F19" s="3" t="s">
        <v>68</v>
      </c>
      <c r="G19" s="6">
        <v>20</v>
      </c>
      <c r="H19" s="6">
        <v>12</v>
      </c>
      <c r="I19" s="6">
        <v>9</v>
      </c>
      <c r="J19" s="11">
        <v>69.459999999999994</v>
      </c>
      <c r="K19" s="11">
        <v>1.01</v>
      </c>
      <c r="L19" s="6">
        <v>20.85</v>
      </c>
      <c r="M19" s="6">
        <v>9.25</v>
      </c>
      <c r="N19" s="6">
        <v>0</v>
      </c>
      <c r="O19" s="6">
        <v>0</v>
      </c>
      <c r="P19" s="6">
        <v>0</v>
      </c>
      <c r="Q19" s="6"/>
      <c r="R19" s="6">
        <v>172</v>
      </c>
      <c r="S19" s="12"/>
      <c r="T19" s="6">
        <v>11</v>
      </c>
      <c r="U19" s="6">
        <v>0.74</v>
      </c>
      <c r="V19" s="6"/>
      <c r="W19" s="6"/>
      <c r="X19" s="65">
        <f>+U19*30/100</f>
        <v>0.222</v>
      </c>
      <c r="Y19" s="22">
        <f>+V19-X19</f>
        <v>-0.222</v>
      </c>
      <c r="Z19" s="22">
        <v>0.8</v>
      </c>
      <c r="AA19" s="6">
        <v>4</v>
      </c>
      <c r="AB19" s="6">
        <v>0</v>
      </c>
      <c r="AC19" s="6">
        <v>6.3E-2</v>
      </c>
      <c r="AD19" s="6">
        <v>8.5000000000000006E-2</v>
      </c>
      <c r="AE19" s="6">
        <v>24</v>
      </c>
      <c r="AF19" s="6">
        <v>0</v>
      </c>
      <c r="AG19" s="6">
        <v>24</v>
      </c>
      <c r="AH19" s="6">
        <v>0.53</v>
      </c>
      <c r="AI19" s="6">
        <v>0.34</v>
      </c>
      <c r="AJ19" s="6">
        <v>1.0629999999999999</v>
      </c>
      <c r="AK19" s="6">
        <v>1.534</v>
      </c>
      <c r="AL19" s="6">
        <v>1.7250000000000001</v>
      </c>
      <c r="AM19" s="6">
        <v>0.56299999999999994</v>
      </c>
      <c r="AN19" s="6">
        <v>0.81599999999999995</v>
      </c>
      <c r="AO19" s="6">
        <v>0.86899999999999999</v>
      </c>
      <c r="AP19" s="6">
        <v>0.23699999999999999</v>
      </c>
      <c r="AQ19" s="6">
        <v>1.02</v>
      </c>
      <c r="AR19" s="6">
        <v>0.625</v>
      </c>
      <c r="AS19" s="6">
        <v>0.27400000000000002</v>
      </c>
      <c r="AT19" s="6">
        <v>0.68400000000000005</v>
      </c>
    </row>
    <row r="20" spans="1:46" s="13" customFormat="1" x14ac:dyDescent="0.25">
      <c r="A20" s="6">
        <v>7004</v>
      </c>
      <c r="B20" s="7" t="s">
        <v>114</v>
      </c>
      <c r="C20" s="3" t="s">
        <v>115</v>
      </c>
      <c r="D20" s="10" t="s">
        <v>135</v>
      </c>
      <c r="E20" s="15" t="s">
        <v>116</v>
      </c>
      <c r="F20" s="3" t="s">
        <v>68</v>
      </c>
      <c r="G20" s="67"/>
      <c r="H20" s="6">
        <v>9</v>
      </c>
      <c r="I20" s="6">
        <v>16</v>
      </c>
      <c r="J20" s="11">
        <v>9.3000000000000007</v>
      </c>
      <c r="K20" s="11">
        <v>7</v>
      </c>
      <c r="L20" s="6">
        <v>19.600000000000001</v>
      </c>
      <c r="M20" s="6">
        <v>2</v>
      </c>
      <c r="N20" s="6">
        <v>55.8</v>
      </c>
      <c r="O20" s="6">
        <v>0</v>
      </c>
      <c r="P20" s="6">
        <v>62.1</v>
      </c>
      <c r="Q20" s="6"/>
      <c r="R20" s="6">
        <v>229.53</v>
      </c>
      <c r="S20" s="12"/>
      <c r="T20" s="6">
        <v>430</v>
      </c>
      <c r="U20" s="6">
        <v>18</v>
      </c>
      <c r="V20" s="6"/>
      <c r="W20" s="22"/>
      <c r="X20" s="65">
        <v>0</v>
      </c>
      <c r="Y20" s="22">
        <v>18</v>
      </c>
      <c r="Z20" s="22">
        <v>2.9</v>
      </c>
      <c r="AA20" s="6">
        <v>0</v>
      </c>
      <c r="AB20" s="6">
        <v>0</v>
      </c>
      <c r="AC20" s="6">
        <v>0.14000000000000001</v>
      </c>
      <c r="AD20" s="6">
        <v>0.95</v>
      </c>
      <c r="AE20" s="6">
        <v>0</v>
      </c>
      <c r="AF20" s="6">
        <v>0</v>
      </c>
      <c r="AG20" s="6">
        <v>0</v>
      </c>
      <c r="AH20" s="6">
        <v>0.3</v>
      </c>
      <c r="AI20" s="6">
        <v>0</v>
      </c>
      <c r="AJ20" s="6">
        <v>0</v>
      </c>
      <c r="AK20" s="6">
        <v>0</v>
      </c>
      <c r="AL20" s="6">
        <v>0</v>
      </c>
      <c r="AM20" s="6">
        <v>0</v>
      </c>
      <c r="AN20" s="6">
        <v>0</v>
      </c>
      <c r="AO20" s="6">
        <v>0</v>
      </c>
      <c r="AP20" s="6">
        <v>0.82</v>
      </c>
      <c r="AQ20" s="6">
        <v>0</v>
      </c>
      <c r="AR20" s="6">
        <v>0</v>
      </c>
      <c r="AS20" s="6">
        <v>0</v>
      </c>
      <c r="AT20" s="6">
        <v>0</v>
      </c>
    </row>
    <row r="21" spans="1:46" ht="30" x14ac:dyDescent="0.25">
      <c r="A21" s="6">
        <v>8003</v>
      </c>
      <c r="B21" s="7" t="s">
        <v>12</v>
      </c>
      <c r="C21" s="6" t="s">
        <v>7</v>
      </c>
      <c r="D21" s="6">
        <v>14003</v>
      </c>
      <c r="E21" s="15" t="s">
        <v>13</v>
      </c>
      <c r="F21" s="6" t="s">
        <v>68</v>
      </c>
      <c r="G21" s="6">
        <v>0</v>
      </c>
      <c r="H21" s="12">
        <v>11</v>
      </c>
      <c r="I21" s="12">
        <v>16</v>
      </c>
      <c r="J21" s="6">
        <v>91.96</v>
      </c>
      <c r="K21" s="6">
        <v>0.16</v>
      </c>
      <c r="L21" s="6">
        <v>0.46</v>
      </c>
      <c r="M21" s="6">
        <v>0</v>
      </c>
      <c r="N21" s="6">
        <v>0</v>
      </c>
      <c r="O21" s="6">
        <v>3.9</v>
      </c>
      <c r="P21" s="6">
        <v>3.55</v>
      </c>
      <c r="Q21" s="6"/>
      <c r="R21" s="6">
        <v>43</v>
      </c>
      <c r="S21" s="5"/>
      <c r="T21" s="6">
        <v>4</v>
      </c>
      <c r="U21" s="6">
        <v>0.02</v>
      </c>
      <c r="V21" s="6"/>
      <c r="W21" s="6"/>
      <c r="X21" s="65">
        <v>0</v>
      </c>
      <c r="Y21" s="6">
        <v>0.02</v>
      </c>
      <c r="Z21" s="6">
        <v>0.01</v>
      </c>
      <c r="AA21" s="6">
        <v>6</v>
      </c>
      <c r="AB21" s="6">
        <v>0</v>
      </c>
      <c r="AC21" s="6">
        <v>5.0000000000000001E-3</v>
      </c>
      <c r="AD21" s="6">
        <v>2.5000000000000001E-2</v>
      </c>
      <c r="AE21" s="6">
        <v>0</v>
      </c>
      <c r="AF21" s="6">
        <v>0</v>
      </c>
      <c r="AG21" s="6">
        <v>0</v>
      </c>
      <c r="AH21" s="6">
        <v>4.5999999999999999E-2</v>
      </c>
      <c r="AI21" s="6">
        <v>0</v>
      </c>
      <c r="AJ21" s="6">
        <v>0</v>
      </c>
      <c r="AK21" s="6">
        <v>0</v>
      </c>
      <c r="AL21" s="6">
        <v>0</v>
      </c>
      <c r="AM21" s="6">
        <v>0</v>
      </c>
      <c r="AN21" s="6">
        <v>0</v>
      </c>
      <c r="AO21" s="6">
        <v>0</v>
      </c>
      <c r="AP21" s="6">
        <v>0</v>
      </c>
      <c r="AQ21" s="6">
        <v>0</v>
      </c>
      <c r="AR21" s="6">
        <v>0</v>
      </c>
      <c r="AS21" s="6">
        <v>0</v>
      </c>
      <c r="AT21" s="6">
        <v>0</v>
      </c>
    </row>
    <row r="22" spans="1:46" x14ac:dyDescent="0.25">
      <c r="A22" s="3">
        <v>9002</v>
      </c>
      <c r="B22" s="4" t="s">
        <v>14</v>
      </c>
      <c r="C22" s="3"/>
      <c r="D22" s="3"/>
      <c r="E22" s="14"/>
      <c r="F22" s="3" t="s">
        <v>111</v>
      </c>
      <c r="G22" s="6">
        <v>0</v>
      </c>
      <c r="H22" s="6">
        <v>19</v>
      </c>
      <c r="I22" s="6">
        <v>17</v>
      </c>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row>
    <row r="24" spans="1:46" ht="15.75" thickBot="1" x14ac:dyDescent="0.3"/>
    <row r="25" spans="1:46" ht="61.5" thickTop="1" thickBot="1" x14ac:dyDescent="0.3">
      <c r="A25" s="68" t="s">
        <v>136</v>
      </c>
      <c r="B25" s="69" t="s">
        <v>137</v>
      </c>
      <c r="E25" s="63"/>
    </row>
    <row r="26" spans="1:46" ht="15.75" thickTop="1" x14ac:dyDescent="0.25">
      <c r="E26" s="71"/>
    </row>
  </sheetData>
  <pageMargins left="0.7" right="0.7" top="0.75" bottom="0.75" header="0.3" footer="0.3"/>
  <pageSetup orientation="portrait"/>
  <drawing r:id="rId1"/>
  <legacyDrawing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T28"/>
  <sheetViews>
    <sheetView showGridLines="0" topLeftCell="A9" workbookViewId="0">
      <selection activeCell="E20" sqref="E20"/>
    </sheetView>
  </sheetViews>
  <sheetFormatPr defaultColWidth="8.85546875" defaultRowHeight="15" x14ac:dyDescent="0.25"/>
  <cols>
    <col min="1" max="1" width="10.5703125" style="1" customWidth="1"/>
    <col min="2" max="2" width="18.42578125" style="1" customWidth="1"/>
    <col min="3" max="3" width="10.140625" style="1" customWidth="1"/>
    <col min="4" max="4" width="8.85546875" style="1"/>
    <col min="5" max="5" width="25.140625" style="1" customWidth="1"/>
    <col min="6" max="6" width="16.140625" style="1" customWidth="1"/>
    <col min="7" max="8" width="10.140625" style="1" customWidth="1"/>
    <col min="9" max="9" width="12.140625" style="1" customWidth="1"/>
    <col min="10" max="16" width="8.85546875" style="1"/>
    <col min="17" max="17" width="10" style="1" customWidth="1"/>
    <col min="18" max="18" width="8.85546875" style="1"/>
    <col min="19" max="19" width="10.42578125" style="1" customWidth="1"/>
    <col min="20" max="21" width="8.85546875" style="1"/>
    <col min="22" max="22" width="11.5703125" style="1" customWidth="1"/>
    <col min="23" max="27" width="12.5703125" style="1" customWidth="1"/>
    <col min="28" max="31" width="8.85546875" style="1"/>
    <col min="32" max="32" width="12.140625" style="1" customWidth="1"/>
    <col min="33" max="33" width="11.42578125" style="1" customWidth="1"/>
    <col min="34" max="38" width="8.85546875" style="1"/>
    <col min="39" max="39" width="9.5703125" style="1" customWidth="1"/>
    <col min="40" max="44" width="8.85546875" style="1"/>
    <col min="45" max="45" width="10" style="1" customWidth="1"/>
    <col min="46" max="46" width="10.140625" style="1" customWidth="1"/>
    <col min="47" max="16384" width="8.85546875" style="1"/>
  </cols>
  <sheetData>
    <row r="1" spans="1:46" ht="14.1" customHeight="1" x14ac:dyDescent="0.25">
      <c r="A1" s="17" t="s">
        <v>51</v>
      </c>
      <c r="AH1" s="73"/>
      <c r="AI1" s="63"/>
      <c r="AJ1" s="63"/>
      <c r="AK1" s="63"/>
      <c r="AL1" s="63"/>
      <c r="AM1" s="63"/>
      <c r="AN1" s="63"/>
    </row>
    <row r="2" spans="1:46" x14ac:dyDescent="0.25">
      <c r="O2" s="61"/>
      <c r="AC2" s="62"/>
      <c r="AH2" s="73"/>
      <c r="AI2" s="63"/>
      <c r="AJ2" s="63"/>
      <c r="AK2" s="63"/>
      <c r="AL2" s="63"/>
      <c r="AM2" s="63"/>
      <c r="AN2" s="63"/>
    </row>
    <row r="3" spans="1:46" x14ac:dyDescent="0.25">
      <c r="O3" s="61"/>
      <c r="AC3" s="62"/>
      <c r="AH3" s="73"/>
      <c r="AI3" s="63"/>
      <c r="AJ3" s="63"/>
      <c r="AK3" s="63"/>
      <c r="AL3" s="63"/>
      <c r="AM3" s="63"/>
      <c r="AN3" s="63"/>
    </row>
    <row r="4" spans="1:46" x14ac:dyDescent="0.25">
      <c r="O4" s="61"/>
      <c r="AC4" s="62"/>
      <c r="AH4" s="73"/>
      <c r="AI4" s="63"/>
      <c r="AJ4" s="63"/>
      <c r="AK4" s="63"/>
      <c r="AL4" s="63"/>
      <c r="AM4" s="63"/>
      <c r="AN4" s="63"/>
    </row>
    <row r="5" spans="1:46" x14ac:dyDescent="0.25">
      <c r="O5" s="61"/>
      <c r="AC5" s="62"/>
      <c r="AH5" s="73"/>
      <c r="AI5" s="63"/>
      <c r="AJ5" s="63"/>
      <c r="AK5" s="63"/>
      <c r="AL5" s="63"/>
      <c r="AM5" s="63"/>
      <c r="AN5" s="63"/>
    </row>
    <row r="6" spans="1:46" x14ac:dyDescent="0.25">
      <c r="O6" s="61"/>
      <c r="AC6" s="62"/>
      <c r="AH6" s="73"/>
      <c r="AI6" s="63"/>
      <c r="AJ6" s="63"/>
      <c r="AK6" s="63"/>
      <c r="AL6" s="63"/>
      <c r="AM6" s="63"/>
      <c r="AN6" s="63"/>
    </row>
    <row r="7" spans="1:46" x14ac:dyDescent="0.25">
      <c r="O7" s="61"/>
      <c r="AC7" s="62"/>
      <c r="AH7" s="73"/>
      <c r="AI7" s="63"/>
      <c r="AJ7" s="63"/>
      <c r="AK7" s="63"/>
      <c r="AL7" s="63"/>
      <c r="AM7" s="63"/>
      <c r="AN7" s="63"/>
    </row>
    <row r="8" spans="1:46" x14ac:dyDescent="0.25">
      <c r="O8" s="61"/>
      <c r="AC8" s="62"/>
      <c r="AH8" s="73"/>
      <c r="AI8" s="63"/>
      <c r="AJ8" s="63"/>
      <c r="AK8" s="63"/>
      <c r="AL8" s="63"/>
      <c r="AM8" s="63"/>
      <c r="AN8" s="63"/>
    </row>
    <row r="9" spans="1:46" x14ac:dyDescent="0.25">
      <c r="O9" s="61"/>
      <c r="AC9" s="62"/>
      <c r="AH9" s="73"/>
      <c r="AI9" s="63"/>
      <c r="AJ9" s="63"/>
      <c r="AK9" s="63"/>
      <c r="AL9" s="63"/>
      <c r="AM9" s="63"/>
      <c r="AN9" s="63"/>
    </row>
    <row r="10" spans="1:46" x14ac:dyDescent="0.25">
      <c r="AH10" s="73"/>
      <c r="AI10" s="63"/>
      <c r="AJ10" s="63"/>
      <c r="AK10" s="63"/>
      <c r="AL10" s="63"/>
      <c r="AM10" s="63"/>
      <c r="AN10" s="63"/>
    </row>
    <row r="11" spans="1:46" x14ac:dyDescent="0.25">
      <c r="AH11" s="73"/>
      <c r="AI11" s="63"/>
      <c r="AJ11" s="63"/>
      <c r="AK11" s="63"/>
      <c r="AL11" s="63"/>
      <c r="AM11" s="63"/>
      <c r="AN11" s="63"/>
    </row>
    <row r="12" spans="1:46" x14ac:dyDescent="0.25">
      <c r="AC12" s="74"/>
      <c r="AD12" s="74"/>
      <c r="AE12" s="74"/>
      <c r="AF12" s="74"/>
      <c r="AG12" s="74"/>
      <c r="AH12" s="74"/>
      <c r="AI12" s="74"/>
      <c r="AJ12" s="74"/>
      <c r="AK12" s="63"/>
      <c r="AL12" s="63"/>
      <c r="AM12" s="63"/>
      <c r="AN12" s="63"/>
    </row>
    <row r="14" spans="1:46" ht="105" x14ac:dyDescent="0.25">
      <c r="A14" s="2" t="s">
        <v>17</v>
      </c>
      <c r="B14" s="2" t="s">
        <v>18</v>
      </c>
      <c r="C14" s="2" t="s">
        <v>1</v>
      </c>
      <c r="D14" s="2" t="s">
        <v>2</v>
      </c>
      <c r="E14" s="2" t="s">
        <v>3</v>
      </c>
      <c r="F14" s="19" t="s">
        <v>52</v>
      </c>
      <c r="G14" s="2" t="s">
        <v>19</v>
      </c>
      <c r="H14" s="2" t="s">
        <v>20</v>
      </c>
      <c r="I14" s="2" t="s">
        <v>140</v>
      </c>
      <c r="J14" s="2" t="s">
        <v>5</v>
      </c>
      <c r="K14" s="2" t="s">
        <v>6</v>
      </c>
      <c r="L14" s="2" t="s">
        <v>21</v>
      </c>
      <c r="M14" s="2" t="s">
        <v>22</v>
      </c>
      <c r="N14" s="2" t="s">
        <v>23</v>
      </c>
      <c r="O14" s="2" t="s">
        <v>24</v>
      </c>
      <c r="P14" s="2" t="s">
        <v>4</v>
      </c>
      <c r="Q14" s="18" t="s">
        <v>25</v>
      </c>
      <c r="R14" s="2" t="s">
        <v>0</v>
      </c>
      <c r="S14" s="18" t="s">
        <v>26</v>
      </c>
      <c r="T14" s="2" t="s">
        <v>27</v>
      </c>
      <c r="U14" s="2" t="s">
        <v>28</v>
      </c>
      <c r="V14" s="18" t="s">
        <v>29</v>
      </c>
      <c r="W14" s="18" t="s">
        <v>30</v>
      </c>
      <c r="X14" s="2" t="s">
        <v>127</v>
      </c>
      <c r="Y14" s="2" t="s">
        <v>128</v>
      </c>
      <c r="Z14" s="2" t="s">
        <v>129</v>
      </c>
      <c r="AA14" s="2" t="s">
        <v>139</v>
      </c>
      <c r="AB14" s="2" t="s">
        <v>31</v>
      </c>
      <c r="AC14" s="2" t="s">
        <v>32</v>
      </c>
      <c r="AD14" s="2" t="s">
        <v>33</v>
      </c>
      <c r="AE14" s="2" t="s">
        <v>34</v>
      </c>
      <c r="AF14" s="2" t="s">
        <v>130</v>
      </c>
      <c r="AG14" s="2" t="s">
        <v>131</v>
      </c>
      <c r="AH14" s="2" t="s">
        <v>35</v>
      </c>
      <c r="AI14" s="2" t="s">
        <v>36</v>
      </c>
      <c r="AJ14" s="2" t="s">
        <v>37</v>
      </c>
      <c r="AK14" s="2" t="s">
        <v>38</v>
      </c>
      <c r="AL14" s="2" t="s">
        <v>39</v>
      </c>
      <c r="AM14" s="2" t="s">
        <v>40</v>
      </c>
      <c r="AN14" s="2" t="s">
        <v>41</v>
      </c>
      <c r="AO14" s="2" t="s">
        <v>42</v>
      </c>
      <c r="AP14" s="2" t="s">
        <v>43</v>
      </c>
      <c r="AQ14" s="2" t="s">
        <v>44</v>
      </c>
      <c r="AR14" s="2" t="s">
        <v>45</v>
      </c>
      <c r="AS14" s="2" t="s">
        <v>46</v>
      </c>
      <c r="AT14" s="2" t="s">
        <v>47</v>
      </c>
    </row>
    <row r="15" spans="1:46" ht="45" x14ac:dyDescent="0.25">
      <c r="A15" s="3">
        <v>1001</v>
      </c>
      <c r="B15" s="64" t="s">
        <v>117</v>
      </c>
      <c r="C15" s="9" t="s">
        <v>142</v>
      </c>
      <c r="D15" s="3"/>
      <c r="E15" s="14" t="s">
        <v>67</v>
      </c>
      <c r="F15" s="3" t="s">
        <v>66</v>
      </c>
      <c r="G15" s="3">
        <v>0</v>
      </c>
      <c r="H15" s="3">
        <v>1</v>
      </c>
      <c r="I15" s="3">
        <v>1</v>
      </c>
      <c r="J15" s="21">
        <v>11.891249999999999</v>
      </c>
      <c r="K15" s="21">
        <v>0.77187499999999987</v>
      </c>
      <c r="L15" s="21">
        <v>7.0018750000000001</v>
      </c>
      <c r="M15" s="21">
        <v>1.1331249999999999</v>
      </c>
      <c r="N15" s="21">
        <v>2.4187500000000002</v>
      </c>
      <c r="O15" s="5">
        <v>0</v>
      </c>
      <c r="P15" s="21">
        <v>79.201875000000015</v>
      </c>
      <c r="Q15" s="21">
        <v>76.391666666666666</v>
      </c>
      <c r="R15" s="21">
        <v>363.9375</v>
      </c>
      <c r="S15" s="5">
        <f t="shared" ref="S15:S23" si="0">+L15*4+M15*9+N15*2+O15*7+Q15*4</f>
        <v>348.60979166666664</v>
      </c>
      <c r="T15" s="22">
        <v>16.5625</v>
      </c>
      <c r="U15" s="22">
        <v>1.1587499999999999</v>
      </c>
      <c r="V15" s="12">
        <v>0</v>
      </c>
      <c r="W15" s="22">
        <v>1.1587499999999999</v>
      </c>
      <c r="X15" s="65">
        <v>0</v>
      </c>
      <c r="Y15" s="22">
        <v>1.1587499999999999</v>
      </c>
      <c r="Z15" s="22">
        <v>1.3718750000000002</v>
      </c>
      <c r="AA15" s="22">
        <v>11</v>
      </c>
      <c r="AB15" s="22">
        <v>0</v>
      </c>
      <c r="AC15" s="22">
        <v>0.174875</v>
      </c>
      <c r="AD15" s="22">
        <v>5.4500000000000007E-2</v>
      </c>
      <c r="AE15" s="22">
        <v>0</v>
      </c>
      <c r="AF15" s="22">
        <v>0</v>
      </c>
      <c r="AG15" s="22">
        <v>0</v>
      </c>
      <c r="AH15" s="22">
        <v>0.23731250000000001</v>
      </c>
      <c r="AI15" s="65">
        <v>0</v>
      </c>
      <c r="AJ15" s="22">
        <v>0.30075000000000002</v>
      </c>
      <c r="AK15" s="22">
        <v>0.57887500000000003</v>
      </c>
      <c r="AL15" s="22">
        <v>0.25700000000000001</v>
      </c>
      <c r="AM15" s="22">
        <v>0.16275000000000001</v>
      </c>
      <c r="AN15" s="22">
        <v>0.37075000000000002</v>
      </c>
      <c r="AO15" s="22">
        <v>0.25224999999999997</v>
      </c>
      <c r="AP15" s="22">
        <v>8.3499999999999991E-2</v>
      </c>
      <c r="AQ15" s="22">
        <v>0.42281249999999998</v>
      </c>
      <c r="AR15" s="22">
        <v>0.16825000000000001</v>
      </c>
      <c r="AS15" s="22">
        <v>0.12725</v>
      </c>
      <c r="AT15" s="22">
        <v>0.24187500000000001</v>
      </c>
    </row>
    <row r="16" spans="1:46" x14ac:dyDescent="0.25">
      <c r="A16" s="3">
        <v>1002</v>
      </c>
      <c r="B16" s="4" t="s">
        <v>112</v>
      </c>
      <c r="C16" s="3" t="s">
        <v>7</v>
      </c>
      <c r="D16" s="3">
        <v>20027</v>
      </c>
      <c r="E16" s="14" t="s">
        <v>113</v>
      </c>
      <c r="F16" s="3" t="s">
        <v>110</v>
      </c>
      <c r="G16" s="3">
        <v>0</v>
      </c>
      <c r="H16" s="3">
        <v>1</v>
      </c>
      <c r="I16" s="3">
        <v>1</v>
      </c>
      <c r="J16" s="21">
        <v>8.32</v>
      </c>
      <c r="K16" s="21">
        <v>0.09</v>
      </c>
      <c r="L16" s="21">
        <v>0.26</v>
      </c>
      <c r="M16" s="21">
        <v>0.05</v>
      </c>
      <c r="N16" s="21">
        <v>0.9</v>
      </c>
      <c r="O16" s="5">
        <v>0</v>
      </c>
      <c r="P16" s="21">
        <v>91.27</v>
      </c>
      <c r="Q16" s="6">
        <f t="shared" ref="Q16" si="1">100-J16-K16-L16-M16-N16-O16</f>
        <v>90.38</v>
      </c>
      <c r="R16" s="21">
        <v>381</v>
      </c>
      <c r="S16" s="5">
        <f t="shared" si="0"/>
        <v>364.81</v>
      </c>
      <c r="T16" s="22">
        <v>2</v>
      </c>
      <c r="U16" s="22">
        <v>0.47</v>
      </c>
      <c r="V16" s="12">
        <v>0</v>
      </c>
      <c r="W16" s="22">
        <v>0.47</v>
      </c>
      <c r="X16" s="65">
        <v>0</v>
      </c>
      <c r="Y16" s="22">
        <v>0.47</v>
      </c>
      <c r="Z16" s="22">
        <v>0.06</v>
      </c>
      <c r="AA16" s="22">
        <v>0</v>
      </c>
      <c r="AB16" s="22">
        <v>0</v>
      </c>
      <c r="AC16" s="22">
        <v>0</v>
      </c>
      <c r="AD16" s="22">
        <v>0</v>
      </c>
      <c r="AE16" s="22">
        <v>0</v>
      </c>
      <c r="AF16" s="22">
        <v>0</v>
      </c>
      <c r="AG16" s="22">
        <v>0</v>
      </c>
      <c r="AH16" s="22">
        <v>0</v>
      </c>
      <c r="AI16" s="65">
        <v>0</v>
      </c>
      <c r="AJ16" s="22">
        <v>0.01</v>
      </c>
      <c r="AK16" s="22">
        <v>3.5999999999999997E-2</v>
      </c>
      <c r="AL16" s="22">
        <v>6.0000000000000001E-3</v>
      </c>
      <c r="AM16" s="22">
        <v>6.0000000000000001E-3</v>
      </c>
      <c r="AN16" s="22">
        <v>1.2999999999999999E-2</v>
      </c>
      <c r="AO16" s="22">
        <v>8.9999999999999993E-3</v>
      </c>
      <c r="AP16" s="22">
        <v>1E-3</v>
      </c>
      <c r="AQ16" s="22">
        <v>1.4E-2</v>
      </c>
      <c r="AR16" s="22">
        <v>8.0000000000000002E-3</v>
      </c>
      <c r="AS16" s="22">
        <v>6.0000000000000001E-3</v>
      </c>
      <c r="AT16" s="22">
        <v>0.01</v>
      </c>
    </row>
    <row r="17" spans="1:46" x14ac:dyDescent="0.25">
      <c r="A17" s="6">
        <v>3002</v>
      </c>
      <c r="B17" s="64" t="s">
        <v>8</v>
      </c>
      <c r="C17" s="3" t="s">
        <v>7</v>
      </c>
      <c r="D17" s="8" t="s">
        <v>15</v>
      </c>
      <c r="E17" s="14" t="s">
        <v>9</v>
      </c>
      <c r="F17" s="3" t="s">
        <v>68</v>
      </c>
      <c r="G17" s="3">
        <v>36</v>
      </c>
      <c r="H17" s="3">
        <v>8</v>
      </c>
      <c r="I17" s="3">
        <v>7</v>
      </c>
      <c r="J17" s="3">
        <v>74.91</v>
      </c>
      <c r="K17" s="66">
        <v>0.86</v>
      </c>
      <c r="L17" s="3">
        <v>1.0900000000000001</v>
      </c>
      <c r="M17" s="3">
        <v>0.33</v>
      </c>
      <c r="N17" s="3">
        <v>2.6</v>
      </c>
      <c r="O17" s="3">
        <v>0</v>
      </c>
      <c r="P17" s="3">
        <v>22.84</v>
      </c>
      <c r="Q17" s="6">
        <f>100-J17-K17-L17-M17-N17-O17</f>
        <v>20.210000000000004</v>
      </c>
      <c r="R17" s="3">
        <v>89</v>
      </c>
      <c r="S17" s="5">
        <f t="shared" si="0"/>
        <v>93.370000000000019</v>
      </c>
      <c r="T17" s="6">
        <v>5</v>
      </c>
      <c r="U17" s="6">
        <v>0.26</v>
      </c>
      <c r="V17" s="12">
        <v>0</v>
      </c>
      <c r="W17" s="6">
        <v>0.26</v>
      </c>
      <c r="X17" s="65">
        <v>0</v>
      </c>
      <c r="Y17" s="6">
        <v>0.26</v>
      </c>
      <c r="Z17" s="6">
        <v>0.15</v>
      </c>
      <c r="AA17" s="6">
        <v>20</v>
      </c>
      <c r="AB17" s="6">
        <v>8.6999999999999993</v>
      </c>
      <c r="AC17" s="6">
        <v>3.1E-2</v>
      </c>
      <c r="AD17" s="6">
        <v>7.2999999999999995E-2</v>
      </c>
      <c r="AE17" s="6">
        <v>0</v>
      </c>
      <c r="AF17" s="6">
        <v>38.5</v>
      </c>
      <c r="AG17" s="6">
        <v>3</v>
      </c>
      <c r="AH17" s="6">
        <v>0.36699999999999999</v>
      </c>
      <c r="AI17" s="65">
        <v>0</v>
      </c>
      <c r="AJ17" s="6">
        <v>2.8000000000000001E-2</v>
      </c>
      <c r="AK17" s="6">
        <v>6.8000000000000005E-2</v>
      </c>
      <c r="AL17" s="6">
        <v>0.05</v>
      </c>
      <c r="AM17" s="6">
        <v>8.0000000000000002E-3</v>
      </c>
      <c r="AN17" s="6">
        <v>4.9000000000000002E-2</v>
      </c>
      <c r="AO17" s="6">
        <v>2.8000000000000001E-2</v>
      </c>
      <c r="AP17" s="6">
        <v>8.9999999999999993E-3</v>
      </c>
      <c r="AQ17" s="6">
        <v>4.7E-2</v>
      </c>
      <c r="AR17" s="6">
        <v>7.6999999999999999E-2</v>
      </c>
      <c r="AS17" s="6">
        <v>8.9999999999999993E-3</v>
      </c>
      <c r="AT17" s="6">
        <v>8.9999999999999993E-3</v>
      </c>
    </row>
    <row r="18" spans="1:46" ht="45" x14ac:dyDescent="0.25">
      <c r="A18" s="6">
        <v>4002</v>
      </c>
      <c r="B18" s="7" t="s">
        <v>10</v>
      </c>
      <c r="C18" s="9" t="s">
        <v>142</v>
      </c>
      <c r="D18" s="3"/>
      <c r="E18" s="81" t="s">
        <v>67</v>
      </c>
      <c r="F18" s="9" t="s">
        <v>66</v>
      </c>
      <c r="G18" s="3">
        <v>9</v>
      </c>
      <c r="H18" s="3">
        <v>7</v>
      </c>
      <c r="I18" s="3">
        <v>5</v>
      </c>
      <c r="J18" s="25">
        <v>94.39500000000001</v>
      </c>
      <c r="K18" s="25">
        <v>0.54749999999999999</v>
      </c>
      <c r="L18" s="21">
        <v>1.0549999999999999</v>
      </c>
      <c r="M18" s="21">
        <v>0.21250000000000002</v>
      </c>
      <c r="N18" s="21">
        <v>0.97499999999999998</v>
      </c>
      <c r="O18" s="5">
        <v>0</v>
      </c>
      <c r="P18" s="21">
        <v>3.7875000000000001</v>
      </c>
      <c r="Q18" s="6">
        <v>2.8149999999999999</v>
      </c>
      <c r="R18" s="21">
        <v>18</v>
      </c>
      <c r="S18" s="5">
        <f t="shared" si="0"/>
        <v>19.342500000000001</v>
      </c>
      <c r="T18" s="22">
        <v>9.75</v>
      </c>
      <c r="U18" s="22">
        <v>0.435</v>
      </c>
      <c r="V18" s="12">
        <v>0</v>
      </c>
      <c r="W18" s="22">
        <v>0.435</v>
      </c>
      <c r="X18" s="65">
        <v>0</v>
      </c>
      <c r="Y18" s="22">
        <v>0.435</v>
      </c>
      <c r="Z18" s="22">
        <v>0.18000000000000002</v>
      </c>
      <c r="AA18" s="22">
        <v>20.75</v>
      </c>
      <c r="AB18" s="22">
        <v>15.525</v>
      </c>
      <c r="AC18" s="22">
        <v>4.5999999999999999E-2</v>
      </c>
      <c r="AD18" s="22">
        <v>3.5000000000000003E-2</v>
      </c>
      <c r="AE18" s="22">
        <v>0</v>
      </c>
      <c r="AF18" s="22">
        <v>446.125</v>
      </c>
      <c r="AG18" s="22">
        <v>37.25</v>
      </c>
      <c r="AH18" s="22">
        <v>6.9250000000000006E-2</v>
      </c>
      <c r="AI18" s="65">
        <v>0</v>
      </c>
      <c r="AJ18" s="22">
        <v>2.4250000000000001E-2</v>
      </c>
      <c r="AK18" s="22">
        <v>3.6750000000000005E-2</v>
      </c>
      <c r="AL18" s="22">
        <v>3.7250000000000005E-2</v>
      </c>
      <c r="AM18" s="22">
        <v>8.5000000000000006E-3</v>
      </c>
      <c r="AN18" s="22">
        <v>2.8249999999999997E-2</v>
      </c>
      <c r="AO18" s="22">
        <v>2.75E-2</v>
      </c>
      <c r="AP18" s="22">
        <v>7.4999999999999997E-3</v>
      </c>
      <c r="AQ18" s="22">
        <v>2.6000000000000002E-2</v>
      </c>
      <c r="AR18" s="22">
        <v>1.6250000000000001E-2</v>
      </c>
      <c r="AS18" s="22">
        <v>1.325E-2</v>
      </c>
      <c r="AT18" s="22">
        <v>1.8000000000000002E-2</v>
      </c>
    </row>
    <row r="19" spans="1:46" x14ac:dyDescent="0.25">
      <c r="A19" s="6">
        <v>4004</v>
      </c>
      <c r="B19" s="7" t="s">
        <v>143</v>
      </c>
      <c r="C19" s="9"/>
      <c r="D19" s="3"/>
      <c r="E19" s="81" t="s">
        <v>67</v>
      </c>
      <c r="F19" s="9" t="s">
        <v>66</v>
      </c>
      <c r="G19" s="3">
        <v>0</v>
      </c>
      <c r="H19" s="3">
        <v>7.0000000000000009</v>
      </c>
      <c r="I19" s="3">
        <v>5</v>
      </c>
      <c r="J19" s="25">
        <v>62.32480000000001</v>
      </c>
      <c r="K19" s="25">
        <v>0.4466</v>
      </c>
      <c r="L19" s="21">
        <v>1.0284</v>
      </c>
      <c r="M19" s="21">
        <v>0.17920000000000003</v>
      </c>
      <c r="N19" s="21">
        <v>1.2686000000000002</v>
      </c>
      <c r="O19" s="5">
        <v>0</v>
      </c>
      <c r="P19" s="21">
        <v>4.8390000000000004</v>
      </c>
      <c r="Q19" s="6">
        <v>3.5523999999999996</v>
      </c>
      <c r="R19" s="21">
        <v>22.474</v>
      </c>
      <c r="S19" s="5">
        <f t="shared" si="0"/>
        <v>22.473199999999999</v>
      </c>
      <c r="T19" s="22">
        <v>20.029800000000002</v>
      </c>
      <c r="U19" s="22">
        <v>0.38</v>
      </c>
      <c r="V19" s="12">
        <v>0</v>
      </c>
      <c r="W19" s="22">
        <v>0.38</v>
      </c>
      <c r="X19" s="65">
        <v>0</v>
      </c>
      <c r="Y19" s="22">
        <v>0.38</v>
      </c>
      <c r="Z19" s="22">
        <v>0.25638</v>
      </c>
      <c r="AA19" s="22">
        <v>46.110000000000007</v>
      </c>
      <c r="AB19" s="22">
        <v>11.958200000000001</v>
      </c>
      <c r="AC19" s="22">
        <v>3.2690000000000004E-2</v>
      </c>
      <c r="AD19" s="22">
        <v>3.4270000000000002E-2</v>
      </c>
      <c r="AE19" s="22">
        <v>0</v>
      </c>
      <c r="AF19" s="22">
        <v>31.262</v>
      </c>
      <c r="AG19" s="22">
        <v>2.6025420000000006</v>
      </c>
      <c r="AH19" s="22">
        <v>7.5560000000000002E-2</v>
      </c>
      <c r="AI19" s="65">
        <v>0</v>
      </c>
      <c r="AJ19" s="22">
        <v>2.4850000000000004E-2</v>
      </c>
      <c r="AK19" s="22">
        <v>3.9028E-2</v>
      </c>
      <c r="AL19" s="22">
        <v>3.8464000000000005E-2</v>
      </c>
      <c r="AM19" s="22">
        <v>8.7599999999999987E-3</v>
      </c>
      <c r="AN19" s="22">
        <v>2.1956000000000003E-2</v>
      </c>
      <c r="AO19" s="22">
        <v>2.3766000000000002E-2</v>
      </c>
      <c r="AP19" s="22">
        <v>9.4199999999999996E-3</v>
      </c>
      <c r="AQ19" s="22">
        <v>3.5476000000000001E-2</v>
      </c>
      <c r="AR19" s="22">
        <v>1.4055999999999999E-2</v>
      </c>
      <c r="AS19" s="22">
        <v>3.7360000000000006E-3</v>
      </c>
      <c r="AT19" s="22">
        <v>1.3845999999999999E-2</v>
      </c>
    </row>
    <row r="20" spans="1:46" s="13" customFormat="1" x14ac:dyDescent="0.25">
      <c r="A20" s="6">
        <v>5005</v>
      </c>
      <c r="B20" s="7" t="s">
        <v>109</v>
      </c>
      <c r="C20" s="3" t="s">
        <v>7</v>
      </c>
      <c r="D20" s="10" t="s">
        <v>16</v>
      </c>
      <c r="E20" s="15" t="s">
        <v>48</v>
      </c>
      <c r="F20" s="3" t="s">
        <v>110</v>
      </c>
      <c r="G20" s="6">
        <v>12</v>
      </c>
      <c r="H20" s="6">
        <v>13</v>
      </c>
      <c r="I20" s="6">
        <v>10</v>
      </c>
      <c r="J20" s="11">
        <v>76.150000000000006</v>
      </c>
      <c r="K20" s="11">
        <v>1.06</v>
      </c>
      <c r="L20" s="6">
        <v>12.56</v>
      </c>
      <c r="M20" s="6">
        <v>9.51</v>
      </c>
      <c r="N20" s="6">
        <v>0</v>
      </c>
      <c r="O20" s="6">
        <v>0</v>
      </c>
      <c r="P20" s="6">
        <v>0.72</v>
      </c>
      <c r="Q20" s="6">
        <f>100-J20-K20-L20-M20-N20-O20</f>
        <v>0.71999999999999531</v>
      </c>
      <c r="R20" s="6">
        <v>143</v>
      </c>
      <c r="S20" s="12">
        <f t="shared" si="0"/>
        <v>138.70999999999998</v>
      </c>
      <c r="T20" s="6">
        <v>56</v>
      </c>
      <c r="U20" s="6">
        <v>1.75</v>
      </c>
      <c r="V20" s="6">
        <v>1.75</v>
      </c>
      <c r="W20" s="6">
        <v>0</v>
      </c>
      <c r="X20" s="65">
        <v>0</v>
      </c>
      <c r="Y20" s="6">
        <v>1.75</v>
      </c>
      <c r="Z20" s="6">
        <v>1.29</v>
      </c>
      <c r="AA20" s="6">
        <v>47</v>
      </c>
      <c r="AB20" s="6">
        <v>0</v>
      </c>
      <c r="AC20" s="6">
        <v>0.04</v>
      </c>
      <c r="AD20" s="6">
        <v>0.45700000000000002</v>
      </c>
      <c r="AE20" s="6">
        <v>160</v>
      </c>
      <c r="AF20" s="6">
        <v>0</v>
      </c>
      <c r="AG20" s="6">
        <v>160</v>
      </c>
      <c r="AH20" s="6">
        <v>0.17</v>
      </c>
      <c r="AI20" s="6">
        <v>0.89</v>
      </c>
      <c r="AJ20" s="6">
        <v>0.67100000000000004</v>
      </c>
      <c r="AK20" s="6">
        <v>1.0860000000000001</v>
      </c>
      <c r="AL20" s="6">
        <v>0.91200000000000003</v>
      </c>
      <c r="AM20" s="6">
        <v>0.38</v>
      </c>
      <c r="AN20" s="6">
        <v>0.68</v>
      </c>
      <c r="AO20" s="6">
        <v>0.55600000000000005</v>
      </c>
      <c r="AP20" s="6">
        <v>0.16700000000000001</v>
      </c>
      <c r="AQ20" s="6">
        <v>0.85799999999999998</v>
      </c>
      <c r="AR20" s="6">
        <v>0.309</v>
      </c>
      <c r="AS20" s="6">
        <v>0.27200000000000002</v>
      </c>
      <c r="AT20" s="6">
        <v>0.499</v>
      </c>
    </row>
    <row r="21" spans="1:46" s="13" customFormat="1" ht="30" x14ac:dyDescent="0.25">
      <c r="A21" s="6">
        <v>6002</v>
      </c>
      <c r="B21" s="7" t="s">
        <v>132</v>
      </c>
      <c r="C21" s="3" t="s">
        <v>7</v>
      </c>
      <c r="D21" s="10" t="s">
        <v>133</v>
      </c>
      <c r="E21" s="15" t="s">
        <v>134</v>
      </c>
      <c r="F21" s="3" t="s">
        <v>68</v>
      </c>
      <c r="G21" s="6">
        <v>20</v>
      </c>
      <c r="H21" s="6">
        <v>12</v>
      </c>
      <c r="I21" s="6">
        <v>9</v>
      </c>
      <c r="J21" s="11">
        <v>69.459999999999994</v>
      </c>
      <c r="K21" s="11">
        <v>1.01</v>
      </c>
      <c r="L21" s="6">
        <v>20.85</v>
      </c>
      <c r="M21" s="6">
        <v>9.25</v>
      </c>
      <c r="N21" s="6">
        <v>0</v>
      </c>
      <c r="O21" s="6">
        <v>0</v>
      </c>
      <c r="P21" s="6">
        <v>0</v>
      </c>
      <c r="Q21" s="6">
        <v>0</v>
      </c>
      <c r="R21" s="6">
        <v>172</v>
      </c>
      <c r="S21" s="12">
        <f t="shared" si="0"/>
        <v>166.65</v>
      </c>
      <c r="T21" s="6">
        <v>11</v>
      </c>
      <c r="U21" s="6">
        <v>0.74</v>
      </c>
      <c r="V21" s="6">
        <v>0.74</v>
      </c>
      <c r="W21" s="6">
        <v>0</v>
      </c>
      <c r="X21" s="65">
        <f>+U21*30/100</f>
        <v>0.222</v>
      </c>
      <c r="Y21" s="22">
        <f>+V21-X21</f>
        <v>0.51800000000000002</v>
      </c>
      <c r="Z21" s="22">
        <v>0.8</v>
      </c>
      <c r="AA21" s="6">
        <v>4</v>
      </c>
      <c r="AB21" s="6">
        <v>0</v>
      </c>
      <c r="AC21" s="6">
        <v>6.3E-2</v>
      </c>
      <c r="AD21" s="6">
        <v>8.5000000000000006E-2</v>
      </c>
      <c r="AE21" s="6">
        <v>24</v>
      </c>
      <c r="AF21" s="6">
        <v>0</v>
      </c>
      <c r="AG21" s="6">
        <v>24</v>
      </c>
      <c r="AH21" s="6">
        <v>0.53</v>
      </c>
      <c r="AI21" s="6">
        <v>0.34</v>
      </c>
      <c r="AJ21" s="6">
        <v>1.0629999999999999</v>
      </c>
      <c r="AK21" s="6">
        <v>1.534</v>
      </c>
      <c r="AL21" s="6">
        <v>1.7250000000000001</v>
      </c>
      <c r="AM21" s="6">
        <v>0.56299999999999994</v>
      </c>
      <c r="AN21" s="6">
        <v>0.81599999999999995</v>
      </c>
      <c r="AO21" s="6">
        <v>0.86899999999999999</v>
      </c>
      <c r="AP21" s="6">
        <v>0.23699999999999999</v>
      </c>
      <c r="AQ21" s="6">
        <v>1.02</v>
      </c>
      <c r="AR21" s="6">
        <v>0.625</v>
      </c>
      <c r="AS21" s="6">
        <v>0.27400000000000002</v>
      </c>
      <c r="AT21" s="6">
        <v>0.68400000000000005</v>
      </c>
    </row>
    <row r="22" spans="1:46" s="13" customFormat="1" x14ac:dyDescent="0.25">
      <c r="A22" s="6">
        <v>7004</v>
      </c>
      <c r="B22" s="7" t="s">
        <v>114</v>
      </c>
      <c r="C22" s="3" t="s">
        <v>115</v>
      </c>
      <c r="D22" s="10" t="s">
        <v>135</v>
      </c>
      <c r="E22" s="15" t="s">
        <v>116</v>
      </c>
      <c r="F22" s="3" t="s">
        <v>68</v>
      </c>
      <c r="G22" s="67">
        <v>95</v>
      </c>
      <c r="H22" s="6">
        <v>9</v>
      </c>
      <c r="I22" s="6">
        <v>16</v>
      </c>
      <c r="J22" s="11">
        <v>9.3000000000000007</v>
      </c>
      <c r="K22" s="11">
        <v>7</v>
      </c>
      <c r="L22" s="6">
        <v>19.600000000000001</v>
      </c>
      <c r="M22" s="6">
        <v>2</v>
      </c>
      <c r="N22" s="6">
        <v>55.8</v>
      </c>
      <c r="O22" s="6">
        <v>0</v>
      </c>
      <c r="P22" s="6">
        <v>62.1</v>
      </c>
      <c r="Q22" s="6">
        <f>100-J22-K22-L22-M22-N22-O22</f>
        <v>6.2999999999999972</v>
      </c>
      <c r="R22" s="6">
        <v>229.53</v>
      </c>
      <c r="S22" s="12">
        <f t="shared" si="0"/>
        <v>233.2</v>
      </c>
      <c r="T22" s="6">
        <v>430</v>
      </c>
      <c r="U22" s="6">
        <v>18</v>
      </c>
      <c r="V22" s="6">
        <v>0</v>
      </c>
      <c r="W22" s="22">
        <v>18</v>
      </c>
      <c r="X22" s="65">
        <v>0</v>
      </c>
      <c r="Y22" s="22">
        <v>18</v>
      </c>
      <c r="Z22" s="22">
        <v>2.9</v>
      </c>
      <c r="AA22" s="6">
        <v>0</v>
      </c>
      <c r="AB22" s="6">
        <v>0</v>
      </c>
      <c r="AC22" s="6">
        <v>0.14000000000000001</v>
      </c>
      <c r="AD22" s="6">
        <v>0.95</v>
      </c>
      <c r="AE22" s="6">
        <v>0</v>
      </c>
      <c r="AF22" s="6">
        <v>0</v>
      </c>
      <c r="AG22" s="6">
        <v>0</v>
      </c>
      <c r="AH22" s="6">
        <v>0.3</v>
      </c>
      <c r="AI22" s="6">
        <v>0</v>
      </c>
      <c r="AJ22" s="6">
        <v>0</v>
      </c>
      <c r="AK22" s="6">
        <v>0</v>
      </c>
      <c r="AL22" s="6">
        <v>0</v>
      </c>
      <c r="AM22" s="6">
        <v>0</v>
      </c>
      <c r="AN22" s="6">
        <v>0</v>
      </c>
      <c r="AO22" s="6">
        <v>0</v>
      </c>
      <c r="AP22" s="6">
        <v>0.82</v>
      </c>
      <c r="AQ22" s="6">
        <v>0</v>
      </c>
      <c r="AR22" s="6">
        <v>0</v>
      </c>
      <c r="AS22" s="6">
        <v>0</v>
      </c>
      <c r="AT22" s="6">
        <v>0</v>
      </c>
    </row>
    <row r="23" spans="1:46" ht="30" x14ac:dyDescent="0.25">
      <c r="A23" s="6">
        <v>8003</v>
      </c>
      <c r="B23" s="7" t="s">
        <v>12</v>
      </c>
      <c r="C23" s="6" t="s">
        <v>7</v>
      </c>
      <c r="D23" s="6">
        <v>14003</v>
      </c>
      <c r="E23" s="15" t="s">
        <v>13</v>
      </c>
      <c r="F23" s="6" t="s">
        <v>68</v>
      </c>
      <c r="G23" s="6">
        <v>0</v>
      </c>
      <c r="H23" s="12">
        <v>11</v>
      </c>
      <c r="I23" s="12">
        <v>16</v>
      </c>
      <c r="J23" s="6">
        <v>91.96</v>
      </c>
      <c r="K23" s="6">
        <v>0.16</v>
      </c>
      <c r="L23" s="6">
        <v>0.46</v>
      </c>
      <c r="M23" s="6">
        <v>0</v>
      </c>
      <c r="N23" s="6">
        <v>0</v>
      </c>
      <c r="O23" s="6">
        <v>3.9</v>
      </c>
      <c r="P23" s="6">
        <v>3.55</v>
      </c>
      <c r="Q23" s="6">
        <f>100-J23-K23-L23-M23-N23-O23</f>
        <v>3.5200000000000062</v>
      </c>
      <c r="R23" s="6">
        <v>43</v>
      </c>
      <c r="S23" s="5">
        <f t="shared" si="0"/>
        <v>43.220000000000027</v>
      </c>
      <c r="T23" s="6">
        <v>4</v>
      </c>
      <c r="U23" s="6">
        <v>0.02</v>
      </c>
      <c r="V23" s="6">
        <v>0</v>
      </c>
      <c r="W23" s="6">
        <v>0.02</v>
      </c>
      <c r="X23" s="65">
        <v>0</v>
      </c>
      <c r="Y23" s="6">
        <v>0.02</v>
      </c>
      <c r="Z23" s="6">
        <v>0.01</v>
      </c>
      <c r="AA23" s="6">
        <v>6</v>
      </c>
      <c r="AB23" s="6">
        <v>0</v>
      </c>
      <c r="AC23" s="6">
        <v>5.0000000000000001E-3</v>
      </c>
      <c r="AD23" s="6">
        <v>2.5000000000000001E-2</v>
      </c>
      <c r="AE23" s="6">
        <v>0</v>
      </c>
      <c r="AF23" s="6">
        <v>0</v>
      </c>
      <c r="AG23" s="6">
        <v>0</v>
      </c>
      <c r="AH23" s="6">
        <v>4.5999999999999999E-2</v>
      </c>
      <c r="AI23" s="6">
        <v>0</v>
      </c>
      <c r="AJ23" s="6">
        <v>0</v>
      </c>
      <c r="AK23" s="6">
        <v>0</v>
      </c>
      <c r="AL23" s="6">
        <v>0</v>
      </c>
      <c r="AM23" s="6">
        <v>0</v>
      </c>
      <c r="AN23" s="6">
        <v>0</v>
      </c>
      <c r="AO23" s="6">
        <v>0</v>
      </c>
      <c r="AP23" s="6">
        <v>0</v>
      </c>
      <c r="AQ23" s="6">
        <v>0</v>
      </c>
      <c r="AR23" s="6">
        <v>0</v>
      </c>
      <c r="AS23" s="6">
        <v>0</v>
      </c>
      <c r="AT23" s="6">
        <v>0</v>
      </c>
    </row>
    <row r="24" spans="1:46" x14ac:dyDescent="0.25">
      <c r="A24" s="3">
        <v>9002</v>
      </c>
      <c r="B24" s="4" t="s">
        <v>14</v>
      </c>
      <c r="C24" s="3"/>
      <c r="D24" s="3"/>
      <c r="E24" s="14"/>
      <c r="F24" s="3" t="s">
        <v>111</v>
      </c>
      <c r="G24" s="6">
        <v>0</v>
      </c>
      <c r="H24" s="6">
        <v>19</v>
      </c>
      <c r="I24" s="6">
        <v>17</v>
      </c>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row>
    <row r="26" spans="1:46" ht="15.75" thickBot="1" x14ac:dyDescent="0.3"/>
    <row r="27" spans="1:46" ht="61.5" thickTop="1" thickBot="1" x14ac:dyDescent="0.3">
      <c r="A27" s="68" t="s">
        <v>136</v>
      </c>
      <c r="B27" s="69" t="s">
        <v>137</v>
      </c>
      <c r="E27" s="70" t="s">
        <v>138</v>
      </c>
    </row>
    <row r="28" spans="1:46" ht="15.75" thickTop="1" x14ac:dyDescent="0.25">
      <c r="E28" s="71"/>
    </row>
  </sheetData>
  <pageMargins left="0.7" right="0.7" top="0.75" bottom="0.75" header="0.3" footer="0.3"/>
  <pageSetup orientation="portrait"/>
  <drawing r:id="rId1"/>
  <legacyDrawing r:id="rId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1:AT42"/>
  <sheetViews>
    <sheetView zoomScale="125" zoomScaleNormal="125" zoomScalePageLayoutView="125" workbookViewId="0">
      <pane xSplit="5" ySplit="11" topLeftCell="F28" activePane="bottomRight" state="frozen"/>
      <selection activeCell="A13" sqref="A13"/>
      <selection pane="topRight" activeCell="A13" sqref="A13"/>
      <selection pane="bottomLeft" activeCell="A13" sqref="A13"/>
      <selection pane="bottomRight" activeCell="A11" sqref="A11"/>
    </sheetView>
  </sheetViews>
  <sheetFormatPr defaultColWidth="8.85546875" defaultRowHeight="12.75" x14ac:dyDescent="0.2"/>
  <cols>
    <col min="1" max="1" width="11" style="23" customWidth="1"/>
    <col min="2" max="2" width="14" style="23" bestFit="1" customWidth="1"/>
    <col min="3" max="3" width="12.42578125" style="23" customWidth="1"/>
    <col min="4" max="4" width="8.85546875" style="23"/>
    <col min="5" max="5" width="23" style="23" customWidth="1"/>
    <col min="6" max="6" width="12.140625" style="23" customWidth="1"/>
    <col min="7" max="7" width="8.85546875" style="23"/>
    <col min="8" max="8" width="10.42578125" style="23" customWidth="1"/>
    <col min="9" max="9" width="13.140625" style="23" customWidth="1"/>
    <col min="10" max="22" width="8.85546875" style="23"/>
    <col min="23" max="23" width="9.42578125" style="23" bestFit="1" customWidth="1"/>
    <col min="24" max="26" width="10.42578125" style="23" customWidth="1"/>
    <col min="27" max="28" width="12.42578125" style="23" customWidth="1"/>
    <col min="29" max="29" width="13" style="23" customWidth="1"/>
    <col min="30" max="30" width="13.140625" style="23" customWidth="1"/>
    <col min="31" max="31" width="8.5703125" style="23" bestFit="1" customWidth="1"/>
    <col min="32" max="32" width="11.42578125" style="23" bestFit="1" customWidth="1"/>
    <col min="33" max="33" width="8.85546875" style="23"/>
    <col min="34" max="34" width="11" style="23" customWidth="1"/>
    <col min="35" max="35" width="11.85546875" style="23" customWidth="1"/>
    <col min="36" max="16384" width="8.85546875" style="23"/>
  </cols>
  <sheetData>
    <row r="11" spans="1:46" s="1" customFormat="1" ht="135" x14ac:dyDescent="0.25">
      <c r="A11" s="2" t="s">
        <v>76</v>
      </c>
      <c r="B11" s="2" t="s">
        <v>77</v>
      </c>
      <c r="C11" s="2" t="s">
        <v>1</v>
      </c>
      <c r="D11" s="2" t="s">
        <v>2</v>
      </c>
      <c r="E11" s="2" t="s">
        <v>3</v>
      </c>
      <c r="F11" s="20" t="s">
        <v>65</v>
      </c>
      <c r="G11" s="2" t="s">
        <v>78</v>
      </c>
      <c r="H11" s="2" t="s">
        <v>79</v>
      </c>
      <c r="I11" s="2" t="s">
        <v>141</v>
      </c>
      <c r="J11" s="2" t="s">
        <v>5</v>
      </c>
      <c r="K11" s="2" t="s">
        <v>6</v>
      </c>
      <c r="L11" s="2" t="s">
        <v>80</v>
      </c>
      <c r="M11" s="2" t="s">
        <v>81</v>
      </c>
      <c r="N11" s="2" t="s">
        <v>82</v>
      </c>
      <c r="O11" s="2" t="s">
        <v>83</v>
      </c>
      <c r="P11" s="2" t="s">
        <v>4</v>
      </c>
      <c r="Q11" s="18" t="s">
        <v>84</v>
      </c>
      <c r="R11" s="2" t="s">
        <v>0</v>
      </c>
      <c r="S11" s="18" t="s">
        <v>85</v>
      </c>
      <c r="T11" s="2" t="s">
        <v>86</v>
      </c>
      <c r="U11" s="2" t="s">
        <v>87</v>
      </c>
      <c r="V11" s="18" t="s">
        <v>88</v>
      </c>
      <c r="W11" s="18" t="s">
        <v>89</v>
      </c>
      <c r="X11" s="2" t="s">
        <v>127</v>
      </c>
      <c r="Y11" s="2" t="s">
        <v>128</v>
      </c>
      <c r="Z11" s="2" t="s">
        <v>129</v>
      </c>
      <c r="AA11" s="2" t="s">
        <v>139</v>
      </c>
      <c r="AB11" s="2" t="s">
        <v>90</v>
      </c>
      <c r="AC11" s="2" t="s">
        <v>91</v>
      </c>
      <c r="AD11" s="2" t="s">
        <v>92</v>
      </c>
      <c r="AE11" s="2" t="s">
        <v>93</v>
      </c>
      <c r="AF11" s="2" t="s">
        <v>130</v>
      </c>
      <c r="AG11" s="2" t="s">
        <v>131</v>
      </c>
      <c r="AH11" s="2" t="s">
        <v>96</v>
      </c>
      <c r="AI11" s="2" t="s">
        <v>97</v>
      </c>
      <c r="AJ11" s="2" t="s">
        <v>98</v>
      </c>
      <c r="AK11" s="2" t="s">
        <v>99</v>
      </c>
      <c r="AL11" s="2" t="s">
        <v>100</v>
      </c>
      <c r="AM11" s="2" t="s">
        <v>101</v>
      </c>
      <c r="AN11" s="2" t="s">
        <v>102</v>
      </c>
      <c r="AO11" s="2" t="s">
        <v>103</v>
      </c>
      <c r="AP11" s="2" t="s">
        <v>104</v>
      </c>
      <c r="AQ11" s="2" t="s">
        <v>105</v>
      </c>
      <c r="AR11" s="2" t="s">
        <v>106</v>
      </c>
      <c r="AS11" s="2" t="s">
        <v>107</v>
      </c>
      <c r="AT11" s="2" t="s">
        <v>108</v>
      </c>
    </row>
    <row r="12" spans="1:46" ht="30" x14ac:dyDescent="0.25">
      <c r="A12" s="3">
        <v>1001</v>
      </c>
      <c r="B12" s="4" t="s">
        <v>117</v>
      </c>
      <c r="C12" s="27" t="s">
        <v>7</v>
      </c>
      <c r="D12" s="28" t="s">
        <v>53</v>
      </c>
      <c r="E12" s="29" t="s">
        <v>54</v>
      </c>
      <c r="F12" s="72">
        <v>0.125</v>
      </c>
      <c r="G12" s="3">
        <v>0</v>
      </c>
      <c r="H12" s="3">
        <v>1</v>
      </c>
      <c r="I12" s="3">
        <v>1</v>
      </c>
      <c r="J12" s="3">
        <v>10.37</v>
      </c>
      <c r="K12" s="3">
        <v>1.53</v>
      </c>
      <c r="L12" s="3">
        <v>7.94</v>
      </c>
      <c r="M12" s="3">
        <v>2.92</v>
      </c>
      <c r="N12" s="3">
        <v>3.5</v>
      </c>
      <c r="O12" s="3">
        <v>0</v>
      </c>
      <c r="P12" s="3">
        <v>77.239999999999995</v>
      </c>
      <c r="Q12" s="3">
        <f>100-J12-K12-L12-M12-N12-O12</f>
        <v>73.739999999999995</v>
      </c>
      <c r="R12" s="3">
        <v>370</v>
      </c>
      <c r="S12" s="30"/>
      <c r="T12" s="3">
        <v>23</v>
      </c>
      <c r="U12" s="3">
        <v>1.47</v>
      </c>
      <c r="V12" s="16"/>
      <c r="W12" s="16"/>
      <c r="X12" s="36">
        <v>0</v>
      </c>
      <c r="Y12" s="36">
        <v>1.04</v>
      </c>
      <c r="Z12" s="36">
        <v>2.13</v>
      </c>
      <c r="AA12" s="36">
        <v>23</v>
      </c>
      <c r="AB12" s="3">
        <v>0</v>
      </c>
      <c r="AC12" s="3">
        <v>0.40100000000000002</v>
      </c>
      <c r="AD12" s="3">
        <v>9.2999999999999999E-2</v>
      </c>
      <c r="AE12" s="3">
        <v>0</v>
      </c>
      <c r="AF12" s="3">
        <v>0</v>
      </c>
      <c r="AG12" s="3">
        <v>0</v>
      </c>
      <c r="AH12" s="3">
        <v>0.50900000000000001</v>
      </c>
      <c r="AI12" s="3">
        <v>0</v>
      </c>
      <c r="AJ12" s="3">
        <v>0.33600000000000002</v>
      </c>
      <c r="AK12" s="3">
        <v>0.65700000000000003</v>
      </c>
      <c r="AL12" s="3">
        <v>0.30299999999999999</v>
      </c>
      <c r="AM12" s="3">
        <v>0.17899999999999999</v>
      </c>
      <c r="AN12" s="3">
        <v>0.41</v>
      </c>
      <c r="AO12" s="3">
        <v>0.29099999999999998</v>
      </c>
      <c r="AP12" s="3">
        <v>0.10100000000000001</v>
      </c>
      <c r="AQ12" s="3">
        <v>0.46600000000000003</v>
      </c>
      <c r="AR12" s="3">
        <v>0.20200000000000001</v>
      </c>
      <c r="AS12" s="3">
        <v>9.6000000000000002E-2</v>
      </c>
      <c r="AT12" s="3">
        <v>0.29799999999999999</v>
      </c>
    </row>
    <row r="13" spans="1:46" ht="30" x14ac:dyDescent="0.25">
      <c r="A13" s="3">
        <v>1001</v>
      </c>
      <c r="B13" s="4" t="s">
        <v>117</v>
      </c>
      <c r="C13" s="27" t="s">
        <v>7</v>
      </c>
      <c r="D13" s="28" t="s">
        <v>55</v>
      </c>
      <c r="E13" s="29" t="s">
        <v>56</v>
      </c>
      <c r="F13" s="72">
        <v>0.125</v>
      </c>
      <c r="G13" s="3">
        <v>0</v>
      </c>
      <c r="H13" s="3">
        <v>1</v>
      </c>
      <c r="I13" s="3">
        <v>1</v>
      </c>
      <c r="J13" s="3">
        <v>12.37</v>
      </c>
      <c r="K13" s="3">
        <v>1.27</v>
      </c>
      <c r="L13" s="3">
        <v>7.5</v>
      </c>
      <c r="M13" s="3">
        <v>2.68</v>
      </c>
      <c r="N13" s="3">
        <v>3.4</v>
      </c>
      <c r="O13" s="3">
        <v>0</v>
      </c>
      <c r="P13" s="3">
        <v>76.179999999999993</v>
      </c>
      <c r="Q13" s="3">
        <f t="shared" ref="Q13:Q17" si="0">100-J13-K13-L13-M13-N13-O13</f>
        <v>72.779999999999987</v>
      </c>
      <c r="R13" s="3">
        <v>362</v>
      </c>
      <c r="S13" s="30"/>
      <c r="T13" s="3">
        <v>33</v>
      </c>
      <c r="U13" s="3">
        <v>1.8</v>
      </c>
      <c r="V13" s="16"/>
      <c r="W13" s="16"/>
      <c r="X13" s="36">
        <v>0</v>
      </c>
      <c r="Y13" s="36">
        <v>1.04</v>
      </c>
      <c r="Z13" s="36">
        <v>2.02</v>
      </c>
      <c r="AA13" s="36">
        <v>20</v>
      </c>
      <c r="AB13" s="3">
        <v>0</v>
      </c>
      <c r="AC13" s="3">
        <v>0.41299999999999998</v>
      </c>
      <c r="AD13" s="3">
        <v>4.2999999999999997E-2</v>
      </c>
      <c r="AE13" s="3">
        <v>0</v>
      </c>
      <c r="AF13" s="3">
        <v>0</v>
      </c>
      <c r="AG13" s="3">
        <v>0</v>
      </c>
      <c r="AH13" s="3">
        <v>0.50900000000000001</v>
      </c>
      <c r="AI13" s="3">
        <v>0</v>
      </c>
      <c r="AJ13" s="3">
        <v>0.318</v>
      </c>
      <c r="AK13" s="3">
        <v>0.62</v>
      </c>
      <c r="AL13" s="3">
        <v>0.28599999999999998</v>
      </c>
      <c r="AM13" s="3">
        <v>0.16900000000000001</v>
      </c>
      <c r="AN13" s="3">
        <v>0.38700000000000001</v>
      </c>
      <c r="AO13" s="3">
        <v>0.27500000000000002</v>
      </c>
      <c r="AP13" s="3">
        <v>9.6000000000000002E-2</v>
      </c>
      <c r="AQ13" s="3">
        <v>0.44</v>
      </c>
      <c r="AR13" s="3">
        <v>0.19</v>
      </c>
      <c r="AS13" s="3">
        <v>9.0999999999999998E-2</v>
      </c>
      <c r="AT13" s="3">
        <v>0.28100000000000003</v>
      </c>
    </row>
    <row r="14" spans="1:46" ht="30" x14ac:dyDescent="0.25">
      <c r="A14" s="3">
        <v>1001</v>
      </c>
      <c r="B14" s="4" t="s">
        <v>117</v>
      </c>
      <c r="C14" s="27" t="s">
        <v>7</v>
      </c>
      <c r="D14" s="28" t="s">
        <v>57</v>
      </c>
      <c r="E14" s="29" t="s">
        <v>58</v>
      </c>
      <c r="F14" s="72">
        <v>0.1875</v>
      </c>
      <c r="G14" s="3">
        <v>0</v>
      </c>
      <c r="H14" s="3">
        <v>1</v>
      </c>
      <c r="I14" s="3">
        <v>1</v>
      </c>
      <c r="J14" s="3">
        <v>10.46</v>
      </c>
      <c r="K14" s="3">
        <v>0.49</v>
      </c>
      <c r="L14" s="3">
        <v>6.81</v>
      </c>
      <c r="M14" s="3">
        <v>0.55000000000000004</v>
      </c>
      <c r="N14" s="3">
        <v>2.8</v>
      </c>
      <c r="O14" s="3">
        <v>0</v>
      </c>
      <c r="P14" s="3">
        <v>81.690000000000012</v>
      </c>
      <c r="Q14" s="3">
        <f t="shared" si="0"/>
        <v>78.89</v>
      </c>
      <c r="R14" s="3">
        <v>370</v>
      </c>
      <c r="S14" s="30"/>
      <c r="T14" s="6">
        <v>11</v>
      </c>
      <c r="U14" s="6">
        <v>1.6</v>
      </c>
      <c r="V14" s="16"/>
      <c r="W14" s="16"/>
      <c r="X14" s="36">
        <v>0</v>
      </c>
      <c r="Y14" s="36">
        <v>1.04</v>
      </c>
      <c r="Z14" s="36">
        <v>1.2</v>
      </c>
      <c r="AA14" s="36">
        <v>7</v>
      </c>
      <c r="AB14" s="3">
        <v>0</v>
      </c>
      <c r="AC14" s="3">
        <v>0.18</v>
      </c>
      <c r="AD14" s="3">
        <v>5.5E-2</v>
      </c>
      <c r="AE14" s="3">
        <v>0</v>
      </c>
      <c r="AF14" s="3">
        <v>0</v>
      </c>
      <c r="AG14" s="3">
        <v>0</v>
      </c>
      <c r="AH14" s="3">
        <v>0.107</v>
      </c>
      <c r="AI14" s="3">
        <v>0</v>
      </c>
      <c r="AJ14" s="3">
        <v>0.29399999999999998</v>
      </c>
      <c r="AK14" s="3">
        <v>0.56299999999999994</v>
      </c>
      <c r="AL14" s="3">
        <v>0.246</v>
      </c>
      <c r="AM14" s="3">
        <v>0.16</v>
      </c>
      <c r="AN14" s="3">
        <v>0.36399999999999999</v>
      </c>
      <c r="AO14" s="3">
        <v>0.24399999999999999</v>
      </c>
      <c r="AP14" s="3">
        <v>7.9000000000000001E-2</v>
      </c>
      <c r="AQ14" s="3">
        <v>0.41599999999999998</v>
      </c>
      <c r="AR14" s="3">
        <v>0.16</v>
      </c>
      <c r="AS14" s="3">
        <v>0.14000000000000001</v>
      </c>
      <c r="AT14" s="3">
        <v>0.22800000000000001</v>
      </c>
    </row>
    <row r="15" spans="1:46" ht="30" x14ac:dyDescent="0.25">
      <c r="A15" s="3">
        <v>1001</v>
      </c>
      <c r="B15" s="4" t="s">
        <v>117</v>
      </c>
      <c r="C15" s="27" t="s">
        <v>7</v>
      </c>
      <c r="D15" s="28" t="s">
        <v>59</v>
      </c>
      <c r="E15" s="29" t="s">
        <v>60</v>
      </c>
      <c r="F15" s="72">
        <v>0.1875</v>
      </c>
      <c r="G15" s="3">
        <v>0</v>
      </c>
      <c r="H15" s="3">
        <v>1</v>
      </c>
      <c r="I15" s="3">
        <v>1</v>
      </c>
      <c r="J15" s="3">
        <v>11.62</v>
      </c>
      <c r="K15" s="3">
        <v>0.64</v>
      </c>
      <c r="L15" s="3">
        <v>7.13</v>
      </c>
      <c r="M15" s="3">
        <v>0.66</v>
      </c>
      <c r="N15" s="3">
        <v>1.3</v>
      </c>
      <c r="O15" s="3">
        <v>0</v>
      </c>
      <c r="P15" s="3">
        <v>79.95</v>
      </c>
      <c r="Q15" s="3">
        <f t="shared" si="0"/>
        <v>78.650000000000006</v>
      </c>
      <c r="R15" s="3">
        <v>365</v>
      </c>
      <c r="S15" s="30"/>
      <c r="T15" s="6">
        <v>28</v>
      </c>
      <c r="U15" s="6">
        <v>0.8</v>
      </c>
      <c r="V15" s="16"/>
      <c r="W15" s="16"/>
      <c r="X15" s="36">
        <v>0</v>
      </c>
      <c r="Y15" s="36">
        <v>1.04</v>
      </c>
      <c r="Z15" s="36">
        <v>1.0900000000000001</v>
      </c>
      <c r="AA15" s="36">
        <v>8</v>
      </c>
      <c r="AB15" s="3">
        <v>0</v>
      </c>
      <c r="AC15" s="3">
        <v>7.0000000000000007E-2</v>
      </c>
      <c r="AD15" s="3">
        <v>4.9000000000000002E-2</v>
      </c>
      <c r="AE15" s="3">
        <v>0</v>
      </c>
      <c r="AF15" s="3">
        <v>0</v>
      </c>
      <c r="AG15" s="3">
        <v>0</v>
      </c>
      <c r="AH15" s="3">
        <v>0.16400000000000001</v>
      </c>
      <c r="AI15" s="3">
        <v>0</v>
      </c>
      <c r="AJ15" s="3">
        <v>0.308</v>
      </c>
      <c r="AK15" s="3">
        <v>0.58899999999999997</v>
      </c>
      <c r="AL15" s="3">
        <v>0.25800000000000001</v>
      </c>
      <c r="AM15" s="3">
        <v>0.16800000000000001</v>
      </c>
      <c r="AN15" s="3">
        <v>0.38100000000000001</v>
      </c>
      <c r="AO15" s="3">
        <v>0.255</v>
      </c>
      <c r="AP15" s="3">
        <v>8.3000000000000004E-2</v>
      </c>
      <c r="AQ15" s="3">
        <v>0.435</v>
      </c>
      <c r="AR15" s="3">
        <v>0.16800000000000001</v>
      </c>
      <c r="AS15" s="3">
        <v>0.14599999999999999</v>
      </c>
      <c r="AT15" s="3">
        <v>0.23799999999999999</v>
      </c>
    </row>
    <row r="16" spans="1:46" ht="31.5" customHeight="1" x14ac:dyDescent="0.25">
      <c r="A16" s="3">
        <v>1001</v>
      </c>
      <c r="B16" s="4" t="s">
        <v>117</v>
      </c>
      <c r="C16" s="27" t="s">
        <v>7</v>
      </c>
      <c r="D16" s="28" t="s">
        <v>61</v>
      </c>
      <c r="E16" s="29" t="s">
        <v>62</v>
      </c>
      <c r="F16" s="72">
        <v>0.1875</v>
      </c>
      <c r="G16" s="3">
        <v>0</v>
      </c>
      <c r="H16" s="3">
        <v>1</v>
      </c>
      <c r="I16" s="3">
        <v>1</v>
      </c>
      <c r="J16" s="3">
        <v>12.89</v>
      </c>
      <c r="K16" s="3">
        <v>0.57999999999999996</v>
      </c>
      <c r="L16" s="3">
        <v>6.61</v>
      </c>
      <c r="M16" s="3">
        <v>0.57999999999999996</v>
      </c>
      <c r="N16" s="3">
        <v>1.4</v>
      </c>
      <c r="O16" s="3">
        <v>0</v>
      </c>
      <c r="P16" s="3">
        <v>79.34</v>
      </c>
      <c r="Q16" s="3">
        <f t="shared" si="0"/>
        <v>77.94</v>
      </c>
      <c r="R16" s="3">
        <v>360</v>
      </c>
      <c r="S16" s="30"/>
      <c r="T16" s="6">
        <v>9</v>
      </c>
      <c r="U16" s="6">
        <v>0.8</v>
      </c>
      <c r="V16" s="16"/>
      <c r="W16" s="16"/>
      <c r="X16" s="36">
        <v>0</v>
      </c>
      <c r="Y16" s="36">
        <v>1.04</v>
      </c>
      <c r="Z16" s="36">
        <v>1.1599999999999999</v>
      </c>
      <c r="AA16" s="36">
        <v>9</v>
      </c>
      <c r="AB16" s="3">
        <v>0</v>
      </c>
      <c r="AC16" s="3">
        <v>7.0000000000000007E-2</v>
      </c>
      <c r="AD16" s="3">
        <v>4.8000000000000001E-2</v>
      </c>
      <c r="AE16" s="3">
        <v>0</v>
      </c>
      <c r="AF16" s="3">
        <v>0</v>
      </c>
      <c r="AG16" s="3">
        <v>0</v>
      </c>
      <c r="AH16" s="3">
        <v>0.14499999999999999</v>
      </c>
      <c r="AI16" s="3">
        <v>0</v>
      </c>
      <c r="AJ16" s="3">
        <v>0.28499999999999998</v>
      </c>
      <c r="AK16" s="3">
        <v>0.54600000000000004</v>
      </c>
      <c r="AL16" s="3">
        <v>0.23899999999999999</v>
      </c>
      <c r="AM16" s="3">
        <v>0.155</v>
      </c>
      <c r="AN16" s="3">
        <v>0.35299999999999998</v>
      </c>
      <c r="AO16" s="3">
        <v>0.23599999999999999</v>
      </c>
      <c r="AP16" s="3">
        <v>7.6999999999999999E-2</v>
      </c>
      <c r="AQ16" s="3">
        <v>0.40300000000000002</v>
      </c>
      <c r="AR16" s="3">
        <v>0.155</v>
      </c>
      <c r="AS16" s="3">
        <v>0.13500000000000001</v>
      </c>
      <c r="AT16" s="3">
        <v>0.221</v>
      </c>
    </row>
    <row r="17" spans="1:46" ht="30" x14ac:dyDescent="0.25">
      <c r="A17" s="3">
        <v>1001</v>
      </c>
      <c r="B17" s="4" t="s">
        <v>117</v>
      </c>
      <c r="C17" s="27" t="s">
        <v>7</v>
      </c>
      <c r="D17" s="28" t="s">
        <v>63</v>
      </c>
      <c r="E17" s="29" t="s">
        <v>64</v>
      </c>
      <c r="F17" s="72">
        <v>0.1875</v>
      </c>
      <c r="G17" s="3">
        <v>0</v>
      </c>
      <c r="H17" s="3">
        <v>1</v>
      </c>
      <c r="I17" s="3">
        <v>1</v>
      </c>
      <c r="J17" s="3">
        <v>13.29</v>
      </c>
      <c r="K17" s="3">
        <v>0.54</v>
      </c>
      <c r="L17" s="3">
        <v>6.5</v>
      </c>
      <c r="M17" s="3">
        <v>0.52</v>
      </c>
      <c r="N17" s="3">
        <v>2.8</v>
      </c>
      <c r="O17" s="3">
        <v>0</v>
      </c>
      <c r="P17" s="3">
        <v>79.149999999999991</v>
      </c>
      <c r="Q17" s="3">
        <f t="shared" si="0"/>
        <v>76.350000000000009</v>
      </c>
      <c r="R17" s="3">
        <v>358</v>
      </c>
      <c r="S17" s="30"/>
      <c r="T17" s="6">
        <v>3</v>
      </c>
      <c r="U17" s="6">
        <v>0.8</v>
      </c>
      <c r="V17" s="16"/>
      <c r="W17" s="16"/>
      <c r="X17" s="36">
        <v>0</v>
      </c>
      <c r="Y17" s="36">
        <v>1.04</v>
      </c>
      <c r="Z17" s="36">
        <v>1.1000000000000001</v>
      </c>
      <c r="AA17" s="36">
        <v>6</v>
      </c>
      <c r="AB17" s="3">
        <v>0</v>
      </c>
      <c r="AC17" s="3">
        <v>7.0000000000000007E-2</v>
      </c>
      <c r="AD17" s="3">
        <v>4.8000000000000001E-2</v>
      </c>
      <c r="AE17" s="3">
        <v>0</v>
      </c>
      <c r="AF17" s="3">
        <v>0</v>
      </c>
      <c r="AG17" s="3">
        <v>0</v>
      </c>
      <c r="AH17" s="3">
        <v>0.17100000000000001</v>
      </c>
      <c r="AI17" s="3">
        <v>0</v>
      </c>
      <c r="AJ17" s="3">
        <v>0.28100000000000003</v>
      </c>
      <c r="AK17" s="3">
        <v>0.53800000000000003</v>
      </c>
      <c r="AL17" s="3">
        <v>0.23499999999999999</v>
      </c>
      <c r="AM17" s="3">
        <v>0.153</v>
      </c>
      <c r="AN17" s="3">
        <v>0.34799999999999998</v>
      </c>
      <c r="AO17" s="3">
        <v>0.23300000000000001</v>
      </c>
      <c r="AP17" s="3">
        <v>7.4999999999999997E-2</v>
      </c>
      <c r="AQ17" s="3">
        <v>0.39700000000000002</v>
      </c>
      <c r="AR17" s="3">
        <v>0.153</v>
      </c>
      <c r="AS17" s="3">
        <v>0.13300000000000001</v>
      </c>
      <c r="AT17" s="3">
        <v>0.217</v>
      </c>
    </row>
    <row r="18" spans="1:46" ht="15" x14ac:dyDescent="0.25">
      <c r="A18" s="33"/>
      <c r="B18" s="33"/>
      <c r="C18" s="33"/>
      <c r="D18" s="33"/>
      <c r="E18" s="33"/>
      <c r="F18" s="82"/>
      <c r="G18" s="34"/>
      <c r="H18" s="34"/>
      <c r="I18" s="34"/>
      <c r="J18" s="34"/>
      <c r="K18" s="34"/>
      <c r="L18" s="34"/>
      <c r="M18" s="34"/>
      <c r="N18" s="34"/>
      <c r="O18" s="34"/>
      <c r="P18" s="34"/>
      <c r="Q18" s="34"/>
      <c r="R18" s="34"/>
      <c r="S18" s="34"/>
      <c r="T18" s="34"/>
      <c r="U18" s="34"/>
      <c r="V18" s="34"/>
      <c r="W18" s="34"/>
      <c r="X18" s="34"/>
      <c r="Y18" s="34"/>
      <c r="Z18" s="34"/>
      <c r="AA18" s="34"/>
      <c r="AB18" s="34"/>
      <c r="AC18" s="34"/>
      <c r="AD18" s="34"/>
      <c r="AE18" s="34"/>
      <c r="AF18" s="34"/>
      <c r="AG18" s="34"/>
      <c r="AH18" s="34"/>
      <c r="AI18" s="34"/>
      <c r="AJ18" s="34"/>
      <c r="AK18" s="34"/>
      <c r="AL18" s="34"/>
      <c r="AM18" s="34"/>
      <c r="AN18" s="34"/>
      <c r="AO18" s="34"/>
      <c r="AP18" s="34"/>
      <c r="AQ18" s="34"/>
      <c r="AR18" s="34"/>
      <c r="AS18" s="34"/>
      <c r="AT18" s="34"/>
    </row>
    <row r="19" spans="1:46" ht="15" x14ac:dyDescent="0.25">
      <c r="A19" s="3">
        <v>1001</v>
      </c>
      <c r="B19" s="4" t="s">
        <v>117</v>
      </c>
      <c r="C19" s="31"/>
      <c r="D19" s="31"/>
      <c r="E19" s="32" t="s">
        <v>67</v>
      </c>
      <c r="F19" s="16"/>
      <c r="G19" s="26">
        <f t="shared" ref="G19:P19" si="1">SUM(G12*$F12,G13*$F13,G14*$F14,G15*$F15,G16*$F16,G17*$F17)</f>
        <v>0</v>
      </c>
      <c r="H19" s="26">
        <v>1</v>
      </c>
      <c r="I19" s="26">
        <v>1</v>
      </c>
      <c r="J19" s="26">
        <f t="shared" si="1"/>
        <v>11.891249999999999</v>
      </c>
      <c r="K19" s="26">
        <f t="shared" si="1"/>
        <v>0.77187499999999987</v>
      </c>
      <c r="L19" s="26">
        <f t="shared" si="1"/>
        <v>7.0018750000000001</v>
      </c>
      <c r="M19" s="26">
        <f t="shared" si="1"/>
        <v>1.1331249999999999</v>
      </c>
      <c r="N19" s="26">
        <f t="shared" si="1"/>
        <v>2.4187500000000002</v>
      </c>
      <c r="O19" s="26">
        <f t="shared" si="1"/>
        <v>0</v>
      </c>
      <c r="P19" s="26">
        <f t="shared" si="1"/>
        <v>79.201875000000015</v>
      </c>
      <c r="Q19" s="21">
        <f>AVERAGE(Q12:Q17)</f>
        <v>76.391666666666666</v>
      </c>
      <c r="R19" s="26">
        <f>SUM(R12*$F12,R13*$F13,R14*$F14,R15*$F15,R16*$F16,R17*$F17)</f>
        <v>363.9375</v>
      </c>
      <c r="S19" s="26"/>
      <c r="T19" s="26">
        <f>SUM(T12*$F12,T13*$F13,T14*$F14,T15*$F15,T16*$F16,T17*$F17)</f>
        <v>16.5625</v>
      </c>
      <c r="U19" s="26">
        <f>SUM(U12*$F12,U13*$F13,U14*$F14,U15*$F15,U16*$F16,U17*$F17)</f>
        <v>1.1587499999999999</v>
      </c>
      <c r="V19" s="16"/>
      <c r="W19" s="16"/>
      <c r="X19" s="26">
        <f t="shared" ref="X19:AT19" si="2">SUM(X12*$F12,X13*$F13,X14*$F14,X15*$F15,X16*$F16,X17*$F17)</f>
        <v>0</v>
      </c>
      <c r="Y19" s="26">
        <f t="shared" si="2"/>
        <v>1.04</v>
      </c>
      <c r="Z19" s="26">
        <f t="shared" si="2"/>
        <v>1.3718750000000002</v>
      </c>
      <c r="AA19" s="26">
        <f t="shared" si="2"/>
        <v>11</v>
      </c>
      <c r="AB19" s="26">
        <f t="shared" si="2"/>
        <v>0</v>
      </c>
      <c r="AC19" s="26">
        <f t="shared" si="2"/>
        <v>0.174875</v>
      </c>
      <c r="AD19" s="26">
        <f t="shared" si="2"/>
        <v>5.4500000000000007E-2</v>
      </c>
      <c r="AE19" s="26">
        <f t="shared" si="2"/>
        <v>0</v>
      </c>
      <c r="AF19" s="26">
        <f t="shared" si="2"/>
        <v>0</v>
      </c>
      <c r="AG19" s="26">
        <f t="shared" si="2"/>
        <v>0</v>
      </c>
      <c r="AH19" s="26">
        <f t="shared" si="2"/>
        <v>0.23731250000000001</v>
      </c>
      <c r="AI19" s="26">
        <f t="shared" si="2"/>
        <v>0</v>
      </c>
      <c r="AJ19" s="26">
        <f t="shared" si="2"/>
        <v>0.30075000000000002</v>
      </c>
      <c r="AK19" s="26">
        <f t="shared" si="2"/>
        <v>0.57887500000000003</v>
      </c>
      <c r="AL19" s="26">
        <f t="shared" si="2"/>
        <v>0.25700000000000001</v>
      </c>
      <c r="AM19" s="26">
        <f t="shared" si="2"/>
        <v>0.16275000000000001</v>
      </c>
      <c r="AN19" s="26">
        <f t="shared" si="2"/>
        <v>0.37075000000000002</v>
      </c>
      <c r="AO19" s="26">
        <f t="shared" si="2"/>
        <v>0.25224999999999997</v>
      </c>
      <c r="AP19" s="26">
        <f t="shared" si="2"/>
        <v>8.3499999999999991E-2</v>
      </c>
      <c r="AQ19" s="26">
        <f t="shared" si="2"/>
        <v>0.42281249999999998</v>
      </c>
      <c r="AR19" s="26">
        <f t="shared" si="2"/>
        <v>0.16825000000000001</v>
      </c>
      <c r="AS19" s="26">
        <f t="shared" si="2"/>
        <v>0.12725</v>
      </c>
      <c r="AT19" s="26">
        <f t="shared" si="2"/>
        <v>0.24187500000000001</v>
      </c>
    </row>
    <row r="20" spans="1:46" ht="15" x14ac:dyDescent="0.25">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row>
    <row r="21" spans="1:46" ht="15" x14ac:dyDescent="0.25">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row>
    <row r="22" spans="1:46" ht="15" x14ac:dyDescent="0.25">
      <c r="A22" s="6">
        <v>4002</v>
      </c>
      <c r="B22" s="7" t="s">
        <v>10</v>
      </c>
      <c r="C22" s="27" t="s">
        <v>7</v>
      </c>
      <c r="D22" s="28" t="s">
        <v>69</v>
      </c>
      <c r="E22" s="35" t="s">
        <v>70</v>
      </c>
      <c r="F22" s="3">
        <v>0.25</v>
      </c>
      <c r="G22" s="36">
        <v>9</v>
      </c>
      <c r="H22" s="36">
        <v>7</v>
      </c>
      <c r="I22" s="36">
        <v>5</v>
      </c>
      <c r="J22" s="3">
        <v>93</v>
      </c>
      <c r="K22" s="3">
        <v>0.5</v>
      </c>
      <c r="L22" s="3">
        <v>1.2</v>
      </c>
      <c r="M22" s="3">
        <v>0.2</v>
      </c>
      <c r="N22" s="3">
        <v>1.1000000000000001</v>
      </c>
      <c r="O22" s="3">
        <v>0</v>
      </c>
      <c r="P22" s="3">
        <v>5.0999999999999996</v>
      </c>
      <c r="Q22" s="3">
        <f t="shared" ref="Q22:Q25" si="3">100-J22-K22-L22-M22-N22-O22</f>
        <v>3.9999999999999996</v>
      </c>
      <c r="R22" s="3">
        <v>23</v>
      </c>
      <c r="S22" s="3"/>
      <c r="T22" s="3">
        <v>13</v>
      </c>
      <c r="U22" s="3">
        <v>0.51</v>
      </c>
      <c r="V22" s="3"/>
      <c r="W22" s="3"/>
      <c r="X22" s="3">
        <v>0</v>
      </c>
      <c r="Y22" s="3">
        <v>0.44</v>
      </c>
      <c r="Z22" s="3">
        <v>0.13</v>
      </c>
      <c r="AA22" s="3">
        <v>9</v>
      </c>
      <c r="AB22" s="3">
        <v>23.4</v>
      </c>
      <c r="AC22" s="3">
        <v>0.06</v>
      </c>
      <c r="AD22" s="3">
        <v>0.04</v>
      </c>
      <c r="AE22" s="3">
        <v>0</v>
      </c>
      <c r="AF22" s="3">
        <v>385</v>
      </c>
      <c r="AG22" s="3">
        <v>32</v>
      </c>
      <c r="AH22" s="3">
        <v>8.1000000000000003E-2</v>
      </c>
      <c r="AI22" s="3">
        <v>0</v>
      </c>
      <c r="AJ22" s="3">
        <v>2.9000000000000001E-2</v>
      </c>
      <c r="AK22" s="3">
        <v>4.3999999999999997E-2</v>
      </c>
      <c r="AL22" s="3">
        <v>4.3999999999999997E-2</v>
      </c>
      <c r="AM22" s="3">
        <v>0.01</v>
      </c>
      <c r="AN22" s="3">
        <v>3.1E-2</v>
      </c>
      <c r="AO22" s="3">
        <v>0.03</v>
      </c>
      <c r="AP22" s="3">
        <v>8.9999999999999993E-3</v>
      </c>
      <c r="AQ22" s="3">
        <v>3.1E-2</v>
      </c>
      <c r="AR22" s="3">
        <v>1.7999999999999999E-2</v>
      </c>
      <c r="AS22" s="3">
        <v>1.6E-2</v>
      </c>
      <c r="AT22" s="3">
        <v>2.1000000000000001E-2</v>
      </c>
    </row>
    <row r="23" spans="1:46" ht="15" x14ac:dyDescent="0.25">
      <c r="A23" s="6">
        <v>4002</v>
      </c>
      <c r="B23" s="7" t="s">
        <v>10</v>
      </c>
      <c r="C23" s="27" t="s">
        <v>7</v>
      </c>
      <c r="D23" s="28" t="s">
        <v>71</v>
      </c>
      <c r="E23" s="35" t="s">
        <v>11</v>
      </c>
      <c r="F23" s="3">
        <v>0.25</v>
      </c>
      <c r="G23" s="36">
        <v>9</v>
      </c>
      <c r="H23" s="36">
        <v>7</v>
      </c>
      <c r="I23" s="36">
        <v>5</v>
      </c>
      <c r="J23" s="3">
        <v>94.52</v>
      </c>
      <c r="K23" s="3">
        <v>0.5</v>
      </c>
      <c r="L23" s="3">
        <v>0.88</v>
      </c>
      <c r="M23" s="3">
        <v>0.2</v>
      </c>
      <c r="N23" s="3">
        <v>1.2</v>
      </c>
      <c r="O23" s="3">
        <v>0</v>
      </c>
      <c r="P23" s="3">
        <v>3.89</v>
      </c>
      <c r="Q23" s="3">
        <f t="shared" si="3"/>
        <v>2.7000000000000037</v>
      </c>
      <c r="R23" s="3">
        <v>18</v>
      </c>
      <c r="S23" s="3"/>
      <c r="T23" s="3">
        <v>10</v>
      </c>
      <c r="U23" s="3">
        <v>0.27</v>
      </c>
      <c r="V23" s="3"/>
      <c r="W23" s="3"/>
      <c r="X23" s="3">
        <v>0</v>
      </c>
      <c r="Y23" s="3">
        <v>0.44</v>
      </c>
      <c r="Z23" s="3">
        <v>0.17</v>
      </c>
      <c r="AA23" s="3">
        <v>15</v>
      </c>
      <c r="AB23" s="3">
        <v>13.7</v>
      </c>
      <c r="AC23" s="3">
        <v>3.6999999999999998E-2</v>
      </c>
      <c r="AD23" s="3">
        <v>1.9E-2</v>
      </c>
      <c r="AE23" s="3">
        <v>0</v>
      </c>
      <c r="AF23" s="3">
        <v>499.5</v>
      </c>
      <c r="AG23" s="3">
        <v>42</v>
      </c>
      <c r="AH23" s="3">
        <v>0.08</v>
      </c>
      <c r="AI23" s="3">
        <v>0</v>
      </c>
      <c r="AJ23" s="3">
        <v>1.7999999999999999E-2</v>
      </c>
      <c r="AK23" s="3">
        <v>2.5000000000000001E-2</v>
      </c>
      <c r="AL23" s="3">
        <v>2.7E-2</v>
      </c>
      <c r="AM23" s="3">
        <v>6.0000000000000001E-3</v>
      </c>
      <c r="AN23" s="3">
        <v>2.7E-2</v>
      </c>
      <c r="AO23" s="3">
        <v>2.7E-2</v>
      </c>
      <c r="AP23" s="3">
        <v>6.0000000000000001E-3</v>
      </c>
      <c r="AQ23" s="3">
        <v>1.7999999999999999E-2</v>
      </c>
      <c r="AR23" s="3">
        <v>1.4E-2</v>
      </c>
      <c r="AS23" s="3">
        <v>8.9999999999999993E-3</v>
      </c>
      <c r="AT23" s="3">
        <v>1.4E-2</v>
      </c>
    </row>
    <row r="24" spans="1:46" ht="15" x14ac:dyDescent="0.25">
      <c r="A24" s="6">
        <v>4002</v>
      </c>
      <c r="B24" s="7" t="s">
        <v>10</v>
      </c>
      <c r="C24" s="27" t="s">
        <v>7</v>
      </c>
      <c r="D24" s="28" t="s">
        <v>72</v>
      </c>
      <c r="E24" s="35" t="s">
        <v>73</v>
      </c>
      <c r="F24" s="3">
        <v>0.25</v>
      </c>
      <c r="G24" s="36">
        <v>9</v>
      </c>
      <c r="H24" s="36">
        <v>7</v>
      </c>
      <c r="I24" s="36">
        <v>5</v>
      </c>
      <c r="J24" s="3">
        <v>94.78</v>
      </c>
      <c r="K24" s="3">
        <v>0.69</v>
      </c>
      <c r="L24" s="3">
        <v>1.1599999999999999</v>
      </c>
      <c r="M24" s="3">
        <v>0.19</v>
      </c>
      <c r="N24" s="3">
        <v>0.9</v>
      </c>
      <c r="O24" s="3">
        <v>0</v>
      </c>
      <c r="P24" s="3">
        <v>3.18</v>
      </c>
      <c r="Q24" s="3">
        <f t="shared" si="3"/>
        <v>2.2799999999999994</v>
      </c>
      <c r="R24" s="3">
        <v>16</v>
      </c>
      <c r="S24" s="3"/>
      <c r="T24" s="3">
        <v>5</v>
      </c>
      <c r="U24" s="3">
        <v>0.47</v>
      </c>
      <c r="V24" s="3"/>
      <c r="W24" s="3"/>
      <c r="X24" s="3">
        <v>0</v>
      </c>
      <c r="Y24" s="3">
        <v>0.44</v>
      </c>
      <c r="Z24" s="3">
        <v>0.14000000000000001</v>
      </c>
      <c r="AA24" s="3">
        <v>29</v>
      </c>
      <c r="AB24" s="3">
        <v>16</v>
      </c>
      <c r="AC24" s="3">
        <v>4.5999999999999999E-2</v>
      </c>
      <c r="AD24" s="3">
        <v>3.4000000000000002E-2</v>
      </c>
      <c r="AE24" s="3">
        <v>0</v>
      </c>
      <c r="AF24" s="3">
        <f>+AG24*12</f>
        <v>900</v>
      </c>
      <c r="AG24" s="3">
        <v>75</v>
      </c>
      <c r="AH24" s="3">
        <v>0.06</v>
      </c>
      <c r="AI24" s="3">
        <v>0</v>
      </c>
      <c r="AJ24" s="3">
        <v>2.7E-2</v>
      </c>
      <c r="AK24" s="3">
        <v>4.2000000000000003E-2</v>
      </c>
      <c r="AL24" s="3">
        <v>4.2000000000000003E-2</v>
      </c>
      <c r="AM24" s="3">
        <v>0.01</v>
      </c>
      <c r="AN24" s="3">
        <v>0.03</v>
      </c>
      <c r="AO24" s="3">
        <v>2.9000000000000001E-2</v>
      </c>
      <c r="AP24" s="3">
        <v>8.0000000000000002E-3</v>
      </c>
      <c r="AQ24" s="3">
        <v>0.03</v>
      </c>
      <c r="AR24" s="3">
        <v>1.7999999999999999E-2</v>
      </c>
      <c r="AS24" s="3">
        <v>1.4999999999999999E-2</v>
      </c>
      <c r="AT24" s="3">
        <v>0.02</v>
      </c>
    </row>
    <row r="25" spans="1:46" ht="15" x14ac:dyDescent="0.25">
      <c r="A25" s="6">
        <v>4002</v>
      </c>
      <c r="B25" s="7" t="s">
        <v>10</v>
      </c>
      <c r="C25" s="27" t="s">
        <v>7</v>
      </c>
      <c r="D25" s="28" t="s">
        <v>74</v>
      </c>
      <c r="E25" s="35" t="s">
        <v>75</v>
      </c>
      <c r="F25" s="3">
        <v>0.25</v>
      </c>
      <c r="G25" s="36">
        <v>9</v>
      </c>
      <c r="H25" s="36">
        <v>7</v>
      </c>
      <c r="I25" s="36">
        <v>5</v>
      </c>
      <c r="J25" s="3">
        <v>95.28</v>
      </c>
      <c r="K25" s="3">
        <v>0.5</v>
      </c>
      <c r="L25" s="3">
        <v>0.98</v>
      </c>
      <c r="M25" s="3">
        <v>0.26</v>
      </c>
      <c r="N25" s="3">
        <v>0.7</v>
      </c>
      <c r="O25" s="3">
        <v>0</v>
      </c>
      <c r="P25" s="3">
        <v>2.98</v>
      </c>
      <c r="Q25" s="3">
        <f t="shared" si="3"/>
        <v>2.2799999999999985</v>
      </c>
      <c r="R25" s="3">
        <v>15</v>
      </c>
      <c r="S25" s="3"/>
      <c r="T25" s="3">
        <v>11</v>
      </c>
      <c r="U25" s="3">
        <v>0.49</v>
      </c>
      <c r="V25" s="3"/>
      <c r="W25" s="3"/>
      <c r="X25" s="3">
        <v>0</v>
      </c>
      <c r="Y25" s="3">
        <v>0.44</v>
      </c>
      <c r="Z25" s="3">
        <v>0.28000000000000003</v>
      </c>
      <c r="AA25" s="3">
        <v>30</v>
      </c>
      <c r="AB25" s="3">
        <v>9</v>
      </c>
      <c r="AC25" s="3">
        <v>4.1000000000000002E-2</v>
      </c>
      <c r="AD25" s="3">
        <v>4.7E-2</v>
      </c>
      <c r="AE25" s="3">
        <v>0</v>
      </c>
      <c r="AF25" s="3">
        <v>0</v>
      </c>
      <c r="AG25" s="3">
        <v>0</v>
      </c>
      <c r="AH25" s="3">
        <v>5.6000000000000001E-2</v>
      </c>
      <c r="AI25" s="3">
        <v>0</v>
      </c>
      <c r="AJ25" s="3">
        <v>2.3E-2</v>
      </c>
      <c r="AK25" s="3">
        <v>3.5999999999999997E-2</v>
      </c>
      <c r="AL25" s="3">
        <v>3.5999999999999997E-2</v>
      </c>
      <c r="AM25" s="3">
        <v>8.0000000000000002E-3</v>
      </c>
      <c r="AN25" s="3">
        <v>2.5000000000000001E-2</v>
      </c>
      <c r="AO25" s="3">
        <v>2.4E-2</v>
      </c>
      <c r="AP25" s="3">
        <v>7.0000000000000001E-3</v>
      </c>
      <c r="AQ25" s="3">
        <v>2.5000000000000001E-2</v>
      </c>
      <c r="AR25" s="3">
        <v>1.4999999999999999E-2</v>
      </c>
      <c r="AS25" s="3">
        <v>1.2999999999999999E-2</v>
      </c>
      <c r="AT25" s="3">
        <v>1.7000000000000001E-2</v>
      </c>
    </row>
    <row r="26" spans="1:46" ht="15" x14ac:dyDescent="0.25">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row>
    <row r="27" spans="1:46" s="1" customFormat="1" ht="15" x14ac:dyDescent="0.25">
      <c r="A27" s="6">
        <v>4002</v>
      </c>
      <c r="B27" s="7" t="s">
        <v>10</v>
      </c>
      <c r="C27" s="16"/>
      <c r="D27" s="16"/>
      <c r="E27" s="32" t="s">
        <v>67</v>
      </c>
      <c r="F27" s="16"/>
      <c r="G27" s="3">
        <f>+SUM(G22*$F22,+G23*$F23+G24*$F24+G25*$F25)</f>
        <v>9</v>
      </c>
      <c r="H27" s="3">
        <f>+SUM(H22*$F22,+H23*$F23+H24*$F24+H25*$F25)</f>
        <v>7</v>
      </c>
      <c r="I27" s="3">
        <v>5</v>
      </c>
      <c r="J27" s="3">
        <f>+SUM(J22*$F22,+J23*$F23+J24*$F24+J25*$F25)</f>
        <v>94.39500000000001</v>
      </c>
      <c r="K27" s="3">
        <f t="shared" ref="K27:P27" si="4">+SUM(K22*$F22,+K23*$F23+K24*$F24+K25*$F25)</f>
        <v>0.54749999999999999</v>
      </c>
      <c r="L27" s="3">
        <f t="shared" si="4"/>
        <v>1.0549999999999999</v>
      </c>
      <c r="M27" s="3">
        <f t="shared" si="4"/>
        <v>0.21250000000000002</v>
      </c>
      <c r="N27" s="3">
        <f t="shared" si="4"/>
        <v>0.97499999999999998</v>
      </c>
      <c r="O27" s="3">
        <f t="shared" si="4"/>
        <v>0</v>
      </c>
      <c r="P27" s="3">
        <f t="shared" si="4"/>
        <v>3.7875000000000001</v>
      </c>
      <c r="Q27" s="83">
        <f>AVERAGE(Q22:Q25)</f>
        <v>2.8150000000000004</v>
      </c>
      <c r="R27" s="3">
        <f>+SUM(R22*$F22,+R23*$F23+R24*$F24+R25*$F25)</f>
        <v>18</v>
      </c>
      <c r="S27" s="16"/>
      <c r="T27" s="3">
        <f t="shared" ref="T27:U27" si="5">+SUM(T22*$F22,+T23*$F23+T24*$F24+T25*$F25)</f>
        <v>9.75</v>
      </c>
      <c r="U27" s="3">
        <f t="shared" si="5"/>
        <v>0.435</v>
      </c>
      <c r="V27" s="16"/>
      <c r="W27" s="16"/>
      <c r="X27" s="3">
        <f t="shared" ref="X27:AT27" si="6">+SUM(X22*$F22,+X23*$F23+X24*$F24+X25*$F25)</f>
        <v>0</v>
      </c>
      <c r="Y27" s="3">
        <f t="shared" si="6"/>
        <v>0.44</v>
      </c>
      <c r="Z27" s="3">
        <f t="shared" si="6"/>
        <v>0.18000000000000002</v>
      </c>
      <c r="AA27" s="3">
        <f t="shared" si="6"/>
        <v>20.75</v>
      </c>
      <c r="AB27" s="3">
        <f t="shared" si="6"/>
        <v>15.525</v>
      </c>
      <c r="AC27" s="3">
        <f t="shared" si="6"/>
        <v>4.5999999999999999E-2</v>
      </c>
      <c r="AD27" s="3">
        <f t="shared" si="6"/>
        <v>3.5000000000000003E-2</v>
      </c>
      <c r="AE27" s="3">
        <f t="shared" si="6"/>
        <v>0</v>
      </c>
      <c r="AF27" s="3">
        <f t="shared" si="6"/>
        <v>446.125</v>
      </c>
      <c r="AG27" s="3">
        <f t="shared" si="6"/>
        <v>37.25</v>
      </c>
      <c r="AH27" s="3">
        <f t="shared" si="6"/>
        <v>6.9250000000000006E-2</v>
      </c>
      <c r="AI27" s="3">
        <f t="shared" si="6"/>
        <v>0</v>
      </c>
      <c r="AJ27" s="3">
        <f t="shared" si="6"/>
        <v>2.4250000000000001E-2</v>
      </c>
      <c r="AK27" s="3">
        <f t="shared" si="6"/>
        <v>3.6750000000000005E-2</v>
      </c>
      <c r="AL27" s="3">
        <f t="shared" si="6"/>
        <v>3.7250000000000005E-2</v>
      </c>
      <c r="AM27" s="3">
        <f t="shared" si="6"/>
        <v>8.5000000000000006E-3</v>
      </c>
      <c r="AN27" s="3">
        <f t="shared" si="6"/>
        <v>2.8249999999999997E-2</v>
      </c>
      <c r="AO27" s="3">
        <f t="shared" si="6"/>
        <v>2.75E-2</v>
      </c>
      <c r="AP27" s="3">
        <f t="shared" si="6"/>
        <v>7.4999999999999997E-3</v>
      </c>
      <c r="AQ27" s="3">
        <f t="shared" si="6"/>
        <v>2.6000000000000002E-2</v>
      </c>
      <c r="AR27" s="3">
        <f t="shared" si="6"/>
        <v>1.6250000000000001E-2</v>
      </c>
      <c r="AS27" s="3">
        <f t="shared" si="6"/>
        <v>1.325E-2</v>
      </c>
      <c r="AT27" s="3">
        <f t="shared" si="6"/>
        <v>1.8000000000000002E-2</v>
      </c>
    </row>
    <row r="29" spans="1:46" s="84" customFormat="1" x14ac:dyDescent="0.2">
      <c r="A29" s="84" t="s">
        <v>144</v>
      </c>
    </row>
    <row r="30" spans="1:46" s="62" customFormat="1" ht="15" x14ac:dyDescent="0.25">
      <c r="A30" s="75">
        <v>4004</v>
      </c>
      <c r="B30" s="76" t="s">
        <v>143</v>
      </c>
      <c r="C30" s="76" t="s">
        <v>145</v>
      </c>
      <c r="D30" s="76">
        <v>43</v>
      </c>
      <c r="E30" s="76" t="s">
        <v>146</v>
      </c>
      <c r="F30" s="76"/>
      <c r="G30" s="75">
        <v>33</v>
      </c>
      <c r="H30" s="75">
        <v>7</v>
      </c>
      <c r="I30" s="75">
        <v>5</v>
      </c>
      <c r="J30" s="85">
        <v>85.9</v>
      </c>
      <c r="K30" s="85">
        <v>0.8</v>
      </c>
      <c r="L30" s="85">
        <v>1.7</v>
      </c>
      <c r="M30" s="85">
        <v>0.3</v>
      </c>
      <c r="N30" s="85">
        <v>2.2999999999999998</v>
      </c>
      <c r="O30" s="85">
        <v>0</v>
      </c>
      <c r="P30" s="85">
        <v>11.3</v>
      </c>
      <c r="Q30" s="85">
        <f t="shared" ref="Q30:Q34" si="7">100-J30-K30-L30-M30-N30-O30</f>
        <v>8.9999999999999929</v>
      </c>
      <c r="R30" s="85">
        <v>50</v>
      </c>
      <c r="S30" s="85"/>
      <c r="T30" s="85">
        <v>28.1</v>
      </c>
      <c r="U30" s="85">
        <v>0.6</v>
      </c>
      <c r="V30" s="85"/>
      <c r="W30" s="85"/>
      <c r="X30" s="85">
        <v>0</v>
      </c>
      <c r="Y30" s="85">
        <v>0.6</v>
      </c>
      <c r="Z30" s="85">
        <v>0.73</v>
      </c>
      <c r="AA30" s="85">
        <v>91</v>
      </c>
      <c r="AB30" s="85">
        <v>8</v>
      </c>
      <c r="AC30" s="85">
        <v>2.5000000000000001E-2</v>
      </c>
      <c r="AD30" s="85">
        <v>4.4999999999999998E-2</v>
      </c>
      <c r="AE30" s="85">
        <v>0</v>
      </c>
      <c r="AF30" s="85">
        <v>7</v>
      </c>
      <c r="AG30" s="85">
        <v>0.58299999999999996</v>
      </c>
      <c r="AH30" s="85">
        <v>0.05</v>
      </c>
      <c r="AI30" s="85">
        <v>0</v>
      </c>
      <c r="AJ30" s="86">
        <v>3.2000000000000001E-2</v>
      </c>
      <c r="AK30" s="86">
        <v>3.5000000000000003E-2</v>
      </c>
      <c r="AL30" s="86">
        <v>3.7999999999999999E-2</v>
      </c>
      <c r="AM30" s="86">
        <v>8.0000000000000002E-3</v>
      </c>
      <c r="AN30" s="86">
        <v>1.6E-2</v>
      </c>
      <c r="AO30" s="86">
        <v>0.03</v>
      </c>
      <c r="AP30" s="86">
        <v>8.9999999999999993E-3</v>
      </c>
      <c r="AQ30" s="86">
        <v>4.2999999999999997E-2</v>
      </c>
      <c r="AR30" s="86">
        <v>1.7999999999999999E-2</v>
      </c>
      <c r="AS30" s="86">
        <v>1E-3</v>
      </c>
      <c r="AT30" s="86">
        <v>1.4E-2</v>
      </c>
    </row>
    <row r="31" spans="1:46" s="62" customFormat="1" ht="15" x14ac:dyDescent="0.25">
      <c r="A31" s="75">
        <v>4004</v>
      </c>
      <c r="B31" s="76" t="s">
        <v>143</v>
      </c>
      <c r="C31" s="76" t="s">
        <v>145</v>
      </c>
      <c r="D31" s="76">
        <v>39</v>
      </c>
      <c r="E31" s="76" t="s">
        <v>147</v>
      </c>
      <c r="F31" s="76"/>
      <c r="G31" s="75">
        <v>10</v>
      </c>
      <c r="H31" s="75">
        <v>7</v>
      </c>
      <c r="I31" s="75">
        <v>5</v>
      </c>
      <c r="J31" s="85">
        <v>95.9</v>
      </c>
      <c r="K31" s="85">
        <v>0.7</v>
      </c>
      <c r="L31" s="85">
        <v>0.8</v>
      </c>
      <c r="M31" s="85">
        <v>0.1</v>
      </c>
      <c r="N31" s="85">
        <v>1.3</v>
      </c>
      <c r="O31" s="85">
        <v>0</v>
      </c>
      <c r="P31" s="85">
        <v>2.5</v>
      </c>
      <c r="Q31" s="85">
        <f t="shared" si="7"/>
        <v>1.1999999999999942</v>
      </c>
      <c r="R31" s="85">
        <v>11</v>
      </c>
      <c r="S31" s="85"/>
      <c r="T31" s="85">
        <v>35</v>
      </c>
      <c r="U31" s="85">
        <v>0.6</v>
      </c>
      <c r="V31" s="85"/>
      <c r="W31" s="85"/>
      <c r="X31" s="85">
        <v>0</v>
      </c>
      <c r="Y31" s="85">
        <v>0.6</v>
      </c>
      <c r="Z31" s="85">
        <v>0.32</v>
      </c>
      <c r="AA31" s="85">
        <v>24</v>
      </c>
      <c r="AB31" s="85">
        <v>33</v>
      </c>
      <c r="AC31" s="85">
        <v>0.02</v>
      </c>
      <c r="AD31" s="85">
        <v>0.04</v>
      </c>
      <c r="AE31" s="85">
        <v>0</v>
      </c>
      <c r="AF31" s="85">
        <v>15</v>
      </c>
      <c r="AG31" s="85">
        <v>1.25</v>
      </c>
      <c r="AH31" s="85">
        <v>0.06</v>
      </c>
      <c r="AI31" s="85">
        <v>0</v>
      </c>
      <c r="AJ31" s="86">
        <v>2.3E-2</v>
      </c>
      <c r="AK31" s="86">
        <v>3.5000000000000003E-2</v>
      </c>
      <c r="AL31" s="86">
        <v>3.5000000000000003E-2</v>
      </c>
      <c r="AM31" s="86">
        <v>7.0000000000000001E-3</v>
      </c>
      <c r="AN31" s="86">
        <v>0.02</v>
      </c>
      <c r="AO31" s="86">
        <v>2.4E-2</v>
      </c>
      <c r="AP31" s="86">
        <v>8.9999999999999993E-3</v>
      </c>
      <c r="AQ31" s="86">
        <v>3.7999999999999999E-2</v>
      </c>
      <c r="AR31" s="86">
        <v>1.2E-2</v>
      </c>
      <c r="AS31" s="86">
        <v>1E-3</v>
      </c>
      <c r="AT31" s="86">
        <v>8.9999999999999993E-3</v>
      </c>
    </row>
    <row r="32" spans="1:46" s="62" customFormat="1" ht="15" x14ac:dyDescent="0.25">
      <c r="A32" s="75">
        <v>4004</v>
      </c>
      <c r="B32" s="76" t="s">
        <v>143</v>
      </c>
      <c r="C32" s="76" t="s">
        <v>145</v>
      </c>
      <c r="D32" s="76">
        <v>716</v>
      </c>
      <c r="E32" s="76" t="s">
        <v>148</v>
      </c>
      <c r="F32" s="76"/>
      <c r="G32" s="75">
        <v>10</v>
      </c>
      <c r="H32" s="75">
        <v>7</v>
      </c>
      <c r="I32" s="75">
        <v>5</v>
      </c>
      <c r="J32" s="85">
        <v>87.8</v>
      </c>
      <c r="K32" s="85">
        <v>0.5</v>
      </c>
      <c r="L32" s="85">
        <v>1.6</v>
      </c>
      <c r="M32" s="85">
        <v>0.3</v>
      </c>
      <c r="N32" s="85">
        <v>1.9</v>
      </c>
      <c r="O32" s="85">
        <v>0</v>
      </c>
      <c r="P32" s="85">
        <v>9.9</v>
      </c>
      <c r="Q32" s="85">
        <f t="shared" si="7"/>
        <v>7.9000000000000021</v>
      </c>
      <c r="R32" s="85">
        <v>45</v>
      </c>
      <c r="S32" s="85"/>
      <c r="T32" s="85">
        <v>22.9</v>
      </c>
      <c r="U32" s="85">
        <v>0.33</v>
      </c>
      <c r="V32" s="85"/>
      <c r="W32" s="85"/>
      <c r="X32" s="85">
        <v>0</v>
      </c>
      <c r="Y32" s="85">
        <v>0.33</v>
      </c>
      <c r="Z32" s="85">
        <v>0.16</v>
      </c>
      <c r="AA32" s="85">
        <v>36</v>
      </c>
      <c r="AB32" s="85">
        <v>8.19</v>
      </c>
      <c r="AC32" s="85">
        <v>4.3999999999999997E-2</v>
      </c>
      <c r="AD32" s="85">
        <v>1.4999999999999999E-2</v>
      </c>
      <c r="AE32" s="85">
        <v>0</v>
      </c>
      <c r="AF32" s="85">
        <v>30</v>
      </c>
      <c r="AG32" s="85">
        <v>2.5</v>
      </c>
      <c r="AH32" s="85">
        <v>0.16500000000000001</v>
      </c>
      <c r="AI32" s="85">
        <v>0</v>
      </c>
      <c r="AJ32" s="86">
        <v>0.03</v>
      </c>
      <c r="AK32" s="86">
        <v>5.2999999999999999E-2</v>
      </c>
      <c r="AL32" s="86">
        <v>0.05</v>
      </c>
      <c r="AM32" s="86">
        <v>1.2E-2</v>
      </c>
      <c r="AN32" s="86">
        <v>3.5000000000000003E-2</v>
      </c>
      <c r="AO32" s="86">
        <v>2.8000000000000001E-2</v>
      </c>
      <c r="AP32" s="86">
        <v>1.9E-2</v>
      </c>
      <c r="AQ32" s="86">
        <v>3.7999999999999999E-2</v>
      </c>
      <c r="AR32" s="86">
        <v>1.7999999999999999E-2</v>
      </c>
      <c r="AS32" s="86">
        <v>0.01</v>
      </c>
      <c r="AT32" s="86">
        <v>1.7999999999999999E-2</v>
      </c>
    </row>
    <row r="33" spans="1:46" s="62" customFormat="1" ht="15" x14ac:dyDescent="0.25">
      <c r="A33" s="75">
        <v>4004</v>
      </c>
      <c r="B33" s="76" t="s">
        <v>143</v>
      </c>
      <c r="C33" s="76" t="s">
        <v>145</v>
      </c>
      <c r="D33" s="76">
        <v>753</v>
      </c>
      <c r="E33" s="76" t="s">
        <v>149</v>
      </c>
      <c r="F33" s="76"/>
      <c r="G33" s="75">
        <v>47</v>
      </c>
      <c r="H33" s="75">
        <v>7</v>
      </c>
      <c r="I33" s="75">
        <v>5</v>
      </c>
      <c r="J33" s="85">
        <v>93.3</v>
      </c>
      <c r="K33" s="85">
        <v>0.5</v>
      </c>
      <c r="L33" s="85">
        <v>1.9</v>
      </c>
      <c r="M33" s="85">
        <v>0.3</v>
      </c>
      <c r="N33" s="85">
        <v>1.8</v>
      </c>
      <c r="O33" s="85">
        <v>0</v>
      </c>
      <c r="P33" s="85">
        <v>4</v>
      </c>
      <c r="Q33" s="85">
        <f t="shared" si="7"/>
        <v>2.2000000000000028</v>
      </c>
      <c r="R33" s="85">
        <v>23</v>
      </c>
      <c r="S33" s="85"/>
      <c r="T33" s="85">
        <v>20</v>
      </c>
      <c r="U33" s="85">
        <v>0.5</v>
      </c>
      <c r="V33" s="85"/>
      <c r="W33" s="85"/>
      <c r="X33" s="85">
        <v>0</v>
      </c>
      <c r="Y33" s="85">
        <v>0.5</v>
      </c>
      <c r="Z33" s="85">
        <v>0.44</v>
      </c>
      <c r="AA33" s="85">
        <v>150</v>
      </c>
      <c r="AB33" s="85">
        <v>12</v>
      </c>
      <c r="AC33" s="85">
        <v>0.11</v>
      </c>
      <c r="AD33" s="85">
        <v>0.09</v>
      </c>
      <c r="AE33" s="85">
        <v>0</v>
      </c>
      <c r="AF33" s="85">
        <v>32</v>
      </c>
      <c r="AG33" s="85">
        <v>2.67</v>
      </c>
      <c r="AH33" s="85">
        <v>0.06</v>
      </c>
      <c r="AI33" s="85">
        <v>0</v>
      </c>
      <c r="AJ33" s="86">
        <v>5.5E-2</v>
      </c>
      <c r="AK33" s="86">
        <v>8.8999999999999996E-2</v>
      </c>
      <c r="AL33" s="86">
        <v>0.08</v>
      </c>
      <c r="AM33" s="86">
        <v>2.1999999999999999E-2</v>
      </c>
      <c r="AN33" s="86">
        <v>5.1999999999999998E-2</v>
      </c>
      <c r="AO33" s="86">
        <v>4.9000000000000002E-2</v>
      </c>
      <c r="AP33" s="86">
        <v>1.4999999999999999E-2</v>
      </c>
      <c r="AQ33" s="86">
        <v>8.8999999999999996E-2</v>
      </c>
      <c r="AR33" s="86">
        <v>3.4000000000000002E-2</v>
      </c>
      <c r="AS33" s="86">
        <v>7.0000000000000001E-3</v>
      </c>
      <c r="AT33" s="86">
        <v>4.2999999999999997E-2</v>
      </c>
    </row>
    <row r="34" spans="1:46" s="62" customFormat="1" ht="15" x14ac:dyDescent="0.25">
      <c r="A34" s="75">
        <v>4004</v>
      </c>
      <c r="B34" s="76" t="s">
        <v>143</v>
      </c>
      <c r="C34" s="76" t="s">
        <v>145</v>
      </c>
      <c r="D34" s="76">
        <v>824</v>
      </c>
      <c r="E34" s="76" t="s">
        <v>150</v>
      </c>
      <c r="F34" s="76"/>
      <c r="G34" s="75">
        <v>56</v>
      </c>
      <c r="H34" s="75">
        <v>7</v>
      </c>
      <c r="I34" s="75">
        <v>5</v>
      </c>
      <c r="J34" s="85">
        <v>89.3</v>
      </c>
      <c r="K34" s="85">
        <v>0.8</v>
      </c>
      <c r="L34" s="85">
        <v>1.9</v>
      </c>
      <c r="M34" s="85">
        <v>0.4</v>
      </c>
      <c r="N34" s="85">
        <v>2.2000000000000002</v>
      </c>
      <c r="O34" s="85">
        <v>0</v>
      </c>
      <c r="P34" s="85">
        <v>7.6</v>
      </c>
      <c r="Q34" s="85">
        <f t="shared" si="7"/>
        <v>5.4000000000000012</v>
      </c>
      <c r="R34" s="85">
        <v>37</v>
      </c>
      <c r="S34" s="85"/>
      <c r="T34" s="85">
        <v>42.3</v>
      </c>
      <c r="U34" s="85">
        <v>0.9</v>
      </c>
      <c r="V34" s="85"/>
      <c r="W34" s="85"/>
      <c r="X34" s="85">
        <v>0</v>
      </c>
      <c r="Y34" s="85">
        <v>0.9</v>
      </c>
      <c r="Z34" s="85">
        <v>0.28999999999999998</v>
      </c>
      <c r="AA34" s="85">
        <v>82</v>
      </c>
      <c r="AB34" s="85">
        <v>25</v>
      </c>
      <c r="AC34" s="85">
        <v>7.0000000000000007E-2</v>
      </c>
      <c r="AD34" s="85">
        <v>0.1</v>
      </c>
      <c r="AE34" s="85">
        <v>0</v>
      </c>
      <c r="AF34" s="85">
        <v>214</v>
      </c>
      <c r="AG34" s="85">
        <v>17.8</v>
      </c>
      <c r="AH34" s="85">
        <v>0.25</v>
      </c>
      <c r="AI34" s="85">
        <v>0</v>
      </c>
      <c r="AJ34" s="86">
        <v>5.8999999999999997E-2</v>
      </c>
      <c r="AK34" s="86">
        <v>0.10299999999999999</v>
      </c>
      <c r="AL34" s="86">
        <v>0.109</v>
      </c>
      <c r="AM34" s="86">
        <v>2.1999999999999999E-2</v>
      </c>
      <c r="AN34" s="86">
        <v>0.05</v>
      </c>
      <c r="AO34" s="86">
        <v>5.8999999999999997E-2</v>
      </c>
      <c r="AP34" s="86">
        <v>1.7999999999999999E-2</v>
      </c>
      <c r="AQ34" s="86">
        <v>7.4999999999999997E-2</v>
      </c>
      <c r="AR34" s="86">
        <v>0.03</v>
      </c>
      <c r="AS34" s="86">
        <v>0.01</v>
      </c>
      <c r="AT34" s="86">
        <v>2.9000000000000001E-2</v>
      </c>
    </row>
    <row r="35" spans="1:46" s="62" customFormat="1" ht="15" x14ac:dyDescent="0.25">
      <c r="G35" s="87"/>
      <c r="H35" s="87"/>
      <c r="I35" s="87"/>
      <c r="J35" s="88"/>
      <c r="K35" s="88"/>
      <c r="L35" s="88"/>
      <c r="M35" s="88"/>
      <c r="N35" s="88"/>
      <c r="O35" s="88"/>
      <c r="P35" s="88"/>
      <c r="Q35" s="88"/>
      <c r="R35" s="88"/>
      <c r="S35" s="88"/>
      <c r="T35" s="88"/>
      <c r="U35" s="88"/>
      <c r="V35" s="88"/>
      <c r="W35" s="88"/>
      <c r="X35" s="88"/>
      <c r="Y35" s="88"/>
      <c r="Z35" s="88"/>
      <c r="AA35" s="88"/>
      <c r="AB35" s="88"/>
      <c r="AC35" s="88"/>
      <c r="AD35" s="88"/>
      <c r="AE35" s="88"/>
      <c r="AF35" s="88"/>
      <c r="AG35" s="88"/>
      <c r="AH35" s="88"/>
      <c r="AI35" s="88"/>
      <c r="AJ35" s="89"/>
      <c r="AK35" s="89"/>
      <c r="AL35" s="89"/>
      <c r="AM35" s="89"/>
      <c r="AN35" s="89"/>
      <c r="AO35" s="89"/>
      <c r="AP35" s="90"/>
      <c r="AQ35" s="90"/>
      <c r="AR35" s="90"/>
      <c r="AS35" s="90"/>
      <c r="AT35" s="90"/>
    </row>
    <row r="36" spans="1:46" s="62" customFormat="1" ht="15" x14ac:dyDescent="0.25">
      <c r="A36" s="75">
        <v>4004</v>
      </c>
      <c r="B36" s="76" t="s">
        <v>143</v>
      </c>
      <c r="C36" s="76"/>
      <c r="D36" s="76"/>
      <c r="E36" s="76" t="s">
        <v>146</v>
      </c>
      <c r="F36" s="85">
        <v>0.2</v>
      </c>
      <c r="G36" s="75">
        <v>0</v>
      </c>
      <c r="H36" s="75">
        <v>7</v>
      </c>
      <c r="I36" s="75">
        <v>5</v>
      </c>
      <c r="J36" s="85">
        <f t="shared" ref="J36:R36" si="8">+J30*(100-$G30)/100</f>
        <v>57.553000000000004</v>
      </c>
      <c r="K36" s="85">
        <f t="shared" si="8"/>
        <v>0.53600000000000003</v>
      </c>
      <c r="L36" s="85">
        <f t="shared" si="8"/>
        <v>1.139</v>
      </c>
      <c r="M36" s="85">
        <f t="shared" si="8"/>
        <v>0.20099999999999998</v>
      </c>
      <c r="N36" s="85">
        <f t="shared" si="8"/>
        <v>1.5409999999999999</v>
      </c>
      <c r="O36" s="85">
        <f t="shared" si="8"/>
        <v>0</v>
      </c>
      <c r="P36" s="85">
        <f t="shared" si="8"/>
        <v>7.5710000000000006</v>
      </c>
      <c r="Q36" s="85">
        <f t="shared" si="8"/>
        <v>6.0299999999999958</v>
      </c>
      <c r="R36" s="85">
        <f t="shared" si="8"/>
        <v>33.5</v>
      </c>
      <c r="S36" s="85"/>
      <c r="T36" s="85">
        <f t="shared" ref="T36:U38" si="9">+T30*(100-$G30)/100</f>
        <v>18.827000000000002</v>
      </c>
      <c r="U36" s="85">
        <f t="shared" si="9"/>
        <v>0.40199999999999997</v>
      </c>
      <c r="V36" s="85"/>
      <c r="W36" s="85"/>
      <c r="X36" s="85">
        <f t="shared" ref="X36:AT36" si="10">+X30*(100-$G30)/100</f>
        <v>0</v>
      </c>
      <c r="Y36" s="85">
        <f t="shared" si="10"/>
        <v>0.40199999999999997</v>
      </c>
      <c r="Z36" s="85">
        <f t="shared" si="10"/>
        <v>0.48909999999999998</v>
      </c>
      <c r="AA36" s="85">
        <f t="shared" si="10"/>
        <v>60.97</v>
      </c>
      <c r="AB36" s="85">
        <f t="shared" si="10"/>
        <v>5.36</v>
      </c>
      <c r="AC36" s="85">
        <f t="shared" si="10"/>
        <v>1.6750000000000001E-2</v>
      </c>
      <c r="AD36" s="85">
        <f t="shared" si="10"/>
        <v>3.0149999999999996E-2</v>
      </c>
      <c r="AE36" s="85">
        <f t="shared" si="10"/>
        <v>0</v>
      </c>
      <c r="AF36" s="85">
        <f t="shared" si="10"/>
        <v>4.6900000000000004</v>
      </c>
      <c r="AG36" s="85">
        <f t="shared" si="10"/>
        <v>0.39061000000000001</v>
      </c>
      <c r="AH36" s="85">
        <f t="shared" si="10"/>
        <v>3.3500000000000002E-2</v>
      </c>
      <c r="AI36" s="85">
        <f t="shared" si="10"/>
        <v>0</v>
      </c>
      <c r="AJ36" s="86">
        <f t="shared" si="10"/>
        <v>2.1440000000000001E-2</v>
      </c>
      <c r="AK36" s="86">
        <f t="shared" si="10"/>
        <v>2.3450000000000002E-2</v>
      </c>
      <c r="AL36" s="86">
        <f t="shared" si="10"/>
        <v>2.5459999999999997E-2</v>
      </c>
      <c r="AM36" s="86">
        <f t="shared" si="10"/>
        <v>5.3600000000000002E-3</v>
      </c>
      <c r="AN36" s="86">
        <f t="shared" si="10"/>
        <v>1.072E-2</v>
      </c>
      <c r="AO36" s="86">
        <f t="shared" si="10"/>
        <v>2.0099999999999996E-2</v>
      </c>
      <c r="AP36" s="86">
        <f t="shared" si="10"/>
        <v>6.0299999999999998E-3</v>
      </c>
      <c r="AQ36" s="86">
        <f t="shared" si="10"/>
        <v>2.8809999999999999E-2</v>
      </c>
      <c r="AR36" s="86">
        <f t="shared" si="10"/>
        <v>1.206E-2</v>
      </c>
      <c r="AS36" s="86">
        <f t="shared" si="10"/>
        <v>6.7000000000000002E-4</v>
      </c>
      <c r="AT36" s="86">
        <f t="shared" si="10"/>
        <v>9.3800000000000012E-3</v>
      </c>
    </row>
    <row r="37" spans="1:46" s="62" customFormat="1" ht="15" x14ac:dyDescent="0.25">
      <c r="A37" s="75">
        <v>4004</v>
      </c>
      <c r="B37" s="76" t="s">
        <v>143</v>
      </c>
      <c r="C37" s="76"/>
      <c r="D37" s="76"/>
      <c r="E37" s="76" t="s">
        <v>147</v>
      </c>
      <c r="F37" s="85">
        <v>0.2</v>
      </c>
      <c r="G37" s="75">
        <v>0</v>
      </c>
      <c r="H37" s="75">
        <v>7</v>
      </c>
      <c r="I37" s="75">
        <v>5</v>
      </c>
      <c r="J37" s="85">
        <f t="shared" ref="J37:R37" si="11">+J31*(100-$G31)/100</f>
        <v>86.31</v>
      </c>
      <c r="K37" s="85">
        <f t="shared" si="11"/>
        <v>0.62999999999999989</v>
      </c>
      <c r="L37" s="85">
        <f t="shared" si="11"/>
        <v>0.72</v>
      </c>
      <c r="M37" s="85">
        <f t="shared" si="11"/>
        <v>0.09</v>
      </c>
      <c r="N37" s="85">
        <f t="shared" si="11"/>
        <v>1.17</v>
      </c>
      <c r="O37" s="85">
        <f t="shared" si="11"/>
        <v>0</v>
      </c>
      <c r="P37" s="85">
        <f t="shared" si="11"/>
        <v>2.25</v>
      </c>
      <c r="Q37" s="85">
        <f t="shared" si="11"/>
        <v>1.0799999999999947</v>
      </c>
      <c r="R37" s="85">
        <f t="shared" si="11"/>
        <v>9.9</v>
      </c>
      <c r="S37" s="85"/>
      <c r="T37" s="85">
        <f t="shared" si="9"/>
        <v>31.5</v>
      </c>
      <c r="U37" s="85">
        <f t="shared" si="9"/>
        <v>0.54</v>
      </c>
      <c r="V37" s="85"/>
      <c r="W37" s="85"/>
      <c r="X37" s="85">
        <f t="shared" ref="X37:AT37" si="12">+X31*(100-$G31)/100</f>
        <v>0</v>
      </c>
      <c r="Y37" s="85">
        <f t="shared" si="12"/>
        <v>0.54</v>
      </c>
      <c r="Z37" s="85">
        <f t="shared" si="12"/>
        <v>0.28800000000000003</v>
      </c>
      <c r="AA37" s="85">
        <f t="shared" si="12"/>
        <v>21.6</v>
      </c>
      <c r="AB37" s="85">
        <f t="shared" si="12"/>
        <v>29.7</v>
      </c>
      <c r="AC37" s="85">
        <f t="shared" si="12"/>
        <v>1.8000000000000002E-2</v>
      </c>
      <c r="AD37" s="85">
        <f t="shared" si="12"/>
        <v>3.6000000000000004E-2</v>
      </c>
      <c r="AE37" s="85">
        <f t="shared" si="12"/>
        <v>0</v>
      </c>
      <c r="AF37" s="85">
        <f t="shared" si="12"/>
        <v>13.5</v>
      </c>
      <c r="AG37" s="85">
        <f t="shared" si="12"/>
        <v>1.125</v>
      </c>
      <c r="AH37" s="85">
        <f t="shared" si="12"/>
        <v>5.3999999999999992E-2</v>
      </c>
      <c r="AI37" s="85">
        <f t="shared" si="12"/>
        <v>0</v>
      </c>
      <c r="AJ37" s="86">
        <f t="shared" si="12"/>
        <v>2.07E-2</v>
      </c>
      <c r="AK37" s="86">
        <f t="shared" si="12"/>
        <v>3.15E-2</v>
      </c>
      <c r="AL37" s="86">
        <f t="shared" si="12"/>
        <v>3.15E-2</v>
      </c>
      <c r="AM37" s="86">
        <f t="shared" si="12"/>
        <v>6.3E-3</v>
      </c>
      <c r="AN37" s="86">
        <f t="shared" si="12"/>
        <v>1.8000000000000002E-2</v>
      </c>
      <c r="AO37" s="86">
        <f t="shared" si="12"/>
        <v>2.1600000000000001E-2</v>
      </c>
      <c r="AP37" s="86">
        <f t="shared" si="12"/>
        <v>8.0999999999999996E-3</v>
      </c>
      <c r="AQ37" s="86">
        <f t="shared" si="12"/>
        <v>3.4200000000000001E-2</v>
      </c>
      <c r="AR37" s="86">
        <f t="shared" si="12"/>
        <v>1.0800000000000001E-2</v>
      </c>
      <c r="AS37" s="86">
        <f t="shared" si="12"/>
        <v>8.9999999999999998E-4</v>
      </c>
      <c r="AT37" s="86">
        <f t="shared" si="12"/>
        <v>8.0999999999999996E-3</v>
      </c>
    </row>
    <row r="38" spans="1:46" s="62" customFormat="1" ht="15" x14ac:dyDescent="0.25">
      <c r="A38" s="75">
        <v>4004</v>
      </c>
      <c r="B38" s="76" t="s">
        <v>143</v>
      </c>
      <c r="C38" s="76"/>
      <c r="D38" s="76"/>
      <c r="E38" s="76" t="s">
        <v>148</v>
      </c>
      <c r="F38" s="85">
        <v>0.2</v>
      </c>
      <c r="G38" s="75">
        <v>0</v>
      </c>
      <c r="H38" s="75">
        <v>7</v>
      </c>
      <c r="I38" s="75">
        <v>5</v>
      </c>
      <c r="J38" s="85">
        <f t="shared" ref="J38:R38" si="13">+J32*(100-$G32)/100</f>
        <v>79.02</v>
      </c>
      <c r="K38" s="85">
        <f t="shared" si="13"/>
        <v>0.45</v>
      </c>
      <c r="L38" s="85">
        <f t="shared" si="13"/>
        <v>1.44</v>
      </c>
      <c r="M38" s="85">
        <f t="shared" si="13"/>
        <v>0.27</v>
      </c>
      <c r="N38" s="85">
        <f t="shared" si="13"/>
        <v>1.71</v>
      </c>
      <c r="O38" s="85">
        <f t="shared" si="13"/>
        <v>0</v>
      </c>
      <c r="P38" s="85">
        <f t="shared" si="13"/>
        <v>8.91</v>
      </c>
      <c r="Q38" s="85">
        <f t="shared" si="13"/>
        <v>7.1100000000000021</v>
      </c>
      <c r="R38" s="85">
        <f t="shared" si="13"/>
        <v>40.5</v>
      </c>
      <c r="S38" s="85"/>
      <c r="T38" s="85">
        <f t="shared" si="9"/>
        <v>20.61</v>
      </c>
      <c r="U38" s="85">
        <f t="shared" si="9"/>
        <v>0.29700000000000004</v>
      </c>
      <c r="V38" s="85"/>
      <c r="W38" s="85"/>
      <c r="X38" s="85">
        <f t="shared" ref="X38:AT38" si="14">+X32*(100-$G32)/100</f>
        <v>0</v>
      </c>
      <c r="Y38" s="85">
        <f t="shared" si="14"/>
        <v>0.29700000000000004</v>
      </c>
      <c r="Z38" s="85">
        <f t="shared" si="14"/>
        <v>0.14400000000000002</v>
      </c>
      <c r="AA38" s="85">
        <f t="shared" si="14"/>
        <v>32.4</v>
      </c>
      <c r="AB38" s="85">
        <f t="shared" si="14"/>
        <v>7.3709999999999987</v>
      </c>
      <c r="AC38" s="85">
        <f t="shared" si="14"/>
        <v>3.9599999999999996E-2</v>
      </c>
      <c r="AD38" s="85">
        <f t="shared" si="14"/>
        <v>1.3499999999999998E-2</v>
      </c>
      <c r="AE38" s="85">
        <f t="shared" si="14"/>
        <v>0</v>
      </c>
      <c r="AF38" s="85">
        <f t="shared" si="14"/>
        <v>27</v>
      </c>
      <c r="AG38" s="85">
        <f t="shared" si="14"/>
        <v>2.25</v>
      </c>
      <c r="AH38" s="85">
        <f t="shared" si="14"/>
        <v>0.14850000000000002</v>
      </c>
      <c r="AI38" s="85">
        <f t="shared" si="14"/>
        <v>0</v>
      </c>
      <c r="AJ38" s="86">
        <f t="shared" si="14"/>
        <v>2.6999999999999996E-2</v>
      </c>
      <c r="AK38" s="86">
        <f t="shared" si="14"/>
        <v>4.7699999999999992E-2</v>
      </c>
      <c r="AL38" s="86">
        <f t="shared" si="14"/>
        <v>4.4999999999999998E-2</v>
      </c>
      <c r="AM38" s="86">
        <f t="shared" si="14"/>
        <v>1.0800000000000001E-2</v>
      </c>
      <c r="AN38" s="86">
        <f t="shared" si="14"/>
        <v>3.15E-2</v>
      </c>
      <c r="AO38" s="86">
        <f t="shared" si="14"/>
        <v>2.52E-2</v>
      </c>
      <c r="AP38" s="86">
        <f t="shared" si="14"/>
        <v>1.7100000000000001E-2</v>
      </c>
      <c r="AQ38" s="86">
        <f t="shared" si="14"/>
        <v>3.4200000000000001E-2</v>
      </c>
      <c r="AR38" s="86">
        <f t="shared" si="14"/>
        <v>1.6199999999999999E-2</v>
      </c>
      <c r="AS38" s="86">
        <f t="shared" si="14"/>
        <v>9.0000000000000011E-3</v>
      </c>
      <c r="AT38" s="86">
        <f t="shared" si="14"/>
        <v>1.6199999999999999E-2</v>
      </c>
    </row>
    <row r="39" spans="1:46" s="62" customFormat="1" ht="15" x14ac:dyDescent="0.25">
      <c r="A39" s="75">
        <v>4004</v>
      </c>
      <c r="B39" s="76" t="s">
        <v>143</v>
      </c>
      <c r="C39" s="76"/>
      <c r="D39" s="76"/>
      <c r="E39" s="76" t="s">
        <v>149</v>
      </c>
      <c r="F39" s="85">
        <v>0.2</v>
      </c>
      <c r="G39" s="75">
        <v>0</v>
      </c>
      <c r="H39" s="75">
        <v>7</v>
      </c>
      <c r="I39" s="75">
        <v>5</v>
      </c>
      <c r="J39" s="85">
        <f t="shared" ref="J39:R39" si="15">+J33*(100-$G33)/100</f>
        <v>49.448999999999998</v>
      </c>
      <c r="K39" s="85">
        <f t="shared" si="15"/>
        <v>0.26500000000000001</v>
      </c>
      <c r="L39" s="85">
        <f t="shared" si="15"/>
        <v>1.0069999999999999</v>
      </c>
      <c r="M39" s="85">
        <f t="shared" si="15"/>
        <v>0.15899999999999997</v>
      </c>
      <c r="N39" s="85">
        <f t="shared" si="15"/>
        <v>0.95400000000000007</v>
      </c>
      <c r="O39" s="85">
        <f t="shared" si="15"/>
        <v>0</v>
      </c>
      <c r="P39" s="85">
        <f t="shared" si="15"/>
        <v>2.12</v>
      </c>
      <c r="Q39" s="85">
        <f t="shared" si="15"/>
        <v>1.1660000000000015</v>
      </c>
      <c r="R39" s="85">
        <f t="shared" si="15"/>
        <v>12.19</v>
      </c>
      <c r="S39" s="85"/>
      <c r="T39" s="85">
        <f t="shared" ref="T39:U40" si="16">+T33*(100-$G33)/100</f>
        <v>10.6</v>
      </c>
      <c r="U39" s="85">
        <f t="shared" si="16"/>
        <v>0.26500000000000001</v>
      </c>
      <c r="V39" s="85"/>
      <c r="W39" s="85"/>
      <c r="X39" s="85">
        <f t="shared" ref="X39:AT40" si="17">+X33*(100-$G33)/100</f>
        <v>0</v>
      </c>
      <c r="Y39" s="85">
        <f t="shared" si="17"/>
        <v>0.26500000000000001</v>
      </c>
      <c r="Z39" s="85">
        <f t="shared" si="17"/>
        <v>0.23319999999999999</v>
      </c>
      <c r="AA39" s="85">
        <f t="shared" si="17"/>
        <v>79.5</v>
      </c>
      <c r="AB39" s="85">
        <f t="shared" si="17"/>
        <v>6.36</v>
      </c>
      <c r="AC39" s="85">
        <f t="shared" si="17"/>
        <v>5.8299999999999998E-2</v>
      </c>
      <c r="AD39" s="85">
        <f t="shared" si="17"/>
        <v>4.7699999999999992E-2</v>
      </c>
      <c r="AE39" s="85">
        <f t="shared" si="17"/>
        <v>0</v>
      </c>
      <c r="AF39" s="85">
        <f t="shared" si="17"/>
        <v>16.96</v>
      </c>
      <c r="AG39" s="85">
        <f t="shared" si="17"/>
        <v>1.4150999999999998</v>
      </c>
      <c r="AH39" s="85">
        <f t="shared" si="17"/>
        <v>3.1799999999999995E-2</v>
      </c>
      <c r="AI39" s="85">
        <f t="shared" si="17"/>
        <v>0</v>
      </c>
      <c r="AJ39" s="86">
        <f t="shared" si="17"/>
        <v>2.9149999999999999E-2</v>
      </c>
      <c r="AK39" s="86">
        <f t="shared" si="17"/>
        <v>4.7169999999999997E-2</v>
      </c>
      <c r="AL39" s="86">
        <f t="shared" si="17"/>
        <v>4.24E-2</v>
      </c>
      <c r="AM39" s="86">
        <f t="shared" si="17"/>
        <v>1.1659999999999998E-2</v>
      </c>
      <c r="AN39" s="86">
        <f t="shared" si="17"/>
        <v>2.7559999999999998E-2</v>
      </c>
      <c r="AO39" s="86">
        <f t="shared" si="17"/>
        <v>2.597E-2</v>
      </c>
      <c r="AP39" s="86">
        <f t="shared" si="17"/>
        <v>7.9499999999999987E-3</v>
      </c>
      <c r="AQ39" s="86">
        <f t="shared" si="17"/>
        <v>4.7169999999999997E-2</v>
      </c>
      <c r="AR39" s="86">
        <f t="shared" si="17"/>
        <v>1.8020000000000001E-2</v>
      </c>
      <c r="AS39" s="86">
        <f t="shared" si="17"/>
        <v>3.7099999999999998E-3</v>
      </c>
      <c r="AT39" s="86">
        <f t="shared" si="17"/>
        <v>2.2789999999999998E-2</v>
      </c>
    </row>
    <row r="40" spans="1:46" s="62" customFormat="1" ht="15" x14ac:dyDescent="0.25">
      <c r="A40" s="75">
        <v>4004</v>
      </c>
      <c r="B40" s="76" t="s">
        <v>143</v>
      </c>
      <c r="C40" s="76"/>
      <c r="D40" s="76"/>
      <c r="E40" s="76" t="s">
        <v>150</v>
      </c>
      <c r="F40" s="85">
        <v>0.2</v>
      </c>
      <c r="G40" s="75">
        <v>0</v>
      </c>
      <c r="H40" s="75">
        <v>7</v>
      </c>
      <c r="I40" s="75">
        <v>5</v>
      </c>
      <c r="J40" s="85">
        <f t="shared" ref="J40:R40" si="18">+J34*(100-$G34)/100</f>
        <v>39.292000000000002</v>
      </c>
      <c r="K40" s="85">
        <f t="shared" si="18"/>
        <v>0.35200000000000004</v>
      </c>
      <c r="L40" s="85">
        <f t="shared" si="18"/>
        <v>0.83599999999999997</v>
      </c>
      <c r="M40" s="85">
        <f t="shared" si="18"/>
        <v>0.17600000000000002</v>
      </c>
      <c r="N40" s="85">
        <f t="shared" si="18"/>
        <v>0.96800000000000008</v>
      </c>
      <c r="O40" s="85">
        <f t="shared" si="18"/>
        <v>0</v>
      </c>
      <c r="P40" s="85">
        <f t="shared" si="18"/>
        <v>3.3439999999999999</v>
      </c>
      <c r="Q40" s="85">
        <f t="shared" si="18"/>
        <v>2.3760000000000003</v>
      </c>
      <c r="R40" s="85">
        <f t="shared" si="18"/>
        <v>16.28</v>
      </c>
      <c r="S40" s="85"/>
      <c r="T40" s="85">
        <f t="shared" si="16"/>
        <v>18.611999999999998</v>
      </c>
      <c r="U40" s="85">
        <f t="shared" si="16"/>
        <v>0.39600000000000002</v>
      </c>
      <c r="V40" s="85"/>
      <c r="W40" s="85"/>
      <c r="X40" s="85">
        <f t="shared" si="17"/>
        <v>0</v>
      </c>
      <c r="Y40" s="85">
        <f t="shared" si="17"/>
        <v>0.39600000000000002</v>
      </c>
      <c r="Z40" s="85">
        <f t="shared" si="17"/>
        <v>0.12759999999999999</v>
      </c>
      <c r="AA40" s="85">
        <f t="shared" si="17"/>
        <v>36.08</v>
      </c>
      <c r="AB40" s="85">
        <f t="shared" si="17"/>
        <v>11</v>
      </c>
      <c r="AC40" s="85">
        <f t="shared" si="17"/>
        <v>3.0800000000000001E-2</v>
      </c>
      <c r="AD40" s="85">
        <f t="shared" si="17"/>
        <v>4.4000000000000004E-2</v>
      </c>
      <c r="AE40" s="85">
        <f t="shared" si="17"/>
        <v>0</v>
      </c>
      <c r="AF40" s="85">
        <f t="shared" si="17"/>
        <v>94.16</v>
      </c>
      <c r="AG40" s="85">
        <f t="shared" si="17"/>
        <v>7.8320000000000007</v>
      </c>
      <c r="AH40" s="85">
        <f t="shared" si="17"/>
        <v>0.11</v>
      </c>
      <c r="AI40" s="85">
        <f t="shared" si="17"/>
        <v>0</v>
      </c>
      <c r="AJ40" s="86">
        <f t="shared" si="17"/>
        <v>2.596E-2</v>
      </c>
      <c r="AK40" s="86">
        <f t="shared" si="17"/>
        <v>4.5319999999999999E-2</v>
      </c>
      <c r="AL40" s="86">
        <f t="shared" si="17"/>
        <v>4.7960000000000003E-2</v>
      </c>
      <c r="AM40" s="86">
        <f t="shared" si="17"/>
        <v>9.6799999999999994E-3</v>
      </c>
      <c r="AN40" s="86">
        <f t="shared" si="17"/>
        <v>2.2000000000000002E-2</v>
      </c>
      <c r="AO40" s="86">
        <f t="shared" si="17"/>
        <v>2.596E-2</v>
      </c>
      <c r="AP40" s="86">
        <f t="shared" si="17"/>
        <v>7.92E-3</v>
      </c>
      <c r="AQ40" s="86">
        <f t="shared" si="17"/>
        <v>3.3000000000000002E-2</v>
      </c>
      <c r="AR40" s="86">
        <f t="shared" si="17"/>
        <v>1.3199999999999998E-2</v>
      </c>
      <c r="AS40" s="86">
        <f t="shared" si="17"/>
        <v>4.4000000000000003E-3</v>
      </c>
      <c r="AT40" s="86">
        <f t="shared" si="17"/>
        <v>1.2760000000000001E-2</v>
      </c>
    </row>
    <row r="41" spans="1:46" s="62" customFormat="1" ht="15" x14ac:dyDescent="0.25">
      <c r="AJ41" s="90"/>
      <c r="AK41" s="90"/>
      <c r="AL41" s="90"/>
      <c r="AM41" s="90"/>
      <c r="AN41" s="90"/>
      <c r="AO41" s="90"/>
      <c r="AP41" s="90"/>
      <c r="AQ41" s="90"/>
      <c r="AR41" s="90"/>
      <c r="AS41" s="90"/>
      <c r="AT41" s="90"/>
    </row>
    <row r="42" spans="1:46" s="62" customFormat="1" ht="15" x14ac:dyDescent="0.25">
      <c r="A42" s="75">
        <v>4004</v>
      </c>
      <c r="B42" s="76" t="s">
        <v>143</v>
      </c>
      <c r="C42" s="76"/>
      <c r="D42" s="76"/>
      <c r="E42" s="77" t="s">
        <v>67</v>
      </c>
      <c r="F42" s="76"/>
      <c r="G42" s="78">
        <f t="shared" ref="G42:I42" si="19">+SUM(G36*$F36+G37*$F37+G38*$F38+G39*$F39+G40*$F40)</f>
        <v>0</v>
      </c>
      <c r="H42" s="78">
        <f t="shared" si="19"/>
        <v>7.0000000000000009</v>
      </c>
      <c r="I42" s="78">
        <f t="shared" si="19"/>
        <v>5</v>
      </c>
      <c r="J42" s="78">
        <f>+SUM(J36*$F36+J37*$F37+J38*$F38+J39*$F39+J40*$F40)</f>
        <v>62.32480000000001</v>
      </c>
      <c r="K42" s="78">
        <f t="shared" ref="K42:R42" si="20">+SUM(K36*$F36+K37*$F37+K38*$F38+K39*$F39+K40*$F40)</f>
        <v>0.4466</v>
      </c>
      <c r="L42" s="78">
        <f t="shared" si="20"/>
        <v>1.0284</v>
      </c>
      <c r="M42" s="78">
        <f t="shared" si="20"/>
        <v>0.17920000000000003</v>
      </c>
      <c r="N42" s="78">
        <f t="shared" si="20"/>
        <v>1.2686000000000002</v>
      </c>
      <c r="O42" s="78">
        <f t="shared" si="20"/>
        <v>0</v>
      </c>
      <c r="P42" s="78">
        <f t="shared" si="20"/>
        <v>4.8390000000000004</v>
      </c>
      <c r="Q42" s="78">
        <f t="shared" si="20"/>
        <v>3.5523999999999996</v>
      </c>
      <c r="R42" s="78">
        <f t="shared" si="20"/>
        <v>22.474</v>
      </c>
      <c r="S42" s="79"/>
      <c r="T42" s="78">
        <f t="shared" ref="T42:U42" si="21">+SUM(T36*$F36+T37*$F37+T38*$F38+T39*$F39+T40*$F40)</f>
        <v>20.029800000000002</v>
      </c>
      <c r="U42" s="78">
        <f t="shared" si="21"/>
        <v>0.38</v>
      </c>
      <c r="V42" s="79"/>
      <c r="W42" s="79"/>
      <c r="X42" s="78">
        <f t="shared" ref="X42:AT42" si="22">+SUM(X36*$F36+X37*$F37+X38*$F38+X39*$F39+X40*$F40)</f>
        <v>0</v>
      </c>
      <c r="Y42" s="78">
        <f t="shared" si="22"/>
        <v>0.38</v>
      </c>
      <c r="Z42" s="78">
        <f t="shared" si="22"/>
        <v>0.25638</v>
      </c>
      <c r="AA42" s="78">
        <f t="shared" si="22"/>
        <v>46.110000000000007</v>
      </c>
      <c r="AB42" s="78">
        <f t="shared" si="22"/>
        <v>11.958200000000001</v>
      </c>
      <c r="AC42" s="78">
        <f t="shared" si="22"/>
        <v>3.2690000000000004E-2</v>
      </c>
      <c r="AD42" s="78">
        <f t="shared" si="22"/>
        <v>3.4270000000000002E-2</v>
      </c>
      <c r="AE42" s="78">
        <f t="shared" si="22"/>
        <v>0</v>
      </c>
      <c r="AF42" s="78">
        <f t="shared" si="22"/>
        <v>31.262</v>
      </c>
      <c r="AG42" s="78">
        <f t="shared" si="22"/>
        <v>2.6025420000000006</v>
      </c>
      <c r="AH42" s="78">
        <f t="shared" si="22"/>
        <v>7.5560000000000002E-2</v>
      </c>
      <c r="AI42" s="78">
        <f t="shared" si="22"/>
        <v>0</v>
      </c>
      <c r="AJ42" s="80">
        <f t="shared" si="22"/>
        <v>2.4850000000000004E-2</v>
      </c>
      <c r="AK42" s="80">
        <f t="shared" si="22"/>
        <v>3.9028E-2</v>
      </c>
      <c r="AL42" s="80">
        <f t="shared" si="22"/>
        <v>3.8464000000000005E-2</v>
      </c>
      <c r="AM42" s="80">
        <f t="shared" si="22"/>
        <v>8.7599999999999987E-3</v>
      </c>
      <c r="AN42" s="80">
        <f t="shared" si="22"/>
        <v>2.1956000000000003E-2</v>
      </c>
      <c r="AO42" s="80">
        <f t="shared" si="22"/>
        <v>2.3766000000000002E-2</v>
      </c>
      <c r="AP42" s="80">
        <f t="shared" si="22"/>
        <v>9.4199999999999996E-3</v>
      </c>
      <c r="AQ42" s="80">
        <f t="shared" si="22"/>
        <v>3.5476000000000001E-2</v>
      </c>
      <c r="AR42" s="80">
        <f t="shared" si="22"/>
        <v>1.4055999999999999E-2</v>
      </c>
      <c r="AS42" s="80">
        <f t="shared" si="22"/>
        <v>3.7360000000000006E-3</v>
      </c>
      <c r="AT42" s="80">
        <f t="shared" si="22"/>
        <v>1.3845999999999999E-2</v>
      </c>
    </row>
  </sheetData>
  <pageMargins left="0.7" right="0.7" top="0.75" bottom="0.75" header="0.3" footer="0.3"/>
  <pageSetup orientation="portrait"/>
  <drawing r:id="rId1"/>
  <legacyDrawing r:id="rId2"/>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96"/>
  <sheetViews>
    <sheetView topLeftCell="D1" zoomScale="70" zoomScaleNormal="70" zoomScalePageLayoutView="125" workbookViewId="0">
      <pane ySplit="1" topLeftCell="A155" activePane="bottomLeft" state="frozen"/>
      <selection activeCell="C1" sqref="C1"/>
      <selection pane="bottomLeft" activeCell="E3" sqref="E3"/>
    </sheetView>
  </sheetViews>
  <sheetFormatPr defaultColWidth="8.85546875" defaultRowHeight="15" x14ac:dyDescent="0.25"/>
  <cols>
    <col min="1" max="1" width="10.85546875" style="1" customWidth="1"/>
    <col min="2" max="2" width="38.140625" style="1" customWidth="1"/>
    <col min="3" max="3" width="24.140625" style="41" customWidth="1"/>
    <col min="4" max="4" width="15.85546875" style="93" customWidth="1"/>
    <col min="5" max="5" width="53.7109375" style="1" customWidth="1"/>
    <col min="6" max="6" width="16.7109375" style="1" customWidth="1"/>
    <col min="7" max="8" width="12.42578125" style="1" customWidth="1"/>
    <col min="9" max="9" width="8.85546875" style="93" customWidth="1"/>
    <col min="10" max="11" width="9.140625" style="93" customWidth="1"/>
    <col min="12" max="12" width="7.42578125" style="93" customWidth="1"/>
    <col min="13" max="13" width="9.5703125" style="93" customWidth="1"/>
    <col min="14" max="14" width="8.42578125" style="93" customWidth="1"/>
    <col min="15" max="15" width="17.28515625" style="93" customWidth="1"/>
    <col min="16" max="16" width="25" style="1" customWidth="1"/>
    <col min="17" max="17" width="17.85546875" style="93" customWidth="1"/>
    <col min="18" max="18" width="22.5703125" style="1" customWidth="1"/>
    <col min="19" max="16384" width="8.85546875" style="13"/>
  </cols>
  <sheetData>
    <row r="1" spans="1:18" ht="118.5" customHeight="1" x14ac:dyDescent="0.25">
      <c r="A1" s="2" t="s">
        <v>17</v>
      </c>
      <c r="B1" s="2" t="s">
        <v>18</v>
      </c>
      <c r="C1" s="19" t="s">
        <v>1</v>
      </c>
      <c r="D1" s="2" t="s">
        <v>2</v>
      </c>
      <c r="E1" s="2" t="s">
        <v>3</v>
      </c>
      <c r="F1" s="19" t="s">
        <v>52</v>
      </c>
      <c r="G1" s="2" t="s">
        <v>19</v>
      </c>
      <c r="H1" s="2" t="s">
        <v>20</v>
      </c>
      <c r="I1" s="2" t="s">
        <v>5</v>
      </c>
      <c r="J1" s="2" t="s">
        <v>6</v>
      </c>
      <c r="K1" s="2" t="s">
        <v>21</v>
      </c>
      <c r="L1" s="2" t="s">
        <v>49</v>
      </c>
      <c r="M1" s="2" t="s">
        <v>50</v>
      </c>
      <c r="N1" s="2" t="s">
        <v>24</v>
      </c>
      <c r="O1" s="2" t="s">
        <v>4</v>
      </c>
      <c r="P1" s="18" t="s">
        <v>25</v>
      </c>
      <c r="Q1" s="2" t="s">
        <v>0</v>
      </c>
      <c r="R1" s="18" t="s">
        <v>26</v>
      </c>
    </row>
    <row r="2" spans="1:18" x14ac:dyDescent="0.25">
      <c r="A2" s="1">
        <v>1111.01</v>
      </c>
      <c r="B2" s="1" t="s">
        <v>118</v>
      </c>
      <c r="C2" s="1" t="s">
        <v>280</v>
      </c>
      <c r="D2" s="93" t="s">
        <v>288</v>
      </c>
      <c r="E2" s="1" t="s">
        <v>287</v>
      </c>
      <c r="G2" s="1">
        <v>0</v>
      </c>
      <c r="I2" s="1">
        <v>12.1</v>
      </c>
      <c r="J2" s="1">
        <v>0.7</v>
      </c>
      <c r="K2" s="1">
        <v>6.9</v>
      </c>
      <c r="L2" s="1">
        <v>0.6</v>
      </c>
      <c r="M2" s="1">
        <v>1.4</v>
      </c>
      <c r="N2" s="1">
        <v>0</v>
      </c>
      <c r="O2" s="1">
        <v>78.3</v>
      </c>
      <c r="Q2" s="1">
        <v>349</v>
      </c>
    </row>
    <row r="3" spans="1:18" x14ac:dyDescent="0.25">
      <c r="A3" s="1">
        <v>1111.02</v>
      </c>
      <c r="B3" s="1" t="s">
        <v>550</v>
      </c>
      <c r="C3" s="1" t="s">
        <v>551</v>
      </c>
      <c r="D3" s="93" t="s">
        <v>552</v>
      </c>
      <c r="E3" s="1" t="s">
        <v>553</v>
      </c>
      <c r="H3" s="13"/>
      <c r="I3" s="1">
        <v>0.9</v>
      </c>
      <c r="J3" s="1">
        <v>1.1000000000000001</v>
      </c>
      <c r="K3" s="1">
        <v>4</v>
      </c>
      <c r="L3" s="1">
        <v>0.34</v>
      </c>
      <c r="M3" s="1">
        <v>1.8</v>
      </c>
      <c r="N3" s="1">
        <v>0</v>
      </c>
      <c r="O3" s="1">
        <v>93.7</v>
      </c>
      <c r="Q3" s="1">
        <v>394</v>
      </c>
    </row>
    <row r="4" spans="1:18" x14ac:dyDescent="0.25">
      <c r="A4" s="1">
        <v>1112.01</v>
      </c>
      <c r="B4" s="1" t="s">
        <v>160</v>
      </c>
      <c r="C4" s="1" t="s">
        <v>280</v>
      </c>
      <c r="D4" s="93" t="s">
        <v>282</v>
      </c>
      <c r="E4" s="1" t="s">
        <v>281</v>
      </c>
      <c r="G4" s="1">
        <v>0</v>
      </c>
      <c r="I4" s="1">
        <v>36.5</v>
      </c>
      <c r="J4" s="1">
        <v>1.9</v>
      </c>
      <c r="K4" s="1">
        <v>8.4</v>
      </c>
      <c r="L4" s="1">
        <v>1.8</v>
      </c>
      <c r="M4" s="1">
        <v>3.1</v>
      </c>
      <c r="N4" s="1">
        <v>0</v>
      </c>
      <c r="O4" s="1">
        <v>48.4</v>
      </c>
      <c r="Q4" s="1">
        <v>249</v>
      </c>
    </row>
    <row r="5" spans="1:18" x14ac:dyDescent="0.25">
      <c r="A5" s="1">
        <v>1112.02</v>
      </c>
      <c r="B5" s="1" t="s">
        <v>161</v>
      </c>
      <c r="C5" s="1" t="s">
        <v>280</v>
      </c>
      <c r="D5" s="93" t="s">
        <v>283</v>
      </c>
      <c r="E5" s="1" t="s">
        <v>284</v>
      </c>
      <c r="G5" s="1">
        <v>0</v>
      </c>
      <c r="I5" s="1">
        <v>34.299999999999997</v>
      </c>
      <c r="J5" s="1">
        <v>1.7</v>
      </c>
      <c r="K5" s="1">
        <v>9.1</v>
      </c>
      <c r="L5" s="1">
        <v>2.7</v>
      </c>
      <c r="M5" s="1">
        <v>2.7</v>
      </c>
      <c r="N5" s="1">
        <v>0</v>
      </c>
      <c r="O5" s="1">
        <v>49.6</v>
      </c>
      <c r="Q5" s="1">
        <v>264</v>
      </c>
    </row>
    <row r="6" spans="1:18" x14ac:dyDescent="0.25">
      <c r="A6" s="1">
        <v>1112.03</v>
      </c>
      <c r="B6" s="1" t="s">
        <v>162</v>
      </c>
      <c r="C6" s="1" t="s">
        <v>390</v>
      </c>
      <c r="D6" s="93" t="s">
        <v>283</v>
      </c>
      <c r="E6" s="1" t="s">
        <v>284</v>
      </c>
      <c r="G6" s="1">
        <v>0</v>
      </c>
      <c r="I6" s="1">
        <v>34.299999999999997</v>
      </c>
      <c r="J6" s="1">
        <v>1.7</v>
      </c>
      <c r="K6" s="1">
        <v>9.1</v>
      </c>
      <c r="L6" s="1">
        <v>2.7</v>
      </c>
      <c r="M6" s="1">
        <v>2.7</v>
      </c>
      <c r="N6" s="1">
        <v>0</v>
      </c>
      <c r="O6" s="1">
        <v>49.6</v>
      </c>
      <c r="Q6" s="1">
        <v>264</v>
      </c>
    </row>
    <row r="7" spans="1:18" x14ac:dyDescent="0.25">
      <c r="A7" s="1">
        <v>1112.04</v>
      </c>
      <c r="B7" s="1" t="s">
        <v>163</v>
      </c>
      <c r="C7" s="1" t="s">
        <v>390</v>
      </c>
      <c r="D7" s="93" t="s">
        <v>283</v>
      </c>
      <c r="E7" s="1" t="s">
        <v>284</v>
      </c>
      <c r="G7" s="1">
        <v>0</v>
      </c>
      <c r="I7" s="1">
        <v>34.299999999999997</v>
      </c>
      <c r="J7" s="1">
        <v>1.7</v>
      </c>
      <c r="K7" s="1">
        <v>9.1</v>
      </c>
      <c r="L7" s="1">
        <v>2.7</v>
      </c>
      <c r="M7" s="1">
        <v>2.7</v>
      </c>
      <c r="N7" s="1">
        <v>0</v>
      </c>
      <c r="O7" s="1">
        <v>49.6</v>
      </c>
      <c r="Q7" s="1">
        <v>264</v>
      </c>
    </row>
    <row r="8" spans="1:18" x14ac:dyDescent="0.25">
      <c r="A8" s="1">
        <v>1112.0899999999999</v>
      </c>
      <c r="B8" s="1" t="s">
        <v>164</v>
      </c>
      <c r="C8" s="1" t="s">
        <v>390</v>
      </c>
      <c r="D8" s="93" t="s">
        <v>283</v>
      </c>
      <c r="E8" s="1" t="s">
        <v>284</v>
      </c>
      <c r="G8" s="1">
        <v>0</v>
      </c>
      <c r="I8" s="1">
        <v>34.299999999999997</v>
      </c>
      <c r="J8" s="1">
        <v>1.7</v>
      </c>
      <c r="K8" s="1">
        <v>9.1</v>
      </c>
      <c r="L8" s="1">
        <v>2.7</v>
      </c>
      <c r="M8" s="1">
        <v>2.7</v>
      </c>
      <c r="N8" s="1">
        <v>0</v>
      </c>
      <c r="O8" s="1">
        <v>49.6</v>
      </c>
      <c r="Q8" s="1">
        <v>264</v>
      </c>
    </row>
    <row r="9" spans="1:18" x14ac:dyDescent="0.25">
      <c r="A9" s="1">
        <v>1113.01</v>
      </c>
      <c r="B9" s="1" t="s">
        <v>165</v>
      </c>
      <c r="C9" s="1" t="s">
        <v>280</v>
      </c>
      <c r="D9" s="93" t="s">
        <v>285</v>
      </c>
      <c r="E9" s="1" t="s">
        <v>286</v>
      </c>
      <c r="G9" s="1">
        <v>0</v>
      </c>
      <c r="I9" s="1">
        <v>60.6</v>
      </c>
      <c r="J9" s="1">
        <v>0.4</v>
      </c>
      <c r="K9" s="1">
        <v>5.4</v>
      </c>
      <c r="L9" s="1">
        <v>0.7</v>
      </c>
      <c r="M9" s="1">
        <v>1.6</v>
      </c>
      <c r="N9" s="1">
        <v>0</v>
      </c>
      <c r="O9" s="1">
        <v>31.299999999999997</v>
      </c>
      <c r="Q9" s="1">
        <v>156</v>
      </c>
    </row>
    <row r="10" spans="1:18" x14ac:dyDescent="0.25">
      <c r="A10" s="1">
        <v>1114.01</v>
      </c>
      <c r="B10" s="1" t="s">
        <v>166</v>
      </c>
      <c r="C10" s="1" t="s">
        <v>7</v>
      </c>
      <c r="D10" s="93" t="s">
        <v>453</v>
      </c>
      <c r="E10" s="1" t="s">
        <v>454</v>
      </c>
      <c r="H10" s="13"/>
      <c r="I10" s="1">
        <v>25.3</v>
      </c>
      <c r="J10" s="1">
        <v>1</v>
      </c>
      <c r="K10" s="1">
        <v>2.9</v>
      </c>
      <c r="L10" s="1">
        <v>9.1</v>
      </c>
      <c r="M10" s="1">
        <v>2.4</v>
      </c>
      <c r="N10" s="1">
        <v>0</v>
      </c>
      <c r="O10" s="1">
        <v>59.3</v>
      </c>
      <c r="Q10" s="1">
        <v>437</v>
      </c>
    </row>
    <row r="11" spans="1:18" x14ac:dyDescent="0.25">
      <c r="A11" s="1">
        <v>1114.02</v>
      </c>
      <c r="B11" s="1" t="s">
        <v>167</v>
      </c>
      <c r="C11" s="1" t="s">
        <v>7</v>
      </c>
      <c r="D11" s="93" t="s">
        <v>455</v>
      </c>
      <c r="E11" s="1" t="s">
        <v>456</v>
      </c>
      <c r="H11" s="13"/>
      <c r="I11" s="1">
        <v>7.96</v>
      </c>
      <c r="J11" s="1">
        <v>1.42</v>
      </c>
      <c r="K11" s="1">
        <v>3.41</v>
      </c>
      <c r="L11" s="1">
        <v>28.69</v>
      </c>
      <c r="M11" s="1">
        <v>1.4</v>
      </c>
      <c r="N11" s="1">
        <v>0</v>
      </c>
      <c r="O11" s="1">
        <v>57.120000000000012</v>
      </c>
      <c r="Q11" s="1">
        <v>481</v>
      </c>
    </row>
    <row r="12" spans="1:18" x14ac:dyDescent="0.25">
      <c r="A12" s="1">
        <v>1115.01</v>
      </c>
      <c r="B12" s="1" t="s">
        <v>168</v>
      </c>
      <c r="C12" s="1" t="s">
        <v>7</v>
      </c>
      <c r="D12" s="93" t="s">
        <v>457</v>
      </c>
      <c r="E12" s="1" t="s">
        <v>458</v>
      </c>
      <c r="H12" s="13"/>
      <c r="I12" s="1">
        <v>89.93</v>
      </c>
      <c r="J12" s="1">
        <v>0.26</v>
      </c>
      <c r="K12" s="1">
        <v>0.77</v>
      </c>
      <c r="L12" s="1">
        <v>0.1</v>
      </c>
      <c r="M12" s="1">
        <v>1.1000000000000001</v>
      </c>
      <c r="N12" s="1">
        <v>0</v>
      </c>
      <c r="O12" s="1">
        <v>7.8399999999999945</v>
      </c>
      <c r="Q12" s="1">
        <v>36</v>
      </c>
    </row>
    <row r="13" spans="1:18" x14ac:dyDescent="0.25">
      <c r="A13" s="1">
        <v>1115.02</v>
      </c>
      <c r="B13" s="1" t="s">
        <v>169</v>
      </c>
      <c r="C13" s="1" t="s">
        <v>390</v>
      </c>
      <c r="D13" s="93" t="s">
        <v>395</v>
      </c>
      <c r="E13" s="1" t="s">
        <v>396</v>
      </c>
      <c r="G13" s="1">
        <v>0</v>
      </c>
      <c r="I13" s="1">
        <v>2</v>
      </c>
      <c r="J13" s="1">
        <v>4.5999999999999996</v>
      </c>
      <c r="K13" s="1">
        <v>17.600000000000001</v>
      </c>
      <c r="L13" s="1">
        <v>19.7</v>
      </c>
      <c r="M13" s="1">
        <v>0</v>
      </c>
      <c r="N13" s="1">
        <v>0</v>
      </c>
      <c r="O13" s="1">
        <v>56.100000000000009</v>
      </c>
      <c r="Q13" s="1">
        <v>472</v>
      </c>
    </row>
    <row r="14" spans="1:18" x14ac:dyDescent="0.25">
      <c r="A14" s="1">
        <v>1115.03</v>
      </c>
      <c r="B14" s="1" t="s">
        <v>170</v>
      </c>
      <c r="C14" s="1" t="s">
        <v>390</v>
      </c>
      <c r="D14" s="93" t="s">
        <v>292</v>
      </c>
      <c r="E14" s="1" t="s">
        <v>392</v>
      </c>
      <c r="G14" s="1">
        <v>0</v>
      </c>
      <c r="I14" s="1">
        <v>50.4</v>
      </c>
      <c r="J14" s="1">
        <v>1.3</v>
      </c>
      <c r="K14" s="1">
        <v>7.6</v>
      </c>
      <c r="L14" s="1">
        <v>11.3</v>
      </c>
      <c r="M14" s="1">
        <v>1.2</v>
      </c>
      <c r="N14" s="1">
        <v>0</v>
      </c>
      <c r="O14" s="1">
        <v>28.200000000000003</v>
      </c>
      <c r="Q14" s="1">
        <v>247</v>
      </c>
    </row>
    <row r="15" spans="1:18" x14ac:dyDescent="0.25">
      <c r="A15" s="1">
        <v>1115.04</v>
      </c>
      <c r="B15" s="1" t="s">
        <v>171</v>
      </c>
      <c r="C15" s="1" t="s">
        <v>390</v>
      </c>
      <c r="D15" s="93" t="s">
        <v>393</v>
      </c>
      <c r="E15" s="1" t="s">
        <v>394</v>
      </c>
      <c r="G15" s="1">
        <v>0</v>
      </c>
      <c r="I15" s="1">
        <v>13.4</v>
      </c>
      <c r="J15" s="1">
        <v>1.1000000000000001</v>
      </c>
      <c r="K15" s="1">
        <v>8.5</v>
      </c>
      <c r="L15" s="1">
        <v>4</v>
      </c>
      <c r="M15" s="1">
        <v>1.5</v>
      </c>
      <c r="N15" s="1">
        <v>0</v>
      </c>
      <c r="O15" s="1">
        <v>63.3</v>
      </c>
      <c r="Q15" s="1">
        <v>343</v>
      </c>
    </row>
    <row r="16" spans="1:18" x14ac:dyDescent="0.25">
      <c r="A16" s="1">
        <v>1115.05</v>
      </c>
      <c r="B16" s="1" t="s">
        <v>172</v>
      </c>
      <c r="C16" s="1" t="s">
        <v>390</v>
      </c>
      <c r="D16" s="93" t="s">
        <v>478</v>
      </c>
      <c r="E16" s="1" t="s">
        <v>479</v>
      </c>
      <c r="G16" s="1">
        <v>0</v>
      </c>
      <c r="I16" s="1">
        <v>10.1</v>
      </c>
      <c r="J16" s="1">
        <v>1.5</v>
      </c>
      <c r="K16" s="1">
        <v>8.8000000000000007</v>
      </c>
      <c r="L16" s="1">
        <v>5.8</v>
      </c>
      <c r="M16" s="1">
        <v>9</v>
      </c>
      <c r="N16" s="1">
        <v>0</v>
      </c>
      <c r="O16" s="1">
        <v>64.800000000000011</v>
      </c>
      <c r="Q16" s="1">
        <v>364</v>
      </c>
    </row>
    <row r="17" spans="1:18" x14ac:dyDescent="0.25">
      <c r="A17" s="1">
        <v>1115.06</v>
      </c>
      <c r="B17" s="1" t="s">
        <v>173</v>
      </c>
      <c r="C17" s="1" t="s">
        <v>390</v>
      </c>
      <c r="D17" s="93" t="s">
        <v>480</v>
      </c>
      <c r="E17" s="1" t="s">
        <v>481</v>
      </c>
      <c r="G17" s="1">
        <v>0</v>
      </c>
      <c r="I17" s="1">
        <v>10.9</v>
      </c>
      <c r="J17" s="1">
        <v>2.4</v>
      </c>
      <c r="K17" s="1">
        <v>10.5</v>
      </c>
      <c r="L17" s="1">
        <v>3.3</v>
      </c>
      <c r="M17" s="1">
        <v>9.9</v>
      </c>
      <c r="N17" s="1">
        <v>0</v>
      </c>
      <c r="O17" s="1">
        <v>62.999999999999993</v>
      </c>
      <c r="Q17" s="1">
        <v>344</v>
      </c>
    </row>
    <row r="18" spans="1:18" x14ac:dyDescent="0.25">
      <c r="A18" s="1">
        <v>1115.07</v>
      </c>
      <c r="B18" s="1" t="s">
        <v>540</v>
      </c>
      <c r="C18" s="1" t="s">
        <v>390</v>
      </c>
      <c r="D18" s="93" t="s">
        <v>541</v>
      </c>
      <c r="E18" s="1" t="s">
        <v>540</v>
      </c>
      <c r="G18" s="1">
        <v>0</v>
      </c>
      <c r="I18" s="1">
        <v>12.7</v>
      </c>
      <c r="J18" s="1">
        <v>2.2000000000000002</v>
      </c>
      <c r="K18" s="1">
        <v>1.9</v>
      </c>
      <c r="L18" s="1">
        <v>0.5</v>
      </c>
      <c r="M18" s="1">
        <v>3.9</v>
      </c>
      <c r="N18" s="1">
        <v>0</v>
      </c>
      <c r="O18" s="1">
        <v>78.8</v>
      </c>
      <c r="Q18" s="1">
        <v>335</v>
      </c>
    </row>
    <row r="19" spans="1:18" x14ac:dyDescent="0.25">
      <c r="A19" s="1">
        <v>1119.01</v>
      </c>
      <c r="B19" s="1" t="s">
        <v>174</v>
      </c>
      <c r="C19" s="1" t="s">
        <v>7</v>
      </c>
      <c r="D19" s="93" t="s">
        <v>459</v>
      </c>
      <c r="E19" s="1" t="s">
        <v>460</v>
      </c>
      <c r="G19" s="1">
        <v>0.25</v>
      </c>
      <c r="H19" s="13"/>
      <c r="I19" s="1">
        <v>74.78</v>
      </c>
      <c r="J19" s="1">
        <v>1.1200000000000001</v>
      </c>
      <c r="K19" s="1">
        <v>21.81</v>
      </c>
      <c r="L19" s="1">
        <v>2.93</v>
      </c>
      <c r="M19" s="1">
        <v>0</v>
      </c>
      <c r="N19" s="1">
        <v>0</v>
      </c>
      <c r="O19" s="1">
        <v>-0.64000000000000101</v>
      </c>
      <c r="Q19" s="1">
        <v>120</v>
      </c>
    </row>
    <row r="20" spans="1:18" s="96" customFormat="1" x14ac:dyDescent="0.25">
      <c r="A20" s="1">
        <v>1121.01</v>
      </c>
      <c r="B20" s="1" t="s">
        <v>175</v>
      </c>
      <c r="C20" s="1" t="s">
        <v>291</v>
      </c>
      <c r="D20" s="93" t="s">
        <v>293</v>
      </c>
      <c r="E20" s="1" t="s">
        <v>294</v>
      </c>
      <c r="F20" s="1"/>
      <c r="G20" s="1">
        <v>1</v>
      </c>
      <c r="H20" s="1"/>
      <c r="I20" s="1">
        <v>64.3</v>
      </c>
      <c r="J20" s="1">
        <v>1</v>
      </c>
      <c r="K20" s="1">
        <v>18.399999999999999</v>
      </c>
      <c r="L20" s="1">
        <v>18</v>
      </c>
      <c r="M20" s="1">
        <v>0</v>
      </c>
      <c r="N20" s="1">
        <v>0</v>
      </c>
      <c r="O20" s="1">
        <v>29</v>
      </c>
      <c r="P20" s="1"/>
      <c r="Q20" s="1"/>
      <c r="R20" s="1"/>
    </row>
    <row r="21" spans="1:18" x14ac:dyDescent="0.25">
      <c r="A21" s="1">
        <v>1122.01</v>
      </c>
      <c r="B21" s="1" t="s">
        <v>119</v>
      </c>
      <c r="C21" s="1" t="s">
        <v>291</v>
      </c>
      <c r="D21" s="93" t="s">
        <v>295</v>
      </c>
      <c r="E21" s="1" t="s">
        <v>296</v>
      </c>
      <c r="G21" s="1">
        <v>1</v>
      </c>
      <c r="I21" s="1">
        <v>46.6</v>
      </c>
      <c r="J21" s="1">
        <v>1.2</v>
      </c>
      <c r="K21" s="1">
        <v>12.3</v>
      </c>
      <c r="L21" s="1">
        <v>38.799999999999997</v>
      </c>
      <c r="M21" s="1">
        <v>0</v>
      </c>
      <c r="N21" s="1">
        <v>0</v>
      </c>
      <c r="O21" s="1">
        <v>1.0999999999999943</v>
      </c>
      <c r="Q21" s="1">
        <v>398</v>
      </c>
    </row>
    <row r="22" spans="1:18" x14ac:dyDescent="0.25">
      <c r="A22" s="1">
        <v>1123.01</v>
      </c>
      <c r="B22" s="1" t="s">
        <v>176</v>
      </c>
      <c r="C22" s="1" t="s">
        <v>291</v>
      </c>
      <c r="D22" s="93" t="s">
        <v>297</v>
      </c>
      <c r="E22" s="1" t="s">
        <v>298</v>
      </c>
      <c r="G22" s="1">
        <v>0.26</v>
      </c>
      <c r="I22" s="1">
        <v>68</v>
      </c>
      <c r="J22" s="1">
        <v>1.1000000000000001</v>
      </c>
      <c r="K22" s="1">
        <v>17.5</v>
      </c>
      <c r="L22" s="1">
        <v>10.6</v>
      </c>
      <c r="M22" s="1">
        <v>0</v>
      </c>
      <c r="N22" s="1">
        <v>0</v>
      </c>
      <c r="O22" s="1">
        <v>0</v>
      </c>
      <c r="Q22" s="1">
        <v>165</v>
      </c>
    </row>
    <row r="23" spans="1:18" x14ac:dyDescent="0.25">
      <c r="A23" s="1">
        <v>1123.02</v>
      </c>
      <c r="B23" s="1" t="s">
        <v>177</v>
      </c>
      <c r="C23" s="1" t="s">
        <v>390</v>
      </c>
      <c r="D23" s="93" t="s">
        <v>397</v>
      </c>
      <c r="E23" s="1" t="s">
        <v>398</v>
      </c>
      <c r="G23" s="1">
        <v>0.25</v>
      </c>
      <c r="I23" s="1">
        <v>47.5</v>
      </c>
      <c r="J23" s="1">
        <v>1.5</v>
      </c>
      <c r="K23" s="1">
        <v>24.6</v>
      </c>
      <c r="L23" s="1">
        <v>25.2</v>
      </c>
      <c r="M23" s="1">
        <v>0</v>
      </c>
      <c r="N23" s="1">
        <v>0</v>
      </c>
      <c r="O23" s="1">
        <v>1.1999999999999993</v>
      </c>
      <c r="Q23" s="1">
        <v>325</v>
      </c>
    </row>
    <row r="24" spans="1:18" x14ac:dyDescent="0.25">
      <c r="A24" s="1">
        <v>1124.01</v>
      </c>
      <c r="B24" s="1" t="s">
        <v>178</v>
      </c>
      <c r="C24" s="1" t="s">
        <v>390</v>
      </c>
      <c r="D24" s="93" t="s">
        <v>399</v>
      </c>
      <c r="E24" s="1" t="s">
        <v>400</v>
      </c>
      <c r="G24" s="1">
        <v>56</v>
      </c>
      <c r="I24" s="1">
        <v>72.900000000000006</v>
      </c>
      <c r="J24" s="1">
        <v>1</v>
      </c>
      <c r="K24" s="1">
        <v>20.399999999999999</v>
      </c>
      <c r="L24" s="1">
        <v>5.9</v>
      </c>
      <c r="M24" s="1">
        <v>0</v>
      </c>
      <c r="N24" s="1">
        <v>0</v>
      </c>
      <c r="O24" s="1">
        <v>-0.20000000000000462</v>
      </c>
      <c r="Q24" s="1">
        <v>134</v>
      </c>
    </row>
    <row r="25" spans="1:18" x14ac:dyDescent="0.25">
      <c r="A25" s="1">
        <v>1124.02</v>
      </c>
      <c r="B25" s="1" t="s">
        <v>554</v>
      </c>
      <c r="C25" s="1" t="s">
        <v>7</v>
      </c>
      <c r="D25" s="93" t="s">
        <v>555</v>
      </c>
      <c r="E25" s="1" t="s">
        <v>556</v>
      </c>
      <c r="H25" s="13"/>
      <c r="I25" s="1">
        <v>62.07</v>
      </c>
      <c r="J25" s="1">
        <v>1.26</v>
      </c>
      <c r="K25" s="1">
        <v>27.37</v>
      </c>
      <c r="L25" s="1">
        <v>10.4</v>
      </c>
      <c r="M25" s="1">
        <v>0</v>
      </c>
      <c r="N25" s="1">
        <v>0</v>
      </c>
      <c r="O25" s="1">
        <v>0</v>
      </c>
      <c r="Q25" s="1">
        <v>203</v>
      </c>
    </row>
    <row r="26" spans="1:18" x14ac:dyDescent="0.25">
      <c r="A26" s="1">
        <v>1125.01</v>
      </c>
      <c r="B26" s="1" t="s">
        <v>179</v>
      </c>
      <c r="C26" s="1" t="s">
        <v>305</v>
      </c>
      <c r="D26" s="93" t="s">
        <v>295</v>
      </c>
      <c r="E26" s="1" t="s">
        <v>296</v>
      </c>
      <c r="G26" s="1">
        <v>1</v>
      </c>
      <c r="I26" s="1">
        <v>46.6</v>
      </c>
      <c r="J26" s="1">
        <v>1.2</v>
      </c>
      <c r="K26" s="1">
        <v>12.3</v>
      </c>
      <c r="L26" s="1">
        <v>38.799999999999997</v>
      </c>
      <c r="M26" s="1">
        <v>0</v>
      </c>
      <c r="N26" s="1">
        <v>0</v>
      </c>
      <c r="O26" s="1">
        <v>1.0999999999999943</v>
      </c>
      <c r="Q26" s="1">
        <v>398</v>
      </c>
    </row>
    <row r="27" spans="1:18" x14ac:dyDescent="0.25">
      <c r="A27" s="1">
        <v>1125.02</v>
      </c>
      <c r="B27" s="1" t="s">
        <v>557</v>
      </c>
      <c r="C27" s="1" t="s">
        <v>7</v>
      </c>
      <c r="D27" s="93" t="s">
        <v>461</v>
      </c>
      <c r="E27" s="1" t="s">
        <v>462</v>
      </c>
      <c r="H27" s="13"/>
      <c r="I27" s="1">
        <v>65.3</v>
      </c>
      <c r="J27" s="1">
        <v>3.7</v>
      </c>
      <c r="K27" s="1">
        <v>16.5</v>
      </c>
      <c r="L27" s="1">
        <v>10.3</v>
      </c>
      <c r="M27" s="1">
        <v>0</v>
      </c>
      <c r="N27" s="1">
        <v>0</v>
      </c>
      <c r="O27" s="1">
        <v>4.2</v>
      </c>
      <c r="Q27" s="1">
        <v>180</v>
      </c>
    </row>
    <row r="28" spans="1:18" x14ac:dyDescent="0.25">
      <c r="A28" s="1">
        <v>1125.03</v>
      </c>
      <c r="B28" s="1" t="s">
        <v>180</v>
      </c>
      <c r="C28" s="1" t="s">
        <v>390</v>
      </c>
      <c r="D28" s="93" t="s">
        <v>403</v>
      </c>
      <c r="E28" s="1" t="s">
        <v>404</v>
      </c>
      <c r="G28" s="1">
        <v>0</v>
      </c>
      <c r="I28" s="1">
        <v>73.2</v>
      </c>
      <c r="J28" s="1">
        <v>1</v>
      </c>
      <c r="K28" s="1">
        <v>21.7</v>
      </c>
      <c r="L28" s="1">
        <v>4.3</v>
      </c>
      <c r="M28" s="1">
        <v>0</v>
      </c>
      <c r="N28" s="1">
        <v>0</v>
      </c>
      <c r="O28" s="1">
        <v>0</v>
      </c>
      <c r="Q28" s="1">
        <v>126</v>
      </c>
    </row>
    <row r="29" spans="1:18" x14ac:dyDescent="0.25">
      <c r="A29" s="1">
        <v>1125.04</v>
      </c>
      <c r="B29" s="1" t="s">
        <v>181</v>
      </c>
      <c r="C29" s="1" t="s">
        <v>390</v>
      </c>
      <c r="D29" s="93" t="s">
        <v>401</v>
      </c>
      <c r="E29" s="1" t="s">
        <v>402</v>
      </c>
      <c r="G29" s="1">
        <v>0</v>
      </c>
      <c r="I29" s="1">
        <v>64.900000000000006</v>
      </c>
      <c r="J29" s="1">
        <v>2.6</v>
      </c>
      <c r="K29" s="1">
        <v>10.5</v>
      </c>
      <c r="L29" s="1">
        <v>19.399999999999999</v>
      </c>
      <c r="M29" s="1">
        <v>0</v>
      </c>
      <c r="N29" s="1">
        <v>0</v>
      </c>
      <c r="O29" s="1">
        <v>2.5999999999999943</v>
      </c>
      <c r="Q29" s="1">
        <v>227</v>
      </c>
    </row>
    <row r="30" spans="1:18" x14ac:dyDescent="0.25">
      <c r="A30" s="1">
        <v>1125.05</v>
      </c>
      <c r="B30" s="1" t="s">
        <v>182</v>
      </c>
      <c r="C30" s="1" t="s">
        <v>7</v>
      </c>
      <c r="D30" s="93" t="s">
        <v>461</v>
      </c>
      <c r="E30" s="1" t="s">
        <v>462</v>
      </c>
      <c r="G30" s="1">
        <v>0</v>
      </c>
      <c r="H30" s="13"/>
      <c r="I30" s="1">
        <v>61.05</v>
      </c>
      <c r="J30" s="1">
        <v>0.9</v>
      </c>
      <c r="K30" s="1">
        <v>19.329999999999998</v>
      </c>
      <c r="L30" s="1">
        <v>19.059999999999999</v>
      </c>
      <c r="M30" s="1">
        <v>0</v>
      </c>
      <c r="N30" s="1">
        <v>0</v>
      </c>
      <c r="O30" s="1">
        <v>-0.33999999999999275</v>
      </c>
      <c r="Q30" s="1">
        <v>254</v>
      </c>
    </row>
    <row r="31" spans="1:18" x14ac:dyDescent="0.25">
      <c r="A31" s="1">
        <v>1125.06</v>
      </c>
      <c r="B31" s="1" t="s">
        <v>183</v>
      </c>
      <c r="C31" s="1" t="s">
        <v>390</v>
      </c>
      <c r="D31" s="93" t="s">
        <v>401</v>
      </c>
      <c r="E31" s="1" t="s">
        <v>402</v>
      </c>
      <c r="G31" s="1">
        <v>0</v>
      </c>
      <c r="I31" s="1">
        <v>64.900000000000006</v>
      </c>
      <c r="J31" s="1">
        <v>2.6</v>
      </c>
      <c r="K31" s="1">
        <v>10.5</v>
      </c>
      <c r="L31" s="1">
        <v>19.399999999999999</v>
      </c>
      <c r="M31" s="1">
        <v>0</v>
      </c>
      <c r="N31" s="1">
        <v>0</v>
      </c>
      <c r="O31" s="1">
        <v>2.5999999999999943</v>
      </c>
      <c r="Q31" s="1">
        <v>227</v>
      </c>
    </row>
    <row r="32" spans="1:18" x14ac:dyDescent="0.25">
      <c r="A32" s="1">
        <v>1125.07</v>
      </c>
      <c r="B32" s="1" t="s">
        <v>184</v>
      </c>
      <c r="C32" s="1" t="s">
        <v>452</v>
      </c>
      <c r="D32" s="93" t="s">
        <v>318</v>
      </c>
      <c r="E32" s="1" t="s">
        <v>319</v>
      </c>
      <c r="G32" s="1">
        <v>0</v>
      </c>
      <c r="I32" s="1">
        <v>84.2</v>
      </c>
      <c r="J32" s="1">
        <v>0.6</v>
      </c>
      <c r="K32" s="1">
        <v>12.1</v>
      </c>
      <c r="L32" s="1">
        <v>3.7</v>
      </c>
      <c r="M32" s="1">
        <v>0</v>
      </c>
      <c r="N32" s="1">
        <v>0</v>
      </c>
      <c r="O32" s="1">
        <v>0</v>
      </c>
      <c r="Q32" s="1">
        <v>81</v>
      </c>
    </row>
    <row r="33" spans="1:19" x14ac:dyDescent="0.25">
      <c r="A33" s="1">
        <v>1125.08</v>
      </c>
      <c r="B33" s="1" t="s">
        <v>185</v>
      </c>
      <c r="C33" s="1" t="s">
        <v>291</v>
      </c>
      <c r="D33" s="93" t="s">
        <v>289</v>
      </c>
      <c r="E33" s="1" t="s">
        <v>290</v>
      </c>
      <c r="G33" s="1">
        <v>0</v>
      </c>
      <c r="I33" s="1">
        <v>71</v>
      </c>
      <c r="J33" s="1">
        <v>1.3</v>
      </c>
      <c r="K33" s="1">
        <v>19.399999999999999</v>
      </c>
      <c r="L33" s="1">
        <v>4.4000000000000004</v>
      </c>
      <c r="M33" s="1">
        <v>0</v>
      </c>
      <c r="N33" s="1">
        <v>0</v>
      </c>
      <c r="O33" s="1">
        <v>3.9000000000000004</v>
      </c>
      <c r="Q33" s="1">
        <v>132</v>
      </c>
    </row>
    <row r="34" spans="1:19" x14ac:dyDescent="0.25">
      <c r="A34" s="1">
        <v>1126.01</v>
      </c>
      <c r="B34" s="1" t="s">
        <v>186</v>
      </c>
      <c r="C34" s="1" t="s">
        <v>291</v>
      </c>
      <c r="D34" s="93" t="s">
        <v>299</v>
      </c>
      <c r="E34" s="1" t="s">
        <v>300</v>
      </c>
      <c r="G34" s="1">
        <v>0</v>
      </c>
      <c r="I34" s="1">
        <v>69.5</v>
      </c>
      <c r="J34" s="1">
        <v>1</v>
      </c>
      <c r="K34" s="1">
        <v>20.100000000000001</v>
      </c>
      <c r="L34" s="1">
        <v>10</v>
      </c>
      <c r="M34" s="1">
        <v>0</v>
      </c>
      <c r="N34" s="1">
        <v>0</v>
      </c>
      <c r="O34" s="1">
        <v>0</v>
      </c>
      <c r="Q34" s="1">
        <v>170</v>
      </c>
    </row>
    <row r="35" spans="1:19" x14ac:dyDescent="0.25">
      <c r="A35" s="1">
        <v>1126.02</v>
      </c>
      <c r="B35" s="1" t="s">
        <v>187</v>
      </c>
      <c r="C35" s="1" t="s">
        <v>291</v>
      </c>
      <c r="D35" s="93" t="s">
        <v>301</v>
      </c>
      <c r="E35" s="1" t="s">
        <v>302</v>
      </c>
      <c r="G35" s="1">
        <v>0</v>
      </c>
      <c r="I35" s="1">
        <v>57.7</v>
      </c>
      <c r="J35" s="1">
        <v>2.9</v>
      </c>
      <c r="K35" s="1">
        <v>27.1</v>
      </c>
      <c r="L35" s="1">
        <v>14.9</v>
      </c>
      <c r="M35" s="1">
        <v>0</v>
      </c>
      <c r="N35" s="1">
        <v>0</v>
      </c>
      <c r="O35" s="1">
        <v>-2.6000000000000032</v>
      </c>
      <c r="Q35" s="1">
        <v>243</v>
      </c>
    </row>
    <row r="36" spans="1:19" x14ac:dyDescent="0.25">
      <c r="A36" s="1">
        <v>1127.01</v>
      </c>
      <c r="B36" s="1" t="s">
        <v>188</v>
      </c>
      <c r="C36" s="1" t="s">
        <v>7</v>
      </c>
      <c r="D36" s="93">
        <v>17164</v>
      </c>
      <c r="E36" s="1" t="s">
        <v>309</v>
      </c>
      <c r="G36" s="1">
        <v>0</v>
      </c>
      <c r="H36" s="13"/>
      <c r="I36" s="1">
        <v>73.569999999999993</v>
      </c>
      <c r="J36" s="1">
        <v>1.1599999999999999</v>
      </c>
      <c r="K36" s="1">
        <v>22.96</v>
      </c>
      <c r="L36" s="1">
        <v>2.42</v>
      </c>
      <c r="M36" s="1">
        <v>0</v>
      </c>
      <c r="N36" s="1">
        <v>0</v>
      </c>
      <c r="O36" s="1">
        <v>-0.1099999999999941</v>
      </c>
      <c r="Q36" s="1">
        <v>120</v>
      </c>
    </row>
    <row r="37" spans="1:19" x14ac:dyDescent="0.25">
      <c r="A37" s="95">
        <v>1127.02</v>
      </c>
      <c r="B37" s="95" t="s">
        <v>558</v>
      </c>
      <c r="C37" s="1" t="s">
        <v>291</v>
      </c>
      <c r="D37" s="93" t="s">
        <v>295</v>
      </c>
      <c r="E37" s="1" t="s">
        <v>296</v>
      </c>
      <c r="G37" s="1">
        <v>0</v>
      </c>
      <c r="I37" s="1">
        <v>46.6</v>
      </c>
      <c r="J37" s="1">
        <v>1.2</v>
      </c>
      <c r="K37" s="1">
        <v>12.3</v>
      </c>
      <c r="L37" s="1">
        <v>38.799999999999997</v>
      </c>
      <c r="M37" s="1">
        <v>0</v>
      </c>
      <c r="N37" s="1">
        <v>0</v>
      </c>
      <c r="O37" s="1">
        <v>1.0999999999999943</v>
      </c>
      <c r="Q37" s="1">
        <v>398</v>
      </c>
    </row>
    <row r="38" spans="1:19" x14ac:dyDescent="0.25">
      <c r="A38" s="1">
        <v>1127.03</v>
      </c>
      <c r="B38" s="1" t="s">
        <v>189</v>
      </c>
      <c r="C38" s="1" t="s">
        <v>7</v>
      </c>
      <c r="D38" s="93">
        <v>17170</v>
      </c>
      <c r="E38" s="1" t="s">
        <v>308</v>
      </c>
      <c r="G38" s="1">
        <v>0</v>
      </c>
      <c r="H38" s="13"/>
      <c r="I38" s="1">
        <v>72.63</v>
      </c>
      <c r="J38" s="1">
        <v>0.99</v>
      </c>
      <c r="K38" s="1">
        <v>21.39</v>
      </c>
      <c r="L38" s="1">
        <v>4.5999999999999996</v>
      </c>
      <c r="M38" s="1">
        <v>0</v>
      </c>
      <c r="N38" s="1">
        <v>0</v>
      </c>
      <c r="O38" s="1">
        <v>0.3900000000000059</v>
      </c>
      <c r="Q38" s="1">
        <v>133</v>
      </c>
    </row>
    <row r="39" spans="1:19" x14ac:dyDescent="0.25">
      <c r="A39" s="1">
        <v>1127.04</v>
      </c>
      <c r="B39" s="1" t="s">
        <v>559</v>
      </c>
      <c r="C39" s="1" t="s">
        <v>7</v>
      </c>
      <c r="D39" s="93" t="s">
        <v>567</v>
      </c>
      <c r="E39" s="1" t="s">
        <v>568</v>
      </c>
      <c r="G39" s="1">
        <v>0</v>
      </c>
      <c r="H39" s="13"/>
      <c r="I39" s="1">
        <v>81.900000000000006</v>
      </c>
      <c r="J39" s="1">
        <v>1.4</v>
      </c>
      <c r="K39" s="1">
        <v>16.399999999999999</v>
      </c>
      <c r="L39" s="1">
        <v>0.3</v>
      </c>
      <c r="M39" s="1">
        <v>0</v>
      </c>
      <c r="N39" s="1">
        <v>0</v>
      </c>
      <c r="O39" s="1">
        <v>-2.8310687127941492E-15</v>
      </c>
      <c r="Q39" s="1">
        <v>81.900000000000006</v>
      </c>
    </row>
    <row r="40" spans="1:19" x14ac:dyDescent="0.25">
      <c r="A40" s="1">
        <v>1128.01</v>
      </c>
      <c r="B40" s="1" t="s">
        <v>190</v>
      </c>
      <c r="C40" s="1" t="s">
        <v>570</v>
      </c>
      <c r="D40" t="s">
        <v>571</v>
      </c>
      <c r="E40" t="s">
        <v>572</v>
      </c>
      <c r="G40" s="1">
        <v>0</v>
      </c>
      <c r="I40" s="38">
        <v>77.3</v>
      </c>
      <c r="J40" s="38">
        <v>1.7</v>
      </c>
      <c r="K40" s="38">
        <v>14.1</v>
      </c>
      <c r="L40" s="38">
        <v>3.6</v>
      </c>
      <c r="M40" s="38">
        <v>2.6</v>
      </c>
      <c r="N40" s="1">
        <v>0</v>
      </c>
      <c r="O40" s="38">
        <v>0.3900000000000059</v>
      </c>
      <c r="Q40" s="38">
        <v>97</v>
      </c>
    </row>
    <row r="41" spans="1:19" x14ac:dyDescent="0.25">
      <c r="A41" s="1">
        <v>1129.99</v>
      </c>
      <c r="B41" s="1" t="s">
        <v>191</v>
      </c>
      <c r="C41" s="1" t="s">
        <v>390</v>
      </c>
      <c r="D41" s="93" t="s">
        <v>405</v>
      </c>
      <c r="E41" s="1" t="s">
        <v>406</v>
      </c>
      <c r="G41" s="1">
        <v>0</v>
      </c>
      <c r="I41" s="1">
        <v>23.4</v>
      </c>
      <c r="J41" s="1">
        <v>3.4</v>
      </c>
      <c r="K41" s="1">
        <v>66.7</v>
      </c>
      <c r="L41" s="1">
        <v>7</v>
      </c>
      <c r="M41" s="1">
        <v>0</v>
      </c>
      <c r="N41" s="1">
        <v>0</v>
      </c>
      <c r="O41" s="1">
        <v>0</v>
      </c>
      <c r="Q41" s="1" t="s">
        <v>407</v>
      </c>
    </row>
    <row r="42" spans="1:19" x14ac:dyDescent="0.25">
      <c r="A42" s="1">
        <v>1131.01</v>
      </c>
      <c r="B42" s="1" t="s">
        <v>192</v>
      </c>
      <c r="C42" s="1" t="s">
        <v>305</v>
      </c>
      <c r="D42" s="93" t="s">
        <v>312</v>
      </c>
      <c r="E42" s="1" t="s">
        <v>311</v>
      </c>
      <c r="G42" s="1">
        <v>0.45</v>
      </c>
      <c r="I42" s="1">
        <v>76.5</v>
      </c>
      <c r="J42" s="1">
        <v>1.7</v>
      </c>
      <c r="K42" s="1">
        <v>18.8</v>
      </c>
      <c r="L42" s="1">
        <v>2.7</v>
      </c>
      <c r="M42" s="1">
        <v>0</v>
      </c>
      <c r="N42" s="1">
        <v>0</v>
      </c>
      <c r="O42" s="1">
        <v>0</v>
      </c>
      <c r="Q42" s="1">
        <v>99</v>
      </c>
    </row>
    <row r="43" spans="1:19" x14ac:dyDescent="0.25">
      <c r="A43" s="1">
        <v>1131.02</v>
      </c>
      <c r="B43" s="1" t="s">
        <v>193</v>
      </c>
      <c r="C43" s="1" t="s">
        <v>305</v>
      </c>
      <c r="D43" s="93" t="s">
        <v>313</v>
      </c>
      <c r="E43" s="1" t="s">
        <v>314</v>
      </c>
      <c r="G43" s="1">
        <v>0.28999999999999998</v>
      </c>
      <c r="I43" s="1">
        <v>72.5</v>
      </c>
      <c r="J43" s="1">
        <v>1.4</v>
      </c>
      <c r="K43" s="1">
        <v>19.7</v>
      </c>
      <c r="L43" s="1">
        <v>5</v>
      </c>
      <c r="M43" s="1">
        <v>0</v>
      </c>
      <c r="N43" s="1">
        <v>0</v>
      </c>
      <c r="O43" s="1">
        <v>0</v>
      </c>
      <c r="Q43" s="1">
        <v>124</v>
      </c>
    </row>
    <row r="44" spans="1:19" x14ac:dyDescent="0.25">
      <c r="A44" s="1">
        <v>1132.01</v>
      </c>
      <c r="B44" s="1" t="s">
        <v>560</v>
      </c>
      <c r="C44" s="1" t="s">
        <v>7</v>
      </c>
      <c r="D44" s="93" t="s">
        <v>561</v>
      </c>
      <c r="E44" s="1" t="s">
        <v>562</v>
      </c>
      <c r="G44" s="1">
        <v>0</v>
      </c>
      <c r="H44" s="13"/>
      <c r="I44" s="1">
        <v>82.24</v>
      </c>
      <c r="J44" s="1">
        <v>1.34</v>
      </c>
      <c r="K44" s="1">
        <v>15.97</v>
      </c>
      <c r="L44" s="1">
        <v>0.95</v>
      </c>
      <c r="M44" s="1">
        <v>0</v>
      </c>
      <c r="N44" s="1">
        <v>0</v>
      </c>
      <c r="O44" s="1"/>
      <c r="Q44" s="1">
        <v>77</v>
      </c>
      <c r="S44" s="1"/>
    </row>
    <row r="45" spans="1:19" x14ac:dyDescent="0.25">
      <c r="A45" s="1">
        <v>1132.02</v>
      </c>
      <c r="B45" s="1" t="s">
        <v>563</v>
      </c>
      <c r="C45" s="1" t="s">
        <v>7</v>
      </c>
      <c r="D45" s="93" t="s">
        <v>564</v>
      </c>
      <c r="E45" s="1" t="s">
        <v>565</v>
      </c>
      <c r="G45" s="1">
        <v>0</v>
      </c>
      <c r="H45" s="13"/>
      <c r="I45" s="1">
        <v>75.099999999999994</v>
      </c>
      <c r="J45" s="1">
        <v>2.56</v>
      </c>
      <c r="K45" s="1">
        <v>23.72</v>
      </c>
      <c r="L45" s="1">
        <v>1.51</v>
      </c>
      <c r="M45" s="1">
        <v>0</v>
      </c>
      <c r="N45" s="1">
        <v>0</v>
      </c>
      <c r="O45" s="1"/>
      <c r="Q45" s="1">
        <v>115</v>
      </c>
      <c r="S45" s="1"/>
    </row>
    <row r="46" spans="1:19" x14ac:dyDescent="0.25">
      <c r="A46" s="1">
        <v>1132.03</v>
      </c>
      <c r="B46" s="1" t="s">
        <v>566</v>
      </c>
      <c r="C46" s="1" t="s">
        <v>7</v>
      </c>
      <c r="D46" s="93" t="s">
        <v>567</v>
      </c>
      <c r="E46" s="1" t="s">
        <v>568</v>
      </c>
      <c r="G46" s="1">
        <v>0</v>
      </c>
      <c r="H46" s="13"/>
      <c r="I46" s="1">
        <v>81.900000000000006</v>
      </c>
      <c r="J46" s="1">
        <v>1.4</v>
      </c>
      <c r="K46" s="1">
        <v>16.399999999999999</v>
      </c>
      <c r="L46" s="1">
        <v>0.3</v>
      </c>
      <c r="M46" s="1">
        <v>0</v>
      </c>
      <c r="N46" s="1">
        <v>0</v>
      </c>
      <c r="O46" s="1"/>
      <c r="Q46" s="1">
        <v>81.900000000000006</v>
      </c>
      <c r="S46" s="1"/>
    </row>
    <row r="47" spans="1:19" x14ac:dyDescent="0.25">
      <c r="A47" s="1">
        <v>1133.01</v>
      </c>
      <c r="B47" s="1" t="s">
        <v>194</v>
      </c>
      <c r="C47" s="1" t="s">
        <v>7</v>
      </c>
      <c r="D47" s="93">
        <v>15035</v>
      </c>
      <c r="E47" s="1" t="s">
        <v>315</v>
      </c>
      <c r="G47" s="1">
        <v>0</v>
      </c>
      <c r="H47" s="13"/>
      <c r="I47" s="1">
        <v>71.48</v>
      </c>
      <c r="J47" s="1">
        <v>1.62</v>
      </c>
      <c r="K47" s="1">
        <v>25.23</v>
      </c>
      <c r="L47" s="1">
        <v>0.96</v>
      </c>
      <c r="M47" s="1">
        <v>0</v>
      </c>
      <c r="N47" s="1">
        <v>0</v>
      </c>
      <c r="O47" s="1">
        <v>0.70999999999999464</v>
      </c>
      <c r="Q47" s="1">
        <v>116</v>
      </c>
      <c r="S47" s="1"/>
    </row>
    <row r="48" spans="1:19" x14ac:dyDescent="0.25">
      <c r="A48" s="1">
        <v>1133.02</v>
      </c>
      <c r="B48" s="1" t="s">
        <v>195</v>
      </c>
      <c r="C48" s="1" t="s">
        <v>305</v>
      </c>
      <c r="D48" s="93" t="s">
        <v>317</v>
      </c>
      <c r="E48" s="1" t="s">
        <v>316</v>
      </c>
      <c r="G48" s="1">
        <v>0.48</v>
      </c>
      <c r="I48" s="1">
        <v>74.900000000000006</v>
      </c>
      <c r="J48" s="1">
        <v>2.5</v>
      </c>
      <c r="K48" s="1">
        <v>19.399999999999999</v>
      </c>
      <c r="L48" s="1">
        <v>2.9</v>
      </c>
      <c r="M48" s="1">
        <v>0</v>
      </c>
      <c r="N48" s="1">
        <v>0</v>
      </c>
      <c r="O48" s="1">
        <v>0</v>
      </c>
      <c r="Q48" s="1">
        <v>103</v>
      </c>
    </row>
    <row r="49" spans="1:17" x14ac:dyDescent="0.25">
      <c r="A49" s="1">
        <v>1133.03</v>
      </c>
      <c r="B49" s="1" t="s">
        <v>196</v>
      </c>
      <c r="C49" s="1" t="s">
        <v>7</v>
      </c>
      <c r="D49" s="93">
        <v>35165</v>
      </c>
      <c r="E49" s="1" t="s">
        <v>310</v>
      </c>
      <c r="G49" s="1">
        <v>0</v>
      </c>
      <c r="H49" s="13"/>
      <c r="I49" s="1">
        <v>20.59</v>
      </c>
      <c r="J49" s="1">
        <v>5.57</v>
      </c>
      <c r="K49" s="1">
        <v>62.44</v>
      </c>
      <c r="L49" s="1">
        <v>13.44</v>
      </c>
      <c r="M49" s="1">
        <v>0</v>
      </c>
      <c r="N49" s="1">
        <v>0</v>
      </c>
      <c r="O49" s="1">
        <v>-2.0399999999999938</v>
      </c>
      <c r="Q49" s="1">
        <v>371</v>
      </c>
    </row>
    <row r="50" spans="1:17" x14ac:dyDescent="0.25">
      <c r="A50" s="1">
        <v>1134.01</v>
      </c>
      <c r="B50" s="1" t="s">
        <v>197</v>
      </c>
      <c r="C50" s="1" t="s">
        <v>305</v>
      </c>
      <c r="D50" s="93" t="s">
        <v>306</v>
      </c>
      <c r="E50" s="1" t="s">
        <v>307</v>
      </c>
      <c r="G50" s="1">
        <v>0</v>
      </c>
      <c r="I50" s="1">
        <v>57.9</v>
      </c>
      <c r="J50" s="1">
        <v>3.5</v>
      </c>
      <c r="K50" s="1">
        <v>24.7</v>
      </c>
      <c r="L50" s="1">
        <v>13.5</v>
      </c>
      <c r="M50" s="1">
        <v>0</v>
      </c>
      <c r="N50" s="1">
        <v>0</v>
      </c>
      <c r="O50" s="1">
        <v>0</v>
      </c>
      <c r="Q50" s="1">
        <v>220</v>
      </c>
    </row>
    <row r="51" spans="1:17" x14ac:dyDescent="0.25">
      <c r="A51" s="1">
        <v>1139.99</v>
      </c>
      <c r="B51" s="1" t="s">
        <v>569</v>
      </c>
      <c r="C51" s="1" t="s">
        <v>7</v>
      </c>
      <c r="D51" s="93" t="s">
        <v>567</v>
      </c>
      <c r="E51" s="1" t="s">
        <v>568</v>
      </c>
      <c r="G51" s="1">
        <v>0</v>
      </c>
      <c r="H51" s="13"/>
      <c r="I51" s="1">
        <v>81.900000000000006</v>
      </c>
      <c r="J51" s="1">
        <v>1.4</v>
      </c>
      <c r="K51" s="1">
        <v>16.399999999999999</v>
      </c>
      <c r="L51" s="1">
        <v>0.3</v>
      </c>
      <c r="M51" s="1">
        <v>0</v>
      </c>
      <c r="N51" s="1">
        <v>0</v>
      </c>
      <c r="O51" s="1"/>
      <c r="Q51" s="1">
        <v>81.900000000000006</v>
      </c>
    </row>
    <row r="52" spans="1:17" x14ac:dyDescent="0.25">
      <c r="A52" s="1">
        <v>1141.01</v>
      </c>
      <c r="B52" s="1" t="s">
        <v>198</v>
      </c>
      <c r="C52" s="1" t="s">
        <v>305</v>
      </c>
      <c r="D52" s="93" t="s">
        <v>303</v>
      </c>
      <c r="E52" s="1" t="s">
        <v>304</v>
      </c>
      <c r="G52" s="1">
        <v>0</v>
      </c>
      <c r="I52" s="1">
        <v>87.7</v>
      </c>
      <c r="J52" s="1">
        <v>0.8</v>
      </c>
      <c r="K52" s="1">
        <v>3.4</v>
      </c>
      <c r="L52" s="1">
        <v>3.7</v>
      </c>
      <c r="M52" s="1">
        <v>0</v>
      </c>
      <c r="N52" s="1">
        <v>0</v>
      </c>
      <c r="O52" s="1">
        <v>4.3999999999999959</v>
      </c>
      <c r="Q52" s="1">
        <v>65</v>
      </c>
    </row>
    <row r="53" spans="1:17" x14ac:dyDescent="0.25">
      <c r="A53" s="1">
        <v>1141.02</v>
      </c>
      <c r="B53" s="1" t="s">
        <v>199</v>
      </c>
      <c r="C53" s="1" t="s">
        <v>320</v>
      </c>
      <c r="D53" s="93" t="s">
        <v>303</v>
      </c>
      <c r="E53" s="1" t="s">
        <v>304</v>
      </c>
      <c r="G53" s="1">
        <v>0</v>
      </c>
      <c r="I53" s="1">
        <v>87.7</v>
      </c>
      <c r="J53" s="1">
        <v>0.8</v>
      </c>
      <c r="K53" s="1">
        <v>3.4</v>
      </c>
      <c r="L53" s="1">
        <v>3.7</v>
      </c>
      <c r="M53" s="1">
        <v>0</v>
      </c>
      <c r="N53" s="1">
        <v>0</v>
      </c>
      <c r="O53" s="1">
        <v>4.3000000000000016</v>
      </c>
      <c r="Q53" s="1">
        <v>65</v>
      </c>
    </row>
    <row r="54" spans="1:17" x14ac:dyDescent="0.25">
      <c r="A54" s="1">
        <v>1141.99</v>
      </c>
      <c r="B54" s="1" t="s">
        <v>200</v>
      </c>
      <c r="C54" s="1" t="s">
        <v>390</v>
      </c>
      <c r="D54" s="93" t="s">
        <v>408</v>
      </c>
      <c r="E54" s="1" t="s">
        <v>409</v>
      </c>
      <c r="G54" s="1">
        <v>0</v>
      </c>
      <c r="I54" s="1">
        <v>80.599999999999994</v>
      </c>
      <c r="J54" s="1">
        <v>1</v>
      </c>
      <c r="K54" s="1">
        <v>3.3</v>
      </c>
      <c r="L54" s="1">
        <v>3.2</v>
      </c>
      <c r="M54" s="1">
        <v>0.5</v>
      </c>
      <c r="N54" s="1">
        <v>0</v>
      </c>
      <c r="O54" s="1">
        <v>11.400000000000006</v>
      </c>
      <c r="Q54" s="1">
        <v>89</v>
      </c>
    </row>
    <row r="55" spans="1:17" x14ac:dyDescent="0.25">
      <c r="A55" s="1">
        <v>1142.01</v>
      </c>
      <c r="B55" s="1" t="s">
        <v>542</v>
      </c>
      <c r="C55" s="1" t="s">
        <v>320</v>
      </c>
      <c r="D55" s="93" t="s">
        <v>330</v>
      </c>
      <c r="E55" s="1" t="s">
        <v>543</v>
      </c>
      <c r="G55" s="1">
        <v>0</v>
      </c>
      <c r="I55" s="1">
        <v>89.3</v>
      </c>
      <c r="J55" s="1">
        <v>0.8</v>
      </c>
      <c r="K55" s="1">
        <v>3.5</v>
      </c>
      <c r="L55" s="1">
        <v>1.6</v>
      </c>
      <c r="M55" s="1">
        <v>0</v>
      </c>
      <c r="N55" s="1">
        <v>0</v>
      </c>
      <c r="O55" s="1">
        <v>4.8</v>
      </c>
      <c r="Q55" s="1">
        <v>48</v>
      </c>
    </row>
    <row r="56" spans="1:17" x14ac:dyDescent="0.25">
      <c r="A56" s="1">
        <v>1142.02</v>
      </c>
      <c r="B56" s="1" t="s">
        <v>544</v>
      </c>
      <c r="C56" s="1" t="s">
        <v>320</v>
      </c>
      <c r="D56" s="93" t="s">
        <v>545</v>
      </c>
      <c r="E56" s="1" t="s">
        <v>546</v>
      </c>
      <c r="G56" s="1">
        <v>0</v>
      </c>
      <c r="I56" s="1">
        <v>90.6</v>
      </c>
      <c r="J56" s="1">
        <v>0.7</v>
      </c>
      <c r="K56" s="1">
        <v>3.5</v>
      </c>
      <c r="L56" s="1">
        <v>0.5</v>
      </c>
      <c r="M56" s="1">
        <v>0</v>
      </c>
      <c r="N56" s="1">
        <v>0</v>
      </c>
      <c r="O56" s="1">
        <v>4.7</v>
      </c>
      <c r="Q56" s="1">
        <v>37</v>
      </c>
    </row>
    <row r="57" spans="1:17" x14ac:dyDescent="0.25">
      <c r="A57" s="1">
        <v>1143.01</v>
      </c>
      <c r="B57" s="1" t="s">
        <v>547</v>
      </c>
      <c r="C57" s="1" t="s">
        <v>320</v>
      </c>
      <c r="D57" s="93" t="s">
        <v>548</v>
      </c>
      <c r="E57" s="1" t="s">
        <v>549</v>
      </c>
      <c r="G57" s="1">
        <v>0</v>
      </c>
      <c r="I57" s="1">
        <v>27.2</v>
      </c>
      <c r="J57" s="1">
        <v>1.8</v>
      </c>
      <c r="K57" s="1">
        <v>7.9</v>
      </c>
      <c r="L57" s="1">
        <v>8.6999999999999993</v>
      </c>
      <c r="M57" s="1">
        <v>0</v>
      </c>
      <c r="N57" s="1">
        <v>0</v>
      </c>
      <c r="O57" s="1">
        <v>54.4</v>
      </c>
      <c r="Q57" s="1">
        <v>328</v>
      </c>
    </row>
    <row r="58" spans="1:17" x14ac:dyDescent="0.25">
      <c r="A58" s="1">
        <v>1143.02</v>
      </c>
      <c r="B58" s="1" t="s">
        <v>151</v>
      </c>
      <c r="C58" s="1" t="s">
        <v>320</v>
      </c>
      <c r="D58" s="93" t="s">
        <v>322</v>
      </c>
      <c r="E58" s="1" t="s">
        <v>323</v>
      </c>
      <c r="F58" s="1" t="s">
        <v>66</v>
      </c>
      <c r="G58" s="1">
        <v>0</v>
      </c>
      <c r="I58" s="1">
        <v>3.2</v>
      </c>
      <c r="J58" s="1">
        <v>7.9</v>
      </c>
      <c r="K58" s="1">
        <v>36.200000000000003</v>
      </c>
      <c r="L58" s="1">
        <v>0.8</v>
      </c>
      <c r="M58" s="1">
        <v>0</v>
      </c>
      <c r="N58" s="1">
        <v>0</v>
      </c>
      <c r="O58" s="1">
        <v>52</v>
      </c>
      <c r="Q58" s="1">
        <v>359</v>
      </c>
    </row>
    <row r="59" spans="1:17" x14ac:dyDescent="0.25">
      <c r="A59" s="1">
        <v>1143.03</v>
      </c>
      <c r="B59" s="1" t="s">
        <v>201</v>
      </c>
      <c r="C59" s="1" t="s">
        <v>320</v>
      </c>
      <c r="D59" s="93" t="s">
        <v>322</v>
      </c>
      <c r="E59" s="1" t="s">
        <v>323</v>
      </c>
      <c r="F59" s="1" t="s">
        <v>321</v>
      </c>
      <c r="G59" s="1">
        <v>0</v>
      </c>
      <c r="I59" s="1">
        <v>3.2</v>
      </c>
      <c r="J59" s="1">
        <v>7.9</v>
      </c>
      <c r="K59" s="1">
        <v>36.200000000000003</v>
      </c>
      <c r="L59" s="1">
        <v>0.8</v>
      </c>
      <c r="M59" s="1">
        <v>0</v>
      </c>
      <c r="N59" s="1">
        <v>0</v>
      </c>
      <c r="O59" s="1">
        <v>52</v>
      </c>
      <c r="Q59" s="1">
        <v>359</v>
      </c>
    </row>
    <row r="60" spans="1:17" x14ac:dyDescent="0.25">
      <c r="A60" s="1">
        <v>1143.04</v>
      </c>
      <c r="B60" s="1" t="s">
        <v>202</v>
      </c>
      <c r="C60" s="1" t="s">
        <v>320</v>
      </c>
      <c r="D60" s="93" t="s">
        <v>324</v>
      </c>
      <c r="E60" s="1" t="s">
        <v>325</v>
      </c>
      <c r="F60" s="1" t="s">
        <v>321</v>
      </c>
      <c r="G60" s="1">
        <v>0</v>
      </c>
      <c r="I60" s="1">
        <v>2</v>
      </c>
      <c r="J60" s="1">
        <v>2.8</v>
      </c>
      <c r="K60" s="1">
        <v>11.9</v>
      </c>
      <c r="L60" s="1">
        <v>27.7</v>
      </c>
      <c r="M60" s="1">
        <v>0</v>
      </c>
      <c r="N60" s="1">
        <v>0</v>
      </c>
      <c r="O60" s="1">
        <v>55.599999999999994</v>
      </c>
      <c r="Q60" s="1">
        <v>519</v>
      </c>
    </row>
    <row r="61" spans="1:17" x14ac:dyDescent="0.25">
      <c r="A61" s="1">
        <v>1144.01</v>
      </c>
      <c r="B61" s="1" t="s">
        <v>203</v>
      </c>
      <c r="C61" s="1" t="s">
        <v>320</v>
      </c>
      <c r="D61" s="93" t="s">
        <v>326</v>
      </c>
      <c r="E61" s="1" t="s">
        <v>327</v>
      </c>
      <c r="F61" s="1" t="s">
        <v>321</v>
      </c>
      <c r="G61" s="1">
        <v>0</v>
      </c>
      <c r="I61" s="1">
        <v>85.8</v>
      </c>
      <c r="J61" s="1">
        <v>0.8</v>
      </c>
      <c r="K61" s="1">
        <v>3.4</v>
      </c>
      <c r="L61" s="1">
        <v>4.5</v>
      </c>
      <c r="M61" s="1">
        <v>0</v>
      </c>
      <c r="N61" s="1">
        <v>0</v>
      </c>
      <c r="O61" s="1">
        <v>5.5000000000000018</v>
      </c>
      <c r="Q61" s="1">
        <v>76</v>
      </c>
    </row>
    <row r="62" spans="1:17" x14ac:dyDescent="0.25">
      <c r="A62" s="1">
        <v>1144.02</v>
      </c>
      <c r="B62" s="1" t="s">
        <v>152</v>
      </c>
      <c r="C62" s="1" t="s">
        <v>320</v>
      </c>
      <c r="D62" s="93" t="s">
        <v>328</v>
      </c>
      <c r="E62" s="1" t="s">
        <v>329</v>
      </c>
      <c r="F62" s="1" t="s">
        <v>68</v>
      </c>
      <c r="G62" s="1">
        <v>0</v>
      </c>
      <c r="I62" s="1">
        <v>85.3</v>
      </c>
      <c r="J62" s="1">
        <v>0.8</v>
      </c>
      <c r="K62" s="1">
        <v>3.8</v>
      </c>
      <c r="L62" s="1">
        <v>3.4</v>
      </c>
      <c r="M62" s="1">
        <v>0</v>
      </c>
      <c r="N62" s="1">
        <v>0</v>
      </c>
      <c r="O62" s="1">
        <v>6.7000000000000011</v>
      </c>
      <c r="Q62" s="1">
        <v>73</v>
      </c>
    </row>
    <row r="63" spans="1:17" x14ac:dyDescent="0.25">
      <c r="A63" s="1">
        <v>1144.03</v>
      </c>
      <c r="B63" s="1" t="s">
        <v>204</v>
      </c>
      <c r="C63" s="1" t="s">
        <v>320</v>
      </c>
      <c r="D63" s="93" t="s">
        <v>330</v>
      </c>
      <c r="E63" s="1" t="s">
        <v>304</v>
      </c>
      <c r="F63" s="1" t="s">
        <v>66</v>
      </c>
      <c r="G63" s="1">
        <v>0</v>
      </c>
      <c r="I63" s="1">
        <v>89.3</v>
      </c>
      <c r="J63" s="1">
        <v>0.8</v>
      </c>
      <c r="K63" s="1">
        <v>3.5</v>
      </c>
      <c r="L63" s="1">
        <v>1.6</v>
      </c>
      <c r="M63" s="1">
        <v>0</v>
      </c>
      <c r="N63" s="1">
        <v>0</v>
      </c>
      <c r="O63" s="1">
        <v>4.8</v>
      </c>
      <c r="Q63" s="1">
        <v>48</v>
      </c>
    </row>
    <row r="64" spans="1:17" x14ac:dyDescent="0.25">
      <c r="A64" s="1">
        <v>1145.01</v>
      </c>
      <c r="B64" s="1" t="s">
        <v>205</v>
      </c>
      <c r="C64" s="1" t="s">
        <v>320</v>
      </c>
      <c r="D64" s="93" t="s">
        <v>331</v>
      </c>
      <c r="E64" s="1" t="s">
        <v>332</v>
      </c>
      <c r="F64" s="1" t="s">
        <v>66</v>
      </c>
      <c r="G64" s="1">
        <v>0</v>
      </c>
      <c r="I64" s="1">
        <v>41</v>
      </c>
      <c r="J64" s="1">
        <v>3.9</v>
      </c>
      <c r="K64" s="1">
        <v>24.8</v>
      </c>
      <c r="L64" s="1">
        <v>29.5</v>
      </c>
      <c r="M64" s="1">
        <v>0</v>
      </c>
      <c r="N64" s="1">
        <v>0</v>
      </c>
      <c r="O64" s="1">
        <v>0.7</v>
      </c>
      <c r="Q64" s="1">
        <v>367</v>
      </c>
    </row>
    <row r="65" spans="1:17" x14ac:dyDescent="0.25">
      <c r="A65" s="1">
        <v>1146.01</v>
      </c>
      <c r="B65" s="1" t="s">
        <v>206</v>
      </c>
      <c r="C65" s="1" t="s">
        <v>320</v>
      </c>
      <c r="D65" s="93" t="s">
        <v>333</v>
      </c>
      <c r="E65" s="1" t="s">
        <v>334</v>
      </c>
      <c r="F65" s="1" t="s">
        <v>66</v>
      </c>
      <c r="G65" s="1">
        <v>0</v>
      </c>
      <c r="I65" s="1">
        <v>78.5</v>
      </c>
      <c r="J65" s="1">
        <v>0.6</v>
      </c>
      <c r="K65" s="1">
        <v>2.9</v>
      </c>
      <c r="L65" s="1">
        <v>13.5</v>
      </c>
      <c r="M65" s="1">
        <v>0</v>
      </c>
      <c r="N65" s="1">
        <v>0</v>
      </c>
      <c r="O65" s="1">
        <v>4.5</v>
      </c>
      <c r="Q65" s="1">
        <v>151</v>
      </c>
    </row>
    <row r="66" spans="1:17" x14ac:dyDescent="0.25">
      <c r="A66" s="1">
        <v>1147.01</v>
      </c>
      <c r="B66" s="1" t="s">
        <v>120</v>
      </c>
      <c r="C66" s="1" t="s">
        <v>320</v>
      </c>
      <c r="D66" s="93" t="s">
        <v>335</v>
      </c>
      <c r="E66" s="1" t="s">
        <v>336</v>
      </c>
      <c r="F66" s="1" t="s">
        <v>66</v>
      </c>
      <c r="G66" s="1">
        <v>0</v>
      </c>
      <c r="I66" s="1">
        <v>76.2</v>
      </c>
      <c r="J66" s="1">
        <v>1.1000000000000001</v>
      </c>
      <c r="K66" s="1">
        <v>12.6</v>
      </c>
      <c r="L66" s="1">
        <v>9.5</v>
      </c>
      <c r="M66" s="1">
        <v>0</v>
      </c>
      <c r="N66" s="1">
        <v>0</v>
      </c>
      <c r="O66" s="1">
        <v>0.7</v>
      </c>
      <c r="Q66" s="1">
        <v>139</v>
      </c>
    </row>
    <row r="67" spans="1:17" x14ac:dyDescent="0.25">
      <c r="A67" s="1">
        <v>1151.01</v>
      </c>
      <c r="B67" s="1" t="s">
        <v>207</v>
      </c>
      <c r="C67" s="1" t="s">
        <v>320</v>
      </c>
      <c r="D67" s="93" t="s">
        <v>337</v>
      </c>
      <c r="E67" s="1" t="s">
        <v>338</v>
      </c>
      <c r="F67" s="1" t="s">
        <v>321</v>
      </c>
      <c r="G67" s="1">
        <v>0</v>
      </c>
      <c r="I67" s="1">
        <v>19.2</v>
      </c>
      <c r="J67" s="1">
        <v>0.3</v>
      </c>
      <c r="K67" s="1">
        <v>0.8</v>
      </c>
      <c r="L67" s="1">
        <v>79.599999999999994</v>
      </c>
      <c r="M67" s="1">
        <v>0</v>
      </c>
      <c r="N67" s="1">
        <v>0</v>
      </c>
      <c r="O67" s="1">
        <v>0.2</v>
      </c>
      <c r="Q67" s="1">
        <v>720</v>
      </c>
    </row>
    <row r="68" spans="1:17" x14ac:dyDescent="0.25">
      <c r="A68" s="1">
        <v>1152.01</v>
      </c>
      <c r="B68" s="1" t="s">
        <v>208</v>
      </c>
      <c r="C68" s="1" t="s">
        <v>320</v>
      </c>
      <c r="D68" s="93" t="s">
        <v>339</v>
      </c>
      <c r="E68" s="1" t="s">
        <v>340</v>
      </c>
      <c r="F68" s="1" t="s">
        <v>321</v>
      </c>
      <c r="G68" s="1">
        <v>0</v>
      </c>
      <c r="I68" s="1">
        <v>16.5</v>
      </c>
      <c r="J68" s="1">
        <v>1.9</v>
      </c>
      <c r="K68" s="1">
        <v>0.2</v>
      </c>
      <c r="L68" s="1">
        <v>80.7</v>
      </c>
      <c r="M68" s="1">
        <v>0</v>
      </c>
      <c r="N68" s="1">
        <v>0</v>
      </c>
      <c r="O68" s="1">
        <v>0.69999999999998863</v>
      </c>
      <c r="Q68" s="1">
        <v>730</v>
      </c>
    </row>
    <row r="69" spans="1:17" x14ac:dyDescent="0.25">
      <c r="A69" s="1">
        <v>1152.02</v>
      </c>
      <c r="B69" s="1" t="s">
        <v>209</v>
      </c>
      <c r="C69" s="1" t="s">
        <v>320</v>
      </c>
      <c r="D69" s="93" t="s">
        <v>341</v>
      </c>
      <c r="E69" s="1" t="s">
        <v>342</v>
      </c>
      <c r="F69" s="1" t="s">
        <v>343</v>
      </c>
      <c r="G69" s="1">
        <v>0</v>
      </c>
      <c r="I69" s="1">
        <v>7.2</v>
      </c>
      <c r="J69" s="1">
        <v>2.6</v>
      </c>
      <c r="K69" s="1">
        <v>22.4</v>
      </c>
      <c r="L69" s="1">
        <v>44.5</v>
      </c>
      <c r="M69" s="1">
        <v>8.5</v>
      </c>
      <c r="N69" s="1">
        <v>0</v>
      </c>
      <c r="O69" s="1">
        <v>14.800000000000011</v>
      </c>
      <c r="Q69" s="1">
        <v>566</v>
      </c>
    </row>
    <row r="70" spans="1:17" x14ac:dyDescent="0.25">
      <c r="A70" s="1">
        <v>1154.01</v>
      </c>
      <c r="B70" s="1" t="s">
        <v>121</v>
      </c>
      <c r="C70" s="1" t="s">
        <v>390</v>
      </c>
      <c r="D70" s="93" t="s">
        <v>344</v>
      </c>
      <c r="E70" s="1" t="s">
        <v>345</v>
      </c>
      <c r="G70" s="1">
        <v>0</v>
      </c>
      <c r="I70" s="1">
        <v>0</v>
      </c>
      <c r="J70" s="1">
        <v>0</v>
      </c>
      <c r="K70" s="1">
        <v>0</v>
      </c>
      <c r="L70" s="1">
        <v>100</v>
      </c>
      <c r="M70" s="1">
        <v>0</v>
      </c>
      <c r="N70" s="1">
        <v>0</v>
      </c>
      <c r="O70" s="1">
        <v>0</v>
      </c>
      <c r="Q70" s="1" t="s">
        <v>574</v>
      </c>
    </row>
    <row r="71" spans="1:17" x14ac:dyDescent="0.25">
      <c r="A71" s="1">
        <v>1154.02</v>
      </c>
      <c r="B71" s="1" t="s">
        <v>210</v>
      </c>
      <c r="C71" s="1" t="s">
        <v>320</v>
      </c>
      <c r="D71" s="93" t="s">
        <v>344</v>
      </c>
      <c r="E71" s="1" t="s">
        <v>345</v>
      </c>
      <c r="F71" s="1" t="s">
        <v>68</v>
      </c>
      <c r="G71" s="1">
        <v>0</v>
      </c>
      <c r="I71" s="1">
        <v>0</v>
      </c>
      <c r="J71" s="1">
        <v>0</v>
      </c>
      <c r="K71" s="1">
        <v>0</v>
      </c>
      <c r="L71" s="1">
        <v>100</v>
      </c>
      <c r="M71" s="1">
        <v>0</v>
      </c>
      <c r="N71" s="1">
        <v>0</v>
      </c>
      <c r="O71" s="1">
        <v>0</v>
      </c>
      <c r="Q71" s="1">
        <v>900</v>
      </c>
    </row>
    <row r="72" spans="1:17" x14ac:dyDescent="0.25">
      <c r="A72" s="1">
        <v>1155.01</v>
      </c>
      <c r="B72" s="1" t="s">
        <v>211</v>
      </c>
      <c r="C72" s="1" t="s">
        <v>344</v>
      </c>
      <c r="D72" s="93" t="s">
        <v>390</v>
      </c>
      <c r="E72" s="1" t="s">
        <v>345</v>
      </c>
      <c r="G72" s="1">
        <v>0</v>
      </c>
      <c r="I72" s="1">
        <v>0</v>
      </c>
      <c r="J72" s="1">
        <v>0</v>
      </c>
      <c r="K72" s="1">
        <v>0</v>
      </c>
      <c r="L72" s="1">
        <v>100</v>
      </c>
      <c r="M72" s="1">
        <v>0</v>
      </c>
      <c r="N72" s="1">
        <v>0</v>
      </c>
      <c r="O72" s="1">
        <v>0</v>
      </c>
      <c r="Q72" s="1">
        <v>900</v>
      </c>
    </row>
    <row r="73" spans="1:17" x14ac:dyDescent="0.25">
      <c r="A73" s="1">
        <v>1155.02</v>
      </c>
      <c r="B73" s="1" t="s">
        <v>212</v>
      </c>
      <c r="C73" s="1" t="s">
        <v>390</v>
      </c>
      <c r="D73" s="93" t="s">
        <v>337</v>
      </c>
      <c r="E73" s="1" t="s">
        <v>338</v>
      </c>
      <c r="G73" s="1">
        <v>0</v>
      </c>
      <c r="I73" s="1">
        <v>19.2</v>
      </c>
      <c r="J73" s="1">
        <v>0.3</v>
      </c>
      <c r="K73" s="1">
        <v>0.8</v>
      </c>
      <c r="L73" s="1">
        <v>79.599999999999994</v>
      </c>
      <c r="M73" s="1">
        <v>0</v>
      </c>
      <c r="N73" s="1">
        <v>0</v>
      </c>
      <c r="O73" s="1">
        <v>0.2</v>
      </c>
      <c r="Q73" s="1" t="s">
        <v>575</v>
      </c>
    </row>
    <row r="74" spans="1:17" x14ac:dyDescent="0.25">
      <c r="A74" s="1">
        <v>1155.03</v>
      </c>
      <c r="B74" s="1" t="s">
        <v>213</v>
      </c>
      <c r="C74" s="1" t="s">
        <v>344</v>
      </c>
      <c r="D74" s="93" t="s">
        <v>390</v>
      </c>
      <c r="E74" s="1" t="s">
        <v>576</v>
      </c>
      <c r="G74" s="1">
        <v>0</v>
      </c>
      <c r="I74" s="1"/>
      <c r="J74" s="1"/>
      <c r="K74" s="1"/>
      <c r="L74" s="1"/>
      <c r="M74" s="1"/>
      <c r="N74" s="1">
        <v>0</v>
      </c>
      <c r="O74" s="1"/>
      <c r="Q74" s="1"/>
    </row>
    <row r="75" spans="1:17" x14ac:dyDescent="0.25">
      <c r="A75" s="1">
        <v>1159.99</v>
      </c>
      <c r="B75" s="1" t="s">
        <v>214</v>
      </c>
      <c r="C75" s="1" t="s">
        <v>390</v>
      </c>
      <c r="D75" s="93" t="s">
        <v>410</v>
      </c>
      <c r="E75" s="1" t="s">
        <v>411</v>
      </c>
      <c r="G75" s="1">
        <v>0</v>
      </c>
      <c r="I75" s="1">
        <v>0</v>
      </c>
      <c r="J75" s="1">
        <v>0</v>
      </c>
      <c r="K75" s="1">
        <v>0</v>
      </c>
      <c r="L75" s="1">
        <v>100</v>
      </c>
      <c r="M75" s="1">
        <v>0</v>
      </c>
      <c r="N75" s="1">
        <v>0</v>
      </c>
      <c r="O75" s="1">
        <v>0</v>
      </c>
      <c r="Q75" s="1" t="s">
        <v>574</v>
      </c>
    </row>
    <row r="76" spans="1:17" x14ac:dyDescent="0.25">
      <c r="A76" s="1">
        <v>1161.01</v>
      </c>
      <c r="B76" s="1" t="s">
        <v>215</v>
      </c>
      <c r="C76" s="1" t="s">
        <v>390</v>
      </c>
      <c r="D76" s="93" t="s">
        <v>412</v>
      </c>
      <c r="E76" s="1" t="s">
        <v>413</v>
      </c>
      <c r="G76" s="1">
        <v>0.27</v>
      </c>
      <c r="I76" s="1">
        <v>87.8</v>
      </c>
      <c r="J76" s="1">
        <v>0.5</v>
      </c>
      <c r="K76" s="1">
        <v>0.7</v>
      </c>
      <c r="L76" s="1">
        <v>0.3</v>
      </c>
      <c r="M76" s="1">
        <v>1.7</v>
      </c>
      <c r="N76" s="1">
        <v>0</v>
      </c>
      <c r="O76" s="1">
        <v>9.0000000000000036</v>
      </c>
      <c r="Q76" s="1" t="s">
        <v>577</v>
      </c>
    </row>
    <row r="77" spans="1:17" x14ac:dyDescent="0.25">
      <c r="A77" s="1">
        <v>1162.01</v>
      </c>
      <c r="B77" s="1" t="s">
        <v>155</v>
      </c>
      <c r="C77" s="1" t="s">
        <v>390</v>
      </c>
      <c r="D77" s="93" t="s">
        <v>414</v>
      </c>
      <c r="E77" s="1" t="s">
        <v>415</v>
      </c>
      <c r="G77" s="1">
        <v>0.36</v>
      </c>
      <c r="I77" s="1">
        <v>73.599999999999994</v>
      </c>
      <c r="J77" s="1">
        <v>0.8</v>
      </c>
      <c r="K77" s="1">
        <v>1.2</v>
      </c>
      <c r="L77" s="1">
        <v>0.2</v>
      </c>
      <c r="M77" s="1">
        <v>2</v>
      </c>
      <c r="N77" s="1">
        <v>0</v>
      </c>
      <c r="O77" s="1">
        <v>22.200000000000006</v>
      </c>
      <c r="Q77" s="1" t="s">
        <v>578</v>
      </c>
    </row>
    <row r="78" spans="1:17" x14ac:dyDescent="0.25">
      <c r="A78" s="1">
        <v>1163.01</v>
      </c>
      <c r="B78" s="1" t="s">
        <v>157</v>
      </c>
      <c r="C78" s="1" t="s">
        <v>390</v>
      </c>
      <c r="D78" s="93" t="s">
        <v>416</v>
      </c>
      <c r="E78" s="1" t="s">
        <v>417</v>
      </c>
      <c r="G78" s="1">
        <v>0.1</v>
      </c>
      <c r="I78" s="1">
        <v>85.6</v>
      </c>
      <c r="J78" s="1">
        <v>0.2</v>
      </c>
      <c r="K78" s="1">
        <v>0.3</v>
      </c>
      <c r="L78" s="1">
        <v>0.2</v>
      </c>
      <c r="M78" s="1">
        <v>2.4</v>
      </c>
      <c r="N78" s="1">
        <v>0</v>
      </c>
      <c r="O78" s="1">
        <v>11.300000000000006</v>
      </c>
      <c r="Q78" s="1" t="s">
        <v>579</v>
      </c>
    </row>
    <row r="79" spans="1:17" x14ac:dyDescent="0.25">
      <c r="A79" s="1">
        <v>1164.01</v>
      </c>
      <c r="B79" s="1" t="s">
        <v>216</v>
      </c>
      <c r="C79" s="1">
        <v>9252</v>
      </c>
      <c r="D79" s="93" t="s">
        <v>7</v>
      </c>
      <c r="E79" s="1" t="s">
        <v>580</v>
      </c>
      <c r="G79" s="1">
        <v>0</v>
      </c>
      <c r="I79" s="1">
        <v>83.71</v>
      </c>
      <c r="J79" s="1">
        <v>0.33</v>
      </c>
      <c r="K79" s="1">
        <v>0.38</v>
      </c>
      <c r="L79" s="1">
        <v>0.12</v>
      </c>
      <c r="M79" s="1">
        <v>3.1</v>
      </c>
      <c r="N79" s="1">
        <v>0</v>
      </c>
      <c r="O79" s="1">
        <v>15.46</v>
      </c>
      <c r="Q79" s="1">
        <v>58</v>
      </c>
    </row>
    <row r="80" spans="1:17" x14ac:dyDescent="0.25">
      <c r="A80" s="1">
        <v>1165.01</v>
      </c>
      <c r="B80" s="1" t="s">
        <v>581</v>
      </c>
      <c r="C80" s="1">
        <v>9021</v>
      </c>
      <c r="D80" s="93" t="s">
        <v>7</v>
      </c>
      <c r="E80" s="1" t="s">
        <v>582</v>
      </c>
      <c r="G80" s="1">
        <v>0</v>
      </c>
      <c r="I80" s="1">
        <v>86.35</v>
      </c>
      <c r="J80" s="1">
        <v>0.75</v>
      </c>
      <c r="K80" s="1">
        <v>1.4</v>
      </c>
      <c r="L80" s="1">
        <v>0.39</v>
      </c>
      <c r="M80" s="1">
        <v>2</v>
      </c>
      <c r="N80" s="1">
        <v>0</v>
      </c>
      <c r="O80" s="1">
        <v>11.12</v>
      </c>
      <c r="Q80" s="1">
        <v>48</v>
      </c>
    </row>
    <row r="81" spans="1:17" x14ac:dyDescent="0.25">
      <c r="A81" s="1">
        <v>1165.02</v>
      </c>
      <c r="B81" s="1" t="s">
        <v>583</v>
      </c>
      <c r="C81" s="1">
        <v>5003</v>
      </c>
      <c r="D81" s="93" t="s">
        <v>584</v>
      </c>
      <c r="E81" s="1" t="s">
        <v>585</v>
      </c>
      <c r="G81" s="1">
        <v>0.28999999999999998</v>
      </c>
      <c r="I81" s="1">
        <v>74</v>
      </c>
      <c r="J81" s="1">
        <v>1.9</v>
      </c>
      <c r="K81" s="1">
        <v>1.6</v>
      </c>
      <c r="L81" s="1">
        <v>19.600000000000001</v>
      </c>
      <c r="M81" s="1">
        <v>4</v>
      </c>
      <c r="N81" s="1">
        <v>0</v>
      </c>
      <c r="O81" s="1">
        <v>0</v>
      </c>
      <c r="Q81" s="1">
        <v>185</v>
      </c>
    </row>
    <row r="82" spans="1:17" x14ac:dyDescent="0.25">
      <c r="A82" s="1">
        <v>1165.03</v>
      </c>
      <c r="B82" s="1" t="s">
        <v>586</v>
      </c>
      <c r="C82" s="1">
        <v>9070</v>
      </c>
      <c r="D82" s="93" t="s">
        <v>7</v>
      </c>
      <c r="E82" s="1" t="s">
        <v>587</v>
      </c>
      <c r="G82" s="1">
        <v>0</v>
      </c>
      <c r="I82" s="1">
        <v>82.25</v>
      </c>
      <c r="J82" s="1">
        <v>0.48</v>
      </c>
      <c r="K82" s="1">
        <v>1.06</v>
      </c>
      <c r="L82" s="1">
        <v>0.2</v>
      </c>
      <c r="M82" s="1">
        <v>2.1</v>
      </c>
      <c r="N82" s="1">
        <v>0</v>
      </c>
      <c r="O82" s="1">
        <v>16.010000000000002</v>
      </c>
      <c r="Q82" s="1">
        <v>63</v>
      </c>
    </row>
    <row r="83" spans="1:17" x14ac:dyDescent="0.25">
      <c r="A83" s="1">
        <v>1165.04</v>
      </c>
      <c r="B83" s="1" t="s">
        <v>156</v>
      </c>
      <c r="C83" s="1" t="s">
        <v>320</v>
      </c>
      <c r="D83" s="93" t="s">
        <v>346</v>
      </c>
      <c r="E83" s="1" t="s">
        <v>347</v>
      </c>
      <c r="F83" s="1" t="s">
        <v>68</v>
      </c>
      <c r="G83" s="1" t="s">
        <v>348</v>
      </c>
      <c r="I83" s="1" t="s">
        <v>349</v>
      </c>
      <c r="J83" s="1" t="s">
        <v>350</v>
      </c>
      <c r="K83" s="1" t="s">
        <v>351</v>
      </c>
      <c r="L83" s="1" t="s">
        <v>352</v>
      </c>
      <c r="M83" s="1" t="s">
        <v>353</v>
      </c>
      <c r="N83" s="1">
        <v>0</v>
      </c>
      <c r="O83" s="1">
        <v>17.299999999999997</v>
      </c>
      <c r="Q83" s="1">
        <v>76</v>
      </c>
    </row>
    <row r="84" spans="1:17" x14ac:dyDescent="0.25">
      <c r="A84" s="1">
        <v>1165.05</v>
      </c>
      <c r="B84" s="1" t="s">
        <v>588</v>
      </c>
      <c r="C84" s="1">
        <v>9279</v>
      </c>
      <c r="D84" s="93" t="s">
        <v>7</v>
      </c>
      <c r="E84" s="1" t="s">
        <v>589</v>
      </c>
      <c r="G84" s="1">
        <v>0</v>
      </c>
      <c r="I84" s="1">
        <v>87.23</v>
      </c>
      <c r="J84" s="1">
        <v>0.37</v>
      </c>
      <c r="K84" s="1">
        <v>0.7</v>
      </c>
      <c r="L84" s="1">
        <v>0.28000000000000003</v>
      </c>
      <c r="M84" s="1">
        <v>1.4</v>
      </c>
      <c r="N84" s="1">
        <v>0</v>
      </c>
      <c r="O84" s="1">
        <v>11.42</v>
      </c>
      <c r="Q84" s="1">
        <v>46</v>
      </c>
    </row>
    <row r="85" spans="1:17" x14ac:dyDescent="0.25">
      <c r="A85" s="1">
        <v>1165.06</v>
      </c>
      <c r="B85" s="1" t="s">
        <v>590</v>
      </c>
      <c r="C85" s="1">
        <v>5027</v>
      </c>
      <c r="D85" s="93" t="s">
        <v>584</v>
      </c>
      <c r="E85" s="1" t="s">
        <v>591</v>
      </c>
      <c r="G85" s="1">
        <v>0.12</v>
      </c>
      <c r="I85" s="1">
        <v>86.7</v>
      </c>
      <c r="J85" s="1">
        <v>0.4</v>
      </c>
      <c r="K85" s="1">
        <v>1</v>
      </c>
      <c r="L85" s="1">
        <v>0.1</v>
      </c>
      <c r="M85" s="1">
        <v>1.9</v>
      </c>
      <c r="N85" s="1">
        <v>0</v>
      </c>
      <c r="O85" s="1">
        <v>9.9</v>
      </c>
      <c r="Q85" s="1">
        <v>48</v>
      </c>
    </row>
    <row r="86" spans="1:17" x14ac:dyDescent="0.25">
      <c r="A86" s="1">
        <v>1166.01</v>
      </c>
      <c r="B86" s="1" t="s">
        <v>592</v>
      </c>
      <c r="C86" s="1">
        <v>5034</v>
      </c>
      <c r="D86" s="93" t="s">
        <v>584</v>
      </c>
      <c r="E86" s="1" t="s">
        <v>593</v>
      </c>
      <c r="G86" s="1">
        <v>0.04</v>
      </c>
      <c r="I86" s="1">
        <v>90</v>
      </c>
      <c r="J86" s="1">
        <v>0.4</v>
      </c>
      <c r="K86" s="1">
        <v>0.7</v>
      </c>
      <c r="L86" s="1">
        <v>0.2</v>
      </c>
      <c r="M86" s="1">
        <v>2.5</v>
      </c>
      <c r="N86" s="1">
        <v>0</v>
      </c>
      <c r="O86" s="1">
        <v>6.3</v>
      </c>
      <c r="Q86" s="1">
        <v>35</v>
      </c>
    </row>
    <row r="87" spans="1:17" x14ac:dyDescent="0.25">
      <c r="A87" s="1">
        <v>1166.02</v>
      </c>
      <c r="B87" s="1" t="s">
        <v>594</v>
      </c>
      <c r="C87" s="1">
        <v>5021</v>
      </c>
      <c r="D87" s="93" t="s">
        <v>584</v>
      </c>
      <c r="E87" s="1" t="s">
        <v>595</v>
      </c>
      <c r="G87" s="1">
        <v>0.01</v>
      </c>
      <c r="I87" s="1">
        <v>89.5</v>
      </c>
      <c r="J87" s="1">
        <v>0.9</v>
      </c>
      <c r="K87" s="1">
        <v>1.6</v>
      </c>
      <c r="L87" s="1">
        <v>0.2</v>
      </c>
      <c r="M87" s="1">
        <v>2.2000000000000002</v>
      </c>
      <c r="N87" s="1">
        <v>0</v>
      </c>
      <c r="O87" s="1">
        <v>5.6</v>
      </c>
      <c r="Q87" s="1">
        <v>35</v>
      </c>
    </row>
    <row r="88" spans="1:17" x14ac:dyDescent="0.25">
      <c r="A88" s="1">
        <v>1166.03</v>
      </c>
      <c r="B88" s="1" t="s">
        <v>596</v>
      </c>
      <c r="C88" s="1">
        <v>9089</v>
      </c>
      <c r="D88" s="93" t="s">
        <v>7</v>
      </c>
      <c r="E88" s="1" t="s">
        <v>597</v>
      </c>
      <c r="G88" s="1">
        <v>0</v>
      </c>
      <c r="I88" s="1">
        <v>79.11</v>
      </c>
      <c r="J88" s="1">
        <v>0.66</v>
      </c>
      <c r="K88" s="1">
        <v>0.75</v>
      </c>
      <c r="L88" s="1">
        <v>0.3</v>
      </c>
      <c r="M88" s="1">
        <v>2.9</v>
      </c>
      <c r="N88" s="1">
        <v>0</v>
      </c>
      <c r="O88" s="1">
        <v>19.18</v>
      </c>
      <c r="Q88" s="1">
        <v>74</v>
      </c>
    </row>
    <row r="89" spans="1:17" x14ac:dyDescent="0.25">
      <c r="A89" s="1">
        <v>1166.04</v>
      </c>
      <c r="B89" s="1" t="s">
        <v>217</v>
      </c>
      <c r="C89" s="1" t="s">
        <v>390</v>
      </c>
      <c r="D89" s="93" t="s">
        <v>418</v>
      </c>
      <c r="E89" s="1" t="s">
        <v>419</v>
      </c>
      <c r="G89" s="1">
        <v>0</v>
      </c>
      <c r="I89" s="1">
        <v>90.7</v>
      </c>
      <c r="J89" s="1">
        <v>0.5</v>
      </c>
      <c r="K89" s="1">
        <v>0.7</v>
      </c>
      <c r="L89" s="1">
        <v>0.1</v>
      </c>
      <c r="M89" s="1">
        <v>1.2</v>
      </c>
      <c r="N89" s="1">
        <v>0</v>
      </c>
      <c r="O89" s="1">
        <v>6.799999999999998</v>
      </c>
      <c r="Q89" s="1" t="s">
        <v>598</v>
      </c>
    </row>
    <row r="90" spans="1:17" x14ac:dyDescent="0.25">
      <c r="A90" s="1">
        <v>1166.05</v>
      </c>
      <c r="B90" s="1" t="s">
        <v>159</v>
      </c>
      <c r="C90" s="1" t="s">
        <v>390</v>
      </c>
      <c r="D90" s="93" t="s">
        <v>354</v>
      </c>
      <c r="E90" s="1" t="s">
        <v>355</v>
      </c>
      <c r="G90" s="1">
        <v>0.22</v>
      </c>
      <c r="I90" s="1">
        <v>82.9</v>
      </c>
      <c r="J90" s="1">
        <v>0.6</v>
      </c>
      <c r="K90" s="1">
        <v>1</v>
      </c>
      <c r="L90" s="1">
        <v>0.4</v>
      </c>
      <c r="M90" s="1">
        <v>5.6</v>
      </c>
      <c r="N90" s="1">
        <v>0</v>
      </c>
      <c r="O90" s="1">
        <v>9.4999999999999929</v>
      </c>
      <c r="Q90" s="1" t="s">
        <v>599</v>
      </c>
    </row>
    <row r="91" spans="1:17" x14ac:dyDescent="0.25">
      <c r="A91" s="1">
        <v>1166.06</v>
      </c>
      <c r="B91" s="1" t="s">
        <v>600</v>
      </c>
      <c r="C91" s="41">
        <v>9195</v>
      </c>
      <c r="D91" s="93" t="s">
        <v>7</v>
      </c>
      <c r="E91" s="1" t="s">
        <v>601</v>
      </c>
      <c r="G91" s="1">
        <v>0</v>
      </c>
      <c r="I91" s="93">
        <v>75.28</v>
      </c>
      <c r="J91" s="93">
        <v>4.53</v>
      </c>
      <c r="K91" s="93">
        <v>1.03</v>
      </c>
      <c r="L91" s="93">
        <v>15.32</v>
      </c>
      <c r="M91" s="93">
        <v>3.3</v>
      </c>
      <c r="N91" s="1">
        <v>0</v>
      </c>
      <c r="O91" s="93">
        <v>3.84</v>
      </c>
      <c r="Q91" s="93">
        <v>145</v>
      </c>
    </row>
    <row r="92" spans="1:17" x14ac:dyDescent="0.25">
      <c r="A92" s="1">
        <v>1166.07</v>
      </c>
      <c r="B92" s="1" t="s">
        <v>602</v>
      </c>
      <c r="C92" s="41">
        <v>2054</v>
      </c>
      <c r="D92" s="93" t="s">
        <v>7</v>
      </c>
      <c r="E92" s="1" t="s">
        <v>603</v>
      </c>
      <c r="G92" s="1">
        <v>0</v>
      </c>
      <c r="I92" s="93">
        <v>83.85</v>
      </c>
      <c r="J92" s="93">
        <v>8.4</v>
      </c>
      <c r="K92" s="93">
        <v>2.36</v>
      </c>
      <c r="L92" s="93">
        <v>0.86</v>
      </c>
      <c r="M92" s="93">
        <v>3.2</v>
      </c>
      <c r="N92" s="1">
        <v>0</v>
      </c>
      <c r="O92" s="93">
        <v>4.8899999999999997</v>
      </c>
      <c r="Q92" s="93">
        <v>23</v>
      </c>
    </row>
    <row r="93" spans="1:17" x14ac:dyDescent="0.25">
      <c r="A93" s="1">
        <v>1167.01</v>
      </c>
      <c r="B93" s="1" t="s">
        <v>218</v>
      </c>
      <c r="C93" s="41" t="s">
        <v>390</v>
      </c>
      <c r="D93" s="93" t="s">
        <v>420</v>
      </c>
      <c r="E93" s="1" t="s">
        <v>421</v>
      </c>
      <c r="G93" s="1">
        <v>0.54</v>
      </c>
      <c r="I93" s="93">
        <v>92</v>
      </c>
      <c r="J93" s="93">
        <v>0.6</v>
      </c>
      <c r="K93" s="93">
        <v>0.6</v>
      </c>
      <c r="L93" s="93">
        <v>0.1</v>
      </c>
      <c r="M93" s="93">
        <v>0.8</v>
      </c>
      <c r="N93" s="1">
        <v>0</v>
      </c>
      <c r="O93" s="93">
        <v>5.9000000000000012</v>
      </c>
      <c r="Q93" s="93" t="s">
        <v>604</v>
      </c>
    </row>
    <row r="94" spans="1:17" x14ac:dyDescent="0.25">
      <c r="A94" s="1">
        <v>1167.02</v>
      </c>
      <c r="B94" s="1" t="s">
        <v>158</v>
      </c>
      <c r="C94" s="41" t="s">
        <v>390</v>
      </c>
      <c r="D94" s="93" t="s">
        <v>420</v>
      </c>
      <c r="E94" s="1" t="s">
        <v>421</v>
      </c>
      <c r="G94" s="1">
        <v>0.54</v>
      </c>
      <c r="I94" s="93">
        <v>92</v>
      </c>
      <c r="J94" s="93">
        <v>0.6</v>
      </c>
      <c r="K94" s="93">
        <v>0.6</v>
      </c>
      <c r="L94" s="93">
        <v>0.1</v>
      </c>
      <c r="M94" s="93">
        <v>0.8</v>
      </c>
      <c r="N94" s="1">
        <v>0</v>
      </c>
      <c r="O94" s="93">
        <v>5.9000000000000012</v>
      </c>
      <c r="Q94" s="93" t="s">
        <v>604</v>
      </c>
    </row>
    <row r="95" spans="1:17" x14ac:dyDescent="0.25">
      <c r="A95" s="1">
        <v>1167.03</v>
      </c>
      <c r="B95" s="1" t="s">
        <v>605</v>
      </c>
      <c r="C95" s="41" t="s">
        <v>606</v>
      </c>
      <c r="D95" s="93" t="s">
        <v>390</v>
      </c>
      <c r="E95" s="1" t="s">
        <v>607</v>
      </c>
      <c r="G95" s="1">
        <v>0.49</v>
      </c>
      <c r="I95" s="93">
        <v>85.8</v>
      </c>
      <c r="J95" s="93">
        <v>0.3</v>
      </c>
      <c r="K95" s="93">
        <v>0.4</v>
      </c>
      <c r="L95" s="93">
        <v>0.2</v>
      </c>
      <c r="M95" s="93">
        <v>1.3</v>
      </c>
      <c r="N95" s="1">
        <v>0</v>
      </c>
      <c r="O95" s="93">
        <v>12</v>
      </c>
      <c r="Q95" s="93">
        <v>54</v>
      </c>
    </row>
    <row r="96" spans="1:17" x14ac:dyDescent="0.25">
      <c r="A96" s="1">
        <v>1167.99</v>
      </c>
      <c r="B96" s="1" t="s">
        <v>608</v>
      </c>
      <c r="C96" s="41">
        <v>5025</v>
      </c>
      <c r="D96" s="93" t="s">
        <v>584</v>
      </c>
      <c r="E96" s="1" t="s">
        <v>609</v>
      </c>
      <c r="G96" s="1">
        <v>0.48</v>
      </c>
      <c r="I96" s="93">
        <v>75.7</v>
      </c>
      <c r="J96" s="93">
        <v>0.8</v>
      </c>
      <c r="K96" s="93">
        <v>2.4</v>
      </c>
      <c r="L96" s="93">
        <v>0.9</v>
      </c>
      <c r="M96" s="93">
        <v>11.7</v>
      </c>
      <c r="N96" s="1">
        <v>0</v>
      </c>
      <c r="O96" s="93">
        <v>8.6999999999999993</v>
      </c>
      <c r="Q96" s="93">
        <v>75</v>
      </c>
    </row>
    <row r="97" spans="1:19" x14ac:dyDescent="0.25">
      <c r="A97" s="1">
        <v>1168.01</v>
      </c>
      <c r="B97" s="1" t="s">
        <v>219</v>
      </c>
      <c r="C97" s="41" t="s">
        <v>320</v>
      </c>
      <c r="D97" s="93" t="s">
        <v>357</v>
      </c>
      <c r="E97" s="1" t="s">
        <v>358</v>
      </c>
      <c r="F97" s="1" t="s">
        <v>343</v>
      </c>
      <c r="G97" s="1">
        <v>0</v>
      </c>
      <c r="I97" s="93" t="s">
        <v>359</v>
      </c>
      <c r="J97" s="93" t="s">
        <v>360</v>
      </c>
      <c r="K97" s="93" t="s">
        <v>361</v>
      </c>
      <c r="L97" s="93" t="s">
        <v>362</v>
      </c>
      <c r="M97" s="93">
        <v>4</v>
      </c>
      <c r="N97" s="1">
        <v>0</v>
      </c>
      <c r="O97" s="93">
        <v>19.600000000000009</v>
      </c>
      <c r="Q97" s="93">
        <v>609</v>
      </c>
    </row>
    <row r="98" spans="1:19" x14ac:dyDescent="0.25">
      <c r="A98" s="1">
        <v>1168.02</v>
      </c>
      <c r="B98" s="1" t="s">
        <v>531</v>
      </c>
      <c r="C98" s="1" t="s">
        <v>530</v>
      </c>
      <c r="D98" s="93" t="s">
        <v>357</v>
      </c>
      <c r="E98" s="1" t="s">
        <v>529</v>
      </c>
      <c r="F98" s="1" t="s">
        <v>343</v>
      </c>
      <c r="G98" s="1">
        <v>6.9999999999999951E-2</v>
      </c>
      <c r="I98" s="1">
        <v>86.9</v>
      </c>
      <c r="J98" s="1">
        <v>0.4</v>
      </c>
      <c r="K98" s="1">
        <v>0.7</v>
      </c>
      <c r="L98" s="1">
        <v>0.1</v>
      </c>
      <c r="M98" s="1">
        <v>2</v>
      </c>
      <c r="N98" s="1">
        <v>0</v>
      </c>
      <c r="O98" s="1">
        <v>9.9</v>
      </c>
      <c r="Q98" s="1">
        <v>47</v>
      </c>
      <c r="S98" s="13">
        <v>-9.9</v>
      </c>
    </row>
    <row r="99" spans="1:19" x14ac:dyDescent="0.25">
      <c r="A99" s="1">
        <v>1168.02</v>
      </c>
      <c r="B99" s="1" t="s">
        <v>220</v>
      </c>
      <c r="C99" s="41">
        <v>6029</v>
      </c>
      <c r="D99" s="93" t="s">
        <v>584</v>
      </c>
      <c r="E99" s="1" t="s">
        <v>610</v>
      </c>
      <c r="G99" s="1">
        <v>7.0000000000000007E-2</v>
      </c>
      <c r="I99" s="93">
        <v>86.9</v>
      </c>
      <c r="J99" s="93">
        <v>0.4</v>
      </c>
      <c r="K99" s="93">
        <v>0.7</v>
      </c>
      <c r="L99" s="93">
        <v>0.1</v>
      </c>
      <c r="M99" s="93">
        <v>2</v>
      </c>
      <c r="N99" s="1">
        <v>0</v>
      </c>
      <c r="O99" s="93">
        <v>9.9</v>
      </c>
      <c r="Q99" s="93">
        <v>47</v>
      </c>
    </row>
    <row r="100" spans="1:19" x14ac:dyDescent="0.25">
      <c r="A100" s="1">
        <v>1168.03</v>
      </c>
      <c r="B100" s="1" t="s">
        <v>611</v>
      </c>
      <c r="C100" s="1" t="s">
        <v>390</v>
      </c>
      <c r="D100" s="93" t="s">
        <v>416</v>
      </c>
      <c r="E100" s="1" t="s">
        <v>417</v>
      </c>
      <c r="G100" s="1">
        <v>0.1</v>
      </c>
      <c r="I100" s="1">
        <v>85.6</v>
      </c>
      <c r="J100" s="1">
        <v>0.2</v>
      </c>
      <c r="K100" s="1">
        <v>0.3</v>
      </c>
      <c r="L100" s="1">
        <v>0.2</v>
      </c>
      <c r="M100" s="1">
        <v>2.4</v>
      </c>
      <c r="N100" s="1">
        <v>0</v>
      </c>
      <c r="O100" s="1">
        <v>11.300000000000006</v>
      </c>
      <c r="Q100" s="1" t="s">
        <v>579</v>
      </c>
    </row>
    <row r="101" spans="1:19" x14ac:dyDescent="0.25">
      <c r="A101" s="1">
        <v>1168.04</v>
      </c>
      <c r="B101" s="1" t="s">
        <v>221</v>
      </c>
      <c r="C101" s="1" t="s">
        <v>390</v>
      </c>
      <c r="D101" s="93" t="s">
        <v>533</v>
      </c>
      <c r="E101" s="1" t="s">
        <v>532</v>
      </c>
      <c r="G101" s="1">
        <v>0.29000000000000004</v>
      </c>
      <c r="I101" s="1">
        <v>82.7</v>
      </c>
      <c r="J101" s="1">
        <v>0.5</v>
      </c>
      <c r="K101" s="1">
        <v>0.6</v>
      </c>
      <c r="L101" s="1">
        <v>0.2</v>
      </c>
      <c r="M101" s="1">
        <v>2.1</v>
      </c>
      <c r="N101" s="1">
        <v>0</v>
      </c>
      <c r="O101" s="1">
        <v>53.2</v>
      </c>
      <c r="Q101" s="1">
        <v>335</v>
      </c>
      <c r="S101" s="13">
        <v>-53.2</v>
      </c>
    </row>
    <row r="102" spans="1:19" x14ac:dyDescent="0.25">
      <c r="A102" s="1">
        <v>1168.05</v>
      </c>
      <c r="B102" s="1" t="s">
        <v>612</v>
      </c>
      <c r="C102" s="1" t="s">
        <v>390</v>
      </c>
      <c r="D102" s="93" t="s">
        <v>416</v>
      </c>
      <c r="E102" s="1" t="s">
        <v>417</v>
      </c>
      <c r="G102" s="1">
        <v>0.1</v>
      </c>
      <c r="I102" s="1">
        <v>85.6</v>
      </c>
      <c r="J102" s="1">
        <v>0.2</v>
      </c>
      <c r="K102" s="1">
        <v>0.3</v>
      </c>
      <c r="L102" s="1">
        <v>0.2</v>
      </c>
      <c r="M102" s="1">
        <v>2.4</v>
      </c>
      <c r="N102" s="1">
        <v>0</v>
      </c>
      <c r="O102" s="1">
        <v>11.300000000000006</v>
      </c>
      <c r="Q102" s="1" t="s">
        <v>579</v>
      </c>
    </row>
    <row r="103" spans="1:19" x14ac:dyDescent="0.25">
      <c r="A103" s="1">
        <v>1168.08</v>
      </c>
      <c r="B103" s="1" t="s">
        <v>222</v>
      </c>
      <c r="C103" s="1" t="s">
        <v>390</v>
      </c>
      <c r="D103" s="93" t="s">
        <v>422</v>
      </c>
      <c r="E103" s="1" t="s">
        <v>423</v>
      </c>
      <c r="G103" s="1">
        <v>0</v>
      </c>
      <c r="I103" s="1">
        <v>8.4</v>
      </c>
      <c r="J103" s="1">
        <v>3.1</v>
      </c>
      <c r="K103" s="1">
        <v>20.100000000000001</v>
      </c>
      <c r="L103" s="1">
        <v>5.9</v>
      </c>
      <c r="M103" s="1">
        <v>3.7</v>
      </c>
      <c r="N103" s="1">
        <v>0</v>
      </c>
      <c r="O103" s="1">
        <v>0</v>
      </c>
      <c r="Q103" s="1">
        <v>376</v>
      </c>
      <c r="S103" s="13">
        <v>0</v>
      </c>
    </row>
    <row r="104" spans="1:19" x14ac:dyDescent="0.25">
      <c r="A104" s="1">
        <v>1168.08</v>
      </c>
      <c r="B104" s="1" t="s">
        <v>222</v>
      </c>
      <c r="C104" s="41" t="s">
        <v>390</v>
      </c>
      <c r="D104" s="93" t="s">
        <v>422</v>
      </c>
      <c r="E104" s="1" t="s">
        <v>423</v>
      </c>
      <c r="G104" s="1">
        <v>0</v>
      </c>
      <c r="I104" s="93">
        <v>8.4</v>
      </c>
      <c r="J104" s="93">
        <v>3.1</v>
      </c>
      <c r="K104" s="93">
        <v>20.100000000000001</v>
      </c>
      <c r="L104" s="93">
        <v>5.9</v>
      </c>
      <c r="M104" s="93">
        <v>3.7</v>
      </c>
      <c r="N104" s="1">
        <v>0</v>
      </c>
      <c r="O104" s="93">
        <v>58.800000000000004</v>
      </c>
      <c r="Q104" s="93" t="s">
        <v>613</v>
      </c>
    </row>
    <row r="105" spans="1:19" x14ac:dyDescent="0.25">
      <c r="A105" s="1">
        <v>1168.0899999999999</v>
      </c>
      <c r="B105" s="1" t="s">
        <v>223</v>
      </c>
      <c r="C105" s="1" t="s">
        <v>390</v>
      </c>
      <c r="D105" s="93" t="s">
        <v>536</v>
      </c>
      <c r="E105" s="1" t="s">
        <v>535</v>
      </c>
      <c r="G105" s="1">
        <v>0</v>
      </c>
      <c r="I105" s="1">
        <v>5.3</v>
      </c>
      <c r="J105" s="1">
        <v>1.3</v>
      </c>
      <c r="K105" s="1">
        <v>7.9</v>
      </c>
      <c r="L105" s="1">
        <v>66.900000000000006</v>
      </c>
      <c r="M105" s="1">
        <v>2.2000000000000002</v>
      </c>
      <c r="N105" s="1">
        <v>0</v>
      </c>
      <c r="O105" s="1">
        <v>45.7</v>
      </c>
      <c r="Q105" s="1">
        <v>300</v>
      </c>
      <c r="S105" s="13">
        <v>-45.7</v>
      </c>
    </row>
    <row r="106" spans="1:19" x14ac:dyDescent="0.25">
      <c r="A106" s="1">
        <v>1168.0899999999999</v>
      </c>
      <c r="B106" s="1" t="s">
        <v>223</v>
      </c>
      <c r="C106" s="41" t="s">
        <v>536</v>
      </c>
      <c r="D106" s="93" t="s">
        <v>390</v>
      </c>
      <c r="E106" s="1" t="s">
        <v>535</v>
      </c>
      <c r="G106" s="1">
        <v>0</v>
      </c>
      <c r="I106" s="93">
        <v>5.3</v>
      </c>
      <c r="J106" s="93">
        <v>1.3</v>
      </c>
      <c r="K106" s="93">
        <v>7.9</v>
      </c>
      <c r="L106" s="93">
        <v>66.900000000000006</v>
      </c>
      <c r="M106" s="93">
        <v>2.2000000000000002</v>
      </c>
      <c r="N106" s="1">
        <v>0</v>
      </c>
      <c r="O106" s="93">
        <v>45.7</v>
      </c>
      <c r="Q106" s="93">
        <v>300</v>
      </c>
    </row>
    <row r="107" spans="1:19" x14ac:dyDescent="0.25">
      <c r="A107" s="1">
        <v>1168.0999999999999</v>
      </c>
      <c r="B107" s="1" t="s">
        <v>224</v>
      </c>
      <c r="C107" s="1" t="s">
        <v>390</v>
      </c>
      <c r="D107" s="93" t="s">
        <v>450</v>
      </c>
      <c r="E107" s="1" t="s">
        <v>451</v>
      </c>
      <c r="G107" s="1">
        <v>0</v>
      </c>
      <c r="I107" s="1">
        <v>6.3</v>
      </c>
      <c r="J107" s="1">
        <v>2.2999999999999998</v>
      </c>
      <c r="K107" s="1">
        <v>22.4</v>
      </c>
      <c r="L107" s="1">
        <v>45.9</v>
      </c>
      <c r="M107" s="1">
        <v>8.5</v>
      </c>
      <c r="N107" s="1">
        <v>0</v>
      </c>
      <c r="O107" s="1">
        <v>14.600000000000001</v>
      </c>
      <c r="Q107" s="1">
        <v>578</v>
      </c>
      <c r="S107" s="13">
        <v>-14.600000000000001</v>
      </c>
    </row>
    <row r="108" spans="1:19" x14ac:dyDescent="0.25">
      <c r="A108" s="1">
        <v>1168.0999999999999</v>
      </c>
      <c r="B108" s="1" t="s">
        <v>224</v>
      </c>
      <c r="C108" s="41" t="s">
        <v>390</v>
      </c>
      <c r="D108" s="93" t="s">
        <v>450</v>
      </c>
      <c r="E108" s="1" t="s">
        <v>451</v>
      </c>
      <c r="G108" s="1">
        <v>0</v>
      </c>
      <c r="I108" s="93">
        <v>6.3</v>
      </c>
      <c r="J108" s="93">
        <v>2.2999999999999998</v>
      </c>
      <c r="K108" s="93">
        <v>22.4</v>
      </c>
      <c r="L108" s="93">
        <v>45.9</v>
      </c>
      <c r="M108" s="93">
        <v>8.5</v>
      </c>
      <c r="N108" s="1">
        <v>0</v>
      </c>
      <c r="O108" s="93">
        <v>14.600000000000001</v>
      </c>
      <c r="Q108" s="93" t="s">
        <v>614</v>
      </c>
    </row>
    <row r="109" spans="1:19" x14ac:dyDescent="0.25">
      <c r="A109" s="1">
        <v>1168.1099999999999</v>
      </c>
      <c r="B109" s="1" t="s">
        <v>615</v>
      </c>
      <c r="C109" s="41" t="s">
        <v>573</v>
      </c>
      <c r="D109" s="93" t="s">
        <v>390</v>
      </c>
      <c r="E109" s="1" t="s">
        <v>616</v>
      </c>
      <c r="G109" s="1">
        <v>0.28000000000000003</v>
      </c>
      <c r="I109" s="93">
        <v>17.7</v>
      </c>
      <c r="J109" s="93">
        <v>4.3</v>
      </c>
      <c r="K109" s="93">
        <v>2.4</v>
      </c>
      <c r="L109" s="93">
        <v>0.6</v>
      </c>
      <c r="M109" s="93">
        <v>6.8</v>
      </c>
      <c r="N109" s="1">
        <v>0</v>
      </c>
      <c r="O109" s="93">
        <v>60.2</v>
      </c>
      <c r="Q109" s="93">
        <v>302</v>
      </c>
    </row>
    <row r="110" spans="1:19" x14ac:dyDescent="0.25">
      <c r="A110" s="1">
        <v>1168.1400000000001</v>
      </c>
      <c r="B110" s="1" t="s">
        <v>534</v>
      </c>
      <c r="C110" s="1" t="s">
        <v>7</v>
      </c>
      <c r="D110" s="93" t="s">
        <v>463</v>
      </c>
      <c r="E110" s="1" t="s">
        <v>464</v>
      </c>
      <c r="G110" s="1">
        <v>0</v>
      </c>
      <c r="I110" s="1">
        <v>66.930000000000007</v>
      </c>
      <c r="J110" s="1">
        <v>1.44</v>
      </c>
      <c r="K110" s="1">
        <v>9.1300000000000008</v>
      </c>
      <c r="L110" s="1">
        <v>0.09</v>
      </c>
      <c r="M110" s="1">
        <v>9.3000000000000007</v>
      </c>
      <c r="N110" s="1">
        <v>0</v>
      </c>
      <c r="O110" s="1">
        <v>13.109999999999992</v>
      </c>
      <c r="Q110" s="1">
        <v>124</v>
      </c>
      <c r="S110" s="13">
        <v>-5.2</v>
      </c>
    </row>
    <row r="111" spans="1:19" x14ac:dyDescent="0.25">
      <c r="A111" s="1">
        <v>1168.1400000000001</v>
      </c>
      <c r="B111" s="1" t="s">
        <v>225</v>
      </c>
      <c r="C111" s="41" t="s">
        <v>617</v>
      </c>
      <c r="D111" s="93" t="s">
        <v>390</v>
      </c>
      <c r="E111" s="1" t="s">
        <v>618</v>
      </c>
      <c r="G111" s="1">
        <v>0.43</v>
      </c>
      <c r="I111" s="93">
        <v>71.400000000000006</v>
      </c>
      <c r="J111" s="93">
        <v>1</v>
      </c>
      <c r="K111" s="93">
        <v>1.6</v>
      </c>
      <c r="L111" s="93">
        <v>0.5</v>
      </c>
      <c r="M111" s="93">
        <v>0.5</v>
      </c>
      <c r="N111" s="1">
        <v>0</v>
      </c>
      <c r="O111" s="93">
        <v>25.5</v>
      </c>
      <c r="Q111" s="93">
        <v>110</v>
      </c>
    </row>
    <row r="112" spans="1:19" x14ac:dyDescent="0.25">
      <c r="A112" s="1">
        <v>1168.1500000000001</v>
      </c>
      <c r="B112" s="1" t="s">
        <v>619</v>
      </c>
      <c r="C112" s="1" t="s">
        <v>7</v>
      </c>
      <c r="D112" s="93" t="s">
        <v>463</v>
      </c>
      <c r="E112" s="1" t="s">
        <v>464</v>
      </c>
      <c r="G112" s="1">
        <v>0</v>
      </c>
      <c r="I112" s="1">
        <v>66.930000000000007</v>
      </c>
      <c r="J112" s="1">
        <v>1.44</v>
      </c>
      <c r="K112" s="1">
        <v>9.1300000000000008</v>
      </c>
      <c r="L112" s="1">
        <v>0.09</v>
      </c>
      <c r="M112" s="1">
        <v>9.3000000000000007</v>
      </c>
      <c r="N112" s="1">
        <v>0</v>
      </c>
      <c r="O112" s="1">
        <v>13.109999999999992</v>
      </c>
      <c r="Q112" s="1">
        <v>124</v>
      </c>
    </row>
    <row r="113" spans="1:19" x14ac:dyDescent="0.25">
      <c r="A113" s="1">
        <v>1168.1600000000001</v>
      </c>
      <c r="B113" s="1" t="s">
        <v>620</v>
      </c>
      <c r="C113" s="41">
        <v>12104</v>
      </c>
      <c r="D113" s="93" t="s">
        <v>7</v>
      </c>
      <c r="E113" s="1" t="s">
        <v>621</v>
      </c>
      <c r="G113" s="1">
        <v>0</v>
      </c>
      <c r="I113" s="93">
        <v>46.99</v>
      </c>
      <c r="J113" s="93">
        <v>0.97</v>
      </c>
      <c r="K113" s="93">
        <v>3.33</v>
      </c>
      <c r="L113" s="93">
        <v>33.49</v>
      </c>
      <c r="M113" s="93">
        <v>9</v>
      </c>
      <c r="N113" s="1">
        <v>0</v>
      </c>
      <c r="O113" s="93">
        <v>15.23</v>
      </c>
      <c r="Q113" s="93">
        <v>354</v>
      </c>
    </row>
    <row r="114" spans="1:19" x14ac:dyDescent="0.25">
      <c r="A114" s="1">
        <v>1168.17</v>
      </c>
      <c r="B114" s="1" t="s">
        <v>622</v>
      </c>
      <c r="C114" s="41">
        <v>12135</v>
      </c>
      <c r="D114" s="93" t="s">
        <v>7</v>
      </c>
      <c r="E114" s="1" t="s">
        <v>623</v>
      </c>
      <c r="G114" s="1">
        <v>0</v>
      </c>
      <c r="I114" s="93">
        <v>1.75</v>
      </c>
      <c r="J114" s="93">
        <v>4.1500000000000004</v>
      </c>
      <c r="K114" s="93">
        <v>17.3</v>
      </c>
      <c r="L114" s="93">
        <v>51.45</v>
      </c>
      <c r="M114" s="93">
        <v>9</v>
      </c>
      <c r="N114" s="1">
        <v>0</v>
      </c>
      <c r="O114" s="93">
        <v>25.35</v>
      </c>
      <c r="Q114" s="93">
        <v>594</v>
      </c>
    </row>
    <row r="115" spans="1:19" x14ac:dyDescent="0.25">
      <c r="A115" s="1">
        <v>1168.19</v>
      </c>
      <c r="B115" s="1" t="s">
        <v>624</v>
      </c>
      <c r="C115" s="41">
        <v>9094</v>
      </c>
      <c r="D115" s="93" t="s">
        <v>7</v>
      </c>
      <c r="E115" s="1" t="s">
        <v>625</v>
      </c>
      <c r="G115" s="1">
        <v>0</v>
      </c>
      <c r="I115" s="93">
        <v>30.05</v>
      </c>
      <c r="J115" s="93">
        <v>1.86</v>
      </c>
      <c r="K115" s="93">
        <v>3.3</v>
      </c>
      <c r="L115" s="93">
        <v>0.93</v>
      </c>
      <c r="M115" s="93">
        <v>9.8000000000000007</v>
      </c>
      <c r="N115" s="1">
        <v>0</v>
      </c>
      <c r="O115" s="93">
        <v>63.87</v>
      </c>
      <c r="Q115" s="93">
        <v>249</v>
      </c>
    </row>
    <row r="116" spans="1:19" x14ac:dyDescent="0.25">
      <c r="A116" s="1">
        <v>1168.2</v>
      </c>
      <c r="B116" s="1" t="s">
        <v>626</v>
      </c>
      <c r="C116" s="41">
        <v>9259</v>
      </c>
      <c r="D116" s="93" t="s">
        <v>7</v>
      </c>
      <c r="E116" s="1" t="s">
        <v>627</v>
      </c>
      <c r="G116" s="1">
        <v>0</v>
      </c>
      <c r="I116" s="93">
        <v>26.69</v>
      </c>
      <c r="J116" s="93">
        <v>1.1100000000000001</v>
      </c>
      <c r="K116" s="93">
        <v>1.87</v>
      </c>
      <c r="L116" s="93">
        <v>0.63</v>
      </c>
      <c r="M116" s="93">
        <v>7.5</v>
      </c>
      <c r="N116" s="1">
        <v>0</v>
      </c>
      <c r="O116" s="93">
        <v>69.7</v>
      </c>
      <c r="Q116" s="93">
        <v>262</v>
      </c>
    </row>
    <row r="117" spans="1:19" x14ac:dyDescent="0.25">
      <c r="A117" s="1">
        <v>1168.22</v>
      </c>
      <c r="B117" s="1" t="s">
        <v>628</v>
      </c>
      <c r="C117" s="41" t="s">
        <v>629</v>
      </c>
      <c r="D117" s="93" t="s">
        <v>390</v>
      </c>
      <c r="E117" s="1" t="s">
        <v>630</v>
      </c>
      <c r="G117" s="1">
        <v>0</v>
      </c>
      <c r="I117" s="93">
        <v>10.7</v>
      </c>
      <c r="J117" s="93">
        <v>1.6</v>
      </c>
      <c r="K117" s="93">
        <v>2.2999999999999998</v>
      </c>
      <c r="L117" s="93">
        <v>0.3</v>
      </c>
      <c r="M117" s="93">
        <v>6.9</v>
      </c>
      <c r="N117" s="1">
        <v>0</v>
      </c>
      <c r="O117" s="93">
        <v>70.099999999999994</v>
      </c>
      <c r="Q117" s="93">
        <v>307</v>
      </c>
    </row>
    <row r="118" spans="1:19" x14ac:dyDescent="0.25">
      <c r="A118" s="1">
        <v>1168.99</v>
      </c>
      <c r="B118" s="1" t="s">
        <v>631</v>
      </c>
      <c r="C118" s="41">
        <v>9188</v>
      </c>
      <c r="D118" s="93" t="s">
        <v>7</v>
      </c>
      <c r="E118" s="1" t="s">
        <v>632</v>
      </c>
      <c r="G118" s="1">
        <v>0</v>
      </c>
      <c r="I118" s="93">
        <v>31.18</v>
      </c>
      <c r="J118" s="93">
        <v>1.82</v>
      </c>
      <c r="K118" s="93">
        <v>2.46</v>
      </c>
      <c r="L118" s="93">
        <v>0.49</v>
      </c>
      <c r="M118" s="93">
        <v>7.8</v>
      </c>
      <c r="N118" s="1">
        <v>0</v>
      </c>
      <c r="O118" s="93">
        <v>64.06</v>
      </c>
      <c r="Q118" s="93">
        <v>243</v>
      </c>
    </row>
    <row r="119" spans="1:19" x14ac:dyDescent="0.25">
      <c r="A119" s="1">
        <v>1169.01</v>
      </c>
      <c r="B119" s="1" t="s">
        <v>633</v>
      </c>
      <c r="C119" s="41">
        <v>9187</v>
      </c>
      <c r="D119" s="93" t="s">
        <v>7</v>
      </c>
      <c r="E119" s="1" t="s">
        <v>634</v>
      </c>
      <c r="G119" s="1">
        <v>0</v>
      </c>
      <c r="I119" s="93">
        <v>80.56</v>
      </c>
      <c r="J119" s="93">
        <v>0.21</v>
      </c>
      <c r="K119" s="93">
        <v>0.37</v>
      </c>
      <c r="L119" s="93">
        <v>0.1</v>
      </c>
      <c r="M119" s="93">
        <v>1</v>
      </c>
      <c r="N119" s="1">
        <v>0</v>
      </c>
      <c r="O119" s="93">
        <v>18.760000000000002</v>
      </c>
      <c r="Q119" s="93">
        <v>72</v>
      </c>
    </row>
    <row r="120" spans="1:19" x14ac:dyDescent="0.25">
      <c r="A120" s="1">
        <v>1169.02</v>
      </c>
      <c r="B120" s="1" t="s">
        <v>635</v>
      </c>
      <c r="C120" s="41">
        <v>9189</v>
      </c>
      <c r="D120" s="93" t="s">
        <v>7</v>
      </c>
      <c r="E120" s="1" t="s">
        <v>636</v>
      </c>
      <c r="G120" s="1">
        <v>0</v>
      </c>
      <c r="I120" s="93">
        <v>73.73</v>
      </c>
      <c r="J120" s="93">
        <v>3.43</v>
      </c>
      <c r="K120" s="93">
        <v>1.42</v>
      </c>
      <c r="L120" s="93">
        <v>0.18</v>
      </c>
      <c r="M120" s="93">
        <v>1.9</v>
      </c>
      <c r="N120" s="1">
        <v>0</v>
      </c>
      <c r="O120" s="93">
        <v>24.23</v>
      </c>
      <c r="Q120" s="93">
        <v>98</v>
      </c>
    </row>
    <row r="121" spans="1:19" x14ac:dyDescent="0.25">
      <c r="A121" s="1">
        <v>1169.08</v>
      </c>
      <c r="B121" s="1" t="s">
        <v>637</v>
      </c>
      <c r="C121" s="41">
        <v>9187</v>
      </c>
      <c r="D121" s="93" t="s">
        <v>7</v>
      </c>
      <c r="E121" s="1" t="s">
        <v>634</v>
      </c>
      <c r="G121" s="1">
        <v>0</v>
      </c>
      <c r="I121" s="93">
        <v>80.56</v>
      </c>
      <c r="J121" s="93">
        <v>0.21</v>
      </c>
      <c r="K121" s="93">
        <v>0.37</v>
      </c>
      <c r="L121" s="93">
        <v>0.1</v>
      </c>
      <c r="M121" s="93">
        <v>1</v>
      </c>
      <c r="N121" s="1">
        <v>0</v>
      </c>
      <c r="O121" s="93">
        <v>18.760000000000002</v>
      </c>
      <c r="Q121" s="93">
        <v>72</v>
      </c>
    </row>
    <row r="122" spans="1:19" x14ac:dyDescent="0.25">
      <c r="A122" s="1">
        <v>1169.99</v>
      </c>
      <c r="B122" s="1" t="s">
        <v>226</v>
      </c>
      <c r="C122" s="1" t="s">
        <v>7</v>
      </c>
      <c r="D122" s="93" t="s">
        <v>463</v>
      </c>
      <c r="E122" s="1" t="s">
        <v>464</v>
      </c>
      <c r="G122" s="1">
        <v>0</v>
      </c>
      <c r="I122" s="1">
        <v>66.930000000000007</v>
      </c>
      <c r="J122" s="1">
        <v>1.44</v>
      </c>
      <c r="K122" s="1">
        <v>9.1300000000000008</v>
      </c>
      <c r="L122" s="1">
        <v>0.09</v>
      </c>
      <c r="M122" s="1">
        <v>9.3000000000000007</v>
      </c>
      <c r="N122" s="1">
        <v>0</v>
      </c>
      <c r="O122" s="1">
        <v>13.109999999999992</v>
      </c>
      <c r="Q122" s="1">
        <v>124</v>
      </c>
      <c r="S122" s="13">
        <v>9.3000000000000078</v>
      </c>
    </row>
    <row r="123" spans="1:19" x14ac:dyDescent="0.25">
      <c r="A123" s="1">
        <v>1169.99</v>
      </c>
      <c r="B123" s="1" t="s">
        <v>226</v>
      </c>
      <c r="C123" s="41" t="s">
        <v>7</v>
      </c>
      <c r="D123" s="93">
        <v>12635</v>
      </c>
      <c r="E123" s="1" t="s">
        <v>638</v>
      </c>
      <c r="G123" s="1">
        <v>0</v>
      </c>
      <c r="I123" s="93">
        <v>1.75</v>
      </c>
      <c r="J123" s="93">
        <v>4.1500000000000004</v>
      </c>
      <c r="K123" s="93">
        <v>17.3</v>
      </c>
      <c r="L123" s="93">
        <v>51.45</v>
      </c>
      <c r="M123" s="93">
        <v>9</v>
      </c>
      <c r="N123" s="1">
        <v>0</v>
      </c>
      <c r="O123" s="93">
        <v>25.35</v>
      </c>
      <c r="Q123" s="93">
        <v>594</v>
      </c>
    </row>
    <row r="124" spans="1:19" x14ac:dyDescent="0.25">
      <c r="A124" s="1">
        <v>1171.01</v>
      </c>
      <c r="B124" s="1" t="s">
        <v>227</v>
      </c>
      <c r="C124" s="41" t="s">
        <v>390</v>
      </c>
      <c r="D124" s="93" t="s">
        <v>639</v>
      </c>
      <c r="E124" s="1" t="s">
        <v>640</v>
      </c>
      <c r="G124" s="1">
        <v>0.3</v>
      </c>
      <c r="I124" s="93">
        <v>94.5</v>
      </c>
      <c r="J124" s="93">
        <v>0.8</v>
      </c>
      <c r="K124" s="93">
        <v>1</v>
      </c>
      <c r="L124" s="93">
        <v>0.2</v>
      </c>
      <c r="M124" s="93">
        <v>1.2</v>
      </c>
      <c r="N124" s="1">
        <v>0</v>
      </c>
      <c r="O124" s="93">
        <v>2.2999999999999998</v>
      </c>
      <c r="Q124" s="93" t="s">
        <v>641</v>
      </c>
    </row>
    <row r="125" spans="1:19" x14ac:dyDescent="0.25">
      <c r="A125" s="1">
        <v>1171.02</v>
      </c>
      <c r="B125" s="1" t="s">
        <v>228</v>
      </c>
      <c r="C125" s="41" t="s">
        <v>390</v>
      </c>
      <c r="D125" s="93" t="s">
        <v>426</v>
      </c>
      <c r="E125" s="1" t="s">
        <v>427</v>
      </c>
      <c r="G125" s="1">
        <v>0.28000000000000003</v>
      </c>
      <c r="I125" s="93">
        <v>90.9</v>
      </c>
      <c r="J125" s="93">
        <v>1.8</v>
      </c>
      <c r="K125" s="93">
        <v>2.8</v>
      </c>
      <c r="L125" s="93">
        <v>0.6</v>
      </c>
      <c r="M125" s="93">
        <v>2.2000000000000002</v>
      </c>
      <c r="N125" s="1">
        <v>0</v>
      </c>
      <c r="O125" s="93">
        <v>1.6999999999999944</v>
      </c>
      <c r="Q125" s="93" t="s">
        <v>642</v>
      </c>
    </row>
    <row r="126" spans="1:19" x14ac:dyDescent="0.25">
      <c r="A126" s="1">
        <v>1171.03</v>
      </c>
      <c r="B126" s="1" t="s">
        <v>643</v>
      </c>
      <c r="C126" s="41">
        <v>11143</v>
      </c>
      <c r="D126" s="93" t="s">
        <v>7</v>
      </c>
      <c r="E126" s="1" t="s">
        <v>644</v>
      </c>
      <c r="G126" s="1">
        <v>0</v>
      </c>
      <c r="I126" s="93">
        <v>95.43</v>
      </c>
      <c r="J126" s="93">
        <v>0.75</v>
      </c>
      <c r="K126" s="93">
        <v>0.69</v>
      </c>
      <c r="L126" s="93">
        <v>0.17</v>
      </c>
      <c r="M126" s="93">
        <v>1.6</v>
      </c>
      <c r="N126" s="1">
        <v>0</v>
      </c>
      <c r="O126" s="93">
        <v>2.97</v>
      </c>
      <c r="Q126" s="93">
        <v>16</v>
      </c>
    </row>
    <row r="127" spans="1:19" x14ac:dyDescent="0.25">
      <c r="A127" s="1">
        <v>1171.99</v>
      </c>
      <c r="B127" s="1" t="s">
        <v>645</v>
      </c>
      <c r="C127" s="41">
        <v>11291</v>
      </c>
      <c r="D127" s="93" t="s">
        <v>7</v>
      </c>
      <c r="E127" s="1" t="s">
        <v>646</v>
      </c>
      <c r="G127" s="1">
        <v>0</v>
      </c>
      <c r="I127" s="93">
        <v>89.83</v>
      </c>
      <c r="J127" s="93">
        <v>0.81</v>
      </c>
      <c r="K127" s="93">
        <v>1.83</v>
      </c>
      <c r="L127" s="93">
        <v>0.19</v>
      </c>
      <c r="M127" s="93">
        <v>2.6</v>
      </c>
      <c r="N127" s="1">
        <v>0</v>
      </c>
      <c r="O127" s="93">
        <v>7.34</v>
      </c>
      <c r="Q127" s="93">
        <v>32</v>
      </c>
    </row>
    <row r="128" spans="1:19" x14ac:dyDescent="0.25">
      <c r="A128" s="1">
        <v>1172.01</v>
      </c>
      <c r="B128" s="1" t="s">
        <v>647</v>
      </c>
      <c r="C128" s="41">
        <v>11090</v>
      </c>
      <c r="D128" s="93" t="s">
        <v>7</v>
      </c>
      <c r="E128" s="1" t="s">
        <v>648</v>
      </c>
      <c r="G128" s="1">
        <v>0</v>
      </c>
      <c r="I128" s="93">
        <v>89.3</v>
      </c>
      <c r="J128" s="93">
        <v>0.87</v>
      </c>
      <c r="K128" s="93">
        <v>2.82</v>
      </c>
      <c r="L128" s="93">
        <v>0.37</v>
      </c>
      <c r="M128" s="93">
        <v>2.6</v>
      </c>
      <c r="N128" s="1">
        <v>0</v>
      </c>
      <c r="O128" s="93">
        <v>6.64</v>
      </c>
      <c r="Q128" s="93">
        <v>34</v>
      </c>
    </row>
    <row r="129" spans="1:17" x14ac:dyDescent="0.25">
      <c r="A129" s="1">
        <v>1172.02</v>
      </c>
      <c r="B129" s="1" t="s">
        <v>154</v>
      </c>
      <c r="C129" s="41" t="s">
        <v>390</v>
      </c>
      <c r="D129" s="93" t="s">
        <v>424</v>
      </c>
      <c r="E129" s="1" t="s">
        <v>425</v>
      </c>
      <c r="G129" s="1">
        <v>0.2</v>
      </c>
      <c r="I129" s="93">
        <v>91.2</v>
      </c>
      <c r="J129" s="93">
        <v>0.8</v>
      </c>
      <c r="K129" s="93">
        <v>1.6</v>
      </c>
      <c r="L129" s="93">
        <v>0.1</v>
      </c>
      <c r="M129" s="93">
        <v>2.6</v>
      </c>
      <c r="N129" s="1">
        <v>0</v>
      </c>
      <c r="O129" s="93">
        <v>3.6999999999999971</v>
      </c>
      <c r="Q129" s="93" t="s">
        <v>642</v>
      </c>
    </row>
    <row r="130" spans="1:17" x14ac:dyDescent="0.25">
      <c r="A130" s="1">
        <v>1172.03</v>
      </c>
      <c r="B130" s="1" t="s">
        <v>649</v>
      </c>
      <c r="C130" s="41">
        <v>1135</v>
      </c>
      <c r="D130" s="93" t="s">
        <v>7</v>
      </c>
      <c r="E130" s="1" t="s">
        <v>650</v>
      </c>
      <c r="G130" s="1">
        <v>0</v>
      </c>
      <c r="I130" s="93">
        <v>92.07</v>
      </c>
      <c r="J130" s="93">
        <v>0.76</v>
      </c>
      <c r="K130" s="93">
        <v>1.92</v>
      </c>
      <c r="L130" s="93">
        <v>0.28000000000000003</v>
      </c>
      <c r="M130" s="93">
        <v>2</v>
      </c>
      <c r="N130" s="1">
        <v>0</v>
      </c>
      <c r="O130" s="93">
        <v>4.97</v>
      </c>
      <c r="Q130" s="93">
        <v>25</v>
      </c>
    </row>
    <row r="131" spans="1:17" x14ac:dyDescent="0.25">
      <c r="A131" s="1">
        <v>1172.04</v>
      </c>
      <c r="B131" s="1" t="s">
        <v>651</v>
      </c>
      <c r="C131" s="41">
        <v>111098</v>
      </c>
      <c r="D131" s="93" t="s">
        <v>7</v>
      </c>
      <c r="E131" s="1" t="s">
        <v>652</v>
      </c>
      <c r="G131" s="1">
        <v>0</v>
      </c>
      <c r="I131" s="93">
        <v>86</v>
      </c>
      <c r="J131" s="93">
        <v>1.37</v>
      </c>
      <c r="K131" s="93">
        <v>3.38</v>
      </c>
      <c r="L131" s="93">
        <v>0.3</v>
      </c>
      <c r="M131" s="93">
        <v>3.8</v>
      </c>
      <c r="N131" s="1">
        <v>0</v>
      </c>
      <c r="O131" s="93">
        <v>8.9499999999999993</v>
      </c>
      <c r="Q131" s="93">
        <v>43</v>
      </c>
    </row>
    <row r="132" spans="1:17" x14ac:dyDescent="0.25">
      <c r="A132" s="1">
        <v>1173.01</v>
      </c>
      <c r="B132" s="1" t="s">
        <v>653</v>
      </c>
      <c r="C132" s="41">
        <v>11209</v>
      </c>
      <c r="D132" s="93" t="s">
        <v>7</v>
      </c>
      <c r="E132" s="1" t="s">
        <v>654</v>
      </c>
      <c r="G132" s="1">
        <v>0</v>
      </c>
      <c r="I132" s="93">
        <v>92.41</v>
      </c>
      <c r="J132" s="93">
        <v>0.7</v>
      </c>
      <c r="K132" s="93">
        <v>0.01</v>
      </c>
      <c r="L132" s="93">
        <v>0.19</v>
      </c>
      <c r="M132" s="93">
        <v>3.4</v>
      </c>
      <c r="N132" s="1">
        <v>0</v>
      </c>
      <c r="O132" s="93">
        <v>5.7</v>
      </c>
      <c r="Q132" s="93">
        <v>24</v>
      </c>
    </row>
    <row r="133" spans="1:17" x14ac:dyDescent="0.25">
      <c r="A133" s="1">
        <v>1173.02</v>
      </c>
      <c r="B133" s="1" t="s">
        <v>229</v>
      </c>
      <c r="C133" s="41" t="s">
        <v>390</v>
      </c>
      <c r="D133" s="93" t="s">
        <v>432</v>
      </c>
      <c r="E133" s="1" t="s">
        <v>433</v>
      </c>
      <c r="G133" s="1">
        <v>0.17</v>
      </c>
      <c r="I133" s="93">
        <v>87.9</v>
      </c>
      <c r="J133" s="93">
        <v>1.2</v>
      </c>
      <c r="K133" s="93">
        <v>3.1</v>
      </c>
      <c r="L133" s="93">
        <v>0.2</v>
      </c>
      <c r="M133" s="93">
        <v>2.5</v>
      </c>
      <c r="N133" s="1">
        <v>0</v>
      </c>
      <c r="O133" s="93">
        <v>5.0999999999999952</v>
      </c>
      <c r="Q133" s="93" t="s">
        <v>655</v>
      </c>
    </row>
    <row r="134" spans="1:17" x14ac:dyDescent="0.25">
      <c r="A134" s="1">
        <v>1173.03</v>
      </c>
      <c r="B134" s="1" t="s">
        <v>230</v>
      </c>
      <c r="C134" s="41" t="s">
        <v>390</v>
      </c>
      <c r="D134" s="93" t="s">
        <v>430</v>
      </c>
      <c r="E134" s="1" t="s">
        <v>431</v>
      </c>
      <c r="G134" s="1">
        <v>0.19</v>
      </c>
      <c r="I134" s="93">
        <v>95.5</v>
      </c>
      <c r="J134" s="93">
        <v>0.5</v>
      </c>
      <c r="K134" s="93">
        <v>0.7</v>
      </c>
      <c r="L134" s="93">
        <v>0.1</v>
      </c>
      <c r="M134" s="93">
        <v>0.7</v>
      </c>
      <c r="N134" s="1">
        <v>0</v>
      </c>
      <c r="O134" s="93">
        <v>2.5</v>
      </c>
      <c r="Q134" s="93" t="s">
        <v>656</v>
      </c>
    </row>
    <row r="135" spans="1:17" x14ac:dyDescent="0.25">
      <c r="A135" s="1">
        <v>1173.04</v>
      </c>
      <c r="B135" s="1" t="s">
        <v>231</v>
      </c>
      <c r="C135" s="41" t="s">
        <v>390</v>
      </c>
      <c r="D135" s="93" t="s">
        <v>428</v>
      </c>
      <c r="E135" s="1" t="s">
        <v>429</v>
      </c>
      <c r="G135" s="1">
        <v>0.17</v>
      </c>
      <c r="I135" s="93">
        <v>92.2</v>
      </c>
      <c r="J135" s="93">
        <v>0.5</v>
      </c>
      <c r="K135" s="93">
        <v>0.9</v>
      </c>
      <c r="L135" s="93">
        <v>0.2</v>
      </c>
      <c r="M135" s="93">
        <v>2</v>
      </c>
      <c r="N135" s="1">
        <v>0</v>
      </c>
      <c r="O135" s="93">
        <v>4.1999999999999966</v>
      </c>
      <c r="Q135" s="93" t="s">
        <v>657</v>
      </c>
    </row>
    <row r="136" spans="1:17" x14ac:dyDescent="0.25">
      <c r="A136" s="1">
        <v>1173.05</v>
      </c>
      <c r="B136" s="1" t="s">
        <v>658</v>
      </c>
      <c r="C136" s="41" t="s">
        <v>390</v>
      </c>
      <c r="D136" s="93" t="s">
        <v>434</v>
      </c>
      <c r="E136" s="1" t="s">
        <v>435</v>
      </c>
      <c r="G136" s="1">
        <v>0.73</v>
      </c>
      <c r="I136" s="93">
        <v>87.3</v>
      </c>
      <c r="J136" s="93">
        <v>0.7</v>
      </c>
      <c r="K136" s="93">
        <v>1.9</v>
      </c>
      <c r="L136" s="93">
        <v>0.3</v>
      </c>
      <c r="M136" s="93">
        <v>2.2000000000000002</v>
      </c>
      <c r="N136" s="1">
        <v>0</v>
      </c>
      <c r="O136" s="93">
        <v>7.6000000000000023</v>
      </c>
      <c r="Q136" s="93" t="s">
        <v>659</v>
      </c>
    </row>
    <row r="137" spans="1:17" x14ac:dyDescent="0.25">
      <c r="A137" s="1">
        <v>1173.06</v>
      </c>
      <c r="B137" s="1" t="s">
        <v>232</v>
      </c>
      <c r="C137" s="41" t="s">
        <v>7</v>
      </c>
      <c r="D137" s="93">
        <v>11900</v>
      </c>
      <c r="E137" s="1" t="s">
        <v>660</v>
      </c>
      <c r="G137" s="1">
        <v>0</v>
      </c>
      <c r="I137" s="93">
        <v>75.959999999999994</v>
      </c>
      <c r="J137" s="93">
        <v>0.62</v>
      </c>
      <c r="K137" s="93">
        <v>3.22</v>
      </c>
      <c r="L137" s="93">
        <v>1.18</v>
      </c>
      <c r="M137" s="93">
        <v>2.7</v>
      </c>
      <c r="N137" s="1">
        <v>0</v>
      </c>
      <c r="O137" s="93">
        <v>16.320000000000007</v>
      </c>
      <c r="Q137" s="93">
        <v>86</v>
      </c>
    </row>
    <row r="138" spans="1:17" x14ac:dyDescent="0.25">
      <c r="A138" s="1">
        <v>1173.07</v>
      </c>
      <c r="B138" s="1" t="s">
        <v>233</v>
      </c>
      <c r="C138" s="41" t="s">
        <v>7</v>
      </c>
      <c r="D138" s="93">
        <v>11304</v>
      </c>
      <c r="E138" s="1" t="s">
        <v>661</v>
      </c>
      <c r="G138" s="1">
        <v>0</v>
      </c>
      <c r="I138" s="93">
        <v>78.86</v>
      </c>
      <c r="J138" s="93">
        <v>0.87</v>
      </c>
      <c r="K138" s="93">
        <v>5.42</v>
      </c>
      <c r="L138" s="93">
        <v>0.4</v>
      </c>
      <c r="M138" s="93">
        <v>5.0999999999999996</v>
      </c>
      <c r="N138" s="1">
        <v>0</v>
      </c>
      <c r="O138" s="93">
        <v>9.35</v>
      </c>
      <c r="Q138" s="93">
        <v>81</v>
      </c>
    </row>
    <row r="139" spans="1:17" x14ac:dyDescent="0.25">
      <c r="A139" s="1">
        <v>1173.08</v>
      </c>
      <c r="B139" s="1" t="s">
        <v>234</v>
      </c>
      <c r="C139" s="41" t="s">
        <v>390</v>
      </c>
      <c r="D139" s="93" t="s">
        <v>436</v>
      </c>
      <c r="E139" s="1" t="s">
        <v>437</v>
      </c>
      <c r="G139" s="1">
        <v>0.7</v>
      </c>
      <c r="I139" s="93">
        <v>91.9</v>
      </c>
      <c r="J139" s="93">
        <v>0.7</v>
      </c>
      <c r="K139" s="93">
        <v>1</v>
      </c>
      <c r="L139" s="93">
        <v>0.1</v>
      </c>
      <c r="M139" s="93">
        <v>0.8</v>
      </c>
      <c r="N139" s="1">
        <v>0</v>
      </c>
      <c r="O139" s="93">
        <v>5.4999999999999947</v>
      </c>
      <c r="Q139" s="93" t="s">
        <v>662</v>
      </c>
    </row>
    <row r="140" spans="1:17" x14ac:dyDescent="0.25">
      <c r="A140" s="1">
        <v>1173.0899999999999</v>
      </c>
      <c r="B140" s="1" t="s">
        <v>235</v>
      </c>
      <c r="C140" s="41" t="s">
        <v>390</v>
      </c>
      <c r="D140" s="93" t="s">
        <v>438</v>
      </c>
      <c r="E140" s="1" t="s">
        <v>439</v>
      </c>
      <c r="G140" s="1">
        <v>0.09</v>
      </c>
      <c r="I140" s="93">
        <v>93.5</v>
      </c>
      <c r="J140" s="93">
        <v>0.6</v>
      </c>
      <c r="K140" s="93">
        <v>1</v>
      </c>
      <c r="L140" s="93">
        <v>0.2</v>
      </c>
      <c r="M140" s="93">
        <v>1.4</v>
      </c>
      <c r="N140" s="1">
        <v>0</v>
      </c>
      <c r="O140" s="93">
        <v>3.3000000000000003</v>
      </c>
      <c r="Q140" s="93" t="s">
        <v>663</v>
      </c>
    </row>
    <row r="141" spans="1:17" x14ac:dyDescent="0.25">
      <c r="A141" s="1">
        <v>1174.01</v>
      </c>
      <c r="B141" s="1" t="s">
        <v>664</v>
      </c>
      <c r="C141" s="41">
        <v>11011</v>
      </c>
      <c r="D141" s="93" t="s">
        <v>7</v>
      </c>
      <c r="E141" s="1" t="s">
        <v>665</v>
      </c>
      <c r="G141" s="1">
        <v>0</v>
      </c>
      <c r="I141" s="93">
        <v>93.22</v>
      </c>
      <c r="J141" s="93">
        <v>0.57999999999999996</v>
      </c>
      <c r="K141" s="93">
        <v>2.2000000000000002</v>
      </c>
      <c r="L141" s="93">
        <v>0.12</v>
      </c>
      <c r="M141" s="93">
        <v>2.1</v>
      </c>
      <c r="N141" s="1">
        <v>0</v>
      </c>
      <c r="O141" s="93">
        <v>3.88</v>
      </c>
      <c r="Q141" s="93">
        <v>20</v>
      </c>
    </row>
    <row r="142" spans="1:17" x14ac:dyDescent="0.25">
      <c r="A142" s="1">
        <v>1174.02</v>
      </c>
      <c r="B142" s="1" t="s">
        <v>236</v>
      </c>
      <c r="C142" s="41">
        <v>2005</v>
      </c>
      <c r="D142" s="93" t="s">
        <v>584</v>
      </c>
      <c r="E142" s="1" t="s">
        <v>666</v>
      </c>
      <c r="G142" s="1">
        <v>0.15</v>
      </c>
      <c r="I142" s="93">
        <v>86.1</v>
      </c>
      <c r="J142" s="93">
        <v>1.4</v>
      </c>
      <c r="K142" s="93">
        <v>2.17</v>
      </c>
      <c r="L142" s="93">
        <v>0.1</v>
      </c>
      <c r="M142" s="93">
        <v>3.31</v>
      </c>
      <c r="N142" s="1">
        <v>0</v>
      </c>
      <c r="O142" s="93">
        <v>6.9</v>
      </c>
      <c r="Q142" s="93">
        <v>44</v>
      </c>
    </row>
    <row r="143" spans="1:17" x14ac:dyDescent="0.25">
      <c r="A143" s="1">
        <v>1174.03</v>
      </c>
      <c r="B143" s="1" t="s">
        <v>237</v>
      </c>
      <c r="C143" s="41" t="s">
        <v>390</v>
      </c>
      <c r="D143" s="93" t="s">
        <v>440</v>
      </c>
      <c r="E143" s="1" t="s">
        <v>441</v>
      </c>
      <c r="G143" s="1">
        <v>0.11</v>
      </c>
      <c r="I143" s="93">
        <v>88.8</v>
      </c>
      <c r="J143" s="93">
        <v>1.1000000000000001</v>
      </c>
      <c r="K143" s="93">
        <v>1</v>
      </c>
      <c r="L143" s="93">
        <v>0.3</v>
      </c>
      <c r="M143" s="93">
        <v>3.1</v>
      </c>
      <c r="N143" s="1">
        <v>0</v>
      </c>
      <c r="O143" s="93">
        <v>5.7000000000000028</v>
      </c>
      <c r="Q143" s="93" t="s">
        <v>667</v>
      </c>
    </row>
    <row r="144" spans="1:17" x14ac:dyDescent="0.25">
      <c r="A144" s="1">
        <v>1174.05</v>
      </c>
      <c r="B144" s="1" t="s">
        <v>668</v>
      </c>
      <c r="C144" s="41">
        <v>4021</v>
      </c>
      <c r="D144" s="93" t="s">
        <v>584</v>
      </c>
      <c r="E144" s="1" t="s">
        <v>669</v>
      </c>
      <c r="G144" s="1">
        <v>0.45</v>
      </c>
      <c r="I144" s="93">
        <v>84.5</v>
      </c>
      <c r="J144" s="93">
        <v>0.8</v>
      </c>
      <c r="K144" s="93">
        <v>1.7</v>
      </c>
      <c r="L144" s="93">
        <v>0.4</v>
      </c>
      <c r="M144" s="93">
        <v>3.1</v>
      </c>
      <c r="N144" s="1">
        <v>0</v>
      </c>
      <c r="O144" s="93">
        <v>9.5</v>
      </c>
      <c r="Q144" s="93">
        <v>54</v>
      </c>
    </row>
    <row r="145" spans="1:17" x14ac:dyDescent="0.25">
      <c r="A145" s="1">
        <v>1174.06</v>
      </c>
      <c r="B145" s="1" t="s">
        <v>153</v>
      </c>
      <c r="C145" s="41" t="s">
        <v>390</v>
      </c>
      <c r="D145" s="93" t="s">
        <v>356</v>
      </c>
      <c r="E145" s="1" t="s">
        <v>148</v>
      </c>
      <c r="G145" s="1">
        <v>0.09</v>
      </c>
      <c r="I145" s="93">
        <v>89.5</v>
      </c>
      <c r="J145" s="93">
        <v>0.6</v>
      </c>
      <c r="K145" s="93">
        <v>1.1000000000000001</v>
      </c>
      <c r="L145" s="93">
        <v>0.1</v>
      </c>
      <c r="M145" s="93">
        <v>1.8</v>
      </c>
      <c r="N145" s="1">
        <v>0</v>
      </c>
      <c r="O145" s="93">
        <v>6.9000000000000012</v>
      </c>
      <c r="Q145" s="93" t="s">
        <v>670</v>
      </c>
    </row>
    <row r="146" spans="1:17" x14ac:dyDescent="0.25">
      <c r="A146" s="1">
        <v>1174.08</v>
      </c>
      <c r="B146" s="1" t="s">
        <v>671</v>
      </c>
      <c r="C146" s="41" t="s">
        <v>672</v>
      </c>
      <c r="D146" s="93" t="s">
        <v>390</v>
      </c>
      <c r="E146" s="1" t="s">
        <v>673</v>
      </c>
      <c r="G146" s="1">
        <v>0</v>
      </c>
      <c r="I146" s="93">
        <v>73.5</v>
      </c>
      <c r="J146" s="93">
        <v>2.8</v>
      </c>
      <c r="K146" s="93">
        <v>4.3</v>
      </c>
      <c r="L146" s="93">
        <v>0.5</v>
      </c>
      <c r="M146" s="93">
        <v>4.0999999999999996</v>
      </c>
      <c r="N146" s="1">
        <v>0</v>
      </c>
      <c r="O146" s="93">
        <v>14.8</v>
      </c>
      <c r="Q146" s="93" t="s">
        <v>674</v>
      </c>
    </row>
    <row r="147" spans="1:17" x14ac:dyDescent="0.25">
      <c r="A147" s="1">
        <v>1174.0899999999999</v>
      </c>
      <c r="B147" s="1" t="s">
        <v>238</v>
      </c>
      <c r="C147" s="41">
        <v>11238</v>
      </c>
      <c r="D147" s="93" t="s">
        <v>7</v>
      </c>
      <c r="E147" s="1" t="s">
        <v>675</v>
      </c>
      <c r="G147" s="1">
        <v>0</v>
      </c>
      <c r="I147" s="93">
        <v>89.74</v>
      </c>
      <c r="J147" s="93">
        <v>0.73</v>
      </c>
      <c r="K147" s="93">
        <v>2.2400000000000002</v>
      </c>
      <c r="L147" s="93">
        <v>0.49</v>
      </c>
      <c r="M147" s="93">
        <v>2.5</v>
      </c>
      <c r="N147" s="1">
        <v>0</v>
      </c>
      <c r="O147" s="93">
        <v>6.79</v>
      </c>
      <c r="Q147" s="93">
        <v>34</v>
      </c>
    </row>
    <row r="148" spans="1:17" x14ac:dyDescent="0.25">
      <c r="A148" s="1">
        <v>1175.01</v>
      </c>
      <c r="B148" s="1" t="s">
        <v>239</v>
      </c>
      <c r="C148" s="41" t="s">
        <v>390</v>
      </c>
      <c r="D148" s="93" t="s">
        <v>446</v>
      </c>
      <c r="E148" s="1" t="s">
        <v>447</v>
      </c>
      <c r="G148" s="1">
        <v>0</v>
      </c>
      <c r="I148" s="93">
        <v>8.9</v>
      </c>
      <c r="J148" s="93">
        <v>3.9</v>
      </c>
      <c r="K148" s="93">
        <v>22.1</v>
      </c>
      <c r="L148" s="93">
        <v>1.5</v>
      </c>
      <c r="M148" s="93">
        <v>10.3</v>
      </c>
      <c r="N148" s="1">
        <v>0</v>
      </c>
      <c r="O148" s="93">
        <v>53.3</v>
      </c>
      <c r="Q148" s="93" t="s">
        <v>676</v>
      </c>
    </row>
    <row r="149" spans="1:17" x14ac:dyDescent="0.25">
      <c r="A149" s="1">
        <v>1175.02</v>
      </c>
      <c r="B149" s="1" t="s">
        <v>677</v>
      </c>
      <c r="C149" s="41">
        <v>3010</v>
      </c>
      <c r="D149" s="93" t="s">
        <v>584</v>
      </c>
      <c r="E149" s="1" t="s">
        <v>678</v>
      </c>
      <c r="G149" s="1">
        <v>0</v>
      </c>
      <c r="I149" s="93">
        <v>9.9</v>
      </c>
      <c r="J149" s="93">
        <v>3.1</v>
      </c>
      <c r="K149" s="93">
        <v>22.3</v>
      </c>
      <c r="L149" s="93">
        <v>5.0999999999999996</v>
      </c>
      <c r="M149" s="93">
        <v>25.2</v>
      </c>
      <c r="N149" s="1">
        <v>0</v>
      </c>
      <c r="O149" s="93">
        <v>34.299999999999997</v>
      </c>
      <c r="Q149" s="93">
        <v>323</v>
      </c>
    </row>
    <row r="150" spans="1:17" x14ac:dyDescent="0.25">
      <c r="A150" s="1">
        <v>1175.03</v>
      </c>
      <c r="B150" s="1" t="s">
        <v>679</v>
      </c>
      <c r="C150" s="41" t="s">
        <v>680</v>
      </c>
      <c r="D150" s="93" t="s">
        <v>390</v>
      </c>
      <c r="E150" s="1" t="s">
        <v>679</v>
      </c>
      <c r="G150" s="1">
        <v>0.19</v>
      </c>
      <c r="I150" s="93">
        <v>91.3</v>
      </c>
      <c r="J150" s="93">
        <v>0.7</v>
      </c>
      <c r="K150" s="93">
        <v>0.9</v>
      </c>
      <c r="L150" s="93">
        <v>0.2</v>
      </c>
      <c r="M150" s="93">
        <v>2.5</v>
      </c>
      <c r="N150" s="1">
        <v>0</v>
      </c>
      <c r="O150" s="93">
        <v>4.4000000000000004</v>
      </c>
      <c r="Q150" s="93" t="s">
        <v>681</v>
      </c>
    </row>
    <row r="151" spans="1:17" x14ac:dyDescent="0.25">
      <c r="A151" s="1">
        <v>1175.0899999999999</v>
      </c>
      <c r="B151" s="1" t="s">
        <v>240</v>
      </c>
      <c r="C151" s="41" t="s">
        <v>390</v>
      </c>
      <c r="D151" s="93" t="s">
        <v>448</v>
      </c>
      <c r="E151" s="1" t="s">
        <v>449</v>
      </c>
      <c r="G151" s="1">
        <v>0</v>
      </c>
      <c r="I151" s="93">
        <v>10.3</v>
      </c>
      <c r="J151" s="93">
        <v>9.5</v>
      </c>
      <c r="K151" s="93">
        <v>24.4</v>
      </c>
      <c r="L151" s="93">
        <v>1.9</v>
      </c>
      <c r="M151" s="93">
        <v>24.1</v>
      </c>
      <c r="N151" s="1">
        <v>0</v>
      </c>
      <c r="O151" s="93">
        <v>29.800000000000004</v>
      </c>
      <c r="Q151" s="93" t="s">
        <v>682</v>
      </c>
    </row>
    <row r="152" spans="1:17" x14ac:dyDescent="0.25">
      <c r="A152" s="1">
        <v>1176.01</v>
      </c>
      <c r="B152" s="1" t="s">
        <v>241</v>
      </c>
      <c r="C152" s="41">
        <v>11941</v>
      </c>
      <c r="D152" s="93" t="s">
        <v>7</v>
      </c>
      <c r="E152" s="1" t="s">
        <v>683</v>
      </c>
      <c r="G152" s="1">
        <v>0</v>
      </c>
      <c r="I152" s="93">
        <v>94.08</v>
      </c>
      <c r="J152" s="93">
        <v>3.13</v>
      </c>
      <c r="K152" s="93">
        <v>0.33</v>
      </c>
      <c r="L152" s="93">
        <v>0.2</v>
      </c>
      <c r="M152" s="93">
        <v>1.2</v>
      </c>
      <c r="N152" s="1">
        <v>0</v>
      </c>
      <c r="O152" s="93">
        <v>2.2599999999999998</v>
      </c>
      <c r="Q152" s="93">
        <v>11</v>
      </c>
    </row>
    <row r="153" spans="1:17" x14ac:dyDescent="0.25">
      <c r="A153" s="1">
        <v>1177.01</v>
      </c>
      <c r="B153" s="1" t="s">
        <v>242</v>
      </c>
      <c r="C153" s="41" t="s">
        <v>390</v>
      </c>
      <c r="D153" s="93" t="s">
        <v>442</v>
      </c>
      <c r="E153" s="1" t="s">
        <v>443</v>
      </c>
      <c r="G153" s="1">
        <v>0.16</v>
      </c>
      <c r="I153" s="93">
        <v>77.8</v>
      </c>
      <c r="J153" s="93">
        <v>1.5</v>
      </c>
      <c r="K153" s="93">
        <v>1.9</v>
      </c>
      <c r="L153" s="93">
        <v>0.1</v>
      </c>
      <c r="M153" s="93">
        <v>1.8</v>
      </c>
      <c r="N153" s="1">
        <v>0</v>
      </c>
      <c r="O153" s="93">
        <v>16.900000000000002</v>
      </c>
      <c r="Q153" s="93" t="s">
        <v>684</v>
      </c>
    </row>
    <row r="154" spans="1:17" x14ac:dyDescent="0.25">
      <c r="A154" s="1">
        <v>1178.01</v>
      </c>
      <c r="B154" s="1" t="s">
        <v>243</v>
      </c>
      <c r="C154" s="41" t="s">
        <v>390</v>
      </c>
      <c r="D154" s="93" t="s">
        <v>444</v>
      </c>
      <c r="E154" s="1" t="s">
        <v>445</v>
      </c>
      <c r="G154" s="1">
        <v>0.16</v>
      </c>
      <c r="I154" s="93">
        <v>69.2</v>
      </c>
      <c r="J154" s="93">
        <v>0.9</v>
      </c>
      <c r="K154" s="93">
        <v>1.5</v>
      </c>
      <c r="L154" s="93">
        <v>0.2</v>
      </c>
      <c r="M154" s="93">
        <v>3</v>
      </c>
      <c r="N154" s="1">
        <v>0</v>
      </c>
      <c r="O154" s="93">
        <v>25.2</v>
      </c>
      <c r="Q154" s="93" t="s">
        <v>685</v>
      </c>
    </row>
    <row r="155" spans="1:17" x14ac:dyDescent="0.25">
      <c r="A155" s="1">
        <v>1178.02</v>
      </c>
      <c r="B155" s="1" t="s">
        <v>244</v>
      </c>
      <c r="C155" s="41">
        <v>15110</v>
      </c>
      <c r="D155" s="93" t="s">
        <v>584</v>
      </c>
      <c r="E155" s="1" t="s">
        <v>686</v>
      </c>
      <c r="G155" s="1">
        <v>0</v>
      </c>
      <c r="I155" s="93">
        <v>32.1</v>
      </c>
      <c r="J155" s="93">
        <v>1.9</v>
      </c>
      <c r="K155" s="93">
        <v>4.8</v>
      </c>
      <c r="L155" s="93">
        <v>13.6</v>
      </c>
      <c r="M155" s="93">
        <v>3.3</v>
      </c>
      <c r="N155" s="1">
        <v>0</v>
      </c>
      <c r="O155" s="93">
        <v>44.4</v>
      </c>
      <c r="Q155" s="93">
        <v>326</v>
      </c>
    </row>
    <row r="156" spans="1:17" x14ac:dyDescent="0.25">
      <c r="A156" s="1">
        <v>1178.03</v>
      </c>
      <c r="B156" s="1" t="s">
        <v>687</v>
      </c>
      <c r="C156" s="41">
        <v>11134</v>
      </c>
      <c r="D156" s="93" t="s">
        <v>7</v>
      </c>
      <c r="E156" s="1" t="s">
        <v>688</v>
      </c>
      <c r="G156" s="1">
        <v>0</v>
      </c>
      <c r="I156" s="93">
        <v>59.68</v>
      </c>
      <c r="J156" s="93">
        <v>0.6</v>
      </c>
      <c r="K156" s="93">
        <v>1.36</v>
      </c>
      <c r="L156" s="93">
        <v>0.28000000000000003</v>
      </c>
      <c r="M156" s="93">
        <v>1.8</v>
      </c>
      <c r="N156" s="1">
        <v>0</v>
      </c>
      <c r="O156" s="93">
        <v>38.06</v>
      </c>
      <c r="Q156" s="93">
        <v>160</v>
      </c>
    </row>
    <row r="157" spans="1:17" x14ac:dyDescent="0.25">
      <c r="A157" s="1">
        <v>1178.05</v>
      </c>
      <c r="B157" s="1" t="s">
        <v>245</v>
      </c>
      <c r="C157" s="41">
        <v>11584</v>
      </c>
      <c r="D157" s="93" t="s">
        <v>7</v>
      </c>
      <c r="E157" s="1" t="s">
        <v>689</v>
      </c>
      <c r="G157" s="1">
        <v>0</v>
      </c>
      <c r="I157" s="93">
        <v>83.23</v>
      </c>
      <c r="J157" s="93">
        <v>0.67</v>
      </c>
      <c r="K157" s="93">
        <v>2.86</v>
      </c>
      <c r="L157" s="93">
        <v>0.15</v>
      </c>
      <c r="M157" s="93">
        <v>4.4000000000000004</v>
      </c>
      <c r="N157" s="1">
        <v>0</v>
      </c>
      <c r="O157" s="93">
        <v>13.09</v>
      </c>
      <c r="Q157" s="93">
        <v>65</v>
      </c>
    </row>
    <row r="158" spans="1:17" x14ac:dyDescent="0.25">
      <c r="A158" s="1">
        <v>1179.08</v>
      </c>
      <c r="B158" s="1" t="s">
        <v>246</v>
      </c>
      <c r="C158" s="41">
        <v>43312</v>
      </c>
      <c r="D158" s="93" t="s">
        <v>7</v>
      </c>
      <c r="E158" s="1" t="s">
        <v>690</v>
      </c>
      <c r="G158" s="1">
        <v>0</v>
      </c>
      <c r="I158" s="93">
        <v>90.2</v>
      </c>
      <c r="J158" s="93">
        <v>0.89</v>
      </c>
      <c r="K158" s="93">
        <v>1.4</v>
      </c>
      <c r="L158" s="93">
        <v>0.2</v>
      </c>
      <c r="M158" s="93">
        <v>3.1</v>
      </c>
      <c r="N158" s="1">
        <v>0</v>
      </c>
      <c r="O158" s="93">
        <v>7.31</v>
      </c>
      <c r="Q158" s="93">
        <v>37</v>
      </c>
    </row>
    <row r="159" spans="1:17" x14ac:dyDescent="0.25">
      <c r="A159" s="1">
        <v>1179.99</v>
      </c>
      <c r="B159" s="1" t="s">
        <v>247</v>
      </c>
      <c r="C159" s="41" t="s">
        <v>390</v>
      </c>
      <c r="D159" s="93" t="s">
        <v>448</v>
      </c>
      <c r="E159" s="1" t="s">
        <v>449</v>
      </c>
      <c r="G159" s="1">
        <v>0</v>
      </c>
      <c r="I159" s="93">
        <v>10.3</v>
      </c>
      <c r="J159" s="93">
        <v>9.5</v>
      </c>
      <c r="K159" s="93">
        <v>24.4</v>
      </c>
      <c r="L159" s="93">
        <v>1.9</v>
      </c>
      <c r="M159" s="93">
        <v>24.1</v>
      </c>
      <c r="N159" s="1">
        <v>0</v>
      </c>
      <c r="O159" s="93">
        <v>29.800000000000004</v>
      </c>
      <c r="Q159" s="93" t="s">
        <v>682</v>
      </c>
    </row>
    <row r="160" spans="1:17" x14ac:dyDescent="0.25">
      <c r="A160" s="1">
        <v>1181.01</v>
      </c>
      <c r="B160" s="1" t="s">
        <v>122</v>
      </c>
      <c r="C160" s="41" t="s">
        <v>390</v>
      </c>
      <c r="D160" s="93" t="s">
        <v>374</v>
      </c>
      <c r="E160" s="1" t="s">
        <v>122</v>
      </c>
      <c r="G160" s="1">
        <v>0</v>
      </c>
      <c r="I160" s="93">
        <v>0</v>
      </c>
      <c r="J160" s="93">
        <v>0.01</v>
      </c>
      <c r="K160" s="93">
        <v>0</v>
      </c>
      <c r="L160" s="93">
        <v>0</v>
      </c>
      <c r="M160" s="93">
        <v>0</v>
      </c>
      <c r="N160" s="1">
        <v>0</v>
      </c>
      <c r="O160" s="93">
        <v>99.99</v>
      </c>
      <c r="Q160" s="93" t="s">
        <v>691</v>
      </c>
    </row>
    <row r="161" spans="1:17" x14ac:dyDescent="0.25">
      <c r="A161" s="1">
        <v>1181.02</v>
      </c>
      <c r="B161" s="1" t="s">
        <v>692</v>
      </c>
      <c r="C161" s="41">
        <v>11002</v>
      </c>
      <c r="D161" s="93" t="s">
        <v>584</v>
      </c>
      <c r="E161" s="1" t="s">
        <v>693</v>
      </c>
      <c r="G161" s="1">
        <v>0</v>
      </c>
      <c r="I161" s="93">
        <v>90.2</v>
      </c>
      <c r="J161" s="93">
        <v>0.4</v>
      </c>
      <c r="K161" s="93">
        <v>0.1</v>
      </c>
      <c r="L161" s="93">
        <v>0.2</v>
      </c>
      <c r="M161" s="93">
        <v>0.3</v>
      </c>
      <c r="N161" s="1">
        <v>0</v>
      </c>
      <c r="O161" s="93">
        <v>8.5</v>
      </c>
      <c r="Q161" s="93">
        <v>37</v>
      </c>
    </row>
    <row r="162" spans="1:17" x14ac:dyDescent="0.25">
      <c r="A162" s="1">
        <v>1181.03</v>
      </c>
      <c r="B162" s="1" t="s">
        <v>694</v>
      </c>
      <c r="C162" s="41">
        <v>19336</v>
      </c>
      <c r="D162" s="93" t="s">
        <v>7</v>
      </c>
      <c r="E162" s="1" t="s">
        <v>695</v>
      </c>
      <c r="G162" s="1">
        <v>0</v>
      </c>
      <c r="I162" s="93">
        <v>0.23</v>
      </c>
      <c r="J162" s="93">
        <v>0.01</v>
      </c>
      <c r="K162" s="93">
        <v>0</v>
      </c>
      <c r="L162" s="93">
        <v>0</v>
      </c>
      <c r="M162" s="93">
        <v>0</v>
      </c>
      <c r="N162" s="1">
        <v>0</v>
      </c>
      <c r="O162" s="93">
        <v>99.77</v>
      </c>
      <c r="Q162" s="93">
        <v>389</v>
      </c>
    </row>
    <row r="163" spans="1:17" x14ac:dyDescent="0.25">
      <c r="A163" s="1">
        <v>1181.0899999999999</v>
      </c>
      <c r="B163" s="1" t="s">
        <v>696</v>
      </c>
      <c r="C163" s="41">
        <v>11002</v>
      </c>
      <c r="D163" s="93" t="s">
        <v>584</v>
      </c>
      <c r="E163" s="1" t="s">
        <v>693</v>
      </c>
      <c r="G163" s="1">
        <v>0</v>
      </c>
      <c r="I163" s="93">
        <v>90.2</v>
      </c>
      <c r="J163" s="93">
        <v>0.4</v>
      </c>
      <c r="K163" s="93">
        <v>0.1</v>
      </c>
      <c r="L163" s="93">
        <v>0.2</v>
      </c>
      <c r="M163" s="93">
        <v>0.3</v>
      </c>
      <c r="N163" s="1">
        <v>0</v>
      </c>
      <c r="O163" s="93">
        <v>8.5</v>
      </c>
      <c r="Q163" s="93">
        <v>37</v>
      </c>
    </row>
    <row r="164" spans="1:17" x14ac:dyDescent="0.25">
      <c r="A164" s="1">
        <v>1182.01</v>
      </c>
      <c r="B164" s="1" t="s">
        <v>697</v>
      </c>
      <c r="C164" s="41" t="s">
        <v>698</v>
      </c>
      <c r="D164" s="93" t="s">
        <v>390</v>
      </c>
      <c r="E164" s="1" t="s">
        <v>697</v>
      </c>
      <c r="G164" s="1">
        <v>0</v>
      </c>
      <c r="I164" s="93">
        <v>2</v>
      </c>
      <c r="J164" s="93">
        <v>3.6</v>
      </c>
      <c r="K164" s="93">
        <v>9</v>
      </c>
      <c r="L164" s="93">
        <v>2.7</v>
      </c>
      <c r="M164" s="93">
        <v>2.5</v>
      </c>
      <c r="N164" s="1">
        <v>0</v>
      </c>
      <c r="O164" s="93">
        <v>80.2</v>
      </c>
      <c r="Q164" s="93" t="s">
        <v>699</v>
      </c>
    </row>
    <row r="165" spans="1:17" x14ac:dyDescent="0.25">
      <c r="A165" s="1">
        <v>1182.02</v>
      </c>
      <c r="B165" s="1" t="s">
        <v>248</v>
      </c>
      <c r="C165" s="1" t="s">
        <v>7</v>
      </c>
      <c r="D165" s="93" t="s">
        <v>537</v>
      </c>
      <c r="E165" s="1" t="s">
        <v>538</v>
      </c>
      <c r="G165" s="1">
        <v>0</v>
      </c>
      <c r="I165" s="1">
        <v>30.47</v>
      </c>
      <c r="J165" s="1">
        <v>0.23</v>
      </c>
      <c r="K165" s="1">
        <v>0.37</v>
      </c>
      <c r="L165" s="1">
        <v>7.0000000000000007E-2</v>
      </c>
      <c r="M165" s="1">
        <v>1.1000000000000001</v>
      </c>
      <c r="N165" s="1">
        <v>0</v>
      </c>
      <c r="O165" s="1"/>
      <c r="Q165" s="1"/>
    </row>
    <row r="166" spans="1:17" x14ac:dyDescent="0.25">
      <c r="A166" s="1">
        <v>1183.01</v>
      </c>
      <c r="B166" s="1" t="s">
        <v>249</v>
      </c>
      <c r="C166" s="1" t="s">
        <v>7</v>
      </c>
      <c r="D166" s="93">
        <v>19081</v>
      </c>
      <c r="E166" s="1" t="s">
        <v>467</v>
      </c>
      <c r="G166" s="1">
        <v>0</v>
      </c>
      <c r="I166" s="1">
        <v>0.5</v>
      </c>
      <c r="J166" s="1">
        <v>1</v>
      </c>
      <c r="K166" s="1">
        <v>3.9</v>
      </c>
      <c r="L166" s="1">
        <v>34.200000000000003</v>
      </c>
      <c r="M166" s="1">
        <v>5.5</v>
      </c>
      <c r="N166" s="1">
        <v>0</v>
      </c>
      <c r="O166" s="1"/>
      <c r="Q166" s="1"/>
    </row>
    <row r="167" spans="1:17" x14ac:dyDescent="0.25">
      <c r="A167" s="1">
        <v>1184.01</v>
      </c>
      <c r="B167" s="1" t="s">
        <v>250</v>
      </c>
      <c r="C167" s="1" t="s">
        <v>7</v>
      </c>
      <c r="D167" s="93" t="s">
        <v>465</v>
      </c>
      <c r="E167" s="1" t="s">
        <v>466</v>
      </c>
      <c r="G167" s="1">
        <v>0</v>
      </c>
      <c r="I167" s="1">
        <v>8.5</v>
      </c>
      <c r="J167" s="1">
        <v>1.8</v>
      </c>
      <c r="K167" s="1">
        <v>4.5999999999999996</v>
      </c>
      <c r="L167" s="1">
        <v>8.1</v>
      </c>
      <c r="M167" s="1">
        <v>0</v>
      </c>
      <c r="N167" s="1">
        <v>0</v>
      </c>
      <c r="O167" s="1">
        <v>77.000000000000014</v>
      </c>
      <c r="Q167" s="1">
        <v>382</v>
      </c>
    </row>
    <row r="168" spans="1:17" x14ac:dyDescent="0.25">
      <c r="A168" s="1">
        <v>1185.01</v>
      </c>
      <c r="B168" s="1" t="s">
        <v>251</v>
      </c>
      <c r="C168" s="1" t="s">
        <v>390</v>
      </c>
      <c r="D168" s="93" t="s">
        <v>333</v>
      </c>
      <c r="E168" s="1" t="s">
        <v>334</v>
      </c>
      <c r="G168" s="1">
        <v>0</v>
      </c>
      <c r="I168" s="1">
        <v>78.5</v>
      </c>
      <c r="J168" s="1">
        <v>0.6</v>
      </c>
      <c r="K168" s="1">
        <v>2.9</v>
      </c>
      <c r="L168" s="1">
        <v>13.5</v>
      </c>
      <c r="M168" s="1">
        <v>0</v>
      </c>
      <c r="N168" s="1">
        <v>0</v>
      </c>
      <c r="O168" s="1">
        <v>4.5</v>
      </c>
      <c r="Q168" s="1">
        <v>151</v>
      </c>
    </row>
    <row r="169" spans="1:17" x14ac:dyDescent="0.25">
      <c r="A169" s="1">
        <v>1186.99</v>
      </c>
      <c r="B169" s="1" t="s">
        <v>252</v>
      </c>
      <c r="C169" s="1" t="s">
        <v>7</v>
      </c>
      <c r="D169" s="93" t="s">
        <v>468</v>
      </c>
      <c r="E169" s="1" t="s">
        <v>469</v>
      </c>
      <c r="G169" s="1">
        <v>0</v>
      </c>
      <c r="I169" s="1">
        <v>2.44</v>
      </c>
      <c r="J169" s="1">
        <v>0.45</v>
      </c>
      <c r="K169" s="1">
        <v>0</v>
      </c>
      <c r="L169" s="1">
        <v>0</v>
      </c>
      <c r="M169" s="1"/>
      <c r="N169" s="1">
        <v>0</v>
      </c>
      <c r="O169" s="1">
        <v>97.11</v>
      </c>
      <c r="Q169" s="1">
        <v>388</v>
      </c>
    </row>
    <row r="170" spans="1:17" x14ac:dyDescent="0.25">
      <c r="A170" s="1">
        <v>1191.01</v>
      </c>
      <c r="B170" s="1" t="s">
        <v>253</v>
      </c>
      <c r="C170" s="1" t="s">
        <v>7</v>
      </c>
      <c r="D170" s="93" t="s">
        <v>470</v>
      </c>
      <c r="E170" s="1" t="s">
        <v>471</v>
      </c>
      <c r="G170" s="1">
        <v>0</v>
      </c>
      <c r="I170" s="1">
        <v>21.7</v>
      </c>
      <c r="J170" s="1">
        <v>0.4</v>
      </c>
      <c r="K170" s="1">
        <v>0</v>
      </c>
      <c r="L170" s="1">
        <v>77.8</v>
      </c>
      <c r="M170" s="1">
        <v>0</v>
      </c>
      <c r="N170" s="1">
        <v>0</v>
      </c>
      <c r="O170" s="1">
        <v>9.9999999999994316E-2</v>
      </c>
      <c r="Q170" s="1">
        <v>688</v>
      </c>
    </row>
    <row r="171" spans="1:17" x14ac:dyDescent="0.25">
      <c r="A171" s="1">
        <v>1191.02</v>
      </c>
      <c r="B171" s="1" t="s">
        <v>254</v>
      </c>
      <c r="C171" s="1" t="s">
        <v>7</v>
      </c>
      <c r="D171" s="93" t="s">
        <v>472</v>
      </c>
      <c r="E171" s="1" t="s">
        <v>473</v>
      </c>
      <c r="G171" s="1">
        <v>0</v>
      </c>
      <c r="I171" s="1">
        <v>68</v>
      </c>
      <c r="J171" s="1">
        <v>0.48</v>
      </c>
      <c r="K171" s="1">
        <v>2.5</v>
      </c>
      <c r="L171" s="1">
        <v>0.3</v>
      </c>
      <c r="M171" s="1">
        <v>0.5</v>
      </c>
      <c r="N171" s="1">
        <v>0</v>
      </c>
      <c r="O171" s="1">
        <v>28.22</v>
      </c>
      <c r="Q171" s="1">
        <v>104</v>
      </c>
    </row>
    <row r="172" spans="1:17" x14ac:dyDescent="0.25">
      <c r="A172" s="1">
        <v>1191.03</v>
      </c>
      <c r="B172" s="1" t="s">
        <v>255</v>
      </c>
      <c r="C172" s="1" t="s">
        <v>390</v>
      </c>
      <c r="D172" s="93" t="s">
        <v>391</v>
      </c>
      <c r="E172" s="1" t="s">
        <v>255</v>
      </c>
      <c r="G172" s="1">
        <v>0</v>
      </c>
      <c r="I172" s="1">
        <v>98.7</v>
      </c>
      <c r="J172" s="1">
        <v>0.2</v>
      </c>
      <c r="K172" s="1">
        <v>0.4</v>
      </c>
      <c r="L172" s="1">
        <v>0</v>
      </c>
      <c r="M172" s="1">
        <v>0</v>
      </c>
      <c r="N172" s="1">
        <v>0</v>
      </c>
      <c r="O172" s="1">
        <v>0.69999999999999718</v>
      </c>
      <c r="Q172" s="1">
        <v>5</v>
      </c>
    </row>
    <row r="173" spans="1:17" x14ac:dyDescent="0.25">
      <c r="A173" s="1">
        <v>1191.08</v>
      </c>
      <c r="B173" s="1" t="s">
        <v>256</v>
      </c>
      <c r="C173" s="1" t="s">
        <v>7</v>
      </c>
      <c r="D173" s="93">
        <v>43599</v>
      </c>
      <c r="E173" s="1" t="s">
        <v>539</v>
      </c>
      <c r="G173" s="1">
        <v>0</v>
      </c>
      <c r="I173" s="1">
        <v>39.9</v>
      </c>
      <c r="J173" s="1">
        <v>1.9</v>
      </c>
      <c r="K173" s="1">
        <v>0.9</v>
      </c>
      <c r="L173" s="1">
        <v>33.4</v>
      </c>
      <c r="M173" s="1">
        <v>0</v>
      </c>
      <c r="N173" s="1">
        <v>0</v>
      </c>
      <c r="O173" s="1">
        <v>23.900000000000006</v>
      </c>
      <c r="Q173" s="1">
        <v>390</v>
      </c>
    </row>
    <row r="174" spans="1:17" x14ac:dyDescent="0.25">
      <c r="A174" s="1">
        <v>1192.01</v>
      </c>
      <c r="B174" s="1" t="s">
        <v>257</v>
      </c>
      <c r="C174" s="1" t="s">
        <v>452</v>
      </c>
      <c r="D174" s="93" t="s">
        <v>377</v>
      </c>
      <c r="E174" s="1" t="s">
        <v>257</v>
      </c>
      <c r="G174" s="1">
        <v>0</v>
      </c>
      <c r="I174" s="1">
        <v>0.5</v>
      </c>
      <c r="J174" s="1">
        <v>99.8</v>
      </c>
      <c r="K174" s="1">
        <v>0</v>
      </c>
      <c r="L174" s="1">
        <v>0</v>
      </c>
      <c r="M174" s="1">
        <v>0</v>
      </c>
      <c r="N174" s="1">
        <v>0</v>
      </c>
      <c r="O174" s="1">
        <v>-0.29999999999999716</v>
      </c>
      <c r="Q174" s="1">
        <v>0</v>
      </c>
    </row>
    <row r="175" spans="1:17" x14ac:dyDescent="0.25">
      <c r="A175" s="1">
        <v>1192.02</v>
      </c>
      <c r="B175" s="1" t="s">
        <v>258</v>
      </c>
      <c r="C175" s="1" t="s">
        <v>452</v>
      </c>
      <c r="D175" s="93" t="s">
        <v>378</v>
      </c>
      <c r="E175" s="1" t="s">
        <v>379</v>
      </c>
      <c r="G175" s="1">
        <v>0</v>
      </c>
      <c r="I175" s="1">
        <v>8.5</v>
      </c>
      <c r="J175" s="1">
        <v>4.7</v>
      </c>
      <c r="K175" s="1">
        <v>6.1</v>
      </c>
      <c r="L175" s="1">
        <v>8.6999999999999993</v>
      </c>
      <c r="M175" s="1">
        <v>21.6</v>
      </c>
      <c r="N175" s="1">
        <v>0</v>
      </c>
      <c r="O175" s="1">
        <v>50.4</v>
      </c>
      <c r="Q175" s="1">
        <v>348</v>
      </c>
    </row>
    <row r="176" spans="1:17" x14ac:dyDescent="0.25">
      <c r="A176" s="1">
        <v>1192.03</v>
      </c>
      <c r="B176" s="1" t="s">
        <v>259</v>
      </c>
      <c r="C176" s="1" t="s">
        <v>452</v>
      </c>
      <c r="D176" s="93" t="s">
        <v>380</v>
      </c>
      <c r="E176" s="1" t="s">
        <v>381</v>
      </c>
      <c r="G176" s="1">
        <v>0.13</v>
      </c>
      <c r="I176" s="1">
        <v>64.3</v>
      </c>
      <c r="J176" s="1">
        <v>1.3</v>
      </c>
      <c r="K176" s="1">
        <v>6.8</v>
      </c>
      <c r="L176" s="1">
        <v>0.4</v>
      </c>
      <c r="M176" s="1">
        <v>2.2999999999999998</v>
      </c>
      <c r="N176" s="1">
        <v>0</v>
      </c>
      <c r="O176" s="1">
        <v>24.900000000000006</v>
      </c>
      <c r="Q176" s="1">
        <v>135</v>
      </c>
    </row>
    <row r="177" spans="1:17" x14ac:dyDescent="0.25">
      <c r="A177" s="1">
        <v>1193.02</v>
      </c>
      <c r="B177" s="1" t="s">
        <v>260</v>
      </c>
      <c r="C177" s="1" t="s">
        <v>452</v>
      </c>
      <c r="D177" s="93" t="s">
        <v>382</v>
      </c>
      <c r="E177" s="1" t="s">
        <v>383</v>
      </c>
      <c r="G177" s="1">
        <v>0</v>
      </c>
      <c r="I177" s="1">
        <v>5</v>
      </c>
      <c r="J177" s="1">
        <v>8.3000000000000007</v>
      </c>
      <c r="K177" s="1">
        <v>35.6</v>
      </c>
      <c r="L177" s="1">
        <v>1.5</v>
      </c>
      <c r="M177" s="1">
        <v>19.7</v>
      </c>
      <c r="N177" s="1">
        <v>0</v>
      </c>
      <c r="O177" s="1">
        <v>29.900000000000002</v>
      </c>
      <c r="Q177" s="1">
        <v>315</v>
      </c>
    </row>
    <row r="178" spans="1:17" x14ac:dyDescent="0.25">
      <c r="A178" s="1">
        <v>1193.05</v>
      </c>
      <c r="B178" s="1" t="s">
        <v>261</v>
      </c>
      <c r="C178" s="1" t="s">
        <v>7</v>
      </c>
      <c r="D178" s="93" t="s">
        <v>476</v>
      </c>
      <c r="E178" s="1" t="s">
        <v>477</v>
      </c>
      <c r="G178" s="1">
        <v>0</v>
      </c>
      <c r="I178" s="1">
        <v>38.64</v>
      </c>
      <c r="J178" s="1">
        <v>1</v>
      </c>
      <c r="K178" s="1">
        <v>4.41</v>
      </c>
      <c r="L178" s="1">
        <v>18.52</v>
      </c>
      <c r="M178" s="1">
        <v>0.9</v>
      </c>
      <c r="N178" s="1">
        <v>0</v>
      </c>
      <c r="O178" s="1">
        <v>36.530000000000008</v>
      </c>
      <c r="Q178" s="1">
        <v>334</v>
      </c>
    </row>
    <row r="179" spans="1:17" x14ac:dyDescent="0.25">
      <c r="A179" s="1">
        <v>1193.06</v>
      </c>
      <c r="B179" s="1" t="s">
        <v>262</v>
      </c>
      <c r="C179" s="1" t="s">
        <v>7</v>
      </c>
      <c r="D179" s="93" t="s">
        <v>474</v>
      </c>
      <c r="E179" s="1" t="s">
        <v>475</v>
      </c>
      <c r="G179" s="1">
        <v>0</v>
      </c>
      <c r="I179" s="1">
        <v>85.5</v>
      </c>
      <c r="J179" s="1">
        <v>2.2999999999999998</v>
      </c>
      <c r="K179" s="1">
        <v>4.5999999999999996</v>
      </c>
      <c r="L179" s="1">
        <v>2.4</v>
      </c>
      <c r="M179" s="1">
        <v>0.2</v>
      </c>
      <c r="N179" s="1">
        <v>0</v>
      </c>
      <c r="O179" s="1">
        <v>4.9999999999999991</v>
      </c>
      <c r="Q179" s="1">
        <v>61</v>
      </c>
    </row>
    <row r="180" spans="1:17" x14ac:dyDescent="0.25">
      <c r="A180" s="1">
        <v>1193.07</v>
      </c>
      <c r="B180" s="1" t="s">
        <v>263</v>
      </c>
      <c r="C180" s="1" t="s">
        <v>7</v>
      </c>
      <c r="D180" s="93" t="s">
        <v>474</v>
      </c>
      <c r="E180" s="1" t="s">
        <v>475</v>
      </c>
      <c r="G180" s="1">
        <v>0</v>
      </c>
      <c r="I180" s="1">
        <v>40.6</v>
      </c>
      <c r="J180" s="1">
        <v>1.21</v>
      </c>
      <c r="K180" s="1">
        <v>4.05</v>
      </c>
      <c r="L180" s="1">
        <v>8.06</v>
      </c>
      <c r="M180" s="1">
        <v>0.9</v>
      </c>
      <c r="N180" s="1">
        <v>0</v>
      </c>
      <c r="O180" s="1">
        <v>45.18</v>
      </c>
      <c r="Q180" s="1">
        <v>213</v>
      </c>
    </row>
    <row r="181" spans="1:17" x14ac:dyDescent="0.25">
      <c r="A181" s="1">
        <v>1195.99</v>
      </c>
      <c r="B181" s="1" t="s">
        <v>264</v>
      </c>
      <c r="C181" s="1" t="s">
        <v>7</v>
      </c>
      <c r="D181" s="93" t="s">
        <v>474</v>
      </c>
      <c r="E181" s="1" t="s">
        <v>475</v>
      </c>
      <c r="G181" s="1">
        <v>0</v>
      </c>
      <c r="I181" s="1">
        <v>85.5</v>
      </c>
      <c r="J181" s="1">
        <v>2.2999999999999998</v>
      </c>
      <c r="K181" s="1">
        <v>4.5999999999999996</v>
      </c>
      <c r="L181" s="1">
        <v>2.4</v>
      </c>
      <c r="M181" s="1">
        <v>0.2</v>
      </c>
      <c r="N181" s="1">
        <v>0</v>
      </c>
      <c r="O181" s="1">
        <v>4.9999999999999991</v>
      </c>
      <c r="Q181" s="1">
        <v>61</v>
      </c>
    </row>
    <row r="182" spans="1:17" x14ac:dyDescent="0.25">
      <c r="A182" s="1">
        <v>1211.01</v>
      </c>
      <c r="B182" s="1" t="s">
        <v>265</v>
      </c>
      <c r="C182" s="1" t="s">
        <v>363</v>
      </c>
      <c r="D182" s="93" t="s">
        <v>364</v>
      </c>
      <c r="E182" s="1" t="s">
        <v>365</v>
      </c>
      <c r="F182" s="1" t="s">
        <v>68</v>
      </c>
      <c r="G182" s="1">
        <v>0</v>
      </c>
      <c r="I182" s="1">
        <v>3.1</v>
      </c>
      <c r="J182" s="1">
        <v>8.8000000000000007</v>
      </c>
      <c r="K182" s="1">
        <v>15.4</v>
      </c>
      <c r="L182" s="1">
        <v>0.4</v>
      </c>
      <c r="M182" s="1">
        <v>0</v>
      </c>
      <c r="N182" s="1">
        <v>0</v>
      </c>
      <c r="O182" s="1">
        <v>72.400000000000006</v>
      </c>
      <c r="Q182" s="1">
        <v>354</v>
      </c>
    </row>
    <row r="183" spans="1:17" x14ac:dyDescent="0.25">
      <c r="A183" s="1">
        <v>1212.01</v>
      </c>
      <c r="B183" s="1" t="s">
        <v>266</v>
      </c>
      <c r="C183" s="1" t="s">
        <v>363</v>
      </c>
      <c r="D183" s="93" t="s">
        <v>366</v>
      </c>
      <c r="E183" s="1" t="s">
        <v>367</v>
      </c>
      <c r="F183" s="1" t="s">
        <v>68</v>
      </c>
      <c r="G183" s="1">
        <v>0</v>
      </c>
      <c r="I183" s="1">
        <v>99.8</v>
      </c>
      <c r="J183" s="1">
        <v>0</v>
      </c>
      <c r="K183" s="1">
        <v>0.1</v>
      </c>
      <c r="L183" s="1">
        <v>0</v>
      </c>
      <c r="M183" s="1">
        <v>0</v>
      </c>
      <c r="N183" s="1">
        <v>0</v>
      </c>
      <c r="O183" s="1">
        <v>0</v>
      </c>
      <c r="Q183" s="1">
        <v>0</v>
      </c>
    </row>
    <row r="184" spans="1:17" x14ac:dyDescent="0.25">
      <c r="A184" s="1">
        <v>1213.01</v>
      </c>
      <c r="B184" s="1" t="s">
        <v>267</v>
      </c>
      <c r="C184" s="1" t="s">
        <v>363</v>
      </c>
      <c r="D184" s="93" t="s">
        <v>366</v>
      </c>
      <c r="E184" s="1" t="s">
        <v>367</v>
      </c>
      <c r="F184" s="1" t="s">
        <v>68</v>
      </c>
      <c r="G184" s="1">
        <v>0</v>
      </c>
      <c r="I184" s="1">
        <v>99.8</v>
      </c>
      <c r="J184" s="1">
        <v>0</v>
      </c>
      <c r="K184" s="1">
        <v>0.1</v>
      </c>
      <c r="L184" s="1">
        <v>0</v>
      </c>
      <c r="M184" s="1">
        <v>0</v>
      </c>
      <c r="N184" s="1">
        <v>0</v>
      </c>
      <c r="O184" s="1">
        <v>0</v>
      </c>
      <c r="Q184" s="1">
        <v>0</v>
      </c>
    </row>
    <row r="185" spans="1:17" x14ac:dyDescent="0.25">
      <c r="A185" s="1">
        <v>1219.99</v>
      </c>
      <c r="B185" s="1" t="s">
        <v>268</v>
      </c>
      <c r="C185" s="1" t="s">
        <v>363</v>
      </c>
      <c r="D185" s="93" t="s">
        <v>366</v>
      </c>
      <c r="E185" s="1" t="s">
        <v>367</v>
      </c>
      <c r="F185" s="1" t="s">
        <v>68</v>
      </c>
      <c r="G185" s="1">
        <v>0</v>
      </c>
      <c r="I185" s="1">
        <v>99.8</v>
      </c>
      <c r="J185" s="1">
        <v>0</v>
      </c>
      <c r="K185" s="1">
        <v>0.1</v>
      </c>
      <c r="L185" s="1">
        <v>0</v>
      </c>
      <c r="M185" s="1">
        <v>0</v>
      </c>
      <c r="N185" s="1">
        <v>0</v>
      </c>
      <c r="O185" s="1">
        <v>0</v>
      </c>
      <c r="Q185" s="1">
        <v>0</v>
      </c>
    </row>
    <row r="186" spans="1:17" x14ac:dyDescent="0.25">
      <c r="A186" s="1">
        <v>1221.01</v>
      </c>
      <c r="B186" s="1" t="s">
        <v>269</v>
      </c>
      <c r="C186" s="1" t="s">
        <v>363</v>
      </c>
      <c r="D186" s="93" t="s">
        <v>368</v>
      </c>
      <c r="E186" s="1" t="s">
        <v>369</v>
      </c>
      <c r="F186" s="1" t="s">
        <v>68</v>
      </c>
      <c r="G186" s="1">
        <v>0</v>
      </c>
      <c r="I186" s="1">
        <v>100</v>
      </c>
      <c r="J186" s="1">
        <v>0.1</v>
      </c>
      <c r="K186" s="1">
        <v>0</v>
      </c>
      <c r="L186" s="1">
        <v>0</v>
      </c>
      <c r="M186" s="1">
        <v>0</v>
      </c>
      <c r="N186" s="1">
        <v>0</v>
      </c>
      <c r="O186" s="1">
        <v>0</v>
      </c>
      <c r="Q186" s="1">
        <v>0</v>
      </c>
    </row>
    <row r="187" spans="1:17" x14ac:dyDescent="0.25">
      <c r="A187" s="1">
        <v>1222.01</v>
      </c>
      <c r="B187" s="1" t="s">
        <v>270</v>
      </c>
      <c r="C187" s="1" t="s">
        <v>363</v>
      </c>
      <c r="D187" s="93" t="s">
        <v>370</v>
      </c>
      <c r="E187" s="1" t="s">
        <v>371</v>
      </c>
      <c r="F187" s="1" t="s">
        <v>68</v>
      </c>
      <c r="G187" s="1">
        <v>0</v>
      </c>
      <c r="I187" s="1">
        <v>88.9</v>
      </c>
      <c r="J187" s="1">
        <v>0.4</v>
      </c>
      <c r="K187" s="1">
        <v>0.7</v>
      </c>
      <c r="L187" s="1">
        <v>0.2</v>
      </c>
      <c r="M187" s="1">
        <v>0.1</v>
      </c>
      <c r="N187" s="1">
        <v>0</v>
      </c>
      <c r="O187" s="1">
        <v>9.8000000000000007</v>
      </c>
      <c r="Q187" s="1">
        <v>44</v>
      </c>
    </row>
    <row r="188" spans="1:17" x14ac:dyDescent="0.25">
      <c r="A188" s="1">
        <v>1222.99</v>
      </c>
      <c r="B188" s="1" t="s">
        <v>271</v>
      </c>
      <c r="C188" s="1" t="s">
        <v>363</v>
      </c>
      <c r="D188" s="93" t="s">
        <v>370</v>
      </c>
      <c r="E188" s="1" t="s">
        <v>371</v>
      </c>
      <c r="F188" s="1" t="s">
        <v>68</v>
      </c>
      <c r="G188" s="1">
        <v>0</v>
      </c>
      <c r="I188" s="1">
        <v>88.9</v>
      </c>
      <c r="J188" s="1">
        <v>0.4</v>
      </c>
      <c r="K188" s="1">
        <v>0.7</v>
      </c>
      <c r="L188" s="1">
        <v>0.2</v>
      </c>
      <c r="M188" s="1">
        <v>0.1</v>
      </c>
      <c r="N188" s="1">
        <v>0</v>
      </c>
      <c r="O188" s="1">
        <v>9.8000000000000007</v>
      </c>
      <c r="Q188" s="1">
        <v>44</v>
      </c>
    </row>
    <row r="189" spans="1:17" x14ac:dyDescent="0.25">
      <c r="A189" s="1">
        <v>1223.01</v>
      </c>
      <c r="B189" s="1" t="s">
        <v>272</v>
      </c>
      <c r="C189" s="1" t="s">
        <v>363</v>
      </c>
      <c r="D189" s="93" t="s">
        <v>370</v>
      </c>
      <c r="E189" s="1" t="s">
        <v>371</v>
      </c>
      <c r="F189" s="1" t="s">
        <v>68</v>
      </c>
      <c r="G189" s="1">
        <v>0</v>
      </c>
      <c r="I189" s="1">
        <v>88.9</v>
      </c>
      <c r="J189" s="1">
        <v>0.4</v>
      </c>
      <c r="K189" s="1">
        <v>0.7</v>
      </c>
      <c r="L189" s="1">
        <v>0.2</v>
      </c>
      <c r="M189" s="1">
        <v>0.1</v>
      </c>
      <c r="N189" s="1">
        <v>0</v>
      </c>
      <c r="O189" s="1">
        <v>9.8000000000000007</v>
      </c>
      <c r="Q189" s="1">
        <v>44</v>
      </c>
    </row>
    <row r="190" spans="1:17" x14ac:dyDescent="0.25">
      <c r="A190" s="1">
        <v>1223.02</v>
      </c>
      <c r="B190" s="1" t="s">
        <v>273</v>
      </c>
      <c r="C190" s="1" t="s">
        <v>363</v>
      </c>
      <c r="D190" s="93" t="s">
        <v>372</v>
      </c>
      <c r="E190" s="1" t="s">
        <v>373</v>
      </c>
      <c r="F190" s="1" t="s">
        <v>321</v>
      </c>
      <c r="G190" s="1">
        <v>0</v>
      </c>
      <c r="I190" s="1">
        <v>87.6</v>
      </c>
      <c r="J190" s="1">
        <v>0.1</v>
      </c>
      <c r="K190" s="1">
        <v>1.2</v>
      </c>
      <c r="L190" s="1">
        <v>0.1</v>
      </c>
      <c r="M190" s="1">
        <v>0.5</v>
      </c>
      <c r="N190" s="1">
        <v>0</v>
      </c>
      <c r="O190" s="1">
        <v>10.6</v>
      </c>
      <c r="Q190" s="1">
        <v>49</v>
      </c>
    </row>
    <row r="191" spans="1:17" x14ac:dyDescent="0.25">
      <c r="A191" s="1">
        <v>1223.99</v>
      </c>
      <c r="B191" s="1" t="s">
        <v>274</v>
      </c>
      <c r="C191" s="1" t="s">
        <v>363</v>
      </c>
      <c r="D191" s="93" t="s">
        <v>370</v>
      </c>
      <c r="E191" s="1" t="s">
        <v>371</v>
      </c>
      <c r="F191" s="1" t="s">
        <v>68</v>
      </c>
      <c r="G191" s="1">
        <v>0</v>
      </c>
      <c r="I191" s="1">
        <v>88.9</v>
      </c>
      <c r="J191" s="1">
        <v>0.4</v>
      </c>
      <c r="K191" s="1">
        <v>0.7</v>
      </c>
      <c r="L191" s="1">
        <v>0.2</v>
      </c>
      <c r="M191" s="1">
        <v>0.1</v>
      </c>
      <c r="N191" s="1">
        <v>0</v>
      </c>
      <c r="O191" s="1">
        <v>9.8000000000000007</v>
      </c>
      <c r="Q191" s="1">
        <v>44</v>
      </c>
    </row>
    <row r="192" spans="1:17" x14ac:dyDescent="0.25">
      <c r="A192" s="1">
        <v>2111.04</v>
      </c>
      <c r="B192" s="1" t="s">
        <v>275</v>
      </c>
      <c r="C192" s="1" t="s">
        <v>363</v>
      </c>
      <c r="D192" s="93" t="s">
        <v>375</v>
      </c>
      <c r="E192" s="1" t="s">
        <v>376</v>
      </c>
      <c r="G192" s="1">
        <v>0</v>
      </c>
      <c r="I192" s="1">
        <v>94</v>
      </c>
      <c r="J192" s="1">
        <v>0.2</v>
      </c>
      <c r="K192" s="1">
        <v>0.5</v>
      </c>
      <c r="L192" s="1">
        <v>0</v>
      </c>
      <c r="M192" s="1">
        <v>0.1</v>
      </c>
      <c r="N192" s="1">
        <v>3</v>
      </c>
      <c r="O192" s="1">
        <v>2.7</v>
      </c>
      <c r="Q192" s="1">
        <v>31</v>
      </c>
    </row>
    <row r="193" spans="1:17" x14ac:dyDescent="0.25">
      <c r="A193" s="1">
        <v>2121.0100000000002</v>
      </c>
      <c r="B193" s="1" t="s">
        <v>276</v>
      </c>
      <c r="C193" s="1" t="s">
        <v>363</v>
      </c>
      <c r="D193" s="93" t="s">
        <v>386</v>
      </c>
      <c r="E193" s="1" t="s">
        <v>387</v>
      </c>
      <c r="G193" s="1">
        <v>0</v>
      </c>
      <c r="I193" s="1">
        <v>93.7</v>
      </c>
      <c r="J193" s="1">
        <v>0.2</v>
      </c>
      <c r="K193" s="1">
        <v>0.4</v>
      </c>
      <c r="L193" s="1">
        <v>0</v>
      </c>
      <c r="M193" s="1">
        <v>0</v>
      </c>
      <c r="N193" s="1">
        <v>3.8</v>
      </c>
      <c r="O193" s="1">
        <v>2.5</v>
      </c>
      <c r="Q193" s="1">
        <v>34</v>
      </c>
    </row>
    <row r="194" spans="1:17" x14ac:dyDescent="0.25">
      <c r="A194" s="1">
        <v>2129.9899999999998</v>
      </c>
      <c r="B194" s="1" t="s">
        <v>277</v>
      </c>
      <c r="C194" s="1" t="s">
        <v>363</v>
      </c>
      <c r="D194" s="93" t="s">
        <v>388</v>
      </c>
      <c r="E194" s="1" t="s">
        <v>389</v>
      </c>
      <c r="G194" s="1">
        <v>0</v>
      </c>
      <c r="I194" s="1">
        <v>91</v>
      </c>
      <c r="J194" s="1">
        <v>0.3</v>
      </c>
      <c r="K194" s="1">
        <v>0.7</v>
      </c>
      <c r="L194" s="1">
        <v>0</v>
      </c>
      <c r="M194" s="1">
        <v>0.1</v>
      </c>
      <c r="N194" s="1">
        <v>3</v>
      </c>
      <c r="O194" s="1">
        <v>5.7</v>
      </c>
      <c r="Q194" s="1">
        <v>43</v>
      </c>
    </row>
    <row r="195" spans="1:17" x14ac:dyDescent="0.25">
      <c r="A195" s="1">
        <v>2131.0100000000002</v>
      </c>
      <c r="B195" s="1" t="s">
        <v>278</v>
      </c>
      <c r="C195" s="1" t="s">
        <v>363</v>
      </c>
      <c r="D195" s="93" t="s">
        <v>384</v>
      </c>
      <c r="E195" s="1" t="s">
        <v>385</v>
      </c>
      <c r="G195" s="1">
        <v>0</v>
      </c>
      <c r="I195" s="1">
        <v>93.9</v>
      </c>
      <c r="J195" s="1">
        <v>0.1</v>
      </c>
      <c r="K195" s="1">
        <v>0.3</v>
      </c>
      <c r="L195" s="1">
        <v>0</v>
      </c>
      <c r="M195" s="1">
        <v>0</v>
      </c>
      <c r="N195" s="1">
        <v>4.4000000000000004</v>
      </c>
      <c r="O195" s="1">
        <v>2</v>
      </c>
      <c r="Q195" s="1">
        <v>35</v>
      </c>
    </row>
    <row r="196" spans="1:17" x14ac:dyDescent="0.25">
      <c r="A196" s="1">
        <v>2131.9899999999998</v>
      </c>
      <c r="B196" s="1" t="s">
        <v>279</v>
      </c>
      <c r="C196" s="1" t="s">
        <v>363</v>
      </c>
      <c r="D196" s="93" t="s">
        <v>375</v>
      </c>
      <c r="E196" s="1" t="s">
        <v>376</v>
      </c>
      <c r="G196" s="1">
        <v>0</v>
      </c>
      <c r="I196" s="1">
        <v>94</v>
      </c>
      <c r="J196" s="1">
        <v>0.2</v>
      </c>
      <c r="K196" s="1">
        <v>0.5</v>
      </c>
      <c r="L196" s="1">
        <v>0</v>
      </c>
      <c r="M196" s="1">
        <v>0.1</v>
      </c>
      <c r="N196" s="1">
        <v>3</v>
      </c>
      <c r="O196" s="1">
        <v>2.7</v>
      </c>
      <c r="Q196" s="1">
        <v>31</v>
      </c>
    </row>
  </sheetData>
  <sortState xmlns:xlrd2="http://schemas.microsoft.com/office/spreadsheetml/2017/richdata2" ref="A2:S196">
    <sortCondition ref="A1"/>
  </sortState>
  <phoneticPr fontId="1" type="noConversion"/>
  <pageMargins left="0.75" right="0.75" top="1" bottom="1" header="0.5" footer="0.5"/>
  <pageSetup paperSize="9" orientation="portrait"/>
  <headerFooter alignWithMargins="0"/>
  <legacyDrawing r:id="rId1"/>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194"/>
  <sheetViews>
    <sheetView topLeftCell="F1" zoomScale="80" zoomScaleNormal="80" workbookViewId="0">
      <pane ySplit="3" topLeftCell="A4" activePane="bottomLeft" state="frozen"/>
      <selection pane="bottomLeft" activeCell="T17" sqref="T17"/>
    </sheetView>
  </sheetViews>
  <sheetFormatPr defaultColWidth="8.85546875" defaultRowHeight="15" x14ac:dyDescent="0.25"/>
  <cols>
    <col min="1" max="1" width="10.85546875" style="1" customWidth="1"/>
    <col min="2" max="2" width="42.85546875" style="1" customWidth="1"/>
    <col min="3" max="3" width="31.5703125" style="41" customWidth="1"/>
    <col min="4" max="4" width="15.85546875" style="93" customWidth="1"/>
    <col min="5" max="5" width="46.5703125" style="1" customWidth="1"/>
    <col min="6" max="6" width="16.7109375" style="1" customWidth="1"/>
    <col min="7" max="7" width="12.42578125" style="99" customWidth="1"/>
    <col min="8" max="8" width="12.42578125" style="1" customWidth="1"/>
    <col min="9" max="9" width="8.85546875" style="93" customWidth="1"/>
    <col min="10" max="11" width="9.140625" style="93" customWidth="1"/>
    <col min="12" max="12" width="7.42578125" style="93" customWidth="1"/>
    <col min="13" max="13" width="9.5703125" style="93" customWidth="1"/>
    <col min="14" max="14" width="8.42578125" style="93" customWidth="1"/>
    <col min="15" max="15" width="14.42578125" style="93" customWidth="1"/>
    <col min="16" max="16" width="25" style="1" customWidth="1"/>
    <col min="17" max="17" width="17.85546875" style="93" customWidth="1"/>
    <col min="18" max="18" width="22.5703125" style="1" customWidth="1"/>
    <col min="19" max="16384" width="8.85546875" style="13"/>
  </cols>
  <sheetData>
    <row r="1" spans="1:18" ht="118.5" customHeight="1" thickBot="1" x14ac:dyDescent="0.3">
      <c r="A1" s="120" t="s">
        <v>700</v>
      </c>
      <c r="B1" s="121" t="s">
        <v>701</v>
      </c>
      <c r="C1" s="122" t="s">
        <v>1</v>
      </c>
      <c r="D1" s="121" t="s">
        <v>2</v>
      </c>
      <c r="E1" s="121" t="s">
        <v>3</v>
      </c>
      <c r="F1" s="122" t="s">
        <v>52</v>
      </c>
      <c r="G1" s="123" t="s">
        <v>702</v>
      </c>
      <c r="H1" s="121" t="s">
        <v>703</v>
      </c>
      <c r="I1" s="121" t="s">
        <v>5</v>
      </c>
      <c r="J1" s="121" t="s">
        <v>6</v>
      </c>
      <c r="K1" s="121" t="s">
        <v>704</v>
      </c>
      <c r="L1" s="121" t="s">
        <v>705</v>
      </c>
      <c r="M1" s="121" t="s">
        <v>706</v>
      </c>
      <c r="N1" s="121" t="s">
        <v>707</v>
      </c>
      <c r="O1" s="121" t="s">
        <v>4</v>
      </c>
      <c r="P1" s="124" t="s">
        <v>708</v>
      </c>
      <c r="Q1" s="121" t="s">
        <v>0</v>
      </c>
      <c r="R1" s="125" t="s">
        <v>709</v>
      </c>
    </row>
    <row r="2" spans="1:18" x14ac:dyDescent="0.25">
      <c r="A2" s="100">
        <v>1111.01</v>
      </c>
      <c r="B2" s="101" t="s">
        <v>118</v>
      </c>
      <c r="C2" s="101" t="s">
        <v>280</v>
      </c>
      <c r="D2" s="102" t="s">
        <v>288</v>
      </c>
      <c r="E2" s="100" t="s">
        <v>287</v>
      </c>
      <c r="F2" s="101"/>
      <c r="G2" s="102">
        <v>0</v>
      </c>
      <c r="H2" s="102"/>
      <c r="I2" s="102">
        <v>12.1</v>
      </c>
      <c r="J2" s="102">
        <v>0.7</v>
      </c>
      <c r="K2" s="102">
        <v>6.9</v>
      </c>
      <c r="L2" s="102">
        <v>0.6</v>
      </c>
      <c r="M2" s="102">
        <v>1.4</v>
      </c>
      <c r="N2" s="102">
        <v>0</v>
      </c>
      <c r="O2" s="102">
        <v>78.3</v>
      </c>
      <c r="P2" s="102">
        <f>100-I2-J2-K2-L2-M2-N2</f>
        <v>78.3</v>
      </c>
      <c r="Q2" s="102">
        <v>349</v>
      </c>
      <c r="R2" s="103">
        <f>K2*4+L2*9+M2*2+N2*7+P2*4</f>
        <v>349</v>
      </c>
    </row>
    <row r="3" spans="1:18" x14ac:dyDescent="0.25">
      <c r="A3" s="104">
        <v>1111.02</v>
      </c>
      <c r="B3" s="105" t="s">
        <v>550</v>
      </c>
      <c r="C3" s="105" t="s">
        <v>551</v>
      </c>
      <c r="D3" s="108" t="s">
        <v>552</v>
      </c>
      <c r="E3" s="104" t="s">
        <v>553</v>
      </c>
      <c r="F3" s="105"/>
      <c r="G3" s="106">
        <v>0</v>
      </c>
      <c r="H3" s="107"/>
      <c r="I3" s="108">
        <v>0.9</v>
      </c>
      <c r="J3" s="108">
        <v>1.1000000000000001</v>
      </c>
      <c r="K3" s="108">
        <v>4</v>
      </c>
      <c r="L3" s="108">
        <v>0.34</v>
      </c>
      <c r="M3" s="108">
        <v>1.8</v>
      </c>
      <c r="N3" s="108">
        <v>0</v>
      </c>
      <c r="O3" s="108">
        <v>93.7</v>
      </c>
      <c r="P3" s="108">
        <f t="shared" ref="P3:P66" si="0">100-I3-J3-K3-L3-M3-N3</f>
        <v>91.86</v>
      </c>
      <c r="Q3" s="108">
        <v>394</v>
      </c>
      <c r="R3" s="109">
        <f t="shared" ref="R3:R66" si="1">K3*4+L3*9+M3*2+N3*7+P3*4</f>
        <v>390.1</v>
      </c>
    </row>
    <row r="4" spans="1:18" x14ac:dyDescent="0.25">
      <c r="A4" s="104">
        <v>1112.01</v>
      </c>
      <c r="B4" s="105" t="s">
        <v>160</v>
      </c>
      <c r="C4" s="105" t="s">
        <v>280</v>
      </c>
      <c r="D4" s="108" t="s">
        <v>282</v>
      </c>
      <c r="E4" s="104" t="s">
        <v>281</v>
      </c>
      <c r="F4" s="105"/>
      <c r="G4" s="108">
        <v>0</v>
      </c>
      <c r="H4" s="108"/>
      <c r="I4" s="108">
        <v>36.5</v>
      </c>
      <c r="J4" s="108">
        <v>1.9</v>
      </c>
      <c r="K4" s="108">
        <v>8.4</v>
      </c>
      <c r="L4" s="108">
        <v>1.8</v>
      </c>
      <c r="M4" s="108">
        <v>3.1</v>
      </c>
      <c r="N4" s="108">
        <v>0</v>
      </c>
      <c r="O4" s="108">
        <v>48.4</v>
      </c>
      <c r="P4" s="108">
        <f t="shared" si="0"/>
        <v>48.300000000000004</v>
      </c>
      <c r="Q4" s="108">
        <v>249</v>
      </c>
      <c r="R4" s="109">
        <f t="shared" si="1"/>
        <v>249.20000000000002</v>
      </c>
    </row>
    <row r="5" spans="1:18" x14ac:dyDescent="0.25">
      <c r="A5" s="104">
        <v>1112.02</v>
      </c>
      <c r="B5" s="105" t="s">
        <v>161</v>
      </c>
      <c r="C5" s="105" t="s">
        <v>280</v>
      </c>
      <c r="D5" s="108" t="s">
        <v>283</v>
      </c>
      <c r="E5" s="104" t="s">
        <v>284</v>
      </c>
      <c r="F5" s="105"/>
      <c r="G5" s="108">
        <v>0</v>
      </c>
      <c r="H5" s="108"/>
      <c r="I5" s="108">
        <v>34.299999999999997</v>
      </c>
      <c r="J5" s="108">
        <v>1.7</v>
      </c>
      <c r="K5" s="108">
        <v>9.1</v>
      </c>
      <c r="L5" s="108">
        <v>2.7</v>
      </c>
      <c r="M5" s="108">
        <v>2.7</v>
      </c>
      <c r="N5" s="108">
        <v>0</v>
      </c>
      <c r="O5" s="108">
        <v>49.6</v>
      </c>
      <c r="P5" s="108">
        <f t="shared" si="0"/>
        <v>49.499999999999993</v>
      </c>
      <c r="Q5" s="108">
        <v>264</v>
      </c>
      <c r="R5" s="109">
        <f t="shared" si="1"/>
        <v>264.09999999999997</v>
      </c>
    </row>
    <row r="6" spans="1:18" x14ac:dyDescent="0.25">
      <c r="A6" s="104">
        <v>1112.03</v>
      </c>
      <c r="B6" s="105" t="s">
        <v>162</v>
      </c>
      <c r="C6" s="105" t="s">
        <v>390</v>
      </c>
      <c r="D6" s="108" t="s">
        <v>283</v>
      </c>
      <c r="E6" s="104" t="s">
        <v>284</v>
      </c>
      <c r="F6" s="105"/>
      <c r="G6" s="108">
        <v>0</v>
      </c>
      <c r="H6" s="108"/>
      <c r="I6" s="108">
        <v>34.299999999999997</v>
      </c>
      <c r="J6" s="108">
        <v>1.7</v>
      </c>
      <c r="K6" s="108">
        <v>9.1</v>
      </c>
      <c r="L6" s="108">
        <v>2.7</v>
      </c>
      <c r="M6" s="108">
        <v>2.7</v>
      </c>
      <c r="N6" s="108">
        <v>0</v>
      </c>
      <c r="O6" s="108">
        <v>49.6</v>
      </c>
      <c r="P6" s="108">
        <f t="shared" si="0"/>
        <v>49.499999999999993</v>
      </c>
      <c r="Q6" s="108">
        <v>264</v>
      </c>
      <c r="R6" s="109">
        <f t="shared" si="1"/>
        <v>264.09999999999997</v>
      </c>
    </row>
    <row r="7" spans="1:18" x14ac:dyDescent="0.25">
      <c r="A7" s="104">
        <v>1112.04</v>
      </c>
      <c r="B7" s="105" t="s">
        <v>163</v>
      </c>
      <c r="C7" s="105" t="s">
        <v>390</v>
      </c>
      <c r="D7" s="108" t="s">
        <v>283</v>
      </c>
      <c r="E7" s="104" t="s">
        <v>284</v>
      </c>
      <c r="F7" s="105"/>
      <c r="G7" s="108">
        <v>0</v>
      </c>
      <c r="H7" s="108"/>
      <c r="I7" s="108">
        <v>34.299999999999997</v>
      </c>
      <c r="J7" s="108">
        <v>1.7</v>
      </c>
      <c r="K7" s="108">
        <v>9.1</v>
      </c>
      <c r="L7" s="108">
        <v>2.7</v>
      </c>
      <c r="M7" s="108">
        <v>2.7</v>
      </c>
      <c r="N7" s="108">
        <v>0</v>
      </c>
      <c r="O7" s="108">
        <v>49.6</v>
      </c>
      <c r="P7" s="108">
        <f t="shared" si="0"/>
        <v>49.499999999999993</v>
      </c>
      <c r="Q7" s="108">
        <v>264</v>
      </c>
      <c r="R7" s="109">
        <f t="shared" si="1"/>
        <v>264.09999999999997</v>
      </c>
    </row>
    <row r="8" spans="1:18" x14ac:dyDescent="0.25">
      <c r="A8" s="104">
        <v>1112.0899999999999</v>
      </c>
      <c r="B8" s="105" t="s">
        <v>164</v>
      </c>
      <c r="C8" s="105" t="s">
        <v>390</v>
      </c>
      <c r="D8" s="108" t="s">
        <v>283</v>
      </c>
      <c r="E8" s="104" t="s">
        <v>284</v>
      </c>
      <c r="F8" s="105"/>
      <c r="G8" s="108">
        <v>0</v>
      </c>
      <c r="H8" s="108"/>
      <c r="I8" s="108">
        <v>34.299999999999997</v>
      </c>
      <c r="J8" s="108">
        <v>1.7</v>
      </c>
      <c r="K8" s="108">
        <v>9.1</v>
      </c>
      <c r="L8" s="108">
        <v>2.7</v>
      </c>
      <c r="M8" s="108">
        <v>2.7</v>
      </c>
      <c r="N8" s="108">
        <v>0</v>
      </c>
      <c r="O8" s="108">
        <v>49.6</v>
      </c>
      <c r="P8" s="108">
        <f t="shared" si="0"/>
        <v>49.499999999999993</v>
      </c>
      <c r="Q8" s="108">
        <v>264</v>
      </c>
      <c r="R8" s="109">
        <f t="shared" si="1"/>
        <v>264.09999999999997</v>
      </c>
    </row>
    <row r="9" spans="1:18" x14ac:dyDescent="0.25">
      <c r="A9" s="104">
        <v>1113.01</v>
      </c>
      <c r="B9" s="105" t="s">
        <v>165</v>
      </c>
      <c r="C9" s="105" t="s">
        <v>280</v>
      </c>
      <c r="D9" s="108" t="s">
        <v>285</v>
      </c>
      <c r="E9" s="104" t="s">
        <v>286</v>
      </c>
      <c r="F9" s="105"/>
      <c r="G9" s="108">
        <v>0</v>
      </c>
      <c r="H9" s="108"/>
      <c r="I9" s="108">
        <v>60.6</v>
      </c>
      <c r="J9" s="108">
        <v>0.4</v>
      </c>
      <c r="K9" s="108">
        <v>5.4</v>
      </c>
      <c r="L9" s="108">
        <v>0.7</v>
      </c>
      <c r="M9" s="108">
        <v>1.6</v>
      </c>
      <c r="N9" s="108">
        <v>0</v>
      </c>
      <c r="O9" s="108">
        <v>31.299999999999997</v>
      </c>
      <c r="P9" s="108">
        <f t="shared" si="0"/>
        <v>31.299999999999997</v>
      </c>
      <c r="Q9" s="108">
        <v>156</v>
      </c>
      <c r="R9" s="109">
        <f t="shared" si="1"/>
        <v>156.29999999999998</v>
      </c>
    </row>
    <row r="10" spans="1:18" x14ac:dyDescent="0.25">
      <c r="A10" s="104">
        <v>1114.01</v>
      </c>
      <c r="B10" s="105" t="s">
        <v>166</v>
      </c>
      <c r="C10" s="105" t="s">
        <v>7</v>
      </c>
      <c r="D10" s="108" t="s">
        <v>453</v>
      </c>
      <c r="E10" s="104" t="s">
        <v>454</v>
      </c>
      <c r="F10" s="105"/>
      <c r="G10" s="108">
        <v>0</v>
      </c>
      <c r="H10" s="107"/>
      <c r="I10" s="108">
        <v>25.3</v>
      </c>
      <c r="J10" s="108">
        <v>1</v>
      </c>
      <c r="K10" s="108">
        <v>2.9</v>
      </c>
      <c r="L10" s="108">
        <v>9.1</v>
      </c>
      <c r="M10" s="108">
        <v>2.4</v>
      </c>
      <c r="N10" s="108">
        <v>0</v>
      </c>
      <c r="O10" s="108">
        <v>59.3</v>
      </c>
      <c r="P10" s="108">
        <f t="shared" si="0"/>
        <v>59.3</v>
      </c>
      <c r="Q10" s="108">
        <v>437</v>
      </c>
      <c r="R10" s="109">
        <f t="shared" si="1"/>
        <v>335.5</v>
      </c>
    </row>
    <row r="11" spans="1:18" x14ac:dyDescent="0.25">
      <c r="A11" s="104">
        <v>1114.02</v>
      </c>
      <c r="B11" s="105" t="s">
        <v>167</v>
      </c>
      <c r="C11" s="105" t="s">
        <v>7</v>
      </c>
      <c r="D11" s="108" t="s">
        <v>455</v>
      </c>
      <c r="E11" s="104" t="s">
        <v>456</v>
      </c>
      <c r="F11" s="105"/>
      <c r="G11" s="108">
        <v>0</v>
      </c>
      <c r="H11" s="107"/>
      <c r="I11" s="108">
        <v>7.96</v>
      </c>
      <c r="J11" s="108">
        <v>1.42</v>
      </c>
      <c r="K11" s="108">
        <v>3.41</v>
      </c>
      <c r="L11" s="108">
        <v>28.69</v>
      </c>
      <c r="M11" s="108">
        <v>1.4</v>
      </c>
      <c r="N11" s="108">
        <v>0</v>
      </c>
      <c r="O11" s="108">
        <v>57.120000000000012</v>
      </c>
      <c r="P11" s="108">
        <f t="shared" si="0"/>
        <v>57.120000000000012</v>
      </c>
      <c r="Q11" s="108">
        <v>481</v>
      </c>
      <c r="R11" s="109">
        <f t="shared" si="1"/>
        <v>503.13000000000011</v>
      </c>
    </row>
    <row r="12" spans="1:18" x14ac:dyDescent="0.25">
      <c r="A12" s="104">
        <v>1115.01</v>
      </c>
      <c r="B12" s="105" t="s">
        <v>168</v>
      </c>
      <c r="C12" s="105" t="s">
        <v>7</v>
      </c>
      <c r="D12" s="108" t="s">
        <v>457</v>
      </c>
      <c r="E12" s="104" t="s">
        <v>458</v>
      </c>
      <c r="F12" s="105"/>
      <c r="G12" s="108">
        <v>0</v>
      </c>
      <c r="H12" s="107"/>
      <c r="I12" s="108">
        <v>89.93</v>
      </c>
      <c r="J12" s="108">
        <v>0.26</v>
      </c>
      <c r="K12" s="108">
        <v>0.77</v>
      </c>
      <c r="L12" s="108">
        <v>0.1</v>
      </c>
      <c r="M12" s="108">
        <v>1.1000000000000001</v>
      </c>
      <c r="N12" s="108">
        <v>0</v>
      </c>
      <c r="O12" s="108">
        <v>7.8399999999999945</v>
      </c>
      <c r="P12" s="108">
        <f t="shared" si="0"/>
        <v>7.8399999999999945</v>
      </c>
      <c r="Q12" s="108">
        <v>36</v>
      </c>
      <c r="R12" s="109">
        <f t="shared" si="1"/>
        <v>37.539999999999978</v>
      </c>
    </row>
    <row r="13" spans="1:18" x14ac:dyDescent="0.25">
      <c r="A13" s="104">
        <v>1115.02</v>
      </c>
      <c r="B13" s="105" t="s">
        <v>169</v>
      </c>
      <c r="C13" s="105" t="s">
        <v>390</v>
      </c>
      <c r="D13" s="108" t="s">
        <v>395</v>
      </c>
      <c r="E13" s="104" t="s">
        <v>396</v>
      </c>
      <c r="F13" s="105"/>
      <c r="G13" s="108">
        <v>0</v>
      </c>
      <c r="H13" s="108"/>
      <c r="I13" s="108">
        <v>2</v>
      </c>
      <c r="J13" s="108">
        <v>4.5999999999999996</v>
      </c>
      <c r="K13" s="108">
        <v>17.600000000000001</v>
      </c>
      <c r="L13" s="108">
        <v>19.7</v>
      </c>
      <c r="M13" s="108">
        <v>0</v>
      </c>
      <c r="N13" s="108">
        <v>0</v>
      </c>
      <c r="O13" s="108">
        <v>56.100000000000009</v>
      </c>
      <c r="P13" s="108">
        <f t="shared" si="0"/>
        <v>56.100000000000009</v>
      </c>
      <c r="Q13" s="108">
        <v>472</v>
      </c>
      <c r="R13" s="109">
        <f t="shared" si="1"/>
        <v>472.1</v>
      </c>
    </row>
    <row r="14" spans="1:18" x14ac:dyDescent="0.25">
      <c r="A14" s="104">
        <v>1115.03</v>
      </c>
      <c r="B14" s="105" t="s">
        <v>170</v>
      </c>
      <c r="C14" s="105" t="s">
        <v>390</v>
      </c>
      <c r="D14" s="108" t="s">
        <v>292</v>
      </c>
      <c r="E14" s="104" t="s">
        <v>392</v>
      </c>
      <c r="F14" s="105"/>
      <c r="G14" s="108">
        <v>0</v>
      </c>
      <c r="H14" s="108"/>
      <c r="I14" s="108">
        <v>50.4</v>
      </c>
      <c r="J14" s="108">
        <v>1.3</v>
      </c>
      <c r="K14" s="108">
        <v>7.6</v>
      </c>
      <c r="L14" s="108">
        <v>11.3</v>
      </c>
      <c r="M14" s="108">
        <v>1.2</v>
      </c>
      <c r="N14" s="108">
        <v>0</v>
      </c>
      <c r="O14" s="108">
        <v>28.200000000000003</v>
      </c>
      <c r="P14" s="108">
        <f t="shared" si="0"/>
        <v>28.200000000000003</v>
      </c>
      <c r="Q14" s="108">
        <v>247</v>
      </c>
      <c r="R14" s="109">
        <f t="shared" si="1"/>
        <v>247.3</v>
      </c>
    </row>
    <row r="15" spans="1:18" x14ac:dyDescent="0.25">
      <c r="A15" s="104">
        <v>1115.04</v>
      </c>
      <c r="B15" s="105" t="s">
        <v>171</v>
      </c>
      <c r="C15" s="105" t="s">
        <v>390</v>
      </c>
      <c r="D15" s="108" t="s">
        <v>393</v>
      </c>
      <c r="E15" s="104" t="s">
        <v>394</v>
      </c>
      <c r="F15" s="105"/>
      <c r="G15" s="108">
        <v>0</v>
      </c>
      <c r="H15" s="108"/>
      <c r="I15" s="108">
        <v>13.4</v>
      </c>
      <c r="J15" s="108">
        <v>1.1000000000000001</v>
      </c>
      <c r="K15" s="108">
        <v>8.5</v>
      </c>
      <c r="L15" s="108">
        <v>4</v>
      </c>
      <c r="M15" s="108">
        <v>1.5</v>
      </c>
      <c r="N15" s="108">
        <v>0</v>
      </c>
      <c r="O15" s="108">
        <v>63.3</v>
      </c>
      <c r="P15" s="108">
        <f t="shared" si="0"/>
        <v>71.5</v>
      </c>
      <c r="Q15" s="108">
        <v>343</v>
      </c>
      <c r="R15" s="109">
        <f t="shared" si="1"/>
        <v>359</v>
      </c>
    </row>
    <row r="16" spans="1:18" x14ac:dyDescent="0.25">
      <c r="A16" s="104">
        <v>1115.05</v>
      </c>
      <c r="B16" s="105" t="s">
        <v>172</v>
      </c>
      <c r="C16" s="105" t="s">
        <v>390</v>
      </c>
      <c r="D16" s="108" t="s">
        <v>478</v>
      </c>
      <c r="E16" s="104" t="s">
        <v>479</v>
      </c>
      <c r="F16" s="105"/>
      <c r="G16" s="108">
        <v>0</v>
      </c>
      <c r="H16" s="108"/>
      <c r="I16" s="108">
        <v>10.1</v>
      </c>
      <c r="J16" s="108">
        <v>1.5</v>
      </c>
      <c r="K16" s="108">
        <v>8.8000000000000007</v>
      </c>
      <c r="L16" s="108">
        <v>5.8</v>
      </c>
      <c r="M16" s="108">
        <v>9</v>
      </c>
      <c r="N16" s="108">
        <v>0</v>
      </c>
      <c r="O16" s="108">
        <v>64.800000000000011</v>
      </c>
      <c r="P16" s="108">
        <f t="shared" si="0"/>
        <v>64.800000000000011</v>
      </c>
      <c r="Q16" s="108">
        <v>364</v>
      </c>
      <c r="R16" s="109">
        <f t="shared" si="1"/>
        <v>364.6</v>
      </c>
    </row>
    <row r="17" spans="1:18" x14ac:dyDescent="0.25">
      <c r="A17" s="104">
        <v>1115.06</v>
      </c>
      <c r="B17" s="105" t="s">
        <v>173</v>
      </c>
      <c r="C17" s="105" t="s">
        <v>390</v>
      </c>
      <c r="D17" s="108" t="s">
        <v>480</v>
      </c>
      <c r="E17" s="104" t="s">
        <v>481</v>
      </c>
      <c r="F17" s="105"/>
      <c r="G17" s="108">
        <v>0</v>
      </c>
      <c r="H17" s="108"/>
      <c r="I17" s="108">
        <v>10.9</v>
      </c>
      <c r="J17" s="108">
        <v>2.4</v>
      </c>
      <c r="K17" s="108">
        <v>10.5</v>
      </c>
      <c r="L17" s="108">
        <v>3.3</v>
      </c>
      <c r="M17" s="108">
        <v>9.9</v>
      </c>
      <c r="N17" s="108">
        <v>0</v>
      </c>
      <c r="O17" s="108">
        <v>62.999999999999993</v>
      </c>
      <c r="P17" s="108">
        <f t="shared" si="0"/>
        <v>62.999999999999993</v>
      </c>
      <c r="Q17" s="108">
        <v>344</v>
      </c>
      <c r="R17" s="109">
        <f t="shared" si="1"/>
        <v>343.5</v>
      </c>
    </row>
    <row r="18" spans="1:18" x14ac:dyDescent="0.25">
      <c r="A18" s="104">
        <v>1115.07</v>
      </c>
      <c r="B18" s="105" t="s">
        <v>540</v>
      </c>
      <c r="C18" s="105" t="s">
        <v>390</v>
      </c>
      <c r="D18" s="108" t="s">
        <v>541</v>
      </c>
      <c r="E18" s="104" t="s">
        <v>540</v>
      </c>
      <c r="F18" s="105"/>
      <c r="G18" s="108">
        <v>0</v>
      </c>
      <c r="H18" s="108"/>
      <c r="I18" s="108">
        <v>12.7</v>
      </c>
      <c r="J18" s="108">
        <v>2.2000000000000002</v>
      </c>
      <c r="K18" s="108">
        <v>1.9</v>
      </c>
      <c r="L18" s="108">
        <v>0.5</v>
      </c>
      <c r="M18" s="108">
        <v>3.9</v>
      </c>
      <c r="N18" s="108">
        <v>0</v>
      </c>
      <c r="O18" s="108">
        <v>78.8</v>
      </c>
      <c r="P18" s="108">
        <f t="shared" si="0"/>
        <v>78.799999999999983</v>
      </c>
      <c r="Q18" s="108">
        <v>335</v>
      </c>
      <c r="R18" s="109">
        <f t="shared" si="1"/>
        <v>335.09999999999991</v>
      </c>
    </row>
    <row r="19" spans="1:18" x14ac:dyDescent="0.25">
      <c r="A19" s="104">
        <v>1119.01</v>
      </c>
      <c r="B19" s="105" t="s">
        <v>174</v>
      </c>
      <c r="C19" s="105" t="s">
        <v>7</v>
      </c>
      <c r="D19" s="108" t="s">
        <v>459</v>
      </c>
      <c r="E19" s="104" t="s">
        <v>460</v>
      </c>
      <c r="F19" s="105"/>
      <c r="G19" s="108">
        <v>0.25</v>
      </c>
      <c r="H19" s="107"/>
      <c r="I19" s="108">
        <v>74.78</v>
      </c>
      <c r="J19" s="108">
        <v>1.1200000000000001</v>
      </c>
      <c r="K19" s="108">
        <v>21.81</v>
      </c>
      <c r="L19" s="108">
        <v>2.93</v>
      </c>
      <c r="M19" s="108">
        <v>0</v>
      </c>
      <c r="N19" s="108">
        <v>0</v>
      </c>
      <c r="O19" s="108">
        <v>-0.64000000000000101</v>
      </c>
      <c r="P19" s="108">
        <v>0</v>
      </c>
      <c r="Q19" s="108">
        <v>120</v>
      </c>
      <c r="R19" s="109">
        <f t="shared" si="1"/>
        <v>113.61</v>
      </c>
    </row>
    <row r="20" spans="1:18" s="96" customFormat="1" x14ac:dyDescent="0.25">
      <c r="A20" s="104">
        <v>1121.01</v>
      </c>
      <c r="B20" s="105" t="s">
        <v>175</v>
      </c>
      <c r="C20" s="105" t="s">
        <v>291</v>
      </c>
      <c r="D20" s="108" t="s">
        <v>295</v>
      </c>
      <c r="E20" s="104" t="s">
        <v>711</v>
      </c>
      <c r="F20" s="105"/>
      <c r="G20" s="108">
        <v>0</v>
      </c>
      <c r="H20" s="108"/>
      <c r="I20" s="108">
        <v>64.3</v>
      </c>
      <c r="J20" s="108">
        <v>1</v>
      </c>
      <c r="K20" s="108">
        <v>18.399999999999999</v>
      </c>
      <c r="L20" s="108">
        <v>18</v>
      </c>
      <c r="M20" s="108">
        <v>0</v>
      </c>
      <c r="N20" s="108">
        <v>0</v>
      </c>
      <c r="O20" s="108">
        <v>29</v>
      </c>
      <c r="P20" s="108">
        <v>0</v>
      </c>
      <c r="Q20" s="108">
        <v>235</v>
      </c>
      <c r="R20" s="109">
        <f t="shared" si="1"/>
        <v>235.6</v>
      </c>
    </row>
    <row r="21" spans="1:18" x14ac:dyDescent="0.25">
      <c r="A21" s="104">
        <v>1122.01</v>
      </c>
      <c r="B21" s="105" t="s">
        <v>119</v>
      </c>
      <c r="C21" s="105" t="s">
        <v>291</v>
      </c>
      <c r="D21" s="108" t="s">
        <v>295</v>
      </c>
      <c r="E21" s="104" t="s">
        <v>296</v>
      </c>
      <c r="F21" s="105"/>
      <c r="G21" s="108">
        <v>0</v>
      </c>
      <c r="H21" s="108"/>
      <c r="I21" s="108">
        <v>46.6</v>
      </c>
      <c r="J21" s="108">
        <v>1.2</v>
      </c>
      <c r="K21" s="108">
        <v>12.3</v>
      </c>
      <c r="L21" s="108">
        <v>38.799999999999997</v>
      </c>
      <c r="M21" s="108">
        <v>0</v>
      </c>
      <c r="N21" s="108">
        <v>0</v>
      </c>
      <c r="O21" s="108">
        <v>1.0999999999999943</v>
      </c>
      <c r="P21" s="108">
        <f t="shared" si="0"/>
        <v>1.0999999999999943</v>
      </c>
      <c r="Q21" s="108">
        <v>398</v>
      </c>
      <c r="R21" s="109">
        <f t="shared" si="1"/>
        <v>402.79999999999995</v>
      </c>
    </row>
    <row r="22" spans="1:18" x14ac:dyDescent="0.25">
      <c r="A22" s="104">
        <v>1123.01</v>
      </c>
      <c r="B22" s="105" t="s">
        <v>176</v>
      </c>
      <c r="C22" s="105" t="s">
        <v>291</v>
      </c>
      <c r="D22" s="108" t="s">
        <v>297</v>
      </c>
      <c r="E22" s="104" t="s">
        <v>298</v>
      </c>
      <c r="F22" s="105"/>
      <c r="G22" s="108">
        <v>0.26</v>
      </c>
      <c r="H22" s="108"/>
      <c r="I22" s="108">
        <v>68</v>
      </c>
      <c r="J22" s="108">
        <v>1.1000000000000001</v>
      </c>
      <c r="K22" s="108">
        <v>17.5</v>
      </c>
      <c r="L22" s="108">
        <v>10.6</v>
      </c>
      <c r="M22" s="108">
        <v>0</v>
      </c>
      <c r="N22" s="108">
        <v>0</v>
      </c>
      <c r="O22" s="108">
        <v>0</v>
      </c>
      <c r="P22" s="108">
        <f t="shared" si="0"/>
        <v>2.7999999999999989</v>
      </c>
      <c r="Q22" s="108">
        <v>165</v>
      </c>
      <c r="R22" s="109">
        <f t="shared" si="1"/>
        <v>176.59999999999997</v>
      </c>
    </row>
    <row r="23" spans="1:18" x14ac:dyDescent="0.25">
      <c r="A23" s="104">
        <v>1123.02</v>
      </c>
      <c r="B23" s="105" t="s">
        <v>177</v>
      </c>
      <c r="C23" s="105" t="s">
        <v>390</v>
      </c>
      <c r="D23" s="108" t="s">
        <v>397</v>
      </c>
      <c r="E23" s="104" t="s">
        <v>398</v>
      </c>
      <c r="F23" s="105"/>
      <c r="G23" s="108">
        <v>0.25</v>
      </c>
      <c r="H23" s="108"/>
      <c r="I23" s="108">
        <v>47.5</v>
      </c>
      <c r="J23" s="108">
        <v>1.5</v>
      </c>
      <c r="K23" s="108">
        <v>24.6</v>
      </c>
      <c r="L23" s="108">
        <v>25.2</v>
      </c>
      <c r="M23" s="108">
        <v>0</v>
      </c>
      <c r="N23" s="108">
        <v>0</v>
      </c>
      <c r="O23" s="108">
        <v>1.1999999999999993</v>
      </c>
      <c r="P23" s="108">
        <f t="shared" si="0"/>
        <v>1.1999999999999993</v>
      </c>
      <c r="Q23" s="108">
        <v>325</v>
      </c>
      <c r="R23" s="109">
        <f t="shared" si="1"/>
        <v>330</v>
      </c>
    </row>
    <row r="24" spans="1:18" x14ac:dyDescent="0.25">
      <c r="A24" s="104">
        <v>1124.01</v>
      </c>
      <c r="B24" s="105" t="s">
        <v>178</v>
      </c>
      <c r="C24" s="105" t="s">
        <v>390</v>
      </c>
      <c r="D24" s="108" t="s">
        <v>399</v>
      </c>
      <c r="E24" s="104" t="s">
        <v>400</v>
      </c>
      <c r="F24" s="105"/>
      <c r="G24" s="108">
        <v>0</v>
      </c>
      <c r="H24" s="108"/>
      <c r="I24" s="108">
        <v>72.900000000000006</v>
      </c>
      <c r="J24" s="108">
        <v>1</v>
      </c>
      <c r="K24" s="108">
        <v>20.399999999999999</v>
      </c>
      <c r="L24" s="108">
        <v>5.9</v>
      </c>
      <c r="M24" s="108">
        <v>0</v>
      </c>
      <c r="N24" s="108">
        <v>0</v>
      </c>
      <c r="O24" s="108">
        <v>-0.20000000000000462</v>
      </c>
      <c r="P24" s="108">
        <v>0</v>
      </c>
      <c r="Q24" s="108">
        <v>134</v>
      </c>
      <c r="R24" s="109">
        <f t="shared" si="1"/>
        <v>134.69999999999999</v>
      </c>
    </row>
    <row r="25" spans="1:18" x14ac:dyDescent="0.25">
      <c r="A25" s="104">
        <v>1124.02</v>
      </c>
      <c r="B25" s="105" t="s">
        <v>554</v>
      </c>
      <c r="C25" s="105" t="s">
        <v>7</v>
      </c>
      <c r="D25" s="108" t="s">
        <v>555</v>
      </c>
      <c r="E25" s="104" t="s">
        <v>556</v>
      </c>
      <c r="F25" s="105"/>
      <c r="G25" s="106">
        <v>0</v>
      </c>
      <c r="H25" s="107"/>
      <c r="I25" s="108">
        <v>62.07</v>
      </c>
      <c r="J25" s="108">
        <v>1.26</v>
      </c>
      <c r="K25" s="108">
        <v>27.37</v>
      </c>
      <c r="L25" s="108">
        <v>10.4</v>
      </c>
      <c r="M25" s="108">
        <v>0</v>
      </c>
      <c r="N25" s="108">
        <v>0</v>
      </c>
      <c r="O25" s="108">
        <v>0</v>
      </c>
      <c r="P25" s="108">
        <v>0</v>
      </c>
      <c r="Q25" s="108">
        <v>203</v>
      </c>
      <c r="R25" s="109">
        <f t="shared" si="1"/>
        <v>203.08</v>
      </c>
    </row>
    <row r="26" spans="1:18" x14ac:dyDescent="0.25">
      <c r="A26" s="104">
        <v>1125.01</v>
      </c>
      <c r="B26" s="105" t="s">
        <v>179</v>
      </c>
      <c r="C26" s="105" t="s">
        <v>305</v>
      </c>
      <c r="D26" s="108" t="s">
        <v>295</v>
      </c>
      <c r="E26" s="104" t="s">
        <v>296</v>
      </c>
      <c r="F26" s="105"/>
      <c r="G26" s="108">
        <v>1</v>
      </c>
      <c r="H26" s="108"/>
      <c r="I26" s="108">
        <v>46.6</v>
      </c>
      <c r="J26" s="108">
        <v>1.2</v>
      </c>
      <c r="K26" s="108">
        <v>12.3</v>
      </c>
      <c r="L26" s="108">
        <v>38.799999999999997</v>
      </c>
      <c r="M26" s="108">
        <v>0</v>
      </c>
      <c r="N26" s="108">
        <v>0</v>
      </c>
      <c r="O26" s="108">
        <v>1.0999999999999943</v>
      </c>
      <c r="P26" s="108">
        <f t="shared" si="0"/>
        <v>1.0999999999999943</v>
      </c>
      <c r="Q26" s="108">
        <v>398</v>
      </c>
      <c r="R26" s="109">
        <f t="shared" si="1"/>
        <v>402.79999999999995</v>
      </c>
    </row>
    <row r="27" spans="1:18" x14ac:dyDescent="0.25">
      <c r="A27" s="104">
        <v>1125.02</v>
      </c>
      <c r="B27" s="105" t="s">
        <v>557</v>
      </c>
      <c r="C27" s="105" t="s">
        <v>7</v>
      </c>
      <c r="D27" s="108" t="s">
        <v>461</v>
      </c>
      <c r="E27" s="104" t="s">
        <v>462</v>
      </c>
      <c r="F27" s="105"/>
      <c r="G27" s="108">
        <v>0</v>
      </c>
      <c r="H27" s="107"/>
      <c r="I27" s="108">
        <v>65.3</v>
      </c>
      <c r="J27" s="108">
        <v>3.7</v>
      </c>
      <c r="K27" s="108">
        <v>16.5</v>
      </c>
      <c r="L27" s="108">
        <v>10.3</v>
      </c>
      <c r="M27" s="108">
        <v>0</v>
      </c>
      <c r="N27" s="108">
        <v>0</v>
      </c>
      <c r="O27" s="108">
        <v>4.2</v>
      </c>
      <c r="P27" s="108">
        <f t="shared" si="0"/>
        <v>4.2000000000000028</v>
      </c>
      <c r="Q27" s="108">
        <v>180</v>
      </c>
      <c r="R27" s="109">
        <f t="shared" si="1"/>
        <v>175.5</v>
      </c>
    </row>
    <row r="28" spans="1:18" x14ac:dyDescent="0.25">
      <c r="A28" s="104">
        <v>1125.03</v>
      </c>
      <c r="B28" s="105" t="s">
        <v>180</v>
      </c>
      <c r="C28" s="105" t="s">
        <v>390</v>
      </c>
      <c r="D28" s="108" t="s">
        <v>403</v>
      </c>
      <c r="E28" s="104" t="s">
        <v>404</v>
      </c>
      <c r="F28" s="105"/>
      <c r="G28" s="108">
        <v>0</v>
      </c>
      <c r="H28" s="108"/>
      <c r="I28" s="108">
        <v>73.2</v>
      </c>
      <c r="J28" s="108">
        <v>1</v>
      </c>
      <c r="K28" s="108">
        <v>21.7</v>
      </c>
      <c r="L28" s="108">
        <v>4.3</v>
      </c>
      <c r="M28" s="108">
        <v>0</v>
      </c>
      <c r="N28" s="108">
        <v>0</v>
      </c>
      <c r="O28" s="108">
        <v>0</v>
      </c>
      <c r="P28" s="108">
        <v>0</v>
      </c>
      <c r="Q28" s="108">
        <v>126</v>
      </c>
      <c r="R28" s="109">
        <f t="shared" si="1"/>
        <v>125.5</v>
      </c>
    </row>
    <row r="29" spans="1:18" x14ac:dyDescent="0.25">
      <c r="A29" s="104">
        <v>1125.04</v>
      </c>
      <c r="B29" s="105" t="s">
        <v>181</v>
      </c>
      <c r="C29" s="105" t="s">
        <v>390</v>
      </c>
      <c r="D29" s="108" t="s">
        <v>401</v>
      </c>
      <c r="E29" s="104" t="s">
        <v>402</v>
      </c>
      <c r="F29" s="105"/>
      <c r="G29" s="108">
        <v>0</v>
      </c>
      <c r="H29" s="108"/>
      <c r="I29" s="108">
        <v>64.900000000000006</v>
      </c>
      <c r="J29" s="108">
        <v>2.6</v>
      </c>
      <c r="K29" s="108">
        <v>10.5</v>
      </c>
      <c r="L29" s="108">
        <v>19.399999999999999</v>
      </c>
      <c r="M29" s="108">
        <v>0</v>
      </c>
      <c r="N29" s="108">
        <v>0</v>
      </c>
      <c r="O29" s="108">
        <v>2.5999999999999943</v>
      </c>
      <c r="P29" s="108">
        <f t="shared" si="0"/>
        <v>2.5999999999999943</v>
      </c>
      <c r="Q29" s="108">
        <v>227</v>
      </c>
      <c r="R29" s="109">
        <f t="shared" si="1"/>
        <v>226.99999999999997</v>
      </c>
    </row>
    <row r="30" spans="1:18" x14ac:dyDescent="0.25">
      <c r="A30" s="104">
        <v>1125.05</v>
      </c>
      <c r="B30" s="105" t="s">
        <v>182</v>
      </c>
      <c r="C30" s="105" t="s">
        <v>7</v>
      </c>
      <c r="D30" s="108" t="s">
        <v>461</v>
      </c>
      <c r="E30" s="104" t="s">
        <v>462</v>
      </c>
      <c r="F30" s="105"/>
      <c r="G30" s="108">
        <v>0</v>
      </c>
      <c r="H30" s="107"/>
      <c r="I30" s="108">
        <v>61.05</v>
      </c>
      <c r="J30" s="108">
        <v>0.9</v>
      </c>
      <c r="K30" s="108">
        <v>19.329999999999998</v>
      </c>
      <c r="L30" s="108">
        <v>19.059999999999999</v>
      </c>
      <c r="M30" s="108">
        <v>0</v>
      </c>
      <c r="N30" s="108">
        <v>0</v>
      </c>
      <c r="O30" s="108">
        <v>-0.33999999999999275</v>
      </c>
      <c r="P30" s="108">
        <v>0</v>
      </c>
      <c r="Q30" s="108">
        <v>254</v>
      </c>
      <c r="R30" s="109">
        <f t="shared" si="1"/>
        <v>248.85999999999999</v>
      </c>
    </row>
    <row r="31" spans="1:18" x14ac:dyDescent="0.25">
      <c r="A31" s="104">
        <v>1125.06</v>
      </c>
      <c r="B31" s="105" t="s">
        <v>183</v>
      </c>
      <c r="C31" s="105" t="s">
        <v>390</v>
      </c>
      <c r="D31" s="108" t="s">
        <v>401</v>
      </c>
      <c r="E31" s="104" t="s">
        <v>402</v>
      </c>
      <c r="F31" s="105"/>
      <c r="G31" s="108">
        <v>0</v>
      </c>
      <c r="H31" s="108"/>
      <c r="I31" s="108">
        <v>64.900000000000006</v>
      </c>
      <c r="J31" s="108">
        <v>2.6</v>
      </c>
      <c r="K31" s="108">
        <v>10.5</v>
      </c>
      <c r="L31" s="108">
        <v>19.399999999999999</v>
      </c>
      <c r="M31" s="108">
        <v>0</v>
      </c>
      <c r="N31" s="108">
        <v>0</v>
      </c>
      <c r="O31" s="108">
        <v>2.5999999999999943</v>
      </c>
      <c r="P31" s="108">
        <f t="shared" si="0"/>
        <v>2.5999999999999943</v>
      </c>
      <c r="Q31" s="108">
        <v>227</v>
      </c>
      <c r="R31" s="109">
        <f t="shared" si="1"/>
        <v>226.99999999999997</v>
      </c>
    </row>
    <row r="32" spans="1:18" x14ac:dyDescent="0.25">
      <c r="A32" s="104">
        <v>1125.07</v>
      </c>
      <c r="B32" s="105" t="s">
        <v>184</v>
      </c>
      <c r="C32" s="105" t="s">
        <v>452</v>
      </c>
      <c r="D32" s="108" t="s">
        <v>318</v>
      </c>
      <c r="E32" s="104" t="s">
        <v>319</v>
      </c>
      <c r="F32" s="105"/>
      <c r="G32" s="108">
        <v>0</v>
      </c>
      <c r="H32" s="108"/>
      <c r="I32" s="108">
        <v>84.2</v>
      </c>
      <c r="J32" s="108">
        <v>0.6</v>
      </c>
      <c r="K32" s="108">
        <v>12.1</v>
      </c>
      <c r="L32" s="108">
        <v>3.7</v>
      </c>
      <c r="M32" s="108">
        <v>0</v>
      </c>
      <c r="N32" s="108">
        <v>0</v>
      </c>
      <c r="O32" s="108">
        <v>0</v>
      </c>
      <c r="P32" s="108">
        <v>0</v>
      </c>
      <c r="Q32" s="108">
        <v>81</v>
      </c>
      <c r="R32" s="109">
        <f t="shared" si="1"/>
        <v>81.7</v>
      </c>
    </row>
    <row r="33" spans="1:18" x14ac:dyDescent="0.25">
      <c r="A33" s="104">
        <v>1125.08</v>
      </c>
      <c r="B33" s="105" t="s">
        <v>185</v>
      </c>
      <c r="C33" s="105" t="s">
        <v>291</v>
      </c>
      <c r="D33" s="108" t="s">
        <v>289</v>
      </c>
      <c r="E33" s="104" t="s">
        <v>290</v>
      </c>
      <c r="F33" s="105"/>
      <c r="G33" s="108">
        <v>0</v>
      </c>
      <c r="H33" s="108"/>
      <c r="I33" s="108">
        <v>71</v>
      </c>
      <c r="J33" s="108">
        <v>1.3</v>
      </c>
      <c r="K33" s="108">
        <v>19.399999999999999</v>
      </c>
      <c r="L33" s="108">
        <v>4.4000000000000004</v>
      </c>
      <c r="M33" s="108">
        <v>0</v>
      </c>
      <c r="N33" s="108">
        <v>0</v>
      </c>
      <c r="O33" s="108">
        <v>3.9000000000000004</v>
      </c>
      <c r="P33" s="108">
        <f t="shared" si="0"/>
        <v>3.9000000000000004</v>
      </c>
      <c r="Q33" s="108">
        <v>132</v>
      </c>
      <c r="R33" s="109">
        <f t="shared" si="1"/>
        <v>132.79999999999998</v>
      </c>
    </row>
    <row r="34" spans="1:18" x14ac:dyDescent="0.25">
      <c r="A34" s="104">
        <v>1126.01</v>
      </c>
      <c r="B34" s="105" t="s">
        <v>186</v>
      </c>
      <c r="C34" s="105" t="s">
        <v>291</v>
      </c>
      <c r="D34" s="108" t="s">
        <v>299</v>
      </c>
      <c r="E34" s="104" t="s">
        <v>300</v>
      </c>
      <c r="F34" s="105"/>
      <c r="G34" s="108">
        <v>0</v>
      </c>
      <c r="H34" s="108"/>
      <c r="I34" s="108">
        <v>69.5</v>
      </c>
      <c r="J34" s="108">
        <v>1</v>
      </c>
      <c r="K34" s="108">
        <v>20.100000000000001</v>
      </c>
      <c r="L34" s="108">
        <v>10</v>
      </c>
      <c r="M34" s="108">
        <v>0</v>
      </c>
      <c r="N34" s="108">
        <v>0</v>
      </c>
      <c r="O34" s="108">
        <v>0</v>
      </c>
      <c r="P34" s="108">
        <v>0</v>
      </c>
      <c r="Q34" s="108">
        <v>170</v>
      </c>
      <c r="R34" s="109">
        <f t="shared" si="1"/>
        <v>170.4</v>
      </c>
    </row>
    <row r="35" spans="1:18" x14ac:dyDescent="0.25">
      <c r="A35" s="104">
        <v>1126.02</v>
      </c>
      <c r="B35" s="105" t="s">
        <v>187</v>
      </c>
      <c r="C35" s="105" t="s">
        <v>291</v>
      </c>
      <c r="D35" s="108" t="s">
        <v>301</v>
      </c>
      <c r="E35" s="104" t="s">
        <v>302</v>
      </c>
      <c r="F35" s="105"/>
      <c r="G35" s="108">
        <v>0</v>
      </c>
      <c r="H35" s="108"/>
      <c r="I35" s="108">
        <v>57.7</v>
      </c>
      <c r="J35" s="108">
        <v>2.9</v>
      </c>
      <c r="K35" s="108">
        <v>27.1</v>
      </c>
      <c r="L35" s="108">
        <v>14.9</v>
      </c>
      <c r="M35" s="108">
        <v>0</v>
      </c>
      <c r="N35" s="108">
        <v>0</v>
      </c>
      <c r="O35" s="108">
        <v>-2.6000000000000032</v>
      </c>
      <c r="P35" s="108">
        <v>0</v>
      </c>
      <c r="Q35" s="108">
        <v>243</v>
      </c>
      <c r="R35" s="109">
        <f t="shared" si="1"/>
        <v>242.5</v>
      </c>
    </row>
    <row r="36" spans="1:18" x14ac:dyDescent="0.25">
      <c r="A36" s="104">
        <v>1127.01</v>
      </c>
      <c r="B36" s="105" t="s">
        <v>188</v>
      </c>
      <c r="C36" s="105" t="s">
        <v>7</v>
      </c>
      <c r="D36" s="108">
        <v>17164</v>
      </c>
      <c r="E36" s="104" t="s">
        <v>309</v>
      </c>
      <c r="F36" s="105"/>
      <c r="G36" s="108">
        <v>0</v>
      </c>
      <c r="H36" s="107"/>
      <c r="I36" s="108">
        <v>73.569999999999993</v>
      </c>
      <c r="J36" s="108">
        <v>1.1599999999999999</v>
      </c>
      <c r="K36" s="108">
        <v>22.96</v>
      </c>
      <c r="L36" s="108">
        <v>2.42</v>
      </c>
      <c r="M36" s="108">
        <v>0</v>
      </c>
      <c r="N36" s="108">
        <v>0</v>
      </c>
      <c r="O36" s="108">
        <v>-0.1099999999999941</v>
      </c>
      <c r="P36" s="108">
        <v>0</v>
      </c>
      <c r="Q36" s="108">
        <v>120</v>
      </c>
      <c r="R36" s="109">
        <f t="shared" si="1"/>
        <v>113.62</v>
      </c>
    </row>
    <row r="37" spans="1:18" x14ac:dyDescent="0.25">
      <c r="A37" s="117">
        <v>1127.02</v>
      </c>
      <c r="B37" s="49" t="s">
        <v>558</v>
      </c>
      <c r="C37" s="105" t="s">
        <v>291</v>
      </c>
      <c r="D37" s="108" t="s">
        <v>295</v>
      </c>
      <c r="E37" s="104" t="s">
        <v>296</v>
      </c>
      <c r="F37" s="105"/>
      <c r="G37" s="108">
        <v>0</v>
      </c>
      <c r="H37" s="108"/>
      <c r="I37" s="108">
        <v>46.6</v>
      </c>
      <c r="J37" s="108">
        <v>1.2</v>
      </c>
      <c r="K37" s="108">
        <v>12.3</v>
      </c>
      <c r="L37" s="108">
        <v>38.799999999999997</v>
      </c>
      <c r="M37" s="108">
        <v>0</v>
      </c>
      <c r="N37" s="108">
        <v>0</v>
      </c>
      <c r="O37" s="108">
        <v>1.0999999999999943</v>
      </c>
      <c r="P37" s="108">
        <f t="shared" si="0"/>
        <v>1.0999999999999943</v>
      </c>
      <c r="Q37" s="108">
        <v>398</v>
      </c>
      <c r="R37" s="109">
        <f t="shared" si="1"/>
        <v>402.79999999999995</v>
      </c>
    </row>
    <row r="38" spans="1:18" x14ac:dyDescent="0.25">
      <c r="A38" s="104">
        <v>1127.03</v>
      </c>
      <c r="B38" s="105" t="s">
        <v>189</v>
      </c>
      <c r="C38" s="105" t="s">
        <v>7</v>
      </c>
      <c r="D38" s="108">
        <v>17170</v>
      </c>
      <c r="E38" s="104" t="s">
        <v>308</v>
      </c>
      <c r="F38" s="105"/>
      <c r="G38" s="108">
        <v>0</v>
      </c>
      <c r="H38" s="107"/>
      <c r="I38" s="108">
        <v>72.63</v>
      </c>
      <c r="J38" s="108">
        <v>0.99</v>
      </c>
      <c r="K38" s="108">
        <v>21.39</v>
      </c>
      <c r="L38" s="108">
        <v>4.5999999999999996</v>
      </c>
      <c r="M38" s="108">
        <v>0</v>
      </c>
      <c r="N38" s="108">
        <v>0</v>
      </c>
      <c r="O38" s="108">
        <v>0.3900000000000059</v>
      </c>
      <c r="P38" s="108">
        <f t="shared" si="0"/>
        <v>0.3900000000000059</v>
      </c>
      <c r="Q38" s="108">
        <v>133</v>
      </c>
      <c r="R38" s="109">
        <f t="shared" si="1"/>
        <v>128.52000000000004</v>
      </c>
    </row>
    <row r="39" spans="1:18" x14ac:dyDescent="0.25">
      <c r="A39" s="104">
        <v>1127.04</v>
      </c>
      <c r="B39" s="105" t="s">
        <v>559</v>
      </c>
      <c r="C39" s="105" t="s">
        <v>7</v>
      </c>
      <c r="D39" s="108" t="s">
        <v>567</v>
      </c>
      <c r="E39" s="104" t="s">
        <v>568</v>
      </c>
      <c r="F39" s="105"/>
      <c r="G39" s="108">
        <v>0</v>
      </c>
      <c r="H39" s="107"/>
      <c r="I39" s="108">
        <v>81.900000000000006</v>
      </c>
      <c r="J39" s="108">
        <v>1.4</v>
      </c>
      <c r="K39" s="108">
        <v>16.399999999999999</v>
      </c>
      <c r="L39" s="108">
        <v>0.3</v>
      </c>
      <c r="M39" s="108">
        <v>0</v>
      </c>
      <c r="N39" s="108">
        <v>0</v>
      </c>
      <c r="O39" s="108">
        <v>-2.8310687127941492E-15</v>
      </c>
      <c r="P39" s="108">
        <v>0</v>
      </c>
      <c r="Q39" s="108">
        <v>81.900000000000006</v>
      </c>
      <c r="R39" s="109">
        <f t="shared" si="1"/>
        <v>68.3</v>
      </c>
    </row>
    <row r="40" spans="1:18" x14ac:dyDescent="0.25">
      <c r="A40" s="104">
        <v>1128.01</v>
      </c>
      <c r="B40" s="105" t="s">
        <v>190</v>
      </c>
      <c r="C40" s="105" t="s">
        <v>570</v>
      </c>
      <c r="D40" s="112" t="s">
        <v>571</v>
      </c>
      <c r="E40" s="110" t="s">
        <v>572</v>
      </c>
      <c r="F40" s="105"/>
      <c r="G40" s="108">
        <v>0</v>
      </c>
      <c r="H40" s="108"/>
      <c r="I40" s="111">
        <v>77.3</v>
      </c>
      <c r="J40" s="111">
        <v>1.7</v>
      </c>
      <c r="K40" s="111">
        <v>14.1</v>
      </c>
      <c r="L40" s="111">
        <v>3.6</v>
      </c>
      <c r="M40" s="111">
        <v>2.6</v>
      </c>
      <c r="N40" s="108">
        <v>0</v>
      </c>
      <c r="O40" s="111">
        <v>0.3900000000000059</v>
      </c>
      <c r="P40" s="108">
        <f t="shared" si="0"/>
        <v>0.70000000000000373</v>
      </c>
      <c r="Q40" s="111">
        <v>97</v>
      </c>
      <c r="R40" s="109">
        <f t="shared" si="1"/>
        <v>96.800000000000011</v>
      </c>
    </row>
    <row r="41" spans="1:18" x14ac:dyDescent="0.25">
      <c r="A41" s="104">
        <v>1129.99</v>
      </c>
      <c r="B41" s="105" t="s">
        <v>191</v>
      </c>
      <c r="C41" s="105" t="s">
        <v>390</v>
      </c>
      <c r="D41" s="108" t="s">
        <v>405</v>
      </c>
      <c r="E41" s="104" t="s">
        <v>406</v>
      </c>
      <c r="F41" s="105"/>
      <c r="G41" s="108">
        <v>0</v>
      </c>
      <c r="H41" s="108"/>
      <c r="I41" s="108">
        <v>23.4</v>
      </c>
      <c r="J41" s="108">
        <v>3.4</v>
      </c>
      <c r="K41" s="108">
        <v>66.7</v>
      </c>
      <c r="L41" s="108">
        <v>7</v>
      </c>
      <c r="M41" s="108">
        <v>0</v>
      </c>
      <c r="N41" s="108">
        <v>0</v>
      </c>
      <c r="O41" s="108">
        <v>0</v>
      </c>
      <c r="P41" s="108">
        <v>0</v>
      </c>
      <c r="Q41" s="108">
        <v>330</v>
      </c>
      <c r="R41" s="109">
        <f t="shared" si="1"/>
        <v>329.8</v>
      </c>
    </row>
    <row r="42" spans="1:18" x14ac:dyDescent="0.25">
      <c r="A42" s="104">
        <v>1131.01</v>
      </c>
      <c r="B42" s="105" t="s">
        <v>192</v>
      </c>
      <c r="C42" s="105" t="s">
        <v>305</v>
      </c>
      <c r="D42" s="108" t="s">
        <v>312</v>
      </c>
      <c r="E42" s="104" t="s">
        <v>311</v>
      </c>
      <c r="F42" s="105"/>
      <c r="G42" s="108">
        <v>0.45</v>
      </c>
      <c r="H42" s="108"/>
      <c r="I42" s="108">
        <v>76.5</v>
      </c>
      <c r="J42" s="108">
        <v>1.7</v>
      </c>
      <c r="K42" s="108">
        <v>18.8</v>
      </c>
      <c r="L42" s="108">
        <v>2.7</v>
      </c>
      <c r="M42" s="108">
        <v>0</v>
      </c>
      <c r="N42" s="108">
        <v>0</v>
      </c>
      <c r="O42" s="108">
        <v>0</v>
      </c>
      <c r="P42" s="108">
        <f t="shared" si="0"/>
        <v>0.29999999999999982</v>
      </c>
      <c r="Q42" s="108">
        <v>99</v>
      </c>
      <c r="R42" s="109">
        <f t="shared" si="1"/>
        <v>100.7</v>
      </c>
    </row>
    <row r="43" spans="1:18" x14ac:dyDescent="0.25">
      <c r="A43" s="104">
        <v>1131.02</v>
      </c>
      <c r="B43" s="105" t="s">
        <v>193</v>
      </c>
      <c r="C43" s="105" t="s">
        <v>305</v>
      </c>
      <c r="D43" s="108" t="s">
        <v>313</v>
      </c>
      <c r="E43" s="104" t="s">
        <v>314</v>
      </c>
      <c r="F43" s="105"/>
      <c r="G43" s="108">
        <v>0.28999999999999998</v>
      </c>
      <c r="H43" s="108"/>
      <c r="I43" s="108">
        <v>72.5</v>
      </c>
      <c r="J43" s="108">
        <v>1.4</v>
      </c>
      <c r="K43" s="108">
        <v>19.7</v>
      </c>
      <c r="L43" s="108">
        <v>5</v>
      </c>
      <c r="M43" s="108">
        <v>0</v>
      </c>
      <c r="N43" s="108">
        <v>0</v>
      </c>
      <c r="O43" s="108">
        <v>0</v>
      </c>
      <c r="P43" s="108">
        <f t="shared" si="0"/>
        <v>1.4000000000000021</v>
      </c>
      <c r="Q43" s="108">
        <v>124</v>
      </c>
      <c r="R43" s="109">
        <f t="shared" si="1"/>
        <v>129.4</v>
      </c>
    </row>
    <row r="44" spans="1:18" x14ac:dyDescent="0.25">
      <c r="A44" s="104">
        <v>1132.01</v>
      </c>
      <c r="B44" s="105" t="s">
        <v>560</v>
      </c>
      <c r="C44" s="105" t="s">
        <v>7</v>
      </c>
      <c r="D44" s="108" t="s">
        <v>561</v>
      </c>
      <c r="E44" s="104" t="s">
        <v>562</v>
      </c>
      <c r="F44" s="105"/>
      <c r="G44" s="108">
        <v>0</v>
      </c>
      <c r="H44" s="107"/>
      <c r="I44" s="108">
        <v>82.24</v>
      </c>
      <c r="J44" s="108">
        <v>1.34</v>
      </c>
      <c r="K44" s="108">
        <v>15.97</v>
      </c>
      <c r="L44" s="108">
        <v>0.95</v>
      </c>
      <c r="M44" s="108">
        <v>0</v>
      </c>
      <c r="N44" s="108">
        <v>0</v>
      </c>
      <c r="O44" s="108"/>
      <c r="P44" s="108">
        <v>0</v>
      </c>
      <c r="Q44" s="108">
        <v>77</v>
      </c>
      <c r="R44" s="109">
        <f t="shared" si="1"/>
        <v>72.430000000000007</v>
      </c>
    </row>
    <row r="45" spans="1:18" x14ac:dyDescent="0.25">
      <c r="A45" s="104">
        <v>1132.02</v>
      </c>
      <c r="B45" s="105" t="s">
        <v>563</v>
      </c>
      <c r="C45" s="105" t="s">
        <v>7</v>
      </c>
      <c r="D45" s="108" t="s">
        <v>564</v>
      </c>
      <c r="E45" s="104" t="s">
        <v>565</v>
      </c>
      <c r="F45" s="105"/>
      <c r="G45" s="108">
        <v>0</v>
      </c>
      <c r="H45" s="107"/>
      <c r="I45" s="108">
        <v>75.099999999999994</v>
      </c>
      <c r="J45" s="108">
        <v>2.56</v>
      </c>
      <c r="K45" s="108">
        <v>23.72</v>
      </c>
      <c r="L45" s="108">
        <v>1.51</v>
      </c>
      <c r="M45" s="108">
        <v>0</v>
      </c>
      <c r="N45" s="108">
        <v>0</v>
      </c>
      <c r="O45" s="108"/>
      <c r="P45" s="108">
        <v>0</v>
      </c>
      <c r="Q45" s="108">
        <v>115</v>
      </c>
      <c r="R45" s="109">
        <f t="shared" si="1"/>
        <v>108.47</v>
      </c>
    </row>
    <row r="46" spans="1:18" x14ac:dyDescent="0.25">
      <c r="A46" s="104">
        <v>1132.03</v>
      </c>
      <c r="B46" s="105" t="s">
        <v>566</v>
      </c>
      <c r="C46" s="105" t="s">
        <v>7</v>
      </c>
      <c r="D46" s="108" t="s">
        <v>567</v>
      </c>
      <c r="E46" s="104" t="s">
        <v>568</v>
      </c>
      <c r="F46" s="105"/>
      <c r="G46" s="108">
        <v>0</v>
      </c>
      <c r="H46" s="107"/>
      <c r="I46" s="108">
        <v>81.900000000000006</v>
      </c>
      <c r="J46" s="108">
        <v>1.4</v>
      </c>
      <c r="K46" s="108">
        <v>16.399999999999999</v>
      </c>
      <c r="L46" s="108">
        <v>0.3</v>
      </c>
      <c r="M46" s="108">
        <v>0</v>
      </c>
      <c r="N46" s="108">
        <v>0</v>
      </c>
      <c r="O46" s="108"/>
      <c r="P46" s="108">
        <v>0</v>
      </c>
      <c r="Q46" s="108">
        <v>81.900000000000006</v>
      </c>
      <c r="R46" s="109">
        <f t="shared" si="1"/>
        <v>68.3</v>
      </c>
    </row>
    <row r="47" spans="1:18" x14ac:dyDescent="0.25">
      <c r="A47" s="104">
        <v>1133.01</v>
      </c>
      <c r="B47" s="105" t="s">
        <v>194</v>
      </c>
      <c r="C47" s="105" t="s">
        <v>7</v>
      </c>
      <c r="D47" s="108">
        <v>15035</v>
      </c>
      <c r="E47" s="104" t="s">
        <v>315</v>
      </c>
      <c r="F47" s="105"/>
      <c r="G47" s="108">
        <v>0</v>
      </c>
      <c r="H47" s="107"/>
      <c r="I47" s="108">
        <v>71.48</v>
      </c>
      <c r="J47" s="108">
        <v>1.62</v>
      </c>
      <c r="K47" s="108">
        <v>25.23</v>
      </c>
      <c r="L47" s="108">
        <v>0.96</v>
      </c>
      <c r="M47" s="108">
        <v>0</v>
      </c>
      <c r="N47" s="108">
        <v>0</v>
      </c>
      <c r="O47" s="108">
        <v>0.70999999999999464</v>
      </c>
      <c r="P47" s="108">
        <f t="shared" si="0"/>
        <v>0.70999999999999464</v>
      </c>
      <c r="Q47" s="108">
        <v>116</v>
      </c>
      <c r="R47" s="109">
        <f t="shared" si="1"/>
        <v>112.39999999999998</v>
      </c>
    </row>
    <row r="48" spans="1:18" x14ac:dyDescent="0.25">
      <c r="A48" s="104">
        <v>1133.02</v>
      </c>
      <c r="B48" s="105" t="s">
        <v>195</v>
      </c>
      <c r="C48" s="105" t="s">
        <v>305</v>
      </c>
      <c r="D48" s="108" t="s">
        <v>317</v>
      </c>
      <c r="E48" s="104" t="s">
        <v>316</v>
      </c>
      <c r="F48" s="105"/>
      <c r="G48" s="108">
        <v>0.48</v>
      </c>
      <c r="H48" s="108"/>
      <c r="I48" s="108">
        <v>74.900000000000006</v>
      </c>
      <c r="J48" s="108">
        <v>2.5</v>
      </c>
      <c r="K48" s="108">
        <v>19.399999999999999</v>
      </c>
      <c r="L48" s="108">
        <v>2.9</v>
      </c>
      <c r="M48" s="108">
        <v>0</v>
      </c>
      <c r="N48" s="108">
        <v>0</v>
      </c>
      <c r="O48" s="108">
        <v>0</v>
      </c>
      <c r="P48" s="108">
        <f t="shared" si="0"/>
        <v>0.29999999999999583</v>
      </c>
      <c r="Q48" s="108">
        <v>103</v>
      </c>
      <c r="R48" s="109">
        <f t="shared" si="1"/>
        <v>104.89999999999998</v>
      </c>
    </row>
    <row r="49" spans="1:18" x14ac:dyDescent="0.25">
      <c r="A49" s="104">
        <v>1133.03</v>
      </c>
      <c r="B49" s="105" t="s">
        <v>196</v>
      </c>
      <c r="C49" s="105" t="s">
        <v>7</v>
      </c>
      <c r="D49" s="108">
        <v>35165</v>
      </c>
      <c r="E49" s="104" t="s">
        <v>310</v>
      </c>
      <c r="F49" s="105"/>
      <c r="G49" s="108">
        <v>0</v>
      </c>
      <c r="H49" s="107"/>
      <c r="I49" s="108">
        <v>20.59</v>
      </c>
      <c r="J49" s="108">
        <v>5.57</v>
      </c>
      <c r="K49" s="108">
        <v>62.44</v>
      </c>
      <c r="L49" s="108">
        <v>13.44</v>
      </c>
      <c r="M49" s="108">
        <v>0</v>
      </c>
      <c r="N49" s="108">
        <v>0</v>
      </c>
      <c r="O49" s="108">
        <v>-2.0399999999999938</v>
      </c>
      <c r="P49" s="108">
        <v>0</v>
      </c>
      <c r="Q49" s="108">
        <v>371</v>
      </c>
      <c r="R49" s="109">
        <f t="shared" si="1"/>
        <v>370.71999999999997</v>
      </c>
    </row>
    <row r="50" spans="1:18" x14ac:dyDescent="0.25">
      <c r="A50" s="104">
        <v>1134.01</v>
      </c>
      <c r="B50" s="105" t="s">
        <v>197</v>
      </c>
      <c r="C50" s="105" t="s">
        <v>305</v>
      </c>
      <c r="D50" s="108" t="s">
        <v>306</v>
      </c>
      <c r="E50" s="104" t="s">
        <v>307</v>
      </c>
      <c r="F50" s="105"/>
      <c r="G50" s="108">
        <v>0</v>
      </c>
      <c r="H50" s="108"/>
      <c r="I50" s="108">
        <v>57.9</v>
      </c>
      <c r="J50" s="108">
        <v>3.5</v>
      </c>
      <c r="K50" s="108">
        <v>24.7</v>
      </c>
      <c r="L50" s="108">
        <v>13.5</v>
      </c>
      <c r="M50" s="108">
        <v>0</v>
      </c>
      <c r="N50" s="108">
        <v>0</v>
      </c>
      <c r="O50" s="108">
        <v>0</v>
      </c>
      <c r="P50" s="108">
        <f t="shared" si="0"/>
        <v>0.40000000000000213</v>
      </c>
      <c r="Q50" s="108">
        <v>220</v>
      </c>
      <c r="R50" s="109">
        <f t="shared" si="1"/>
        <v>221.90000000000003</v>
      </c>
    </row>
    <row r="51" spans="1:18" x14ac:dyDescent="0.25">
      <c r="A51" s="104">
        <v>1139.99</v>
      </c>
      <c r="B51" s="105" t="s">
        <v>569</v>
      </c>
      <c r="C51" s="105" t="s">
        <v>7</v>
      </c>
      <c r="D51" s="108" t="s">
        <v>567</v>
      </c>
      <c r="E51" s="104" t="s">
        <v>568</v>
      </c>
      <c r="F51" s="105"/>
      <c r="G51" s="108">
        <v>0</v>
      </c>
      <c r="H51" s="107"/>
      <c r="I51" s="108">
        <v>81.900000000000006</v>
      </c>
      <c r="J51" s="108">
        <v>1.4</v>
      </c>
      <c r="K51" s="108">
        <v>16.399999999999999</v>
      </c>
      <c r="L51" s="108">
        <v>0.3</v>
      </c>
      <c r="M51" s="108">
        <v>0</v>
      </c>
      <c r="N51" s="108">
        <v>0</v>
      </c>
      <c r="O51" s="108"/>
      <c r="P51" s="108">
        <v>0</v>
      </c>
      <c r="Q51" s="108">
        <v>81.900000000000006</v>
      </c>
      <c r="R51" s="109">
        <f t="shared" si="1"/>
        <v>68.3</v>
      </c>
    </row>
    <row r="52" spans="1:18" x14ac:dyDescent="0.25">
      <c r="A52" s="104">
        <v>1141.01</v>
      </c>
      <c r="B52" s="105" t="s">
        <v>198</v>
      </c>
      <c r="C52" s="105" t="s">
        <v>305</v>
      </c>
      <c r="D52" s="108" t="s">
        <v>303</v>
      </c>
      <c r="E52" s="104" t="s">
        <v>304</v>
      </c>
      <c r="F52" s="105"/>
      <c r="G52" s="108">
        <v>0</v>
      </c>
      <c r="H52" s="108"/>
      <c r="I52" s="108">
        <v>87.7</v>
      </c>
      <c r="J52" s="108">
        <v>0.8</v>
      </c>
      <c r="K52" s="108">
        <v>3.4</v>
      </c>
      <c r="L52" s="108">
        <v>3.7</v>
      </c>
      <c r="M52" s="108">
        <v>0</v>
      </c>
      <c r="N52" s="108">
        <v>0</v>
      </c>
      <c r="O52" s="108">
        <v>4.3999999999999959</v>
      </c>
      <c r="P52" s="108">
        <f t="shared" si="0"/>
        <v>4.3999999999999959</v>
      </c>
      <c r="Q52" s="108">
        <v>65</v>
      </c>
      <c r="R52" s="109">
        <f t="shared" si="1"/>
        <v>64.499999999999986</v>
      </c>
    </row>
    <row r="53" spans="1:18" x14ac:dyDescent="0.25">
      <c r="A53" s="104">
        <v>1141.02</v>
      </c>
      <c r="B53" s="105" t="s">
        <v>199</v>
      </c>
      <c r="C53" s="105" t="s">
        <v>320</v>
      </c>
      <c r="D53" s="108" t="s">
        <v>303</v>
      </c>
      <c r="E53" s="104" t="s">
        <v>304</v>
      </c>
      <c r="F53" s="105"/>
      <c r="G53" s="108">
        <v>0</v>
      </c>
      <c r="H53" s="108"/>
      <c r="I53" s="108">
        <v>87.7</v>
      </c>
      <c r="J53" s="108">
        <v>0.8</v>
      </c>
      <c r="K53" s="108">
        <v>3.4</v>
      </c>
      <c r="L53" s="108">
        <v>3.7</v>
      </c>
      <c r="M53" s="108">
        <v>0</v>
      </c>
      <c r="N53" s="108">
        <v>0</v>
      </c>
      <c r="O53" s="108">
        <v>4.3000000000000016</v>
      </c>
      <c r="P53" s="108">
        <f t="shared" si="0"/>
        <v>4.3999999999999959</v>
      </c>
      <c r="Q53" s="108">
        <v>65</v>
      </c>
      <c r="R53" s="109">
        <f t="shared" si="1"/>
        <v>64.499999999999986</v>
      </c>
    </row>
    <row r="54" spans="1:18" x14ac:dyDescent="0.25">
      <c r="A54" s="104">
        <v>1141.99</v>
      </c>
      <c r="B54" s="105" t="s">
        <v>200</v>
      </c>
      <c r="C54" s="105" t="s">
        <v>390</v>
      </c>
      <c r="D54" s="108" t="s">
        <v>408</v>
      </c>
      <c r="E54" s="104" t="s">
        <v>409</v>
      </c>
      <c r="F54" s="105"/>
      <c r="G54" s="108">
        <v>0</v>
      </c>
      <c r="H54" s="108"/>
      <c r="I54" s="108">
        <v>80.599999999999994</v>
      </c>
      <c r="J54" s="108">
        <v>1</v>
      </c>
      <c r="K54" s="108">
        <v>3.3</v>
      </c>
      <c r="L54" s="108">
        <v>3.2</v>
      </c>
      <c r="M54" s="108">
        <v>0.5</v>
      </c>
      <c r="N54" s="108">
        <v>0</v>
      </c>
      <c r="O54" s="108">
        <v>11.400000000000006</v>
      </c>
      <c r="P54" s="108">
        <f t="shared" si="0"/>
        <v>11.400000000000006</v>
      </c>
      <c r="Q54" s="108">
        <v>89</v>
      </c>
      <c r="R54" s="109">
        <f t="shared" si="1"/>
        <v>88.600000000000023</v>
      </c>
    </row>
    <row r="55" spans="1:18" x14ac:dyDescent="0.25">
      <c r="A55" s="104">
        <v>1142.01</v>
      </c>
      <c r="B55" s="105" t="s">
        <v>542</v>
      </c>
      <c r="C55" s="105" t="s">
        <v>320</v>
      </c>
      <c r="D55" s="108" t="s">
        <v>330</v>
      </c>
      <c r="E55" s="104" t="s">
        <v>543</v>
      </c>
      <c r="F55" s="105"/>
      <c r="G55" s="108">
        <v>0</v>
      </c>
      <c r="H55" s="108"/>
      <c r="I55" s="108">
        <v>89.3</v>
      </c>
      <c r="J55" s="108">
        <v>0.8</v>
      </c>
      <c r="K55" s="108">
        <v>3.5</v>
      </c>
      <c r="L55" s="108">
        <v>1.6</v>
      </c>
      <c r="M55" s="108">
        <v>0</v>
      </c>
      <c r="N55" s="108">
        <v>0</v>
      </c>
      <c r="O55" s="108">
        <v>4.8</v>
      </c>
      <c r="P55" s="108">
        <f t="shared" si="0"/>
        <v>4.8000000000000025</v>
      </c>
      <c r="Q55" s="108">
        <v>48</v>
      </c>
      <c r="R55" s="109">
        <f t="shared" si="1"/>
        <v>47.600000000000009</v>
      </c>
    </row>
    <row r="56" spans="1:18" x14ac:dyDescent="0.25">
      <c r="A56" s="104">
        <v>1142.02</v>
      </c>
      <c r="B56" s="105" t="s">
        <v>544</v>
      </c>
      <c r="C56" s="105" t="s">
        <v>320</v>
      </c>
      <c r="D56" s="108" t="s">
        <v>545</v>
      </c>
      <c r="E56" s="104" t="s">
        <v>546</v>
      </c>
      <c r="F56" s="105"/>
      <c r="G56" s="108">
        <v>0</v>
      </c>
      <c r="H56" s="108"/>
      <c r="I56" s="108">
        <v>90.6</v>
      </c>
      <c r="J56" s="108">
        <v>0.7</v>
      </c>
      <c r="K56" s="108">
        <v>3.5</v>
      </c>
      <c r="L56" s="108">
        <v>0.5</v>
      </c>
      <c r="M56" s="108">
        <v>0</v>
      </c>
      <c r="N56" s="108">
        <v>0</v>
      </c>
      <c r="O56" s="108">
        <v>4.7</v>
      </c>
      <c r="P56" s="108">
        <f t="shared" si="0"/>
        <v>4.7000000000000064</v>
      </c>
      <c r="Q56" s="108">
        <v>37</v>
      </c>
      <c r="R56" s="109">
        <f t="shared" si="1"/>
        <v>37.300000000000026</v>
      </c>
    </row>
    <row r="57" spans="1:18" x14ac:dyDescent="0.25">
      <c r="A57" s="104">
        <v>1143.01</v>
      </c>
      <c r="B57" s="105" t="s">
        <v>547</v>
      </c>
      <c r="C57" s="105" t="s">
        <v>320</v>
      </c>
      <c r="D57" s="108" t="s">
        <v>548</v>
      </c>
      <c r="E57" s="104" t="s">
        <v>549</v>
      </c>
      <c r="F57" s="105"/>
      <c r="G57" s="108">
        <v>0</v>
      </c>
      <c r="H57" s="108"/>
      <c r="I57" s="108">
        <v>27.2</v>
      </c>
      <c r="J57" s="108">
        <v>1.8</v>
      </c>
      <c r="K57" s="108">
        <v>7.9</v>
      </c>
      <c r="L57" s="108">
        <v>8.6999999999999993</v>
      </c>
      <c r="M57" s="108">
        <v>0</v>
      </c>
      <c r="N57" s="108">
        <v>0</v>
      </c>
      <c r="O57" s="108">
        <v>54.4</v>
      </c>
      <c r="P57" s="108">
        <f t="shared" si="0"/>
        <v>54.400000000000006</v>
      </c>
      <c r="Q57" s="108">
        <v>328</v>
      </c>
      <c r="R57" s="109">
        <f t="shared" si="1"/>
        <v>327.5</v>
      </c>
    </row>
    <row r="58" spans="1:18" x14ac:dyDescent="0.25">
      <c r="A58" s="104">
        <v>1143.02</v>
      </c>
      <c r="B58" s="105" t="s">
        <v>151</v>
      </c>
      <c r="C58" s="105" t="s">
        <v>320</v>
      </c>
      <c r="D58" s="108" t="s">
        <v>322</v>
      </c>
      <c r="E58" s="104" t="s">
        <v>323</v>
      </c>
      <c r="F58" s="105" t="s">
        <v>66</v>
      </c>
      <c r="G58" s="108">
        <v>0</v>
      </c>
      <c r="H58" s="108"/>
      <c r="I58" s="108">
        <v>3.2</v>
      </c>
      <c r="J58" s="108">
        <v>7.9</v>
      </c>
      <c r="K58" s="108">
        <v>36.200000000000003</v>
      </c>
      <c r="L58" s="108">
        <v>0.8</v>
      </c>
      <c r="M58" s="108">
        <v>0</v>
      </c>
      <c r="N58" s="108">
        <v>0</v>
      </c>
      <c r="O58" s="108">
        <v>52</v>
      </c>
      <c r="P58" s="108">
        <f t="shared" si="0"/>
        <v>51.899999999999991</v>
      </c>
      <c r="Q58" s="108">
        <v>359</v>
      </c>
      <c r="R58" s="109">
        <f t="shared" si="1"/>
        <v>359.59999999999997</v>
      </c>
    </row>
    <row r="59" spans="1:18" x14ac:dyDescent="0.25">
      <c r="A59" s="104">
        <v>1143.03</v>
      </c>
      <c r="B59" s="105" t="s">
        <v>201</v>
      </c>
      <c r="C59" s="105" t="s">
        <v>320</v>
      </c>
      <c r="D59" s="108" t="s">
        <v>322</v>
      </c>
      <c r="E59" s="104" t="s">
        <v>323</v>
      </c>
      <c r="F59" s="105" t="s">
        <v>321</v>
      </c>
      <c r="G59" s="108">
        <v>0</v>
      </c>
      <c r="H59" s="108"/>
      <c r="I59" s="108">
        <v>3.2</v>
      </c>
      <c r="J59" s="108">
        <v>7.9</v>
      </c>
      <c r="K59" s="108">
        <v>36.200000000000003</v>
      </c>
      <c r="L59" s="108">
        <v>0.8</v>
      </c>
      <c r="M59" s="108">
        <v>0</v>
      </c>
      <c r="N59" s="108">
        <v>0</v>
      </c>
      <c r="O59" s="108">
        <v>52</v>
      </c>
      <c r="P59" s="108">
        <f t="shared" si="0"/>
        <v>51.899999999999991</v>
      </c>
      <c r="Q59" s="108">
        <v>359</v>
      </c>
      <c r="R59" s="109">
        <f t="shared" si="1"/>
        <v>359.59999999999997</v>
      </c>
    </row>
    <row r="60" spans="1:18" x14ac:dyDescent="0.25">
      <c r="A60" s="104">
        <v>1143.04</v>
      </c>
      <c r="B60" s="105" t="s">
        <v>202</v>
      </c>
      <c r="C60" s="105" t="s">
        <v>320</v>
      </c>
      <c r="D60" s="108" t="s">
        <v>324</v>
      </c>
      <c r="E60" s="104" t="s">
        <v>325</v>
      </c>
      <c r="F60" s="105" t="s">
        <v>321</v>
      </c>
      <c r="G60" s="108">
        <v>0</v>
      </c>
      <c r="H60" s="108"/>
      <c r="I60" s="108">
        <v>2</v>
      </c>
      <c r="J60" s="108">
        <v>2.8</v>
      </c>
      <c r="K60" s="108">
        <v>11.9</v>
      </c>
      <c r="L60" s="108">
        <v>27.7</v>
      </c>
      <c r="M60" s="108">
        <v>0</v>
      </c>
      <c r="N60" s="108">
        <v>0</v>
      </c>
      <c r="O60" s="108">
        <v>55.599999999999994</v>
      </c>
      <c r="P60" s="108">
        <f t="shared" si="0"/>
        <v>55.599999999999994</v>
      </c>
      <c r="Q60" s="108">
        <v>519</v>
      </c>
      <c r="R60" s="109">
        <f t="shared" si="1"/>
        <v>519.29999999999995</v>
      </c>
    </row>
    <row r="61" spans="1:18" x14ac:dyDescent="0.25">
      <c r="A61" s="104">
        <v>1144.01</v>
      </c>
      <c r="B61" s="105" t="s">
        <v>203</v>
      </c>
      <c r="C61" s="105" t="s">
        <v>320</v>
      </c>
      <c r="D61" s="108" t="s">
        <v>326</v>
      </c>
      <c r="E61" s="104" t="s">
        <v>327</v>
      </c>
      <c r="F61" s="105" t="s">
        <v>321</v>
      </c>
      <c r="G61" s="108">
        <v>0</v>
      </c>
      <c r="H61" s="108"/>
      <c r="I61" s="108">
        <v>85.8</v>
      </c>
      <c r="J61" s="108">
        <v>0.8</v>
      </c>
      <c r="K61" s="108">
        <v>3.4</v>
      </c>
      <c r="L61" s="108">
        <v>4.5</v>
      </c>
      <c r="M61" s="108">
        <v>0</v>
      </c>
      <c r="N61" s="108">
        <v>0</v>
      </c>
      <c r="O61" s="108">
        <v>5.5000000000000018</v>
      </c>
      <c r="P61" s="108">
        <f t="shared" si="0"/>
        <v>5.5000000000000018</v>
      </c>
      <c r="Q61" s="108">
        <v>76</v>
      </c>
      <c r="R61" s="109">
        <f t="shared" si="1"/>
        <v>76.100000000000009</v>
      </c>
    </row>
    <row r="62" spans="1:18" x14ac:dyDescent="0.25">
      <c r="A62" s="104">
        <v>1144.02</v>
      </c>
      <c r="B62" s="105" t="s">
        <v>152</v>
      </c>
      <c r="C62" s="105" t="s">
        <v>320</v>
      </c>
      <c r="D62" s="108" t="s">
        <v>328</v>
      </c>
      <c r="E62" s="104" t="s">
        <v>329</v>
      </c>
      <c r="F62" s="105" t="s">
        <v>68</v>
      </c>
      <c r="G62" s="108">
        <v>0</v>
      </c>
      <c r="H62" s="108"/>
      <c r="I62" s="108">
        <v>85.3</v>
      </c>
      <c r="J62" s="108">
        <v>0.8</v>
      </c>
      <c r="K62" s="108">
        <v>3.8</v>
      </c>
      <c r="L62" s="108">
        <v>3.4</v>
      </c>
      <c r="M62" s="108">
        <v>0</v>
      </c>
      <c r="N62" s="108">
        <v>0</v>
      </c>
      <c r="O62" s="108">
        <v>6.7000000000000011</v>
      </c>
      <c r="P62" s="108">
        <f t="shared" si="0"/>
        <v>6.7000000000000011</v>
      </c>
      <c r="Q62" s="108">
        <v>73</v>
      </c>
      <c r="R62" s="109">
        <f t="shared" si="1"/>
        <v>72.599999999999994</v>
      </c>
    </row>
    <row r="63" spans="1:18" x14ac:dyDescent="0.25">
      <c r="A63" s="104">
        <v>1144.03</v>
      </c>
      <c r="B63" s="105" t="s">
        <v>204</v>
      </c>
      <c r="C63" s="105" t="s">
        <v>320</v>
      </c>
      <c r="D63" s="108" t="s">
        <v>330</v>
      </c>
      <c r="E63" s="104" t="s">
        <v>304</v>
      </c>
      <c r="F63" s="105" t="s">
        <v>66</v>
      </c>
      <c r="G63" s="108">
        <v>0</v>
      </c>
      <c r="H63" s="108"/>
      <c r="I63" s="108">
        <v>89.3</v>
      </c>
      <c r="J63" s="108">
        <v>0.8</v>
      </c>
      <c r="K63" s="108">
        <v>3.5</v>
      </c>
      <c r="L63" s="108">
        <v>1.6</v>
      </c>
      <c r="M63" s="108">
        <v>0</v>
      </c>
      <c r="N63" s="108">
        <v>0</v>
      </c>
      <c r="O63" s="108">
        <v>4.8</v>
      </c>
      <c r="P63" s="108">
        <f t="shared" si="0"/>
        <v>4.8000000000000025</v>
      </c>
      <c r="Q63" s="108">
        <v>48</v>
      </c>
      <c r="R63" s="109">
        <f t="shared" si="1"/>
        <v>47.600000000000009</v>
      </c>
    </row>
    <row r="64" spans="1:18" x14ac:dyDescent="0.25">
      <c r="A64" s="104">
        <v>1145.01</v>
      </c>
      <c r="B64" s="105" t="s">
        <v>205</v>
      </c>
      <c r="C64" s="105" t="s">
        <v>320</v>
      </c>
      <c r="D64" s="108" t="s">
        <v>331</v>
      </c>
      <c r="E64" s="104" t="s">
        <v>332</v>
      </c>
      <c r="F64" s="105" t="s">
        <v>66</v>
      </c>
      <c r="G64" s="108">
        <v>0</v>
      </c>
      <c r="H64" s="108"/>
      <c r="I64" s="108">
        <v>41</v>
      </c>
      <c r="J64" s="108">
        <v>3.9</v>
      </c>
      <c r="K64" s="108">
        <v>24.8</v>
      </c>
      <c r="L64" s="108">
        <v>29.5</v>
      </c>
      <c r="M64" s="108">
        <v>0</v>
      </c>
      <c r="N64" s="108">
        <v>0</v>
      </c>
      <c r="O64" s="108">
        <v>0.7</v>
      </c>
      <c r="P64" s="108">
        <f t="shared" si="0"/>
        <v>0.80000000000000071</v>
      </c>
      <c r="Q64" s="108">
        <v>367</v>
      </c>
      <c r="R64" s="109">
        <f t="shared" si="1"/>
        <v>367.9</v>
      </c>
    </row>
    <row r="65" spans="1:18" x14ac:dyDescent="0.25">
      <c r="A65" s="104">
        <v>1146.01</v>
      </c>
      <c r="B65" s="105" t="s">
        <v>206</v>
      </c>
      <c r="C65" s="105" t="s">
        <v>320</v>
      </c>
      <c r="D65" s="108" t="s">
        <v>333</v>
      </c>
      <c r="E65" s="104" t="s">
        <v>334</v>
      </c>
      <c r="F65" s="105" t="s">
        <v>66</v>
      </c>
      <c r="G65" s="108">
        <v>0</v>
      </c>
      <c r="H65" s="108"/>
      <c r="I65" s="108">
        <v>78.5</v>
      </c>
      <c r="J65" s="108">
        <v>0.6</v>
      </c>
      <c r="K65" s="108">
        <v>2.9</v>
      </c>
      <c r="L65" s="108">
        <v>13.5</v>
      </c>
      <c r="M65" s="108">
        <v>0</v>
      </c>
      <c r="N65" s="108">
        <v>0</v>
      </c>
      <c r="O65" s="108">
        <v>4.5</v>
      </c>
      <c r="P65" s="108">
        <f t="shared" si="0"/>
        <v>4.5</v>
      </c>
      <c r="Q65" s="108">
        <v>151</v>
      </c>
      <c r="R65" s="109">
        <f t="shared" si="1"/>
        <v>151.1</v>
      </c>
    </row>
    <row r="66" spans="1:18" x14ac:dyDescent="0.25">
      <c r="A66" s="104">
        <v>1147.01</v>
      </c>
      <c r="B66" s="105" t="s">
        <v>120</v>
      </c>
      <c r="C66" s="105" t="s">
        <v>320</v>
      </c>
      <c r="D66" s="108" t="s">
        <v>335</v>
      </c>
      <c r="E66" s="104" t="s">
        <v>336</v>
      </c>
      <c r="F66" s="105" t="s">
        <v>66</v>
      </c>
      <c r="G66" s="108">
        <v>0</v>
      </c>
      <c r="H66" s="108"/>
      <c r="I66" s="108">
        <v>76.2</v>
      </c>
      <c r="J66" s="108">
        <v>1.1000000000000001</v>
      </c>
      <c r="K66" s="108">
        <v>12.6</v>
      </c>
      <c r="L66" s="108">
        <v>9.5</v>
      </c>
      <c r="M66" s="108">
        <v>0</v>
      </c>
      <c r="N66" s="108">
        <v>0</v>
      </c>
      <c r="O66" s="108">
        <v>0.7</v>
      </c>
      <c r="P66" s="108">
        <f t="shared" si="0"/>
        <v>0.59999999999999609</v>
      </c>
      <c r="Q66" s="108">
        <v>139</v>
      </c>
      <c r="R66" s="109">
        <f t="shared" si="1"/>
        <v>138.29999999999998</v>
      </c>
    </row>
    <row r="67" spans="1:18" x14ac:dyDescent="0.25">
      <c r="A67" s="104">
        <v>1151.01</v>
      </c>
      <c r="B67" s="105" t="s">
        <v>207</v>
      </c>
      <c r="C67" s="105" t="s">
        <v>320</v>
      </c>
      <c r="D67" s="108" t="s">
        <v>337</v>
      </c>
      <c r="E67" s="104" t="s">
        <v>338</v>
      </c>
      <c r="F67" s="105" t="s">
        <v>321</v>
      </c>
      <c r="G67" s="108">
        <v>0</v>
      </c>
      <c r="H67" s="108"/>
      <c r="I67" s="108">
        <v>19.2</v>
      </c>
      <c r="J67" s="108">
        <v>0.3</v>
      </c>
      <c r="K67" s="108">
        <v>0.8</v>
      </c>
      <c r="L67" s="108">
        <v>79.599999999999994</v>
      </c>
      <c r="M67" s="108">
        <v>0</v>
      </c>
      <c r="N67" s="108">
        <v>0</v>
      </c>
      <c r="O67" s="108">
        <v>0.2</v>
      </c>
      <c r="P67" s="108">
        <f t="shared" ref="P67:P128" si="2">100-I67-J67-K67-L67-M67-N67</f>
        <v>0.10000000000000853</v>
      </c>
      <c r="Q67" s="108">
        <v>720</v>
      </c>
      <c r="R67" s="109">
        <f t="shared" ref="R67:R128" si="3">K67*4+L67*9+M67*2+N67*7+P67*4</f>
        <v>720</v>
      </c>
    </row>
    <row r="68" spans="1:18" x14ac:dyDescent="0.25">
      <c r="A68" s="104">
        <v>1152.01</v>
      </c>
      <c r="B68" s="105" t="s">
        <v>208</v>
      </c>
      <c r="C68" s="105" t="s">
        <v>320</v>
      </c>
      <c r="D68" s="108" t="s">
        <v>339</v>
      </c>
      <c r="E68" s="104" t="s">
        <v>340</v>
      </c>
      <c r="F68" s="105" t="s">
        <v>321</v>
      </c>
      <c r="G68" s="108">
        <v>0</v>
      </c>
      <c r="H68" s="108"/>
      <c r="I68" s="108">
        <v>16.5</v>
      </c>
      <c r="J68" s="108">
        <v>1.9</v>
      </c>
      <c r="K68" s="108">
        <v>0.2</v>
      </c>
      <c r="L68" s="108">
        <v>80.7</v>
      </c>
      <c r="M68" s="108">
        <v>0</v>
      </c>
      <c r="N68" s="108">
        <v>0</v>
      </c>
      <c r="O68" s="108">
        <v>0.69999999999998863</v>
      </c>
      <c r="P68" s="108">
        <f t="shared" si="2"/>
        <v>0.69999999999998863</v>
      </c>
      <c r="Q68" s="108">
        <v>730</v>
      </c>
      <c r="R68" s="109">
        <f t="shared" si="3"/>
        <v>729.9</v>
      </c>
    </row>
    <row r="69" spans="1:18" x14ac:dyDescent="0.25">
      <c r="A69" s="104">
        <v>1152.02</v>
      </c>
      <c r="B69" s="105" t="s">
        <v>209</v>
      </c>
      <c r="C69" s="105" t="s">
        <v>320</v>
      </c>
      <c r="D69" s="108" t="s">
        <v>341</v>
      </c>
      <c r="E69" s="104" t="s">
        <v>342</v>
      </c>
      <c r="F69" s="105" t="s">
        <v>343</v>
      </c>
      <c r="G69" s="108">
        <v>0</v>
      </c>
      <c r="H69" s="108"/>
      <c r="I69" s="108">
        <v>7.2</v>
      </c>
      <c r="J69" s="108">
        <v>2.6</v>
      </c>
      <c r="K69" s="108">
        <v>22.4</v>
      </c>
      <c r="L69" s="108">
        <v>44.5</v>
      </c>
      <c r="M69" s="108">
        <v>8.5</v>
      </c>
      <c r="N69" s="108">
        <v>0</v>
      </c>
      <c r="O69" s="108">
        <v>14.800000000000011</v>
      </c>
      <c r="P69" s="108">
        <f t="shared" si="2"/>
        <v>14.800000000000011</v>
      </c>
      <c r="Q69" s="108">
        <v>566</v>
      </c>
      <c r="R69" s="109">
        <f t="shared" si="3"/>
        <v>566.30000000000007</v>
      </c>
    </row>
    <row r="70" spans="1:18" x14ac:dyDescent="0.25">
      <c r="A70" s="104">
        <v>1154.01</v>
      </c>
      <c r="B70" s="105" t="s">
        <v>121</v>
      </c>
      <c r="C70" s="105" t="s">
        <v>390</v>
      </c>
      <c r="D70" s="108" t="s">
        <v>344</v>
      </c>
      <c r="E70" s="104" t="s">
        <v>345</v>
      </c>
      <c r="F70" s="105"/>
      <c r="G70" s="108">
        <v>0</v>
      </c>
      <c r="H70" s="108"/>
      <c r="I70" s="108">
        <v>0</v>
      </c>
      <c r="J70" s="108">
        <v>0</v>
      </c>
      <c r="K70" s="108">
        <v>0</v>
      </c>
      <c r="L70" s="108">
        <v>100</v>
      </c>
      <c r="M70" s="108">
        <v>0</v>
      </c>
      <c r="N70" s="108">
        <v>0</v>
      </c>
      <c r="O70" s="108">
        <v>0</v>
      </c>
      <c r="P70" s="108">
        <f t="shared" si="2"/>
        <v>0</v>
      </c>
      <c r="Q70" s="108">
        <v>900</v>
      </c>
      <c r="R70" s="109">
        <f t="shared" si="3"/>
        <v>900</v>
      </c>
    </row>
    <row r="71" spans="1:18" x14ac:dyDescent="0.25">
      <c r="A71" s="104">
        <v>1154.02</v>
      </c>
      <c r="B71" s="105" t="s">
        <v>210</v>
      </c>
      <c r="C71" s="105" t="s">
        <v>320</v>
      </c>
      <c r="D71" s="108" t="s">
        <v>344</v>
      </c>
      <c r="E71" s="104" t="s">
        <v>345</v>
      </c>
      <c r="F71" s="105" t="s">
        <v>68</v>
      </c>
      <c r="G71" s="108">
        <v>0</v>
      </c>
      <c r="H71" s="108"/>
      <c r="I71" s="108">
        <v>0</v>
      </c>
      <c r="J71" s="108">
        <v>0</v>
      </c>
      <c r="K71" s="108">
        <v>0</v>
      </c>
      <c r="L71" s="108">
        <v>100</v>
      </c>
      <c r="M71" s="108">
        <v>0</v>
      </c>
      <c r="N71" s="108">
        <v>0</v>
      </c>
      <c r="O71" s="108">
        <v>0</v>
      </c>
      <c r="P71" s="108">
        <f t="shared" si="2"/>
        <v>0</v>
      </c>
      <c r="Q71" s="108">
        <v>900</v>
      </c>
      <c r="R71" s="109">
        <f t="shared" si="3"/>
        <v>900</v>
      </c>
    </row>
    <row r="72" spans="1:18" x14ac:dyDescent="0.25">
      <c r="A72" s="104">
        <v>1155.01</v>
      </c>
      <c r="B72" s="105" t="s">
        <v>211</v>
      </c>
      <c r="C72" s="105" t="s">
        <v>390</v>
      </c>
      <c r="D72" s="108" t="s">
        <v>715</v>
      </c>
      <c r="E72" s="104" t="s">
        <v>345</v>
      </c>
      <c r="F72" s="105"/>
      <c r="G72" s="108">
        <v>0</v>
      </c>
      <c r="H72" s="108"/>
      <c r="I72" s="108">
        <v>0</v>
      </c>
      <c r="J72" s="108">
        <v>0</v>
      </c>
      <c r="K72" s="108">
        <v>0</v>
      </c>
      <c r="L72" s="108">
        <v>100</v>
      </c>
      <c r="M72" s="108">
        <v>0</v>
      </c>
      <c r="N72" s="108">
        <v>0</v>
      </c>
      <c r="O72" s="108">
        <v>0</v>
      </c>
      <c r="P72" s="108">
        <f t="shared" si="2"/>
        <v>0</v>
      </c>
      <c r="Q72" s="108">
        <v>900</v>
      </c>
      <c r="R72" s="109">
        <f t="shared" si="3"/>
        <v>900</v>
      </c>
    </row>
    <row r="73" spans="1:18" x14ac:dyDescent="0.25">
      <c r="A73" s="104">
        <v>1155.02</v>
      </c>
      <c r="B73" s="105" t="s">
        <v>212</v>
      </c>
      <c r="C73" s="105" t="s">
        <v>390</v>
      </c>
      <c r="D73" s="108" t="s">
        <v>337</v>
      </c>
      <c r="E73" s="104" t="s">
        <v>338</v>
      </c>
      <c r="F73" s="105"/>
      <c r="G73" s="108">
        <v>0</v>
      </c>
      <c r="H73" s="108"/>
      <c r="I73" s="108">
        <v>19.2</v>
      </c>
      <c r="J73" s="108">
        <v>0.3</v>
      </c>
      <c r="K73" s="108">
        <v>0.8</v>
      </c>
      <c r="L73" s="108">
        <v>79.599999999999994</v>
      </c>
      <c r="M73" s="108">
        <v>0</v>
      </c>
      <c r="N73" s="108">
        <v>0</v>
      </c>
      <c r="O73" s="108">
        <v>0.2</v>
      </c>
      <c r="P73" s="108">
        <f t="shared" si="2"/>
        <v>0.10000000000000853</v>
      </c>
      <c r="Q73" s="108">
        <v>720</v>
      </c>
      <c r="R73" s="109">
        <f t="shared" si="3"/>
        <v>720</v>
      </c>
    </row>
    <row r="74" spans="1:18" x14ac:dyDescent="0.25">
      <c r="A74" s="104">
        <v>1155.03</v>
      </c>
      <c r="B74" s="105" t="s">
        <v>213</v>
      </c>
      <c r="C74" s="105" t="s">
        <v>390</v>
      </c>
      <c r="D74" s="108" t="s">
        <v>410</v>
      </c>
      <c r="E74" s="104" t="s">
        <v>411</v>
      </c>
      <c r="F74" s="105"/>
      <c r="G74" s="108">
        <v>0</v>
      </c>
      <c r="H74" s="108"/>
      <c r="I74" s="108">
        <v>0</v>
      </c>
      <c r="J74" s="108">
        <v>0</v>
      </c>
      <c r="K74" s="108">
        <v>0</v>
      </c>
      <c r="L74" s="108">
        <v>100</v>
      </c>
      <c r="M74" s="108">
        <v>0</v>
      </c>
      <c r="N74" s="108">
        <v>0</v>
      </c>
      <c r="O74" s="108">
        <v>0</v>
      </c>
      <c r="P74" s="108">
        <f t="shared" ref="P74" si="4">100-I74-J74-K74-L74-M74-N74</f>
        <v>0</v>
      </c>
      <c r="Q74" s="108">
        <v>900</v>
      </c>
      <c r="R74" s="109">
        <f t="shared" ref="R74" si="5">K74*4+L74*9+M74*2+N74*7+P74*4</f>
        <v>900</v>
      </c>
    </row>
    <row r="75" spans="1:18" x14ac:dyDescent="0.25">
      <c r="A75" s="104">
        <v>1159.99</v>
      </c>
      <c r="B75" s="105" t="s">
        <v>214</v>
      </c>
      <c r="C75" s="105" t="s">
        <v>390</v>
      </c>
      <c r="D75" s="108" t="s">
        <v>410</v>
      </c>
      <c r="E75" s="104" t="s">
        <v>411</v>
      </c>
      <c r="F75" s="105"/>
      <c r="G75" s="108">
        <v>0</v>
      </c>
      <c r="H75" s="108"/>
      <c r="I75" s="108">
        <v>0</v>
      </c>
      <c r="J75" s="108">
        <v>0</v>
      </c>
      <c r="K75" s="108">
        <v>0</v>
      </c>
      <c r="L75" s="108">
        <v>100</v>
      </c>
      <c r="M75" s="108">
        <v>0</v>
      </c>
      <c r="N75" s="108">
        <v>0</v>
      </c>
      <c r="O75" s="108">
        <v>0</v>
      </c>
      <c r="P75" s="108">
        <f t="shared" si="2"/>
        <v>0</v>
      </c>
      <c r="Q75" s="108">
        <v>900</v>
      </c>
      <c r="R75" s="109">
        <f t="shared" si="3"/>
        <v>900</v>
      </c>
    </row>
    <row r="76" spans="1:18" x14ac:dyDescent="0.25">
      <c r="A76" s="104">
        <v>1161.01</v>
      </c>
      <c r="B76" s="105" t="s">
        <v>215</v>
      </c>
      <c r="C76" s="105" t="s">
        <v>390</v>
      </c>
      <c r="D76" s="108" t="s">
        <v>412</v>
      </c>
      <c r="E76" s="104" t="s">
        <v>413</v>
      </c>
      <c r="F76" s="105"/>
      <c r="G76" s="108">
        <v>0.27</v>
      </c>
      <c r="H76" s="108"/>
      <c r="I76" s="108">
        <v>87.8</v>
      </c>
      <c r="J76" s="108">
        <v>0.5</v>
      </c>
      <c r="K76" s="108">
        <v>0.7</v>
      </c>
      <c r="L76" s="108">
        <v>0.3</v>
      </c>
      <c r="M76" s="108">
        <v>1.7</v>
      </c>
      <c r="N76" s="108">
        <v>0</v>
      </c>
      <c r="O76" s="108">
        <v>9.0000000000000036</v>
      </c>
      <c r="P76" s="108">
        <f t="shared" si="2"/>
        <v>9.0000000000000036</v>
      </c>
      <c r="Q76" s="108">
        <v>45</v>
      </c>
      <c r="R76" s="109">
        <f t="shared" si="3"/>
        <v>44.900000000000013</v>
      </c>
    </row>
    <row r="77" spans="1:18" x14ac:dyDescent="0.25">
      <c r="A77" s="104">
        <v>1162.01</v>
      </c>
      <c r="B77" s="105" t="s">
        <v>155</v>
      </c>
      <c r="C77" s="105" t="s">
        <v>390</v>
      </c>
      <c r="D77" s="108" t="s">
        <v>414</v>
      </c>
      <c r="E77" s="104" t="s">
        <v>415</v>
      </c>
      <c r="F77" s="105"/>
      <c r="G77" s="108">
        <v>0.36</v>
      </c>
      <c r="H77" s="108"/>
      <c r="I77" s="108">
        <v>73.599999999999994</v>
      </c>
      <c r="J77" s="108">
        <v>0.8</v>
      </c>
      <c r="K77" s="108">
        <v>1.2</v>
      </c>
      <c r="L77" s="108">
        <v>0.2</v>
      </c>
      <c r="M77" s="108">
        <v>2</v>
      </c>
      <c r="N77" s="108">
        <v>0</v>
      </c>
      <c r="O77" s="108">
        <v>22.200000000000006</v>
      </c>
      <c r="P77" s="108">
        <f t="shared" si="2"/>
        <v>22.200000000000006</v>
      </c>
      <c r="Q77" s="108">
        <v>99</v>
      </c>
      <c r="R77" s="109">
        <f t="shared" si="3"/>
        <v>99.40000000000002</v>
      </c>
    </row>
    <row r="78" spans="1:18" x14ac:dyDescent="0.25">
      <c r="A78" s="104">
        <v>1163.01</v>
      </c>
      <c r="B78" s="105" t="s">
        <v>157</v>
      </c>
      <c r="C78" s="105" t="s">
        <v>390</v>
      </c>
      <c r="D78" s="108" t="s">
        <v>416</v>
      </c>
      <c r="E78" s="104" t="s">
        <v>417</v>
      </c>
      <c r="F78" s="105"/>
      <c r="G78" s="108">
        <v>0.1</v>
      </c>
      <c r="H78" s="108"/>
      <c r="I78" s="108">
        <v>85.6</v>
      </c>
      <c r="J78" s="108">
        <v>0.2</v>
      </c>
      <c r="K78" s="108">
        <v>0.3</v>
      </c>
      <c r="L78" s="108">
        <v>0.2</v>
      </c>
      <c r="M78" s="108">
        <v>2.4</v>
      </c>
      <c r="N78" s="108">
        <v>0</v>
      </c>
      <c r="O78" s="108">
        <v>11.300000000000006</v>
      </c>
      <c r="P78" s="108">
        <f t="shared" si="2"/>
        <v>11.300000000000006</v>
      </c>
      <c r="Q78" s="108">
        <v>53</v>
      </c>
      <c r="R78" s="109">
        <f t="shared" si="3"/>
        <v>53.000000000000021</v>
      </c>
    </row>
    <row r="79" spans="1:18" x14ac:dyDescent="0.25">
      <c r="A79" s="104">
        <v>1164.01</v>
      </c>
      <c r="B79" s="105" t="s">
        <v>216</v>
      </c>
      <c r="C79" s="105" t="s">
        <v>7</v>
      </c>
      <c r="D79" s="108">
        <v>9252</v>
      </c>
      <c r="E79" s="104" t="s">
        <v>580</v>
      </c>
      <c r="F79" s="105"/>
      <c r="G79" s="108">
        <v>0</v>
      </c>
      <c r="H79" s="108"/>
      <c r="I79" s="108">
        <v>83.71</v>
      </c>
      <c r="J79" s="108">
        <v>0.33</v>
      </c>
      <c r="K79" s="108">
        <v>0.38</v>
      </c>
      <c r="L79" s="108">
        <v>0.12</v>
      </c>
      <c r="M79" s="108">
        <v>3.1</v>
      </c>
      <c r="N79" s="108">
        <v>0</v>
      </c>
      <c r="O79" s="108">
        <v>15.46</v>
      </c>
      <c r="P79" s="108">
        <f t="shared" si="2"/>
        <v>12.360000000000007</v>
      </c>
      <c r="Q79" s="108">
        <v>58</v>
      </c>
      <c r="R79" s="109">
        <f t="shared" si="3"/>
        <v>58.240000000000023</v>
      </c>
    </row>
    <row r="80" spans="1:18" x14ac:dyDescent="0.25">
      <c r="A80" s="104">
        <v>1165.01</v>
      </c>
      <c r="B80" s="105" t="s">
        <v>581</v>
      </c>
      <c r="C80" s="105" t="s">
        <v>7</v>
      </c>
      <c r="D80" s="108">
        <v>9021</v>
      </c>
      <c r="E80" s="104" t="s">
        <v>582</v>
      </c>
      <c r="F80" s="105"/>
      <c r="G80" s="108">
        <v>0</v>
      </c>
      <c r="H80" s="108"/>
      <c r="I80" s="108">
        <v>86.35</v>
      </c>
      <c r="J80" s="108">
        <v>0.75</v>
      </c>
      <c r="K80" s="108">
        <v>1.4</v>
      </c>
      <c r="L80" s="108">
        <v>0.39</v>
      </c>
      <c r="M80" s="108">
        <v>2</v>
      </c>
      <c r="N80" s="108">
        <v>0</v>
      </c>
      <c r="O80" s="108">
        <v>11.12</v>
      </c>
      <c r="P80" s="108">
        <f t="shared" si="2"/>
        <v>9.1100000000000048</v>
      </c>
      <c r="Q80" s="108">
        <v>48</v>
      </c>
      <c r="R80" s="109">
        <f t="shared" si="3"/>
        <v>49.550000000000018</v>
      </c>
    </row>
    <row r="81" spans="1:18" x14ac:dyDescent="0.25">
      <c r="A81" s="104">
        <v>1165.02</v>
      </c>
      <c r="B81" s="105" t="s">
        <v>583</v>
      </c>
      <c r="C81" s="105" t="s">
        <v>584</v>
      </c>
      <c r="D81" s="108">
        <v>5003</v>
      </c>
      <c r="E81" s="104" t="s">
        <v>585</v>
      </c>
      <c r="F81" s="105"/>
      <c r="G81" s="108">
        <v>0.28999999999999998</v>
      </c>
      <c r="H81" s="108"/>
      <c r="I81" s="108">
        <v>74</v>
      </c>
      <c r="J81" s="108">
        <v>1.9</v>
      </c>
      <c r="K81" s="108">
        <v>1.6</v>
      </c>
      <c r="L81" s="108">
        <v>19.600000000000001</v>
      </c>
      <c r="M81" s="108">
        <v>4</v>
      </c>
      <c r="N81" s="108">
        <v>0</v>
      </c>
      <c r="O81" s="108">
        <v>0</v>
      </c>
      <c r="P81" s="108">
        <v>0</v>
      </c>
      <c r="Q81" s="108">
        <v>185</v>
      </c>
      <c r="R81" s="109">
        <f t="shared" si="3"/>
        <v>190.8</v>
      </c>
    </row>
    <row r="82" spans="1:18" x14ac:dyDescent="0.25">
      <c r="A82" s="104">
        <v>1165.03</v>
      </c>
      <c r="B82" s="105" t="s">
        <v>586</v>
      </c>
      <c r="C82" s="105" t="s">
        <v>7</v>
      </c>
      <c r="D82" s="108">
        <v>9070</v>
      </c>
      <c r="E82" s="104" t="s">
        <v>587</v>
      </c>
      <c r="F82" s="105"/>
      <c r="G82" s="108">
        <v>0</v>
      </c>
      <c r="H82" s="108"/>
      <c r="I82" s="108">
        <v>82.25</v>
      </c>
      <c r="J82" s="108">
        <v>0.48</v>
      </c>
      <c r="K82" s="108">
        <v>1.06</v>
      </c>
      <c r="L82" s="108">
        <v>0.2</v>
      </c>
      <c r="M82" s="108">
        <v>2.1</v>
      </c>
      <c r="N82" s="108">
        <v>0</v>
      </c>
      <c r="O82" s="108">
        <v>16.010000000000002</v>
      </c>
      <c r="P82" s="108">
        <f t="shared" si="2"/>
        <v>13.910000000000002</v>
      </c>
      <c r="Q82" s="108">
        <v>63</v>
      </c>
      <c r="R82" s="109">
        <f t="shared" si="3"/>
        <v>65.88000000000001</v>
      </c>
    </row>
    <row r="83" spans="1:18" x14ac:dyDescent="0.25">
      <c r="A83" s="104">
        <v>1165.04</v>
      </c>
      <c r="B83" s="105" t="s">
        <v>156</v>
      </c>
      <c r="C83" s="105" t="s">
        <v>320</v>
      </c>
      <c r="D83" s="108" t="s">
        <v>346</v>
      </c>
      <c r="E83" s="104" t="s">
        <v>347</v>
      </c>
      <c r="F83" s="105" t="s">
        <v>68</v>
      </c>
      <c r="G83" s="108" t="s">
        <v>348</v>
      </c>
      <c r="H83" s="108"/>
      <c r="I83" s="108" t="s">
        <v>349</v>
      </c>
      <c r="J83" s="108" t="s">
        <v>350</v>
      </c>
      <c r="K83" s="108" t="s">
        <v>351</v>
      </c>
      <c r="L83" s="108" t="s">
        <v>352</v>
      </c>
      <c r="M83" s="108" t="s">
        <v>353</v>
      </c>
      <c r="N83" s="108">
        <v>0</v>
      </c>
      <c r="O83" s="108">
        <v>17.299999999999997</v>
      </c>
      <c r="P83" s="108">
        <f t="shared" si="2"/>
        <v>17.299999999999997</v>
      </c>
      <c r="Q83" s="108">
        <v>76</v>
      </c>
      <c r="R83" s="109">
        <f t="shared" si="3"/>
        <v>76.799999999999983</v>
      </c>
    </row>
    <row r="84" spans="1:18" x14ac:dyDescent="0.25">
      <c r="A84" s="104">
        <v>1165.05</v>
      </c>
      <c r="B84" s="105" t="s">
        <v>588</v>
      </c>
      <c r="C84" s="105" t="s">
        <v>7</v>
      </c>
      <c r="D84" s="108">
        <v>9279</v>
      </c>
      <c r="E84" s="104" t="s">
        <v>589</v>
      </c>
      <c r="F84" s="105"/>
      <c r="G84" s="108">
        <v>0</v>
      </c>
      <c r="H84" s="108"/>
      <c r="I84" s="108">
        <v>87.23</v>
      </c>
      <c r="J84" s="108">
        <v>0.37</v>
      </c>
      <c r="K84" s="108">
        <v>0.7</v>
      </c>
      <c r="L84" s="108">
        <v>0.28000000000000003</v>
      </c>
      <c r="M84" s="108">
        <v>1.4</v>
      </c>
      <c r="N84" s="108">
        <v>0</v>
      </c>
      <c r="O84" s="108">
        <v>11.42</v>
      </c>
      <c r="P84" s="108">
        <f t="shared" si="2"/>
        <v>10.019999999999998</v>
      </c>
      <c r="Q84" s="108">
        <v>46</v>
      </c>
      <c r="R84" s="109">
        <f t="shared" si="3"/>
        <v>48.199999999999989</v>
      </c>
    </row>
    <row r="85" spans="1:18" x14ac:dyDescent="0.25">
      <c r="A85" s="104">
        <v>1165.06</v>
      </c>
      <c r="B85" s="105" t="s">
        <v>590</v>
      </c>
      <c r="C85" s="105" t="s">
        <v>584</v>
      </c>
      <c r="D85" s="108">
        <v>5027</v>
      </c>
      <c r="E85" s="104" t="s">
        <v>591</v>
      </c>
      <c r="F85" s="105"/>
      <c r="G85" s="108">
        <v>0.12</v>
      </c>
      <c r="H85" s="108"/>
      <c r="I85" s="108">
        <v>86.7</v>
      </c>
      <c r="J85" s="108">
        <v>0.4</v>
      </c>
      <c r="K85" s="108">
        <v>1</v>
      </c>
      <c r="L85" s="108">
        <v>0.1</v>
      </c>
      <c r="M85" s="108">
        <v>1.9</v>
      </c>
      <c r="N85" s="108">
        <v>0</v>
      </c>
      <c r="O85" s="108">
        <v>9.9</v>
      </c>
      <c r="P85" s="108">
        <f t="shared" si="2"/>
        <v>9.8999999999999968</v>
      </c>
      <c r="Q85" s="108">
        <v>48</v>
      </c>
      <c r="R85" s="109">
        <f t="shared" si="3"/>
        <v>48.299999999999983</v>
      </c>
    </row>
    <row r="86" spans="1:18" x14ac:dyDescent="0.25">
      <c r="A86" s="104">
        <v>1166.01</v>
      </c>
      <c r="B86" s="105" t="s">
        <v>592</v>
      </c>
      <c r="C86" s="105" t="s">
        <v>584</v>
      </c>
      <c r="D86" s="108">
        <v>5034</v>
      </c>
      <c r="E86" s="104" t="s">
        <v>593</v>
      </c>
      <c r="F86" s="105"/>
      <c r="G86" s="108">
        <v>0.04</v>
      </c>
      <c r="H86" s="108"/>
      <c r="I86" s="108">
        <v>90</v>
      </c>
      <c r="J86" s="108">
        <v>0.4</v>
      </c>
      <c r="K86" s="108">
        <v>0.7</v>
      </c>
      <c r="L86" s="108">
        <v>0.2</v>
      </c>
      <c r="M86" s="108">
        <v>2.5</v>
      </c>
      <c r="N86" s="108">
        <v>0</v>
      </c>
      <c r="O86" s="108">
        <v>6.3</v>
      </c>
      <c r="P86" s="108">
        <f t="shared" si="2"/>
        <v>6.2000000000000011</v>
      </c>
      <c r="Q86" s="108">
        <v>35</v>
      </c>
      <c r="R86" s="109">
        <f t="shared" si="3"/>
        <v>34.400000000000006</v>
      </c>
    </row>
    <row r="87" spans="1:18" x14ac:dyDescent="0.25">
      <c r="A87" s="104">
        <v>1166.02</v>
      </c>
      <c r="B87" s="105" t="s">
        <v>594</v>
      </c>
      <c r="C87" s="105" t="s">
        <v>584</v>
      </c>
      <c r="D87" s="108">
        <v>5021</v>
      </c>
      <c r="E87" s="104" t="s">
        <v>595</v>
      </c>
      <c r="F87" s="105"/>
      <c r="G87" s="108">
        <v>0.01</v>
      </c>
      <c r="H87" s="108"/>
      <c r="I87" s="108">
        <v>89.5</v>
      </c>
      <c r="J87" s="108">
        <v>0.9</v>
      </c>
      <c r="K87" s="108">
        <v>1.6</v>
      </c>
      <c r="L87" s="108">
        <v>0.2</v>
      </c>
      <c r="M87" s="108">
        <v>2.2000000000000002</v>
      </c>
      <c r="N87" s="108">
        <v>0</v>
      </c>
      <c r="O87" s="108">
        <v>5.6</v>
      </c>
      <c r="P87" s="108">
        <f t="shared" si="2"/>
        <v>5.6</v>
      </c>
      <c r="Q87" s="108">
        <v>35</v>
      </c>
      <c r="R87" s="109">
        <f t="shared" si="3"/>
        <v>35</v>
      </c>
    </row>
    <row r="88" spans="1:18" x14ac:dyDescent="0.25">
      <c r="A88" s="104">
        <v>1166.03</v>
      </c>
      <c r="B88" s="105" t="s">
        <v>596</v>
      </c>
      <c r="C88" s="105" t="s">
        <v>7</v>
      </c>
      <c r="D88" s="108">
        <v>9089</v>
      </c>
      <c r="E88" s="104" t="s">
        <v>597</v>
      </c>
      <c r="F88" s="105"/>
      <c r="G88" s="108">
        <v>0</v>
      </c>
      <c r="H88" s="108"/>
      <c r="I88" s="108">
        <v>79.11</v>
      </c>
      <c r="J88" s="108">
        <v>0.66</v>
      </c>
      <c r="K88" s="108">
        <v>0.75</v>
      </c>
      <c r="L88" s="108">
        <v>0.3</v>
      </c>
      <c r="M88" s="108">
        <v>2.9</v>
      </c>
      <c r="N88" s="108">
        <v>0</v>
      </c>
      <c r="O88" s="108">
        <v>19.18</v>
      </c>
      <c r="P88" s="108">
        <f t="shared" si="2"/>
        <v>16.28</v>
      </c>
      <c r="Q88" s="108">
        <v>74</v>
      </c>
      <c r="R88" s="109">
        <f t="shared" si="3"/>
        <v>76.62</v>
      </c>
    </row>
    <row r="89" spans="1:18" x14ac:dyDescent="0.25">
      <c r="A89" s="104">
        <v>1166.04</v>
      </c>
      <c r="B89" s="105" t="s">
        <v>217</v>
      </c>
      <c r="C89" s="105" t="s">
        <v>390</v>
      </c>
      <c r="D89" s="108" t="s">
        <v>418</v>
      </c>
      <c r="E89" s="104" t="s">
        <v>419</v>
      </c>
      <c r="F89" s="105"/>
      <c r="G89" s="108">
        <v>0</v>
      </c>
      <c r="H89" s="108"/>
      <c r="I89" s="108">
        <v>90.7</v>
      </c>
      <c r="J89" s="108">
        <v>0.5</v>
      </c>
      <c r="K89" s="108">
        <v>0.7</v>
      </c>
      <c r="L89" s="108">
        <v>0.1</v>
      </c>
      <c r="M89" s="108">
        <v>1.2</v>
      </c>
      <c r="N89" s="108">
        <v>0</v>
      </c>
      <c r="O89" s="108">
        <v>6.799999999999998</v>
      </c>
      <c r="P89" s="108">
        <f t="shared" si="2"/>
        <v>6.799999999999998</v>
      </c>
      <c r="Q89" s="108">
        <v>33</v>
      </c>
      <c r="R89" s="109">
        <f t="shared" si="3"/>
        <v>33.29999999999999</v>
      </c>
    </row>
    <row r="90" spans="1:18" x14ac:dyDescent="0.25">
      <c r="A90" s="104">
        <v>1166.05</v>
      </c>
      <c r="B90" s="105" t="s">
        <v>159</v>
      </c>
      <c r="C90" s="105" t="s">
        <v>390</v>
      </c>
      <c r="D90" s="108" t="s">
        <v>354</v>
      </c>
      <c r="E90" s="104" t="s">
        <v>355</v>
      </c>
      <c r="F90" s="105"/>
      <c r="G90" s="108">
        <v>0.22</v>
      </c>
      <c r="H90" s="108"/>
      <c r="I90" s="108">
        <v>82.9</v>
      </c>
      <c r="J90" s="108">
        <v>0.6</v>
      </c>
      <c r="K90" s="108">
        <v>1</v>
      </c>
      <c r="L90" s="108">
        <v>0.4</v>
      </c>
      <c r="M90" s="108">
        <v>5.6</v>
      </c>
      <c r="N90" s="108">
        <v>0</v>
      </c>
      <c r="O90" s="108">
        <v>9.4999999999999929</v>
      </c>
      <c r="P90" s="108">
        <f t="shared" si="2"/>
        <v>9.4999999999999929</v>
      </c>
      <c r="Q90" s="108">
        <v>57</v>
      </c>
      <c r="R90" s="109">
        <f t="shared" si="3"/>
        <v>56.799999999999969</v>
      </c>
    </row>
    <row r="91" spans="1:18" x14ac:dyDescent="0.25">
      <c r="A91" s="104">
        <v>1166.06</v>
      </c>
      <c r="B91" s="105" t="s">
        <v>600</v>
      </c>
      <c r="C91" s="105" t="s">
        <v>7</v>
      </c>
      <c r="D91" s="108">
        <v>9195</v>
      </c>
      <c r="E91" s="104" t="s">
        <v>601</v>
      </c>
      <c r="F91" s="105"/>
      <c r="G91" s="108">
        <v>0</v>
      </c>
      <c r="H91" s="108"/>
      <c r="I91" s="108">
        <v>75.28</v>
      </c>
      <c r="J91" s="108">
        <v>4.53</v>
      </c>
      <c r="K91" s="108">
        <v>1.03</v>
      </c>
      <c r="L91" s="108">
        <v>15.32</v>
      </c>
      <c r="M91" s="108">
        <v>3.3</v>
      </c>
      <c r="N91" s="108">
        <v>0</v>
      </c>
      <c r="O91" s="108">
        <v>3.84</v>
      </c>
      <c r="P91" s="108">
        <f t="shared" si="2"/>
        <v>0.53999999999999648</v>
      </c>
      <c r="Q91" s="108">
        <v>145</v>
      </c>
      <c r="R91" s="109">
        <f t="shared" si="3"/>
        <v>150.76</v>
      </c>
    </row>
    <row r="92" spans="1:18" x14ac:dyDescent="0.25">
      <c r="A92" s="104">
        <v>1166.07</v>
      </c>
      <c r="B92" s="105" t="s">
        <v>602</v>
      </c>
      <c r="C92" s="105" t="s">
        <v>7</v>
      </c>
      <c r="D92" s="108">
        <v>2054</v>
      </c>
      <c r="E92" s="104" t="s">
        <v>603</v>
      </c>
      <c r="F92" s="105"/>
      <c r="G92" s="108">
        <v>0</v>
      </c>
      <c r="H92" s="108"/>
      <c r="I92" s="108">
        <v>83.85</v>
      </c>
      <c r="J92" s="108">
        <v>8.4</v>
      </c>
      <c r="K92" s="108">
        <v>2.36</v>
      </c>
      <c r="L92" s="108">
        <v>0.86</v>
      </c>
      <c r="M92" s="108">
        <v>3.2</v>
      </c>
      <c r="N92" s="108">
        <v>0</v>
      </c>
      <c r="O92" s="108">
        <v>4.8899999999999997</v>
      </c>
      <c r="P92" s="108">
        <f t="shared" si="2"/>
        <v>1.3300000000000054</v>
      </c>
      <c r="Q92" s="108">
        <v>23</v>
      </c>
      <c r="R92" s="109">
        <f t="shared" si="3"/>
        <v>28.90000000000002</v>
      </c>
    </row>
    <row r="93" spans="1:18" x14ac:dyDescent="0.25">
      <c r="A93" s="104">
        <v>1167.01</v>
      </c>
      <c r="B93" s="105" t="s">
        <v>218</v>
      </c>
      <c r="C93" s="105" t="s">
        <v>390</v>
      </c>
      <c r="D93" s="108" t="s">
        <v>420</v>
      </c>
      <c r="E93" s="104" t="s">
        <v>421</v>
      </c>
      <c r="F93" s="105"/>
      <c r="G93" s="108">
        <v>0.54</v>
      </c>
      <c r="H93" s="108"/>
      <c r="I93" s="108">
        <v>92</v>
      </c>
      <c r="J93" s="108">
        <v>0.6</v>
      </c>
      <c r="K93" s="108">
        <v>0.6</v>
      </c>
      <c r="L93" s="108">
        <v>0.1</v>
      </c>
      <c r="M93" s="108">
        <v>0.8</v>
      </c>
      <c r="N93" s="108">
        <v>0</v>
      </c>
      <c r="O93" s="108">
        <v>5.9000000000000012</v>
      </c>
      <c r="P93" s="108">
        <f t="shared" si="2"/>
        <v>5.9000000000000012</v>
      </c>
      <c r="Q93" s="108">
        <v>29</v>
      </c>
      <c r="R93" s="109">
        <f t="shared" si="3"/>
        <v>28.500000000000007</v>
      </c>
    </row>
    <row r="94" spans="1:18" x14ac:dyDescent="0.25">
      <c r="A94" s="104">
        <v>1167.02</v>
      </c>
      <c r="B94" s="105" t="s">
        <v>158</v>
      </c>
      <c r="C94" s="105" t="s">
        <v>390</v>
      </c>
      <c r="D94" s="108" t="s">
        <v>420</v>
      </c>
      <c r="E94" s="104" t="s">
        <v>421</v>
      </c>
      <c r="F94" s="105"/>
      <c r="G94" s="108">
        <v>0.54</v>
      </c>
      <c r="H94" s="108"/>
      <c r="I94" s="108">
        <v>92</v>
      </c>
      <c r="J94" s="108">
        <v>0.6</v>
      </c>
      <c r="K94" s="108">
        <v>0.6</v>
      </c>
      <c r="L94" s="108">
        <v>0.1</v>
      </c>
      <c r="M94" s="108">
        <v>0.8</v>
      </c>
      <c r="N94" s="108">
        <v>0</v>
      </c>
      <c r="O94" s="108">
        <v>5.9000000000000012</v>
      </c>
      <c r="P94" s="108">
        <f t="shared" si="2"/>
        <v>5.9000000000000012</v>
      </c>
      <c r="Q94" s="108">
        <v>29</v>
      </c>
      <c r="R94" s="109">
        <f t="shared" si="3"/>
        <v>28.500000000000007</v>
      </c>
    </row>
    <row r="95" spans="1:18" x14ac:dyDescent="0.25">
      <c r="A95" s="104">
        <v>1167.03</v>
      </c>
      <c r="B95" s="105" t="s">
        <v>605</v>
      </c>
      <c r="C95" s="105" t="s">
        <v>390</v>
      </c>
      <c r="D95" s="108" t="s">
        <v>606</v>
      </c>
      <c r="E95" s="104" t="s">
        <v>607</v>
      </c>
      <c r="F95" s="105"/>
      <c r="G95" s="108">
        <v>0.49</v>
      </c>
      <c r="H95" s="108"/>
      <c r="I95" s="108">
        <v>85.8</v>
      </c>
      <c r="J95" s="108">
        <v>0.3</v>
      </c>
      <c r="K95" s="108">
        <v>0.4</v>
      </c>
      <c r="L95" s="108">
        <v>0.2</v>
      </c>
      <c r="M95" s="108">
        <v>1.3</v>
      </c>
      <c r="N95" s="108">
        <v>0</v>
      </c>
      <c r="O95" s="108">
        <v>12</v>
      </c>
      <c r="P95" s="108">
        <f t="shared" si="2"/>
        <v>12.000000000000002</v>
      </c>
      <c r="Q95" s="108">
        <v>54</v>
      </c>
      <c r="R95" s="109">
        <f t="shared" si="3"/>
        <v>54.000000000000007</v>
      </c>
    </row>
    <row r="96" spans="1:18" x14ac:dyDescent="0.25">
      <c r="A96" s="104">
        <v>1167.99</v>
      </c>
      <c r="B96" s="105" t="s">
        <v>608</v>
      </c>
      <c r="C96" s="105" t="s">
        <v>584</v>
      </c>
      <c r="D96" s="108">
        <v>5025</v>
      </c>
      <c r="E96" s="104" t="s">
        <v>609</v>
      </c>
      <c r="F96" s="105"/>
      <c r="G96" s="108">
        <v>0.48</v>
      </c>
      <c r="H96" s="108"/>
      <c r="I96" s="108">
        <v>75.7</v>
      </c>
      <c r="J96" s="108">
        <v>0.8</v>
      </c>
      <c r="K96" s="108">
        <v>2.4</v>
      </c>
      <c r="L96" s="108">
        <v>0.9</v>
      </c>
      <c r="M96" s="108">
        <v>11.7</v>
      </c>
      <c r="N96" s="108">
        <v>0</v>
      </c>
      <c r="O96" s="108">
        <v>8.6999999999999993</v>
      </c>
      <c r="P96" s="108">
        <f t="shared" si="2"/>
        <v>8.5</v>
      </c>
      <c r="Q96" s="108">
        <v>75</v>
      </c>
      <c r="R96" s="109">
        <f t="shared" si="3"/>
        <v>75.099999999999994</v>
      </c>
    </row>
    <row r="97" spans="1:18" x14ac:dyDescent="0.25">
      <c r="A97" s="104">
        <v>1168.01</v>
      </c>
      <c r="B97" s="105" t="s">
        <v>219</v>
      </c>
      <c r="C97" s="105" t="s">
        <v>320</v>
      </c>
      <c r="D97" s="108" t="s">
        <v>357</v>
      </c>
      <c r="E97" s="104" t="s">
        <v>358</v>
      </c>
      <c r="F97" s="105" t="s">
        <v>343</v>
      </c>
      <c r="G97" s="108">
        <v>0</v>
      </c>
      <c r="H97" s="108"/>
      <c r="I97" s="108" t="s">
        <v>359</v>
      </c>
      <c r="J97" s="108" t="s">
        <v>360</v>
      </c>
      <c r="K97" s="108" t="s">
        <v>361</v>
      </c>
      <c r="L97" s="108" t="s">
        <v>362</v>
      </c>
      <c r="M97" s="108">
        <v>4</v>
      </c>
      <c r="N97" s="108">
        <v>0</v>
      </c>
      <c r="O97" s="108">
        <v>19.600000000000009</v>
      </c>
      <c r="P97" s="108">
        <f t="shared" si="2"/>
        <v>19.600000000000009</v>
      </c>
      <c r="Q97" s="108">
        <v>609</v>
      </c>
      <c r="R97" s="109">
        <f t="shared" si="3"/>
        <v>608.5</v>
      </c>
    </row>
    <row r="98" spans="1:18" x14ac:dyDescent="0.25">
      <c r="A98" s="104">
        <v>1168.02</v>
      </c>
      <c r="B98" s="105" t="s">
        <v>531</v>
      </c>
      <c r="C98" s="105" t="s">
        <v>530</v>
      </c>
      <c r="D98" s="108" t="s">
        <v>357</v>
      </c>
      <c r="E98" s="104" t="s">
        <v>529</v>
      </c>
      <c r="F98" s="105" t="s">
        <v>343</v>
      </c>
      <c r="G98" s="108">
        <v>6.9999999999999951E-2</v>
      </c>
      <c r="H98" s="108"/>
      <c r="I98" s="108">
        <v>86.9</v>
      </c>
      <c r="J98" s="108">
        <v>0.4</v>
      </c>
      <c r="K98" s="108">
        <v>0.7</v>
      </c>
      <c r="L98" s="108">
        <v>0.1</v>
      </c>
      <c r="M98" s="108">
        <v>2</v>
      </c>
      <c r="N98" s="108">
        <v>0</v>
      </c>
      <c r="O98" s="108">
        <v>9.9</v>
      </c>
      <c r="P98" s="108">
        <f t="shared" si="2"/>
        <v>9.899999999999995</v>
      </c>
      <c r="Q98" s="108">
        <v>47</v>
      </c>
      <c r="R98" s="109">
        <f t="shared" si="3"/>
        <v>47.299999999999983</v>
      </c>
    </row>
    <row r="99" spans="1:18" x14ac:dyDescent="0.25">
      <c r="A99" s="104">
        <v>1168.02</v>
      </c>
      <c r="B99" s="105" t="s">
        <v>220</v>
      </c>
      <c r="C99" s="105" t="s">
        <v>584</v>
      </c>
      <c r="D99" s="108">
        <v>6029</v>
      </c>
      <c r="E99" s="104" t="s">
        <v>610</v>
      </c>
      <c r="F99" s="105"/>
      <c r="G99" s="108">
        <v>7.0000000000000007E-2</v>
      </c>
      <c r="H99" s="108"/>
      <c r="I99" s="108">
        <v>86.9</v>
      </c>
      <c r="J99" s="108">
        <v>0.4</v>
      </c>
      <c r="K99" s="108">
        <v>0.7</v>
      </c>
      <c r="L99" s="108">
        <v>0.1</v>
      </c>
      <c r="M99" s="108">
        <v>2</v>
      </c>
      <c r="N99" s="108">
        <v>0</v>
      </c>
      <c r="O99" s="108">
        <v>9.9</v>
      </c>
      <c r="P99" s="108">
        <f t="shared" si="2"/>
        <v>9.899999999999995</v>
      </c>
      <c r="Q99" s="108">
        <v>47</v>
      </c>
      <c r="R99" s="109">
        <f t="shared" si="3"/>
        <v>47.299999999999983</v>
      </c>
    </row>
    <row r="100" spans="1:18" x14ac:dyDescent="0.25">
      <c r="A100" s="104">
        <v>1168.03</v>
      </c>
      <c r="B100" s="105" t="s">
        <v>611</v>
      </c>
      <c r="C100" s="105" t="s">
        <v>390</v>
      </c>
      <c r="D100" s="108" t="s">
        <v>416</v>
      </c>
      <c r="E100" s="104" t="s">
        <v>417</v>
      </c>
      <c r="F100" s="105"/>
      <c r="G100" s="108">
        <v>0.1</v>
      </c>
      <c r="H100" s="108"/>
      <c r="I100" s="108">
        <v>85.6</v>
      </c>
      <c r="J100" s="108">
        <v>0.2</v>
      </c>
      <c r="K100" s="108">
        <v>0.3</v>
      </c>
      <c r="L100" s="108">
        <v>0.2</v>
      </c>
      <c r="M100" s="108">
        <v>2.4</v>
      </c>
      <c r="N100" s="108">
        <v>0</v>
      </c>
      <c r="O100" s="108">
        <v>11.300000000000006</v>
      </c>
      <c r="P100" s="108">
        <f t="shared" si="2"/>
        <v>11.300000000000006</v>
      </c>
      <c r="Q100" s="108">
        <v>53</v>
      </c>
      <c r="R100" s="109">
        <f t="shared" si="3"/>
        <v>53.000000000000021</v>
      </c>
    </row>
    <row r="101" spans="1:18" s="95" customFormat="1" x14ac:dyDescent="0.25">
      <c r="A101" s="117">
        <v>1168.04</v>
      </c>
      <c r="B101" s="49" t="s">
        <v>221</v>
      </c>
      <c r="C101" s="105" t="s">
        <v>390</v>
      </c>
      <c r="D101" s="108" t="s">
        <v>412</v>
      </c>
      <c r="E101" s="104" t="s">
        <v>413</v>
      </c>
      <c r="F101" s="105"/>
      <c r="G101" s="108">
        <v>0.27</v>
      </c>
      <c r="H101" s="108"/>
      <c r="I101" s="108">
        <v>87.8</v>
      </c>
      <c r="J101" s="108">
        <v>0.5</v>
      </c>
      <c r="K101" s="108">
        <v>0.7</v>
      </c>
      <c r="L101" s="108">
        <v>0.3</v>
      </c>
      <c r="M101" s="108">
        <v>1.7</v>
      </c>
      <c r="N101" s="108">
        <v>0</v>
      </c>
      <c r="O101" s="108">
        <v>9.0000000000000036</v>
      </c>
      <c r="P101" s="108">
        <f t="shared" ref="P101" si="6">100-I101-J101-K101-L101-M101-N101</f>
        <v>9.0000000000000036</v>
      </c>
      <c r="Q101" s="108">
        <v>45</v>
      </c>
      <c r="R101" s="109">
        <f t="shared" ref="R101" si="7">K101*4+L101*9+M101*2+N101*7+P101*4</f>
        <v>44.900000000000013</v>
      </c>
    </row>
    <row r="102" spans="1:18" x14ac:dyDescent="0.25">
      <c r="A102" s="104">
        <v>1168.05</v>
      </c>
      <c r="B102" s="105" t="s">
        <v>612</v>
      </c>
      <c r="C102" s="105" t="s">
        <v>390</v>
      </c>
      <c r="D102" s="108" t="s">
        <v>416</v>
      </c>
      <c r="E102" s="104" t="s">
        <v>417</v>
      </c>
      <c r="F102" s="105"/>
      <c r="G102" s="108">
        <v>0.1</v>
      </c>
      <c r="H102" s="108"/>
      <c r="I102" s="108">
        <v>85.6</v>
      </c>
      <c r="J102" s="108">
        <v>0.2</v>
      </c>
      <c r="K102" s="108">
        <v>0.3</v>
      </c>
      <c r="L102" s="108">
        <v>0.2</v>
      </c>
      <c r="M102" s="108">
        <v>2.4</v>
      </c>
      <c r="N102" s="108">
        <v>0</v>
      </c>
      <c r="O102" s="108">
        <v>11.300000000000006</v>
      </c>
      <c r="P102" s="108">
        <f t="shared" si="2"/>
        <v>11.300000000000006</v>
      </c>
      <c r="Q102" s="108">
        <v>53</v>
      </c>
      <c r="R102" s="109">
        <f t="shared" si="3"/>
        <v>53.000000000000021</v>
      </c>
    </row>
    <row r="103" spans="1:18" x14ac:dyDescent="0.25">
      <c r="A103" s="104">
        <v>1168.08</v>
      </c>
      <c r="B103" s="105" t="s">
        <v>222</v>
      </c>
      <c r="C103" s="105" t="s">
        <v>390</v>
      </c>
      <c r="D103" s="108" t="s">
        <v>422</v>
      </c>
      <c r="E103" s="104" t="s">
        <v>423</v>
      </c>
      <c r="F103" s="105"/>
      <c r="G103" s="108">
        <v>0</v>
      </c>
      <c r="H103" s="108"/>
      <c r="I103" s="108">
        <v>8.4</v>
      </c>
      <c r="J103" s="108">
        <v>3.1</v>
      </c>
      <c r="K103" s="108">
        <v>20.100000000000001</v>
      </c>
      <c r="L103" s="108">
        <v>5.9</v>
      </c>
      <c r="M103" s="108">
        <v>3.7</v>
      </c>
      <c r="N103" s="108">
        <v>0</v>
      </c>
      <c r="O103" s="108">
        <v>0</v>
      </c>
      <c r="P103" s="108">
        <f t="shared" si="2"/>
        <v>58.800000000000004</v>
      </c>
      <c r="Q103" s="108">
        <v>376</v>
      </c>
      <c r="R103" s="109">
        <f t="shared" si="3"/>
        <v>376.1</v>
      </c>
    </row>
    <row r="104" spans="1:18" x14ac:dyDescent="0.25">
      <c r="A104" s="104">
        <v>1168.0899999999999</v>
      </c>
      <c r="B104" s="105" t="s">
        <v>223</v>
      </c>
      <c r="C104" s="105" t="s">
        <v>390</v>
      </c>
      <c r="D104" s="112" t="s">
        <v>450</v>
      </c>
      <c r="E104" s="110" t="s">
        <v>451</v>
      </c>
      <c r="F104" s="105"/>
      <c r="G104" s="108">
        <v>0</v>
      </c>
      <c r="H104" s="108"/>
      <c r="I104" s="112">
        <v>6.3</v>
      </c>
      <c r="J104" s="112">
        <v>2.2999999999999998</v>
      </c>
      <c r="K104" s="112">
        <v>22.4</v>
      </c>
      <c r="L104" s="112">
        <v>45.9</v>
      </c>
      <c r="M104" s="112">
        <v>8.5</v>
      </c>
      <c r="N104" s="108">
        <v>0</v>
      </c>
      <c r="O104" s="112">
        <v>14.600000000000001</v>
      </c>
      <c r="P104" s="108">
        <f t="shared" ref="P104" si="8">100-I104-J104-K104-L104-M104-N104</f>
        <v>14.600000000000001</v>
      </c>
      <c r="Q104" s="112">
        <v>578</v>
      </c>
      <c r="R104" s="109">
        <f t="shared" ref="R104" si="9">K104*4+L104*9+M104*2+N104*7+P104*4</f>
        <v>578.09999999999991</v>
      </c>
    </row>
    <row r="105" spans="1:18" x14ac:dyDescent="0.25">
      <c r="A105" s="104">
        <v>1168.0999999999999</v>
      </c>
      <c r="B105" s="105" t="s">
        <v>224</v>
      </c>
      <c r="C105" s="105" t="s">
        <v>390</v>
      </c>
      <c r="D105" s="108" t="s">
        <v>450</v>
      </c>
      <c r="E105" s="104" t="s">
        <v>451</v>
      </c>
      <c r="F105" s="105"/>
      <c r="G105" s="108">
        <v>0</v>
      </c>
      <c r="H105" s="108"/>
      <c r="I105" s="108">
        <v>6.3</v>
      </c>
      <c r="J105" s="108">
        <v>2.2999999999999998</v>
      </c>
      <c r="K105" s="108">
        <v>22.4</v>
      </c>
      <c r="L105" s="108">
        <v>45.9</v>
      </c>
      <c r="M105" s="108">
        <v>8.5</v>
      </c>
      <c r="N105" s="108">
        <v>0</v>
      </c>
      <c r="O105" s="108">
        <v>14.600000000000001</v>
      </c>
      <c r="P105" s="108">
        <f t="shared" si="2"/>
        <v>14.600000000000001</v>
      </c>
      <c r="Q105" s="108">
        <v>578</v>
      </c>
      <c r="R105" s="109">
        <f t="shared" si="3"/>
        <v>578.09999999999991</v>
      </c>
    </row>
    <row r="106" spans="1:18" x14ac:dyDescent="0.25">
      <c r="A106" s="104">
        <v>1168.0999999999999</v>
      </c>
      <c r="B106" s="105" t="s">
        <v>224</v>
      </c>
      <c r="C106" s="105" t="s">
        <v>390</v>
      </c>
      <c r="D106" s="112" t="s">
        <v>450</v>
      </c>
      <c r="E106" s="110" t="s">
        <v>451</v>
      </c>
      <c r="F106" s="105"/>
      <c r="G106" s="108">
        <v>0</v>
      </c>
      <c r="H106" s="108"/>
      <c r="I106" s="112">
        <v>6.3</v>
      </c>
      <c r="J106" s="112">
        <v>2.2999999999999998</v>
      </c>
      <c r="K106" s="112">
        <v>22.4</v>
      </c>
      <c r="L106" s="112">
        <v>45.9</v>
      </c>
      <c r="M106" s="112">
        <v>8.5</v>
      </c>
      <c r="N106" s="108">
        <v>0</v>
      </c>
      <c r="O106" s="112">
        <v>14.600000000000001</v>
      </c>
      <c r="P106" s="108">
        <f t="shared" si="2"/>
        <v>14.600000000000001</v>
      </c>
      <c r="Q106" s="112">
        <v>578</v>
      </c>
      <c r="R106" s="109">
        <f t="shared" si="3"/>
        <v>578.09999999999991</v>
      </c>
    </row>
    <row r="107" spans="1:18" x14ac:dyDescent="0.25">
      <c r="A107" s="104">
        <v>1168.1099999999999</v>
      </c>
      <c r="B107" s="105" t="s">
        <v>615</v>
      </c>
      <c r="C107" s="105" t="s">
        <v>390</v>
      </c>
      <c r="D107" s="108" t="s">
        <v>573</v>
      </c>
      <c r="E107" s="104" t="s">
        <v>616</v>
      </c>
      <c r="F107" s="105"/>
      <c r="G107" s="108">
        <v>0.28000000000000003</v>
      </c>
      <c r="H107" s="108"/>
      <c r="I107" s="108">
        <v>17.7</v>
      </c>
      <c r="J107" s="108">
        <v>4.3</v>
      </c>
      <c r="K107" s="108">
        <v>2.4</v>
      </c>
      <c r="L107" s="108">
        <v>0.6</v>
      </c>
      <c r="M107" s="108">
        <v>6.8</v>
      </c>
      <c r="N107" s="108">
        <v>0</v>
      </c>
      <c r="O107" s="108">
        <v>60.2</v>
      </c>
      <c r="P107" s="108">
        <f t="shared" si="2"/>
        <v>68.2</v>
      </c>
      <c r="Q107" s="108">
        <v>302</v>
      </c>
      <c r="R107" s="109">
        <f t="shared" si="3"/>
        <v>301.40000000000003</v>
      </c>
    </row>
    <row r="108" spans="1:18" x14ac:dyDescent="0.25">
      <c r="A108" s="104">
        <v>1168.1400000000001</v>
      </c>
      <c r="B108" s="105" t="s">
        <v>534</v>
      </c>
      <c r="C108" s="105" t="s">
        <v>7</v>
      </c>
      <c r="D108" s="108" t="s">
        <v>463</v>
      </c>
      <c r="E108" s="104" t="s">
        <v>464</v>
      </c>
      <c r="F108" s="105"/>
      <c r="G108" s="108">
        <v>0</v>
      </c>
      <c r="H108" s="108"/>
      <c r="I108" s="108">
        <v>66.930000000000007</v>
      </c>
      <c r="J108" s="108">
        <v>1.44</v>
      </c>
      <c r="K108" s="108">
        <v>9.1300000000000008</v>
      </c>
      <c r="L108" s="108">
        <v>0.09</v>
      </c>
      <c r="M108" s="108">
        <v>9.3000000000000007</v>
      </c>
      <c r="N108" s="108">
        <v>0</v>
      </c>
      <c r="O108" s="108">
        <v>13.109999999999992</v>
      </c>
      <c r="P108" s="108">
        <f t="shared" si="2"/>
        <v>13.109999999999992</v>
      </c>
      <c r="Q108" s="108">
        <v>124</v>
      </c>
      <c r="R108" s="109">
        <f t="shared" si="3"/>
        <v>108.36999999999998</v>
      </c>
    </row>
    <row r="109" spans="1:18" x14ac:dyDescent="0.25">
      <c r="A109" s="104">
        <v>1168.1400000000001</v>
      </c>
      <c r="B109" s="105" t="s">
        <v>225</v>
      </c>
      <c r="C109" s="105" t="s">
        <v>712</v>
      </c>
      <c r="D109" s="108" t="s">
        <v>617</v>
      </c>
      <c r="E109" s="104" t="s">
        <v>618</v>
      </c>
      <c r="F109" s="105"/>
      <c r="G109" s="108">
        <v>0.43</v>
      </c>
      <c r="H109" s="108"/>
      <c r="I109" s="108">
        <v>71.400000000000006</v>
      </c>
      <c r="J109" s="108">
        <v>1</v>
      </c>
      <c r="K109" s="108">
        <v>1.6</v>
      </c>
      <c r="L109" s="108">
        <v>0.5</v>
      </c>
      <c r="M109" s="108">
        <v>0.5</v>
      </c>
      <c r="N109" s="108">
        <v>0</v>
      </c>
      <c r="O109" s="108">
        <v>25.5</v>
      </c>
      <c r="P109" s="108">
        <f t="shared" si="2"/>
        <v>24.999999999999993</v>
      </c>
      <c r="Q109" s="108">
        <v>110</v>
      </c>
      <c r="R109" s="109">
        <f t="shared" si="3"/>
        <v>111.89999999999998</v>
      </c>
    </row>
    <row r="110" spans="1:18" x14ac:dyDescent="0.25">
      <c r="A110" s="104">
        <v>1168.1500000000001</v>
      </c>
      <c r="B110" s="105" t="s">
        <v>619</v>
      </c>
      <c r="C110" s="105" t="s">
        <v>7</v>
      </c>
      <c r="D110" s="108" t="s">
        <v>463</v>
      </c>
      <c r="E110" s="104" t="s">
        <v>464</v>
      </c>
      <c r="F110" s="105"/>
      <c r="G110" s="108">
        <v>0</v>
      </c>
      <c r="H110" s="108"/>
      <c r="I110" s="108">
        <v>66.930000000000007</v>
      </c>
      <c r="J110" s="108">
        <v>1.44</v>
      </c>
      <c r="K110" s="108">
        <v>9.1300000000000008</v>
      </c>
      <c r="L110" s="108">
        <v>0.09</v>
      </c>
      <c r="M110" s="108">
        <v>9.3000000000000007</v>
      </c>
      <c r="N110" s="108">
        <v>0</v>
      </c>
      <c r="O110" s="108">
        <v>13.109999999999992</v>
      </c>
      <c r="P110" s="108">
        <f t="shared" si="2"/>
        <v>13.109999999999992</v>
      </c>
      <c r="Q110" s="108">
        <v>124</v>
      </c>
      <c r="R110" s="109">
        <f t="shared" si="3"/>
        <v>108.36999999999998</v>
      </c>
    </row>
    <row r="111" spans="1:18" x14ac:dyDescent="0.25">
      <c r="A111" s="104">
        <v>1168.1600000000001</v>
      </c>
      <c r="B111" s="105" t="s">
        <v>620</v>
      </c>
      <c r="C111" s="105" t="s">
        <v>7</v>
      </c>
      <c r="D111" s="108">
        <v>12104</v>
      </c>
      <c r="E111" s="104" t="s">
        <v>621</v>
      </c>
      <c r="F111" s="105"/>
      <c r="G111" s="108">
        <v>0</v>
      </c>
      <c r="H111" s="108"/>
      <c r="I111" s="108">
        <v>46.99</v>
      </c>
      <c r="J111" s="108">
        <v>0.97</v>
      </c>
      <c r="K111" s="108">
        <v>3.33</v>
      </c>
      <c r="L111" s="108">
        <v>33.49</v>
      </c>
      <c r="M111" s="108">
        <v>9</v>
      </c>
      <c r="N111" s="108">
        <v>0</v>
      </c>
      <c r="O111" s="108">
        <v>15.23</v>
      </c>
      <c r="P111" s="108">
        <f t="shared" si="2"/>
        <v>6.2199999999999989</v>
      </c>
      <c r="Q111" s="108">
        <v>354</v>
      </c>
      <c r="R111" s="109">
        <f t="shared" si="3"/>
        <v>357.61</v>
      </c>
    </row>
    <row r="112" spans="1:18" x14ac:dyDescent="0.25">
      <c r="A112" s="104">
        <v>1168.17</v>
      </c>
      <c r="B112" s="105" t="s">
        <v>622</v>
      </c>
      <c r="C112" s="105" t="s">
        <v>7</v>
      </c>
      <c r="D112" s="108">
        <v>12135</v>
      </c>
      <c r="E112" s="104" t="s">
        <v>623</v>
      </c>
      <c r="F112" s="105"/>
      <c r="G112" s="108">
        <v>0</v>
      </c>
      <c r="H112" s="108"/>
      <c r="I112" s="108">
        <v>1.75</v>
      </c>
      <c r="J112" s="108">
        <v>4.1500000000000004</v>
      </c>
      <c r="K112" s="108">
        <v>17.3</v>
      </c>
      <c r="L112" s="108">
        <v>51.45</v>
      </c>
      <c r="M112" s="108">
        <v>9</v>
      </c>
      <c r="N112" s="108">
        <v>0</v>
      </c>
      <c r="O112" s="108">
        <v>25.35</v>
      </c>
      <c r="P112" s="108">
        <f t="shared" si="2"/>
        <v>16.349999999999994</v>
      </c>
      <c r="Q112" s="108">
        <v>594</v>
      </c>
      <c r="R112" s="109">
        <f t="shared" si="3"/>
        <v>615.65</v>
      </c>
    </row>
    <row r="113" spans="1:18" x14ac:dyDescent="0.25">
      <c r="A113" s="104">
        <v>1168.19</v>
      </c>
      <c r="B113" s="105" t="s">
        <v>624</v>
      </c>
      <c r="C113" s="105" t="s">
        <v>7</v>
      </c>
      <c r="D113" s="108">
        <v>9094</v>
      </c>
      <c r="E113" s="104" t="s">
        <v>625</v>
      </c>
      <c r="F113" s="105"/>
      <c r="G113" s="108">
        <v>0</v>
      </c>
      <c r="H113" s="108"/>
      <c r="I113" s="108">
        <v>30.05</v>
      </c>
      <c r="J113" s="108">
        <v>1.86</v>
      </c>
      <c r="K113" s="108">
        <v>3.3</v>
      </c>
      <c r="L113" s="108">
        <v>0.93</v>
      </c>
      <c r="M113" s="108">
        <v>9.8000000000000007</v>
      </c>
      <c r="N113" s="108">
        <v>0</v>
      </c>
      <c r="O113" s="108">
        <v>63.87</v>
      </c>
      <c r="P113" s="108">
        <f t="shared" si="2"/>
        <v>54.06</v>
      </c>
      <c r="Q113" s="108">
        <v>249</v>
      </c>
      <c r="R113" s="109">
        <f t="shared" si="3"/>
        <v>257.41000000000003</v>
      </c>
    </row>
    <row r="114" spans="1:18" x14ac:dyDescent="0.25">
      <c r="A114" s="104">
        <v>1168.2</v>
      </c>
      <c r="B114" s="105" t="s">
        <v>626</v>
      </c>
      <c r="C114" s="105" t="s">
        <v>7</v>
      </c>
      <c r="D114" s="108">
        <v>9259</v>
      </c>
      <c r="E114" s="104" t="s">
        <v>627</v>
      </c>
      <c r="F114" s="105"/>
      <c r="G114" s="108">
        <v>0</v>
      </c>
      <c r="H114" s="108"/>
      <c r="I114" s="108">
        <v>26.69</v>
      </c>
      <c r="J114" s="108">
        <v>1.1100000000000001</v>
      </c>
      <c r="K114" s="108">
        <v>1.87</v>
      </c>
      <c r="L114" s="108">
        <v>0.63</v>
      </c>
      <c r="M114" s="108">
        <v>7.5</v>
      </c>
      <c r="N114" s="108">
        <v>0</v>
      </c>
      <c r="O114" s="108">
        <v>69.7</v>
      </c>
      <c r="P114" s="108">
        <f t="shared" si="2"/>
        <v>62.2</v>
      </c>
      <c r="Q114" s="108">
        <v>262</v>
      </c>
      <c r="R114" s="109">
        <f t="shared" si="3"/>
        <v>276.95</v>
      </c>
    </row>
    <row r="115" spans="1:18" x14ac:dyDescent="0.25">
      <c r="A115" s="104">
        <v>1168.22</v>
      </c>
      <c r="B115" s="105" t="s">
        <v>628</v>
      </c>
      <c r="C115" s="105" t="s">
        <v>390</v>
      </c>
      <c r="D115" s="108" t="s">
        <v>629</v>
      </c>
      <c r="E115" s="104" t="s">
        <v>630</v>
      </c>
      <c r="F115" s="105"/>
      <c r="G115" s="108">
        <v>0</v>
      </c>
      <c r="H115" s="108"/>
      <c r="I115" s="108">
        <v>10.7</v>
      </c>
      <c r="J115" s="108">
        <v>1.6</v>
      </c>
      <c r="K115" s="108">
        <v>2.2999999999999998</v>
      </c>
      <c r="L115" s="108">
        <v>0.3</v>
      </c>
      <c r="M115" s="108">
        <v>6.9</v>
      </c>
      <c r="N115" s="108">
        <v>0</v>
      </c>
      <c r="O115" s="108">
        <v>70.099999999999994</v>
      </c>
      <c r="P115" s="108">
        <f t="shared" si="2"/>
        <v>78.2</v>
      </c>
      <c r="Q115" s="108">
        <v>307</v>
      </c>
      <c r="R115" s="109">
        <f t="shared" si="3"/>
        <v>338.5</v>
      </c>
    </row>
    <row r="116" spans="1:18" x14ac:dyDescent="0.25">
      <c r="A116" s="104">
        <v>1168.99</v>
      </c>
      <c r="B116" s="105" t="s">
        <v>631</v>
      </c>
      <c r="C116" s="105" t="s">
        <v>7</v>
      </c>
      <c r="D116" s="108">
        <v>9188</v>
      </c>
      <c r="E116" s="104" t="s">
        <v>632</v>
      </c>
      <c r="F116" s="105"/>
      <c r="G116" s="108">
        <v>0</v>
      </c>
      <c r="H116" s="108"/>
      <c r="I116" s="108">
        <v>31.18</v>
      </c>
      <c r="J116" s="108">
        <v>1.82</v>
      </c>
      <c r="K116" s="108">
        <v>2.46</v>
      </c>
      <c r="L116" s="108">
        <v>0.49</v>
      </c>
      <c r="M116" s="108">
        <v>7.8</v>
      </c>
      <c r="N116" s="108">
        <v>0</v>
      </c>
      <c r="O116" s="108">
        <v>64.06</v>
      </c>
      <c r="P116" s="108">
        <f t="shared" si="2"/>
        <v>56.250000000000014</v>
      </c>
      <c r="Q116" s="108">
        <v>243</v>
      </c>
      <c r="R116" s="109">
        <f t="shared" si="3"/>
        <v>254.85000000000005</v>
      </c>
    </row>
    <row r="117" spans="1:18" x14ac:dyDescent="0.25">
      <c r="A117" s="104">
        <v>1169.01</v>
      </c>
      <c r="B117" s="105" t="s">
        <v>633</v>
      </c>
      <c r="C117" s="105" t="s">
        <v>7</v>
      </c>
      <c r="D117" s="108">
        <v>9187</v>
      </c>
      <c r="E117" s="104" t="s">
        <v>634</v>
      </c>
      <c r="F117" s="105"/>
      <c r="G117" s="108">
        <v>0</v>
      </c>
      <c r="H117" s="108"/>
      <c r="I117" s="108">
        <v>80.56</v>
      </c>
      <c r="J117" s="108">
        <v>0.21</v>
      </c>
      <c r="K117" s="108">
        <v>0.37</v>
      </c>
      <c r="L117" s="108">
        <v>0.1</v>
      </c>
      <c r="M117" s="108">
        <v>1</v>
      </c>
      <c r="N117" s="108">
        <v>0</v>
      </c>
      <c r="O117" s="108">
        <v>18.760000000000002</v>
      </c>
      <c r="P117" s="108">
        <f t="shared" si="2"/>
        <v>17.759999999999994</v>
      </c>
      <c r="Q117" s="108">
        <v>72</v>
      </c>
      <c r="R117" s="109">
        <f t="shared" si="3"/>
        <v>75.419999999999973</v>
      </c>
    </row>
    <row r="118" spans="1:18" x14ac:dyDescent="0.25">
      <c r="A118" s="104">
        <v>1169.02</v>
      </c>
      <c r="B118" s="105" t="s">
        <v>635</v>
      </c>
      <c r="C118" s="105" t="s">
        <v>7</v>
      </c>
      <c r="D118" s="108">
        <v>9189</v>
      </c>
      <c r="E118" s="104" t="s">
        <v>636</v>
      </c>
      <c r="F118" s="105"/>
      <c r="G118" s="108">
        <v>0</v>
      </c>
      <c r="H118" s="108"/>
      <c r="I118" s="108">
        <v>73.73</v>
      </c>
      <c r="J118" s="108">
        <v>3.43</v>
      </c>
      <c r="K118" s="108">
        <v>1.42</v>
      </c>
      <c r="L118" s="108">
        <v>0.18</v>
      </c>
      <c r="M118" s="108">
        <v>1.9</v>
      </c>
      <c r="N118" s="108">
        <v>0</v>
      </c>
      <c r="O118" s="108">
        <v>24.23</v>
      </c>
      <c r="P118" s="108">
        <f t="shared" si="2"/>
        <v>19.339999999999996</v>
      </c>
      <c r="Q118" s="108">
        <v>98</v>
      </c>
      <c r="R118" s="109">
        <f t="shared" si="3"/>
        <v>88.45999999999998</v>
      </c>
    </row>
    <row r="119" spans="1:18" x14ac:dyDescent="0.25">
      <c r="A119" s="104">
        <v>1169.08</v>
      </c>
      <c r="B119" s="105" t="s">
        <v>637</v>
      </c>
      <c r="C119" s="105" t="s">
        <v>7</v>
      </c>
      <c r="D119" s="108">
        <v>9187</v>
      </c>
      <c r="E119" s="104" t="s">
        <v>634</v>
      </c>
      <c r="F119" s="105"/>
      <c r="G119" s="108">
        <v>0</v>
      </c>
      <c r="H119" s="108"/>
      <c r="I119" s="108">
        <v>80.56</v>
      </c>
      <c r="J119" s="108">
        <v>0.21</v>
      </c>
      <c r="K119" s="108">
        <v>0.37</v>
      </c>
      <c r="L119" s="108">
        <v>0.1</v>
      </c>
      <c r="M119" s="108">
        <v>1</v>
      </c>
      <c r="N119" s="108">
        <v>0</v>
      </c>
      <c r="O119" s="108">
        <v>18.760000000000002</v>
      </c>
      <c r="P119" s="108">
        <f t="shared" si="2"/>
        <v>17.759999999999994</v>
      </c>
      <c r="Q119" s="108">
        <v>72</v>
      </c>
      <c r="R119" s="109">
        <f t="shared" si="3"/>
        <v>75.419999999999973</v>
      </c>
    </row>
    <row r="120" spans="1:18" x14ac:dyDescent="0.25">
      <c r="A120" s="104">
        <v>1169.99</v>
      </c>
      <c r="B120" s="105" t="s">
        <v>226</v>
      </c>
      <c r="C120" s="105" t="s">
        <v>7</v>
      </c>
      <c r="D120" s="108" t="s">
        <v>463</v>
      </c>
      <c r="E120" s="104" t="s">
        <v>464</v>
      </c>
      <c r="F120" s="105"/>
      <c r="G120" s="108">
        <v>0</v>
      </c>
      <c r="H120" s="108"/>
      <c r="I120" s="108">
        <v>66.930000000000007</v>
      </c>
      <c r="J120" s="108">
        <v>1.44</v>
      </c>
      <c r="K120" s="108">
        <v>9.1300000000000008</v>
      </c>
      <c r="L120" s="108">
        <v>0.09</v>
      </c>
      <c r="M120" s="108">
        <v>9.3000000000000007</v>
      </c>
      <c r="N120" s="108">
        <v>0</v>
      </c>
      <c r="O120" s="108">
        <v>13.109999999999992</v>
      </c>
      <c r="P120" s="108">
        <f t="shared" si="2"/>
        <v>13.109999999999992</v>
      </c>
      <c r="Q120" s="108">
        <v>124</v>
      </c>
      <c r="R120" s="109">
        <f t="shared" si="3"/>
        <v>108.36999999999998</v>
      </c>
    </row>
    <row r="121" spans="1:18" x14ac:dyDescent="0.25">
      <c r="A121" s="104">
        <v>1169.99</v>
      </c>
      <c r="B121" s="105" t="s">
        <v>226</v>
      </c>
      <c r="C121" s="105" t="s">
        <v>7</v>
      </c>
      <c r="D121" s="108">
        <v>12635</v>
      </c>
      <c r="E121" s="104" t="s">
        <v>638</v>
      </c>
      <c r="F121" s="105"/>
      <c r="G121" s="108">
        <v>0</v>
      </c>
      <c r="H121" s="108"/>
      <c r="I121" s="108">
        <v>1.75</v>
      </c>
      <c r="J121" s="108">
        <v>4.1500000000000004</v>
      </c>
      <c r="K121" s="108">
        <v>17.3</v>
      </c>
      <c r="L121" s="108">
        <v>51.45</v>
      </c>
      <c r="M121" s="108">
        <v>9</v>
      </c>
      <c r="N121" s="108">
        <v>0</v>
      </c>
      <c r="O121" s="108">
        <v>25.35</v>
      </c>
      <c r="P121" s="108">
        <f t="shared" si="2"/>
        <v>16.349999999999994</v>
      </c>
      <c r="Q121" s="108">
        <v>594</v>
      </c>
      <c r="R121" s="109">
        <f t="shared" si="3"/>
        <v>615.65</v>
      </c>
    </row>
    <row r="122" spans="1:18" x14ac:dyDescent="0.25">
      <c r="A122" s="104">
        <v>1171.01</v>
      </c>
      <c r="B122" s="105" t="s">
        <v>227</v>
      </c>
      <c r="C122" s="105" t="s">
        <v>390</v>
      </c>
      <c r="D122" s="108" t="s">
        <v>639</v>
      </c>
      <c r="E122" s="104" t="s">
        <v>640</v>
      </c>
      <c r="F122" s="105"/>
      <c r="G122" s="108">
        <v>0.3</v>
      </c>
      <c r="H122" s="108"/>
      <c r="I122" s="108">
        <v>94.5</v>
      </c>
      <c r="J122" s="108">
        <v>0.8</v>
      </c>
      <c r="K122" s="108">
        <v>1</v>
      </c>
      <c r="L122" s="108">
        <v>0.2</v>
      </c>
      <c r="M122" s="108">
        <v>1.2</v>
      </c>
      <c r="N122" s="108">
        <v>0</v>
      </c>
      <c r="O122" s="108">
        <v>2.2999999999999998</v>
      </c>
      <c r="P122" s="108">
        <f t="shared" si="2"/>
        <v>2.2999999999999998</v>
      </c>
      <c r="Q122" s="108">
        <v>18</v>
      </c>
      <c r="R122" s="109">
        <f t="shared" si="3"/>
        <v>17.399999999999999</v>
      </c>
    </row>
    <row r="123" spans="1:18" x14ac:dyDescent="0.25">
      <c r="A123" s="104">
        <v>1171.02</v>
      </c>
      <c r="B123" s="105" t="s">
        <v>228</v>
      </c>
      <c r="C123" s="105" t="s">
        <v>390</v>
      </c>
      <c r="D123" s="108" t="s">
        <v>426</v>
      </c>
      <c r="E123" s="104" t="s">
        <v>427</v>
      </c>
      <c r="F123" s="105"/>
      <c r="G123" s="108">
        <v>0.28000000000000003</v>
      </c>
      <c r="H123" s="108"/>
      <c r="I123" s="108">
        <v>90.9</v>
      </c>
      <c r="J123" s="108">
        <v>1.8</v>
      </c>
      <c r="K123" s="108">
        <v>2.8</v>
      </c>
      <c r="L123" s="108">
        <v>0.6</v>
      </c>
      <c r="M123" s="108">
        <v>2.2000000000000002</v>
      </c>
      <c r="N123" s="108">
        <v>0</v>
      </c>
      <c r="O123" s="108">
        <v>1.6999999999999944</v>
      </c>
      <c r="P123" s="108">
        <f t="shared" si="2"/>
        <v>1.6999999999999944</v>
      </c>
      <c r="Q123" s="108">
        <v>28</v>
      </c>
      <c r="R123" s="109">
        <f t="shared" si="3"/>
        <v>27.799999999999976</v>
      </c>
    </row>
    <row r="124" spans="1:18" x14ac:dyDescent="0.25">
      <c r="A124" s="104">
        <v>1171.03</v>
      </c>
      <c r="B124" s="105" t="s">
        <v>643</v>
      </c>
      <c r="C124" s="105" t="s">
        <v>7</v>
      </c>
      <c r="D124" s="108">
        <v>11143</v>
      </c>
      <c r="E124" s="104" t="s">
        <v>644</v>
      </c>
      <c r="F124" s="105"/>
      <c r="G124" s="108">
        <v>0</v>
      </c>
      <c r="H124" s="108"/>
      <c r="I124" s="108">
        <v>95.43</v>
      </c>
      <c r="J124" s="108">
        <v>0.75</v>
      </c>
      <c r="K124" s="108">
        <v>0.69</v>
      </c>
      <c r="L124" s="108">
        <v>0.17</v>
      </c>
      <c r="M124" s="108">
        <v>1.6</v>
      </c>
      <c r="N124" s="108">
        <v>0</v>
      </c>
      <c r="O124" s="108">
        <v>2.97</v>
      </c>
      <c r="P124" s="108">
        <f t="shared" si="2"/>
        <v>1.3599999999999932</v>
      </c>
      <c r="Q124" s="108">
        <v>16</v>
      </c>
      <c r="R124" s="109">
        <f t="shared" si="3"/>
        <v>12.929999999999973</v>
      </c>
    </row>
    <row r="125" spans="1:18" x14ac:dyDescent="0.25">
      <c r="A125" s="104">
        <v>1171.99</v>
      </c>
      <c r="B125" s="105" t="s">
        <v>645</v>
      </c>
      <c r="C125" s="105" t="s">
        <v>7</v>
      </c>
      <c r="D125" s="108">
        <v>11291</v>
      </c>
      <c r="E125" s="104" t="s">
        <v>646</v>
      </c>
      <c r="F125" s="105"/>
      <c r="G125" s="108">
        <v>0</v>
      </c>
      <c r="H125" s="108"/>
      <c r="I125" s="108">
        <v>89.83</v>
      </c>
      <c r="J125" s="108">
        <v>0.81</v>
      </c>
      <c r="K125" s="108">
        <v>1.83</v>
      </c>
      <c r="L125" s="108">
        <v>0.19</v>
      </c>
      <c r="M125" s="108">
        <v>2.6</v>
      </c>
      <c r="N125" s="108">
        <v>0</v>
      </c>
      <c r="O125" s="108">
        <v>7.34</v>
      </c>
      <c r="P125" s="108">
        <f t="shared" si="2"/>
        <v>4.74</v>
      </c>
      <c r="Q125" s="108">
        <v>32</v>
      </c>
      <c r="R125" s="109">
        <f t="shared" si="3"/>
        <v>33.19</v>
      </c>
    </row>
    <row r="126" spans="1:18" x14ac:dyDescent="0.25">
      <c r="A126" s="104">
        <v>1172.01</v>
      </c>
      <c r="B126" s="105" t="s">
        <v>647</v>
      </c>
      <c r="C126" s="105" t="s">
        <v>7</v>
      </c>
      <c r="D126" s="108">
        <v>11090</v>
      </c>
      <c r="E126" s="104" t="s">
        <v>648</v>
      </c>
      <c r="F126" s="105"/>
      <c r="G126" s="108">
        <v>0</v>
      </c>
      <c r="H126" s="108"/>
      <c r="I126" s="108">
        <v>89.3</v>
      </c>
      <c r="J126" s="108">
        <v>0.87</v>
      </c>
      <c r="K126" s="108">
        <v>2.82</v>
      </c>
      <c r="L126" s="108">
        <v>0.37</v>
      </c>
      <c r="M126" s="108">
        <v>2.6</v>
      </c>
      <c r="N126" s="108">
        <v>0</v>
      </c>
      <c r="O126" s="108">
        <v>6.64</v>
      </c>
      <c r="P126" s="108">
        <f t="shared" si="2"/>
        <v>4.0400000000000027</v>
      </c>
      <c r="Q126" s="108">
        <v>34</v>
      </c>
      <c r="R126" s="109">
        <f t="shared" si="3"/>
        <v>35.970000000000013</v>
      </c>
    </row>
    <row r="127" spans="1:18" x14ac:dyDescent="0.25">
      <c r="A127" s="104">
        <v>1172.02</v>
      </c>
      <c r="B127" s="105" t="s">
        <v>154</v>
      </c>
      <c r="C127" s="105" t="s">
        <v>390</v>
      </c>
      <c r="D127" s="108" t="s">
        <v>424</v>
      </c>
      <c r="E127" s="104" t="s">
        <v>425</v>
      </c>
      <c r="F127" s="105"/>
      <c r="G127" s="108">
        <v>0.2</v>
      </c>
      <c r="H127" s="108"/>
      <c r="I127" s="108">
        <v>91.2</v>
      </c>
      <c r="J127" s="108">
        <v>0.8</v>
      </c>
      <c r="K127" s="108">
        <v>1.6</v>
      </c>
      <c r="L127" s="108">
        <v>0.1</v>
      </c>
      <c r="M127" s="108">
        <v>2.6</v>
      </c>
      <c r="N127" s="108">
        <v>0</v>
      </c>
      <c r="O127" s="108">
        <v>3.6999999999999971</v>
      </c>
      <c r="P127" s="108">
        <f t="shared" si="2"/>
        <v>3.6999999999999971</v>
      </c>
      <c r="Q127" s="108">
        <v>28</v>
      </c>
      <c r="R127" s="109">
        <f t="shared" si="3"/>
        <v>27.29999999999999</v>
      </c>
    </row>
    <row r="128" spans="1:18" x14ac:dyDescent="0.25">
      <c r="A128" s="104">
        <v>1172.03</v>
      </c>
      <c r="B128" s="105" t="s">
        <v>649</v>
      </c>
      <c r="C128" s="105" t="s">
        <v>7</v>
      </c>
      <c r="D128" s="108">
        <v>1135</v>
      </c>
      <c r="E128" s="104" t="s">
        <v>650</v>
      </c>
      <c r="F128" s="105"/>
      <c r="G128" s="108">
        <v>0</v>
      </c>
      <c r="H128" s="108"/>
      <c r="I128" s="108">
        <v>92.07</v>
      </c>
      <c r="J128" s="108">
        <v>0.76</v>
      </c>
      <c r="K128" s="108">
        <v>1.92</v>
      </c>
      <c r="L128" s="108">
        <v>0.28000000000000003</v>
      </c>
      <c r="M128" s="108">
        <v>2</v>
      </c>
      <c r="N128" s="108">
        <v>0</v>
      </c>
      <c r="O128" s="108">
        <v>4.97</v>
      </c>
      <c r="P128" s="108">
        <f t="shared" si="2"/>
        <v>2.9700000000000069</v>
      </c>
      <c r="Q128" s="108">
        <v>25</v>
      </c>
      <c r="R128" s="109">
        <f t="shared" si="3"/>
        <v>26.080000000000027</v>
      </c>
    </row>
    <row r="129" spans="1:18" x14ac:dyDescent="0.25">
      <c r="A129" s="104">
        <v>1172.04</v>
      </c>
      <c r="B129" s="105" t="s">
        <v>651</v>
      </c>
      <c r="C129" s="105" t="s">
        <v>7</v>
      </c>
      <c r="D129" s="108">
        <v>111098</v>
      </c>
      <c r="E129" s="104" t="s">
        <v>652</v>
      </c>
      <c r="F129" s="105"/>
      <c r="G129" s="108">
        <v>0</v>
      </c>
      <c r="H129" s="108"/>
      <c r="I129" s="108">
        <v>86</v>
      </c>
      <c r="J129" s="108">
        <v>1.37</v>
      </c>
      <c r="K129" s="108">
        <v>3.38</v>
      </c>
      <c r="L129" s="108">
        <v>0.3</v>
      </c>
      <c r="M129" s="108">
        <v>3.8</v>
      </c>
      <c r="N129" s="108">
        <v>0</v>
      </c>
      <c r="O129" s="108">
        <v>8.9499999999999993</v>
      </c>
      <c r="P129" s="108">
        <f t="shared" ref="P129:P192" si="10">100-I129-J129-K129-L129-M129-N129</f>
        <v>5.1499999999999995</v>
      </c>
      <c r="Q129" s="108">
        <v>43</v>
      </c>
      <c r="R129" s="109">
        <f t="shared" ref="R129:R192" si="11">K129*4+L129*9+M129*2+N129*7+P129*4</f>
        <v>44.42</v>
      </c>
    </row>
    <row r="130" spans="1:18" x14ac:dyDescent="0.25">
      <c r="A130" s="104">
        <v>1173.01</v>
      </c>
      <c r="B130" s="105" t="s">
        <v>653</v>
      </c>
      <c r="C130" s="105" t="s">
        <v>7</v>
      </c>
      <c r="D130" s="108">
        <v>11209</v>
      </c>
      <c r="E130" s="104" t="s">
        <v>654</v>
      </c>
      <c r="F130" s="105"/>
      <c r="G130" s="108">
        <v>0</v>
      </c>
      <c r="H130" s="108"/>
      <c r="I130" s="108">
        <v>92.41</v>
      </c>
      <c r="J130" s="108">
        <v>0.7</v>
      </c>
      <c r="K130" s="108">
        <v>0.01</v>
      </c>
      <c r="L130" s="108">
        <v>0.19</v>
      </c>
      <c r="M130" s="108">
        <v>3.4</v>
      </c>
      <c r="N130" s="108">
        <v>0</v>
      </c>
      <c r="O130" s="108">
        <v>5.7</v>
      </c>
      <c r="P130" s="108">
        <f t="shared" si="10"/>
        <v>3.2900000000000031</v>
      </c>
      <c r="Q130" s="108">
        <v>24</v>
      </c>
      <c r="R130" s="109">
        <f t="shared" si="11"/>
        <v>21.710000000000015</v>
      </c>
    </row>
    <row r="131" spans="1:18" x14ac:dyDescent="0.25">
      <c r="A131" s="104">
        <v>1173.02</v>
      </c>
      <c r="B131" s="105" t="s">
        <v>229</v>
      </c>
      <c r="C131" s="118" t="s">
        <v>390</v>
      </c>
      <c r="D131" s="108" t="s">
        <v>432</v>
      </c>
      <c r="E131" s="104" t="s">
        <v>433</v>
      </c>
      <c r="F131" s="105"/>
      <c r="G131" s="108">
        <v>0.17</v>
      </c>
      <c r="H131" s="108"/>
      <c r="I131" s="108">
        <v>87.9</v>
      </c>
      <c r="J131" s="108">
        <v>1.2</v>
      </c>
      <c r="K131" s="108">
        <v>3.1</v>
      </c>
      <c r="L131" s="108">
        <v>0.2</v>
      </c>
      <c r="M131" s="108">
        <v>2.5</v>
      </c>
      <c r="N131" s="108">
        <v>0</v>
      </c>
      <c r="O131" s="108">
        <v>5.0999999999999952</v>
      </c>
      <c r="P131" s="108">
        <f t="shared" si="10"/>
        <v>5.0999999999999952</v>
      </c>
      <c r="Q131" s="108">
        <v>40</v>
      </c>
      <c r="R131" s="109">
        <f t="shared" si="11"/>
        <v>39.59999999999998</v>
      </c>
    </row>
    <row r="132" spans="1:18" x14ac:dyDescent="0.25">
      <c r="A132" s="104">
        <v>1173.03</v>
      </c>
      <c r="B132" s="105" t="s">
        <v>230</v>
      </c>
      <c r="C132" s="118" t="s">
        <v>390</v>
      </c>
      <c r="D132" s="108" t="s">
        <v>430</v>
      </c>
      <c r="E132" s="104" t="s">
        <v>431</v>
      </c>
      <c r="F132" s="105"/>
      <c r="G132" s="108">
        <v>0.19</v>
      </c>
      <c r="H132" s="108"/>
      <c r="I132" s="108">
        <v>95.5</v>
      </c>
      <c r="J132" s="108">
        <v>0.5</v>
      </c>
      <c r="K132" s="108">
        <v>0.7</v>
      </c>
      <c r="L132" s="108">
        <v>0.1</v>
      </c>
      <c r="M132" s="108">
        <v>0.7</v>
      </c>
      <c r="N132" s="108">
        <v>0</v>
      </c>
      <c r="O132" s="108">
        <v>2.5</v>
      </c>
      <c r="P132" s="108">
        <f t="shared" si="10"/>
        <v>2.5</v>
      </c>
      <c r="Q132" s="108">
        <v>15</v>
      </c>
      <c r="R132" s="109">
        <f t="shared" si="11"/>
        <v>15.1</v>
      </c>
    </row>
    <row r="133" spans="1:18" x14ac:dyDescent="0.25">
      <c r="A133" s="104">
        <v>1173.04</v>
      </c>
      <c r="B133" s="105" t="s">
        <v>231</v>
      </c>
      <c r="C133" s="118" t="s">
        <v>390</v>
      </c>
      <c r="D133" s="108" t="s">
        <v>428</v>
      </c>
      <c r="E133" s="104" t="s">
        <v>429</v>
      </c>
      <c r="F133" s="105"/>
      <c r="G133" s="108">
        <v>0.17</v>
      </c>
      <c r="H133" s="108"/>
      <c r="I133" s="108">
        <v>92.2</v>
      </c>
      <c r="J133" s="108">
        <v>0.5</v>
      </c>
      <c r="K133" s="108">
        <v>0.9</v>
      </c>
      <c r="L133" s="108">
        <v>0.2</v>
      </c>
      <c r="M133" s="108">
        <v>2</v>
      </c>
      <c r="N133" s="108">
        <v>0</v>
      </c>
      <c r="O133" s="108">
        <v>4.1999999999999966</v>
      </c>
      <c r="P133" s="108">
        <f t="shared" si="10"/>
        <v>4.1999999999999966</v>
      </c>
      <c r="Q133" s="108">
        <v>26</v>
      </c>
      <c r="R133" s="109">
        <f t="shared" si="11"/>
        <v>26.199999999999989</v>
      </c>
    </row>
    <row r="134" spans="1:18" x14ac:dyDescent="0.25">
      <c r="A134" s="104">
        <v>1173.05</v>
      </c>
      <c r="B134" s="105" t="s">
        <v>658</v>
      </c>
      <c r="C134" s="118" t="s">
        <v>390</v>
      </c>
      <c r="D134" s="108" t="s">
        <v>434</v>
      </c>
      <c r="E134" s="104" t="s">
        <v>435</v>
      </c>
      <c r="F134" s="105"/>
      <c r="G134" s="108">
        <v>0.73</v>
      </c>
      <c r="H134" s="108"/>
      <c r="I134" s="108">
        <v>87.3</v>
      </c>
      <c r="J134" s="108">
        <v>0.7</v>
      </c>
      <c r="K134" s="108">
        <v>1.9</v>
      </c>
      <c r="L134" s="108">
        <v>0.3</v>
      </c>
      <c r="M134" s="108">
        <v>2.2000000000000002</v>
      </c>
      <c r="N134" s="108">
        <v>0</v>
      </c>
      <c r="O134" s="108">
        <v>7.6000000000000023</v>
      </c>
      <c r="P134" s="108">
        <f t="shared" si="10"/>
        <v>7.6000000000000023</v>
      </c>
      <c r="Q134" s="108">
        <v>45</v>
      </c>
      <c r="R134" s="109">
        <f t="shared" si="11"/>
        <v>45.100000000000009</v>
      </c>
    </row>
    <row r="135" spans="1:18" x14ac:dyDescent="0.25">
      <c r="A135" s="104">
        <v>1173.06</v>
      </c>
      <c r="B135" s="105" t="s">
        <v>232</v>
      </c>
      <c r="C135" s="118" t="s">
        <v>7</v>
      </c>
      <c r="D135" s="108">
        <v>11900</v>
      </c>
      <c r="E135" s="104" t="s">
        <v>660</v>
      </c>
      <c r="F135" s="105"/>
      <c r="G135" s="108">
        <v>0</v>
      </c>
      <c r="H135" s="108"/>
      <c r="I135" s="108">
        <v>75.959999999999994</v>
      </c>
      <c r="J135" s="108">
        <v>0.62</v>
      </c>
      <c r="K135" s="108">
        <v>3.22</v>
      </c>
      <c r="L135" s="108">
        <v>1.18</v>
      </c>
      <c r="M135" s="108">
        <v>2.7</v>
      </c>
      <c r="N135" s="108">
        <v>0</v>
      </c>
      <c r="O135" s="108">
        <v>16.320000000000007</v>
      </c>
      <c r="P135" s="108">
        <f t="shared" si="10"/>
        <v>16.320000000000007</v>
      </c>
      <c r="Q135" s="108">
        <v>86</v>
      </c>
      <c r="R135" s="109">
        <f t="shared" si="11"/>
        <v>94.180000000000035</v>
      </c>
    </row>
    <row r="136" spans="1:18" x14ac:dyDescent="0.25">
      <c r="A136" s="104">
        <v>1173.07</v>
      </c>
      <c r="B136" s="105" t="s">
        <v>233</v>
      </c>
      <c r="C136" s="118" t="s">
        <v>7</v>
      </c>
      <c r="D136" s="108">
        <v>11304</v>
      </c>
      <c r="E136" s="104" t="s">
        <v>661</v>
      </c>
      <c r="F136" s="105"/>
      <c r="G136" s="108">
        <v>0</v>
      </c>
      <c r="H136" s="108"/>
      <c r="I136" s="108">
        <v>78.86</v>
      </c>
      <c r="J136" s="108">
        <v>0.87</v>
      </c>
      <c r="K136" s="108">
        <v>5.42</v>
      </c>
      <c r="L136" s="108">
        <v>0.4</v>
      </c>
      <c r="M136" s="108">
        <v>5.0999999999999996</v>
      </c>
      <c r="N136" s="108">
        <v>0</v>
      </c>
      <c r="O136" s="108">
        <v>9.35</v>
      </c>
      <c r="P136" s="108">
        <f t="shared" si="10"/>
        <v>9.35</v>
      </c>
      <c r="Q136" s="108">
        <v>81</v>
      </c>
      <c r="R136" s="109">
        <f t="shared" si="11"/>
        <v>72.88</v>
      </c>
    </row>
    <row r="137" spans="1:18" x14ac:dyDescent="0.25">
      <c r="A137" s="104">
        <v>1173.08</v>
      </c>
      <c r="B137" s="105" t="s">
        <v>234</v>
      </c>
      <c r="C137" s="118" t="s">
        <v>390</v>
      </c>
      <c r="D137" s="108" t="s">
        <v>436</v>
      </c>
      <c r="E137" s="104" t="s">
        <v>437</v>
      </c>
      <c r="F137" s="105"/>
      <c r="G137" s="108">
        <v>0.7</v>
      </c>
      <c r="H137" s="108"/>
      <c r="I137" s="108">
        <v>91.9</v>
      </c>
      <c r="J137" s="108">
        <v>0.7</v>
      </c>
      <c r="K137" s="108">
        <v>1</v>
      </c>
      <c r="L137" s="108">
        <v>0.1</v>
      </c>
      <c r="M137" s="108">
        <v>0.8</v>
      </c>
      <c r="N137" s="108">
        <v>0</v>
      </c>
      <c r="O137" s="108">
        <v>5.4999999999999947</v>
      </c>
      <c r="P137" s="108">
        <f t="shared" si="10"/>
        <v>5.4999999999999947</v>
      </c>
      <c r="Q137" s="108">
        <v>29</v>
      </c>
      <c r="R137" s="109">
        <f t="shared" si="11"/>
        <v>28.499999999999979</v>
      </c>
    </row>
    <row r="138" spans="1:18" x14ac:dyDescent="0.25">
      <c r="A138" s="104">
        <v>1173.0899999999999</v>
      </c>
      <c r="B138" s="105" t="s">
        <v>235</v>
      </c>
      <c r="C138" s="118" t="s">
        <v>390</v>
      </c>
      <c r="D138" s="108" t="s">
        <v>438</v>
      </c>
      <c r="E138" s="104" t="s">
        <v>439</v>
      </c>
      <c r="F138" s="105"/>
      <c r="G138" s="108">
        <v>0.09</v>
      </c>
      <c r="H138" s="108"/>
      <c r="I138" s="108">
        <v>93.5</v>
      </c>
      <c r="J138" s="108">
        <v>0.6</v>
      </c>
      <c r="K138" s="108">
        <v>1</v>
      </c>
      <c r="L138" s="108">
        <v>0.2</v>
      </c>
      <c r="M138" s="108">
        <v>1.4</v>
      </c>
      <c r="N138" s="108">
        <v>0</v>
      </c>
      <c r="O138" s="108">
        <v>3.3000000000000003</v>
      </c>
      <c r="P138" s="108">
        <f t="shared" si="10"/>
        <v>3.3000000000000003</v>
      </c>
      <c r="Q138" s="108">
        <v>22</v>
      </c>
      <c r="R138" s="109">
        <f t="shared" si="11"/>
        <v>21.8</v>
      </c>
    </row>
    <row r="139" spans="1:18" x14ac:dyDescent="0.25">
      <c r="A139" s="104">
        <v>1174.01</v>
      </c>
      <c r="B139" s="105" t="s">
        <v>664</v>
      </c>
      <c r="C139" s="118" t="s">
        <v>7</v>
      </c>
      <c r="D139" s="108">
        <v>11011</v>
      </c>
      <c r="E139" s="104" t="s">
        <v>665</v>
      </c>
      <c r="F139" s="105"/>
      <c r="G139" s="108">
        <v>0</v>
      </c>
      <c r="H139" s="108"/>
      <c r="I139" s="108">
        <v>93.22</v>
      </c>
      <c r="J139" s="108">
        <v>0.57999999999999996</v>
      </c>
      <c r="K139" s="108">
        <v>2.2000000000000002</v>
      </c>
      <c r="L139" s="108">
        <v>0.12</v>
      </c>
      <c r="M139" s="108">
        <v>2.1</v>
      </c>
      <c r="N139" s="108">
        <v>0</v>
      </c>
      <c r="O139" s="108">
        <v>3.88</v>
      </c>
      <c r="P139" s="108">
        <f t="shared" si="10"/>
        <v>1.7800000000000007</v>
      </c>
      <c r="Q139" s="108">
        <v>20</v>
      </c>
      <c r="R139" s="109">
        <f t="shared" si="11"/>
        <v>21.200000000000003</v>
      </c>
    </row>
    <row r="140" spans="1:18" x14ac:dyDescent="0.25">
      <c r="A140" s="104">
        <v>1174.02</v>
      </c>
      <c r="B140" s="105" t="s">
        <v>236</v>
      </c>
      <c r="C140" s="118" t="s">
        <v>584</v>
      </c>
      <c r="D140" s="108">
        <v>2005</v>
      </c>
      <c r="E140" s="104" t="s">
        <v>666</v>
      </c>
      <c r="F140" s="105"/>
      <c r="G140" s="108">
        <v>0.15</v>
      </c>
      <c r="H140" s="108"/>
      <c r="I140" s="108">
        <v>86.1</v>
      </c>
      <c r="J140" s="108">
        <v>1.4</v>
      </c>
      <c r="K140" s="108">
        <v>2.17</v>
      </c>
      <c r="L140" s="108">
        <v>0.1</v>
      </c>
      <c r="M140" s="108">
        <v>3.31</v>
      </c>
      <c r="N140" s="108">
        <v>0</v>
      </c>
      <c r="O140" s="108">
        <v>6.9</v>
      </c>
      <c r="P140" s="108">
        <f t="shared" si="10"/>
        <v>6.9200000000000053</v>
      </c>
      <c r="Q140" s="108">
        <v>44</v>
      </c>
      <c r="R140" s="109">
        <f t="shared" si="11"/>
        <v>43.880000000000024</v>
      </c>
    </row>
    <row r="141" spans="1:18" x14ac:dyDescent="0.25">
      <c r="A141" s="104">
        <v>1174.03</v>
      </c>
      <c r="B141" s="105" t="s">
        <v>237</v>
      </c>
      <c r="C141" s="118" t="s">
        <v>390</v>
      </c>
      <c r="D141" s="108" t="s">
        <v>440</v>
      </c>
      <c r="E141" s="104" t="s">
        <v>441</v>
      </c>
      <c r="F141" s="105"/>
      <c r="G141" s="108">
        <v>0.11</v>
      </c>
      <c r="H141" s="108"/>
      <c r="I141" s="108">
        <v>88.8</v>
      </c>
      <c r="J141" s="108">
        <v>1.1000000000000001</v>
      </c>
      <c r="K141" s="108">
        <v>1</v>
      </c>
      <c r="L141" s="108">
        <v>0.3</v>
      </c>
      <c r="M141" s="108">
        <v>3.1</v>
      </c>
      <c r="N141" s="108">
        <v>0</v>
      </c>
      <c r="O141" s="108">
        <v>5.7000000000000028</v>
      </c>
      <c r="P141" s="108">
        <f t="shared" si="10"/>
        <v>5.7000000000000028</v>
      </c>
      <c r="Q141" s="108">
        <v>35</v>
      </c>
      <c r="R141" s="109">
        <f t="shared" si="11"/>
        <v>35.70000000000001</v>
      </c>
    </row>
    <row r="142" spans="1:18" x14ac:dyDescent="0.25">
      <c r="A142" s="104">
        <v>1174.05</v>
      </c>
      <c r="B142" s="105" t="s">
        <v>668</v>
      </c>
      <c r="C142" s="118" t="s">
        <v>584</v>
      </c>
      <c r="D142" s="108">
        <v>4021</v>
      </c>
      <c r="E142" s="104" t="s">
        <v>669</v>
      </c>
      <c r="F142" s="105"/>
      <c r="G142" s="108">
        <v>0.45</v>
      </c>
      <c r="H142" s="108"/>
      <c r="I142" s="108">
        <v>84.5</v>
      </c>
      <c r="J142" s="108">
        <v>0.8</v>
      </c>
      <c r="K142" s="108">
        <v>1.7</v>
      </c>
      <c r="L142" s="108">
        <v>0.4</v>
      </c>
      <c r="M142" s="108">
        <v>3.1</v>
      </c>
      <c r="N142" s="108">
        <v>0</v>
      </c>
      <c r="O142" s="108">
        <v>9.5</v>
      </c>
      <c r="P142" s="108">
        <f t="shared" si="10"/>
        <v>9.5</v>
      </c>
      <c r="Q142" s="108">
        <v>54</v>
      </c>
      <c r="R142" s="109">
        <f t="shared" si="11"/>
        <v>54.6</v>
      </c>
    </row>
    <row r="143" spans="1:18" x14ac:dyDescent="0.25">
      <c r="A143" s="104">
        <v>1174.06</v>
      </c>
      <c r="B143" s="105" t="s">
        <v>153</v>
      </c>
      <c r="C143" s="118" t="s">
        <v>390</v>
      </c>
      <c r="D143" s="108" t="s">
        <v>356</v>
      </c>
      <c r="E143" s="104" t="s">
        <v>148</v>
      </c>
      <c r="F143" s="105"/>
      <c r="G143" s="108">
        <v>0.09</v>
      </c>
      <c r="H143" s="108"/>
      <c r="I143" s="108">
        <v>89.5</v>
      </c>
      <c r="J143" s="108">
        <v>0.6</v>
      </c>
      <c r="K143" s="108">
        <v>1.1000000000000001</v>
      </c>
      <c r="L143" s="108">
        <v>0.1</v>
      </c>
      <c r="M143" s="108">
        <v>1.8</v>
      </c>
      <c r="N143" s="108">
        <v>0</v>
      </c>
      <c r="O143" s="108">
        <v>6.9000000000000012</v>
      </c>
      <c r="P143" s="108">
        <f t="shared" si="10"/>
        <v>6.9000000000000012</v>
      </c>
      <c r="Q143" s="108">
        <v>37</v>
      </c>
      <c r="R143" s="109">
        <f t="shared" si="11"/>
        <v>36.500000000000007</v>
      </c>
    </row>
    <row r="144" spans="1:18" x14ac:dyDescent="0.25">
      <c r="A144" s="104">
        <v>1174.08</v>
      </c>
      <c r="B144" s="105" t="s">
        <v>671</v>
      </c>
      <c r="C144" s="118" t="s">
        <v>390</v>
      </c>
      <c r="D144" s="108" t="s">
        <v>672</v>
      </c>
      <c r="E144" s="104" t="s">
        <v>673</v>
      </c>
      <c r="F144" s="105"/>
      <c r="G144" s="108">
        <v>0</v>
      </c>
      <c r="H144" s="108"/>
      <c r="I144" s="108">
        <v>73.5</v>
      </c>
      <c r="J144" s="108">
        <v>2.8</v>
      </c>
      <c r="K144" s="108">
        <v>4.3</v>
      </c>
      <c r="L144" s="108">
        <v>0.5</v>
      </c>
      <c r="M144" s="108">
        <v>4.0999999999999996</v>
      </c>
      <c r="N144" s="108">
        <v>0</v>
      </c>
      <c r="O144" s="108">
        <v>14.8</v>
      </c>
      <c r="P144" s="108">
        <f t="shared" si="10"/>
        <v>14.799999999999999</v>
      </c>
      <c r="Q144" s="108">
        <v>89</v>
      </c>
      <c r="R144" s="109">
        <f t="shared" si="11"/>
        <v>89.1</v>
      </c>
    </row>
    <row r="145" spans="1:18" x14ac:dyDescent="0.25">
      <c r="A145" s="104">
        <v>1174.0899999999999</v>
      </c>
      <c r="B145" s="105" t="s">
        <v>238</v>
      </c>
      <c r="C145" s="118" t="s">
        <v>7</v>
      </c>
      <c r="D145" s="108">
        <v>11238</v>
      </c>
      <c r="E145" s="104" t="s">
        <v>675</v>
      </c>
      <c r="F145" s="105"/>
      <c r="G145" s="108">
        <v>0</v>
      </c>
      <c r="H145" s="108"/>
      <c r="I145" s="108">
        <v>89.74</v>
      </c>
      <c r="J145" s="108">
        <v>0.73</v>
      </c>
      <c r="K145" s="108">
        <v>2.2400000000000002</v>
      </c>
      <c r="L145" s="108">
        <v>0.49</v>
      </c>
      <c r="M145" s="108">
        <v>2.5</v>
      </c>
      <c r="N145" s="108">
        <v>0</v>
      </c>
      <c r="O145" s="108">
        <v>6.79</v>
      </c>
      <c r="P145" s="108">
        <f t="shared" si="10"/>
        <v>4.3000000000000043</v>
      </c>
      <c r="Q145" s="108">
        <v>34</v>
      </c>
      <c r="R145" s="109">
        <f t="shared" si="11"/>
        <v>35.570000000000022</v>
      </c>
    </row>
    <row r="146" spans="1:18" x14ac:dyDescent="0.25">
      <c r="A146" s="104">
        <v>1175.01</v>
      </c>
      <c r="B146" s="105" t="s">
        <v>239</v>
      </c>
      <c r="C146" s="118" t="s">
        <v>390</v>
      </c>
      <c r="D146" s="108" t="s">
        <v>446</v>
      </c>
      <c r="E146" s="104" t="s">
        <v>447</v>
      </c>
      <c r="F146" s="105"/>
      <c r="G146" s="108">
        <v>0</v>
      </c>
      <c r="H146" s="108"/>
      <c r="I146" s="108">
        <v>8.9</v>
      </c>
      <c r="J146" s="108">
        <v>3.9</v>
      </c>
      <c r="K146" s="108">
        <v>22.1</v>
      </c>
      <c r="L146" s="108">
        <v>1.5</v>
      </c>
      <c r="M146" s="108">
        <v>10.3</v>
      </c>
      <c r="N146" s="108">
        <v>0</v>
      </c>
      <c r="O146" s="108">
        <v>53.3</v>
      </c>
      <c r="P146" s="108">
        <f t="shared" si="10"/>
        <v>53.3</v>
      </c>
      <c r="Q146" s="108">
        <v>335</v>
      </c>
      <c r="R146" s="109">
        <f t="shared" si="11"/>
        <v>335.7</v>
      </c>
    </row>
    <row r="147" spans="1:18" x14ac:dyDescent="0.25">
      <c r="A147" s="104">
        <v>1175.02</v>
      </c>
      <c r="B147" s="105" t="s">
        <v>677</v>
      </c>
      <c r="C147" s="118" t="s">
        <v>584</v>
      </c>
      <c r="D147" s="108">
        <v>3010</v>
      </c>
      <c r="E147" s="104" t="s">
        <v>678</v>
      </c>
      <c r="F147" s="105"/>
      <c r="G147" s="108">
        <v>0</v>
      </c>
      <c r="H147" s="108"/>
      <c r="I147" s="108">
        <v>9.9</v>
      </c>
      <c r="J147" s="108">
        <v>3.1</v>
      </c>
      <c r="K147" s="108">
        <v>22.3</v>
      </c>
      <c r="L147" s="108">
        <v>5.0999999999999996</v>
      </c>
      <c r="M147" s="108">
        <v>25.2</v>
      </c>
      <c r="N147" s="108">
        <v>0</v>
      </c>
      <c r="O147" s="108">
        <v>34.299999999999997</v>
      </c>
      <c r="P147" s="108">
        <f t="shared" si="10"/>
        <v>34.400000000000006</v>
      </c>
      <c r="Q147" s="108">
        <v>323</v>
      </c>
      <c r="R147" s="109">
        <f t="shared" si="11"/>
        <v>323.10000000000002</v>
      </c>
    </row>
    <row r="148" spans="1:18" x14ac:dyDescent="0.25">
      <c r="A148" s="104">
        <v>1175.03</v>
      </c>
      <c r="B148" s="105" t="s">
        <v>679</v>
      </c>
      <c r="C148" s="118" t="s">
        <v>390</v>
      </c>
      <c r="D148" s="108" t="s">
        <v>680</v>
      </c>
      <c r="E148" s="104" t="s">
        <v>679</v>
      </c>
      <c r="F148" s="105"/>
      <c r="G148" s="108">
        <v>0.19</v>
      </c>
      <c r="H148" s="108"/>
      <c r="I148" s="108">
        <v>91.3</v>
      </c>
      <c r="J148" s="108">
        <v>0.7</v>
      </c>
      <c r="K148" s="108">
        <v>0.9</v>
      </c>
      <c r="L148" s="108">
        <v>0.2</v>
      </c>
      <c r="M148" s="108">
        <v>2.5</v>
      </c>
      <c r="N148" s="108">
        <v>0</v>
      </c>
      <c r="O148" s="108">
        <v>4.4000000000000004</v>
      </c>
      <c r="P148" s="108">
        <f t="shared" si="10"/>
        <v>4.400000000000003</v>
      </c>
      <c r="Q148" s="108">
        <v>28</v>
      </c>
      <c r="R148" s="109">
        <f t="shared" si="11"/>
        <v>28.000000000000014</v>
      </c>
    </row>
    <row r="149" spans="1:18" x14ac:dyDescent="0.25">
      <c r="A149" s="104">
        <v>1175.0899999999999</v>
      </c>
      <c r="B149" s="105" t="s">
        <v>240</v>
      </c>
      <c r="C149" s="118" t="s">
        <v>390</v>
      </c>
      <c r="D149" s="108" t="s">
        <v>448</v>
      </c>
      <c r="E149" s="104" t="s">
        <v>449</v>
      </c>
      <c r="F149" s="105"/>
      <c r="G149" s="108">
        <v>0</v>
      </c>
      <c r="H149" s="108"/>
      <c r="I149" s="108">
        <v>10.3</v>
      </c>
      <c r="J149" s="108">
        <v>9.5</v>
      </c>
      <c r="K149" s="108">
        <v>24.4</v>
      </c>
      <c r="L149" s="108">
        <v>1.9</v>
      </c>
      <c r="M149" s="108">
        <v>24.1</v>
      </c>
      <c r="N149" s="108">
        <v>0</v>
      </c>
      <c r="O149" s="108">
        <v>29.800000000000004</v>
      </c>
      <c r="P149" s="108">
        <f t="shared" si="10"/>
        <v>29.800000000000004</v>
      </c>
      <c r="Q149" s="108">
        <v>282</v>
      </c>
      <c r="R149" s="109">
        <f t="shared" si="11"/>
        <v>282.10000000000002</v>
      </c>
    </row>
    <row r="150" spans="1:18" x14ac:dyDescent="0.25">
      <c r="A150" s="104">
        <v>1176.01</v>
      </c>
      <c r="B150" s="105" t="s">
        <v>241</v>
      </c>
      <c r="C150" s="118" t="s">
        <v>7</v>
      </c>
      <c r="D150" s="108">
        <v>11941</v>
      </c>
      <c r="E150" s="104" t="s">
        <v>683</v>
      </c>
      <c r="F150" s="105"/>
      <c r="G150" s="108">
        <v>0</v>
      </c>
      <c r="H150" s="108"/>
      <c r="I150" s="108">
        <v>94.08</v>
      </c>
      <c r="J150" s="108">
        <v>3.13</v>
      </c>
      <c r="K150" s="108">
        <v>0.33</v>
      </c>
      <c r="L150" s="108">
        <v>0.2</v>
      </c>
      <c r="M150" s="108">
        <v>1.2</v>
      </c>
      <c r="N150" s="108">
        <v>0</v>
      </c>
      <c r="O150" s="108">
        <v>2.2599999999999998</v>
      </c>
      <c r="P150" s="108">
        <f t="shared" si="10"/>
        <v>1.0600000000000016</v>
      </c>
      <c r="Q150" s="108">
        <v>11</v>
      </c>
      <c r="R150" s="109">
        <f t="shared" si="11"/>
        <v>9.7600000000000051</v>
      </c>
    </row>
    <row r="151" spans="1:18" x14ac:dyDescent="0.25">
      <c r="A151" s="104">
        <v>1177.01</v>
      </c>
      <c r="B151" s="105" t="s">
        <v>242</v>
      </c>
      <c r="C151" s="118" t="s">
        <v>390</v>
      </c>
      <c r="D151" s="108" t="s">
        <v>442</v>
      </c>
      <c r="E151" s="104" t="s">
        <v>443</v>
      </c>
      <c r="F151" s="105"/>
      <c r="G151" s="108">
        <v>0.16</v>
      </c>
      <c r="H151" s="108"/>
      <c r="I151" s="108">
        <v>77.8</v>
      </c>
      <c r="J151" s="108">
        <v>1.5</v>
      </c>
      <c r="K151" s="108">
        <v>1.9</v>
      </c>
      <c r="L151" s="108">
        <v>0.1</v>
      </c>
      <c r="M151" s="108">
        <v>1.8</v>
      </c>
      <c r="N151" s="108">
        <v>0</v>
      </c>
      <c r="O151" s="108">
        <v>16.900000000000002</v>
      </c>
      <c r="P151" s="108">
        <f t="shared" si="10"/>
        <v>16.900000000000002</v>
      </c>
      <c r="Q151" s="108">
        <v>80</v>
      </c>
      <c r="R151" s="109">
        <f t="shared" si="11"/>
        <v>79.7</v>
      </c>
    </row>
    <row r="152" spans="1:18" x14ac:dyDescent="0.25">
      <c r="A152" s="104">
        <v>1178.01</v>
      </c>
      <c r="B152" s="105" t="s">
        <v>243</v>
      </c>
      <c r="C152" s="118" t="s">
        <v>390</v>
      </c>
      <c r="D152" s="108" t="s">
        <v>444</v>
      </c>
      <c r="E152" s="104" t="s">
        <v>445</v>
      </c>
      <c r="F152" s="105"/>
      <c r="G152" s="108">
        <v>0.16</v>
      </c>
      <c r="H152" s="108"/>
      <c r="I152" s="108">
        <v>69.2</v>
      </c>
      <c r="J152" s="108">
        <v>0.9</v>
      </c>
      <c r="K152" s="108">
        <v>1.5</v>
      </c>
      <c r="L152" s="108">
        <v>0.2</v>
      </c>
      <c r="M152" s="108">
        <v>3</v>
      </c>
      <c r="N152" s="108">
        <v>0</v>
      </c>
      <c r="O152" s="108">
        <v>25.2</v>
      </c>
      <c r="P152" s="108">
        <f t="shared" si="10"/>
        <v>25.2</v>
      </c>
      <c r="Q152" s="108">
        <v>115</v>
      </c>
      <c r="R152" s="109">
        <f t="shared" si="11"/>
        <v>114.6</v>
      </c>
    </row>
    <row r="153" spans="1:18" x14ac:dyDescent="0.25">
      <c r="A153" s="104">
        <v>1178.02</v>
      </c>
      <c r="B153" s="105" t="s">
        <v>244</v>
      </c>
      <c r="C153" s="118" t="s">
        <v>584</v>
      </c>
      <c r="D153" s="108">
        <v>15110</v>
      </c>
      <c r="E153" s="104" t="s">
        <v>686</v>
      </c>
      <c r="F153" s="105"/>
      <c r="G153" s="108">
        <v>0</v>
      </c>
      <c r="H153" s="108"/>
      <c r="I153" s="108">
        <v>32.1</v>
      </c>
      <c r="J153" s="108">
        <v>1.9</v>
      </c>
      <c r="K153" s="108">
        <v>4.8</v>
      </c>
      <c r="L153" s="108">
        <v>13.6</v>
      </c>
      <c r="M153" s="108">
        <v>3.3</v>
      </c>
      <c r="N153" s="108">
        <v>0</v>
      </c>
      <c r="O153" s="108">
        <v>44.4</v>
      </c>
      <c r="P153" s="108">
        <f t="shared" si="10"/>
        <v>44.300000000000004</v>
      </c>
      <c r="Q153" s="108">
        <v>326</v>
      </c>
      <c r="R153" s="109">
        <f t="shared" si="11"/>
        <v>325.39999999999998</v>
      </c>
    </row>
    <row r="154" spans="1:18" x14ac:dyDescent="0.25">
      <c r="A154" s="104">
        <v>1178.03</v>
      </c>
      <c r="B154" s="105" t="s">
        <v>687</v>
      </c>
      <c r="C154" s="118" t="s">
        <v>7</v>
      </c>
      <c r="D154" s="108">
        <v>11134</v>
      </c>
      <c r="E154" s="104" t="s">
        <v>688</v>
      </c>
      <c r="F154" s="105"/>
      <c r="G154" s="108">
        <v>0</v>
      </c>
      <c r="H154" s="108"/>
      <c r="I154" s="108">
        <v>59.68</v>
      </c>
      <c r="J154" s="108">
        <v>0.6</v>
      </c>
      <c r="K154" s="108">
        <v>1.36</v>
      </c>
      <c r="L154" s="108">
        <v>0.28000000000000003</v>
      </c>
      <c r="M154" s="108">
        <v>1.8</v>
      </c>
      <c r="N154" s="108">
        <v>0</v>
      </c>
      <c r="O154" s="108">
        <v>38.06</v>
      </c>
      <c r="P154" s="108">
        <f t="shared" si="10"/>
        <v>36.28</v>
      </c>
      <c r="Q154" s="108">
        <v>160</v>
      </c>
      <c r="R154" s="109">
        <f t="shared" si="11"/>
        <v>156.68</v>
      </c>
    </row>
    <row r="155" spans="1:18" x14ac:dyDescent="0.25">
      <c r="A155" s="104">
        <v>1178.05</v>
      </c>
      <c r="B155" s="105" t="s">
        <v>245</v>
      </c>
      <c r="C155" s="118" t="s">
        <v>7</v>
      </c>
      <c r="D155" s="108">
        <v>11584</v>
      </c>
      <c r="E155" s="104" t="s">
        <v>689</v>
      </c>
      <c r="F155" s="105"/>
      <c r="G155" s="108">
        <v>0</v>
      </c>
      <c r="H155" s="108"/>
      <c r="I155" s="108">
        <v>83.23</v>
      </c>
      <c r="J155" s="108">
        <v>0.67</v>
      </c>
      <c r="K155" s="108">
        <v>2.86</v>
      </c>
      <c r="L155" s="108">
        <v>0.15</v>
      </c>
      <c r="M155" s="108">
        <v>4.4000000000000004</v>
      </c>
      <c r="N155" s="108">
        <v>0</v>
      </c>
      <c r="O155" s="108">
        <v>13.09</v>
      </c>
      <c r="P155" s="108">
        <f t="shared" si="10"/>
        <v>8.6899999999999942</v>
      </c>
      <c r="Q155" s="108">
        <v>65</v>
      </c>
      <c r="R155" s="109">
        <f t="shared" si="11"/>
        <v>56.34999999999998</v>
      </c>
    </row>
    <row r="156" spans="1:18" x14ac:dyDescent="0.25">
      <c r="A156" s="104">
        <v>1179.08</v>
      </c>
      <c r="B156" s="105" t="s">
        <v>246</v>
      </c>
      <c r="C156" s="118" t="s">
        <v>7</v>
      </c>
      <c r="D156" s="108">
        <v>43312</v>
      </c>
      <c r="E156" s="104" t="s">
        <v>690</v>
      </c>
      <c r="F156" s="105"/>
      <c r="G156" s="108">
        <v>0</v>
      </c>
      <c r="H156" s="108"/>
      <c r="I156" s="108">
        <v>90.2</v>
      </c>
      <c r="J156" s="108">
        <v>0.89</v>
      </c>
      <c r="K156" s="108">
        <v>1.4</v>
      </c>
      <c r="L156" s="108">
        <v>0.2</v>
      </c>
      <c r="M156" s="108">
        <v>3.1</v>
      </c>
      <c r="N156" s="108">
        <v>0</v>
      </c>
      <c r="O156" s="108">
        <v>7.31</v>
      </c>
      <c r="P156" s="108">
        <f t="shared" si="10"/>
        <v>4.2099999999999955</v>
      </c>
      <c r="Q156" s="108">
        <v>37</v>
      </c>
      <c r="R156" s="109">
        <f t="shared" si="11"/>
        <v>30.439999999999984</v>
      </c>
    </row>
    <row r="157" spans="1:18" x14ac:dyDescent="0.25">
      <c r="A157" s="104">
        <v>1179.99</v>
      </c>
      <c r="B157" s="105" t="s">
        <v>247</v>
      </c>
      <c r="C157" s="118" t="s">
        <v>390</v>
      </c>
      <c r="D157" s="108" t="s">
        <v>448</v>
      </c>
      <c r="E157" s="104" t="s">
        <v>449</v>
      </c>
      <c r="F157" s="105"/>
      <c r="G157" s="108">
        <v>0</v>
      </c>
      <c r="H157" s="108"/>
      <c r="I157" s="108">
        <v>10.3</v>
      </c>
      <c r="J157" s="108">
        <v>9.5</v>
      </c>
      <c r="K157" s="108">
        <v>24.4</v>
      </c>
      <c r="L157" s="108">
        <v>1.9</v>
      </c>
      <c r="M157" s="108">
        <v>24.1</v>
      </c>
      <c r="N157" s="108">
        <v>0</v>
      </c>
      <c r="O157" s="108">
        <v>29.800000000000004</v>
      </c>
      <c r="P157" s="108">
        <f t="shared" si="10"/>
        <v>29.800000000000004</v>
      </c>
      <c r="Q157" s="108">
        <v>282</v>
      </c>
      <c r="R157" s="109">
        <f t="shared" si="11"/>
        <v>282.10000000000002</v>
      </c>
    </row>
    <row r="158" spans="1:18" x14ac:dyDescent="0.25">
      <c r="A158" s="104">
        <v>1181.01</v>
      </c>
      <c r="B158" s="105" t="s">
        <v>122</v>
      </c>
      <c r="C158" s="118" t="s">
        <v>390</v>
      </c>
      <c r="D158" s="108" t="s">
        <v>374</v>
      </c>
      <c r="E158" s="104" t="s">
        <v>122</v>
      </c>
      <c r="F158" s="105"/>
      <c r="G158" s="108">
        <v>0</v>
      </c>
      <c r="H158" s="108"/>
      <c r="I158" s="108">
        <v>0</v>
      </c>
      <c r="J158" s="108">
        <v>0.01</v>
      </c>
      <c r="K158" s="108">
        <v>0</v>
      </c>
      <c r="L158" s="108">
        <v>0</v>
      </c>
      <c r="M158" s="108">
        <v>0</v>
      </c>
      <c r="N158" s="108">
        <v>0</v>
      </c>
      <c r="O158" s="108">
        <v>99.99</v>
      </c>
      <c r="P158" s="108">
        <f t="shared" si="10"/>
        <v>99.99</v>
      </c>
      <c r="Q158" s="108">
        <v>400</v>
      </c>
      <c r="R158" s="109">
        <f t="shared" si="11"/>
        <v>399.96</v>
      </c>
    </row>
    <row r="159" spans="1:18" x14ac:dyDescent="0.25">
      <c r="A159" s="104">
        <v>1181.02</v>
      </c>
      <c r="B159" s="105" t="s">
        <v>692</v>
      </c>
      <c r="C159" s="118" t="s">
        <v>584</v>
      </c>
      <c r="D159" s="108">
        <v>11002</v>
      </c>
      <c r="E159" s="104" t="s">
        <v>693</v>
      </c>
      <c r="F159" s="105"/>
      <c r="G159" s="108">
        <v>0</v>
      </c>
      <c r="H159" s="108"/>
      <c r="I159" s="108">
        <v>90.2</v>
      </c>
      <c r="J159" s="108">
        <v>0.4</v>
      </c>
      <c r="K159" s="108">
        <v>0.1</v>
      </c>
      <c r="L159" s="108">
        <v>0.2</v>
      </c>
      <c r="M159" s="108">
        <v>0.3</v>
      </c>
      <c r="N159" s="108">
        <v>0</v>
      </c>
      <c r="O159" s="108">
        <v>8.5</v>
      </c>
      <c r="P159" s="108">
        <f t="shared" si="10"/>
        <v>8.7999999999999972</v>
      </c>
      <c r="Q159" s="108">
        <v>37</v>
      </c>
      <c r="R159" s="109">
        <f t="shared" si="11"/>
        <v>37.999999999999986</v>
      </c>
    </row>
    <row r="160" spans="1:18" x14ac:dyDescent="0.25">
      <c r="A160" s="104">
        <v>1181.03</v>
      </c>
      <c r="B160" s="105" t="s">
        <v>694</v>
      </c>
      <c r="C160" s="118" t="s">
        <v>7</v>
      </c>
      <c r="D160" s="108">
        <v>19336</v>
      </c>
      <c r="E160" s="104" t="s">
        <v>695</v>
      </c>
      <c r="F160" s="105"/>
      <c r="G160" s="108">
        <v>0</v>
      </c>
      <c r="H160" s="108"/>
      <c r="I160" s="108">
        <v>0.23</v>
      </c>
      <c r="J160" s="108">
        <v>0.01</v>
      </c>
      <c r="K160" s="108">
        <v>0</v>
      </c>
      <c r="L160" s="108">
        <v>0</v>
      </c>
      <c r="M160" s="108">
        <v>0</v>
      </c>
      <c r="N160" s="108">
        <v>0</v>
      </c>
      <c r="O160" s="108">
        <v>99.77</v>
      </c>
      <c r="P160" s="108">
        <f t="shared" si="10"/>
        <v>99.759999999999991</v>
      </c>
      <c r="Q160" s="108">
        <v>389</v>
      </c>
      <c r="R160" s="109">
        <f t="shared" si="11"/>
        <v>399.03999999999996</v>
      </c>
    </row>
    <row r="161" spans="1:18" x14ac:dyDescent="0.25">
      <c r="A161" s="104">
        <v>1181.0899999999999</v>
      </c>
      <c r="B161" s="105" t="s">
        <v>696</v>
      </c>
      <c r="C161" s="118" t="s">
        <v>713</v>
      </c>
      <c r="D161" s="108">
        <v>11002</v>
      </c>
      <c r="E161" s="104" t="s">
        <v>693</v>
      </c>
      <c r="F161" s="105"/>
      <c r="G161" s="108">
        <v>0</v>
      </c>
      <c r="H161" s="108"/>
      <c r="I161" s="108">
        <v>90.2</v>
      </c>
      <c r="J161" s="108">
        <v>0.4</v>
      </c>
      <c r="K161" s="108">
        <v>0.1</v>
      </c>
      <c r="L161" s="108">
        <v>0.2</v>
      </c>
      <c r="M161" s="108">
        <v>0.3</v>
      </c>
      <c r="N161" s="108">
        <v>0</v>
      </c>
      <c r="O161" s="108">
        <v>8.5</v>
      </c>
      <c r="P161" s="108">
        <f t="shared" si="10"/>
        <v>8.7999999999999972</v>
      </c>
      <c r="Q161" s="108">
        <v>37</v>
      </c>
      <c r="R161" s="109">
        <f t="shared" si="11"/>
        <v>37.999999999999986</v>
      </c>
    </row>
    <row r="162" spans="1:18" x14ac:dyDescent="0.25">
      <c r="A162" s="104">
        <v>1182.01</v>
      </c>
      <c r="B162" s="105" t="s">
        <v>697</v>
      </c>
      <c r="C162" s="118" t="s">
        <v>390</v>
      </c>
      <c r="D162" s="108" t="s">
        <v>714</v>
      </c>
      <c r="E162" s="104" t="s">
        <v>697</v>
      </c>
      <c r="F162" s="105"/>
      <c r="G162" s="108">
        <v>0</v>
      </c>
      <c r="H162" s="108"/>
      <c r="I162" s="108">
        <v>2</v>
      </c>
      <c r="J162" s="108">
        <v>3.6</v>
      </c>
      <c r="K162" s="108">
        <v>9</v>
      </c>
      <c r="L162" s="108">
        <v>2.7</v>
      </c>
      <c r="M162" s="108">
        <v>2.5</v>
      </c>
      <c r="N162" s="108">
        <v>0</v>
      </c>
      <c r="O162" s="108">
        <v>80.2</v>
      </c>
      <c r="P162" s="108">
        <f t="shared" si="10"/>
        <v>80.2</v>
      </c>
      <c r="Q162" s="108">
        <v>386</v>
      </c>
      <c r="R162" s="109">
        <f t="shared" si="11"/>
        <v>386.1</v>
      </c>
    </row>
    <row r="163" spans="1:18" x14ac:dyDescent="0.25">
      <c r="A163" s="104">
        <v>1182.02</v>
      </c>
      <c r="B163" s="105" t="s">
        <v>248</v>
      </c>
      <c r="C163" s="118" t="s">
        <v>7</v>
      </c>
      <c r="D163" s="108" t="s">
        <v>537</v>
      </c>
      <c r="E163" s="104" t="s">
        <v>538</v>
      </c>
      <c r="F163" s="105"/>
      <c r="G163" s="108">
        <v>0</v>
      </c>
      <c r="H163" s="108"/>
      <c r="I163" s="108">
        <v>30.47</v>
      </c>
      <c r="J163" s="108">
        <v>0.23</v>
      </c>
      <c r="K163" s="108">
        <v>0.37</v>
      </c>
      <c r="L163" s="108">
        <v>7.0000000000000007E-2</v>
      </c>
      <c r="M163" s="108">
        <v>1.1000000000000001</v>
      </c>
      <c r="N163" s="108">
        <v>0</v>
      </c>
      <c r="O163" s="108"/>
      <c r="P163" s="108">
        <f t="shared" si="10"/>
        <v>67.760000000000005</v>
      </c>
      <c r="Q163" s="108">
        <v>275</v>
      </c>
      <c r="R163" s="109">
        <f t="shared" si="11"/>
        <v>275.35000000000002</v>
      </c>
    </row>
    <row r="164" spans="1:18" x14ac:dyDescent="0.25">
      <c r="A164" s="104">
        <v>1183.01</v>
      </c>
      <c r="B164" s="105" t="s">
        <v>249</v>
      </c>
      <c r="C164" s="118" t="s">
        <v>7</v>
      </c>
      <c r="D164" s="108">
        <v>19081</v>
      </c>
      <c r="E164" s="104" t="s">
        <v>467</v>
      </c>
      <c r="F164" s="105"/>
      <c r="G164" s="108">
        <v>0</v>
      </c>
      <c r="H164" s="108"/>
      <c r="I164" s="108">
        <v>0.5</v>
      </c>
      <c r="J164" s="108">
        <v>1</v>
      </c>
      <c r="K164" s="108">
        <v>3.9</v>
      </c>
      <c r="L164" s="108">
        <v>34.200000000000003</v>
      </c>
      <c r="M164" s="108">
        <v>5.5</v>
      </c>
      <c r="N164" s="108">
        <v>0</v>
      </c>
      <c r="O164" s="108"/>
      <c r="P164" s="108">
        <f t="shared" si="10"/>
        <v>54.899999999999991</v>
      </c>
      <c r="Q164" s="108">
        <v>550</v>
      </c>
      <c r="R164" s="109">
        <f t="shared" si="11"/>
        <v>554</v>
      </c>
    </row>
    <row r="165" spans="1:18" x14ac:dyDescent="0.25">
      <c r="A165" s="104">
        <v>1184.01</v>
      </c>
      <c r="B165" s="105" t="s">
        <v>250</v>
      </c>
      <c r="C165" s="118" t="s">
        <v>7</v>
      </c>
      <c r="D165" s="108" t="s">
        <v>465</v>
      </c>
      <c r="E165" s="104" t="s">
        <v>466</v>
      </c>
      <c r="F165" s="105"/>
      <c r="G165" s="108">
        <v>0</v>
      </c>
      <c r="H165" s="108"/>
      <c r="I165" s="108">
        <v>8.5</v>
      </c>
      <c r="J165" s="108">
        <v>1.8</v>
      </c>
      <c r="K165" s="108">
        <v>4.5999999999999996</v>
      </c>
      <c r="L165" s="108">
        <v>8.1</v>
      </c>
      <c r="M165" s="108">
        <v>0</v>
      </c>
      <c r="N165" s="108">
        <v>0</v>
      </c>
      <c r="O165" s="108">
        <v>77.000000000000014</v>
      </c>
      <c r="P165" s="108">
        <f t="shared" si="10"/>
        <v>77.000000000000014</v>
      </c>
      <c r="Q165" s="108">
        <v>382</v>
      </c>
      <c r="R165" s="109">
        <f t="shared" si="11"/>
        <v>399.30000000000007</v>
      </c>
    </row>
    <row r="166" spans="1:18" x14ac:dyDescent="0.25">
      <c r="A166" s="104">
        <v>1185.01</v>
      </c>
      <c r="B166" s="105" t="s">
        <v>251</v>
      </c>
      <c r="C166" s="118" t="s">
        <v>390</v>
      </c>
      <c r="D166" s="108" t="s">
        <v>333</v>
      </c>
      <c r="E166" s="104" t="s">
        <v>334</v>
      </c>
      <c r="F166" s="105"/>
      <c r="G166" s="108">
        <v>0</v>
      </c>
      <c r="H166" s="108"/>
      <c r="I166" s="108">
        <v>78.5</v>
      </c>
      <c r="J166" s="108">
        <v>0.6</v>
      </c>
      <c r="K166" s="108">
        <v>2.9</v>
      </c>
      <c r="L166" s="108">
        <v>13.5</v>
      </c>
      <c r="M166" s="108">
        <v>0</v>
      </c>
      <c r="N166" s="108">
        <v>0</v>
      </c>
      <c r="O166" s="108">
        <v>4.5</v>
      </c>
      <c r="P166" s="108">
        <f t="shared" si="10"/>
        <v>4.5</v>
      </c>
      <c r="Q166" s="108">
        <v>151</v>
      </c>
      <c r="R166" s="109">
        <f t="shared" si="11"/>
        <v>151.1</v>
      </c>
    </row>
    <row r="167" spans="1:18" x14ac:dyDescent="0.25">
      <c r="A167" s="104">
        <v>1186.99</v>
      </c>
      <c r="B167" s="105" t="s">
        <v>252</v>
      </c>
      <c r="C167" s="118" t="s">
        <v>7</v>
      </c>
      <c r="D167" s="108" t="s">
        <v>468</v>
      </c>
      <c r="E167" s="104" t="s">
        <v>469</v>
      </c>
      <c r="F167" s="105"/>
      <c r="G167" s="108">
        <v>0</v>
      </c>
      <c r="H167" s="108"/>
      <c r="I167" s="108">
        <v>2.44</v>
      </c>
      <c r="J167" s="108">
        <v>0.45</v>
      </c>
      <c r="K167" s="108">
        <v>0</v>
      </c>
      <c r="L167" s="108">
        <v>0</v>
      </c>
      <c r="M167" s="108"/>
      <c r="N167" s="108">
        <v>0</v>
      </c>
      <c r="O167" s="108">
        <v>97.11</v>
      </c>
      <c r="P167" s="108">
        <f t="shared" si="10"/>
        <v>97.11</v>
      </c>
      <c r="Q167" s="108">
        <v>388</v>
      </c>
      <c r="R167" s="109">
        <f t="shared" si="11"/>
        <v>388.44</v>
      </c>
    </row>
    <row r="168" spans="1:18" x14ac:dyDescent="0.25">
      <c r="A168" s="104">
        <v>1191.01</v>
      </c>
      <c r="B168" s="105" t="s">
        <v>253</v>
      </c>
      <c r="C168" s="118" t="s">
        <v>7</v>
      </c>
      <c r="D168" s="108" t="s">
        <v>470</v>
      </c>
      <c r="E168" s="104" t="s">
        <v>471</v>
      </c>
      <c r="F168" s="105"/>
      <c r="G168" s="108">
        <v>0</v>
      </c>
      <c r="H168" s="108"/>
      <c r="I168" s="108">
        <v>21.7</v>
      </c>
      <c r="J168" s="108">
        <v>0.4</v>
      </c>
      <c r="K168" s="108">
        <v>0</v>
      </c>
      <c r="L168" s="108">
        <v>77.8</v>
      </c>
      <c r="M168" s="108">
        <v>0</v>
      </c>
      <c r="N168" s="108">
        <v>0</v>
      </c>
      <c r="O168" s="108">
        <v>9.9999999999994316E-2</v>
      </c>
      <c r="P168" s="108">
        <f t="shared" si="10"/>
        <v>9.9999999999994316E-2</v>
      </c>
      <c r="Q168" s="108">
        <v>688</v>
      </c>
      <c r="R168" s="109">
        <f t="shared" si="11"/>
        <v>700.59999999999991</v>
      </c>
    </row>
    <row r="169" spans="1:18" x14ac:dyDescent="0.25">
      <c r="A169" s="104">
        <v>1191.02</v>
      </c>
      <c r="B169" s="105" t="s">
        <v>254</v>
      </c>
      <c r="C169" s="118" t="s">
        <v>7</v>
      </c>
      <c r="D169" s="108" t="s">
        <v>472</v>
      </c>
      <c r="E169" s="104" t="s">
        <v>473</v>
      </c>
      <c r="F169" s="105"/>
      <c r="G169" s="108">
        <v>0</v>
      </c>
      <c r="H169" s="108"/>
      <c r="I169" s="108">
        <v>68</v>
      </c>
      <c r="J169" s="108">
        <v>0.48</v>
      </c>
      <c r="K169" s="108">
        <v>2.5</v>
      </c>
      <c r="L169" s="108">
        <v>0.3</v>
      </c>
      <c r="M169" s="108">
        <v>0.5</v>
      </c>
      <c r="N169" s="108">
        <v>0</v>
      </c>
      <c r="O169" s="108">
        <v>28.22</v>
      </c>
      <c r="P169" s="108">
        <f t="shared" si="10"/>
        <v>28.22</v>
      </c>
      <c r="Q169" s="108">
        <v>104</v>
      </c>
      <c r="R169" s="109">
        <f t="shared" si="11"/>
        <v>126.58</v>
      </c>
    </row>
    <row r="170" spans="1:18" x14ac:dyDescent="0.25">
      <c r="A170" s="104">
        <v>1191.03</v>
      </c>
      <c r="B170" s="105" t="s">
        <v>255</v>
      </c>
      <c r="C170" s="118" t="s">
        <v>390</v>
      </c>
      <c r="D170" s="108" t="s">
        <v>391</v>
      </c>
      <c r="E170" s="104" t="s">
        <v>255</v>
      </c>
      <c r="F170" s="105"/>
      <c r="G170" s="108">
        <v>0</v>
      </c>
      <c r="H170" s="108"/>
      <c r="I170" s="108">
        <v>98.7</v>
      </c>
      <c r="J170" s="108">
        <v>0.2</v>
      </c>
      <c r="K170" s="108">
        <v>0.4</v>
      </c>
      <c r="L170" s="108">
        <v>0</v>
      </c>
      <c r="M170" s="108">
        <v>0</v>
      </c>
      <c r="N170" s="108">
        <v>0</v>
      </c>
      <c r="O170" s="108">
        <v>0.69999999999999718</v>
      </c>
      <c r="P170" s="108">
        <f t="shared" si="10"/>
        <v>0.69999999999999718</v>
      </c>
      <c r="Q170" s="108">
        <v>5</v>
      </c>
      <c r="R170" s="109">
        <f t="shared" si="11"/>
        <v>4.3999999999999888</v>
      </c>
    </row>
    <row r="171" spans="1:18" x14ac:dyDescent="0.25">
      <c r="A171" s="104">
        <v>1191.08</v>
      </c>
      <c r="B171" s="105" t="s">
        <v>256</v>
      </c>
      <c r="C171" s="118" t="s">
        <v>7</v>
      </c>
      <c r="D171" s="108">
        <v>43599</v>
      </c>
      <c r="E171" s="104" t="s">
        <v>539</v>
      </c>
      <c r="F171" s="105"/>
      <c r="G171" s="108">
        <v>0</v>
      </c>
      <c r="H171" s="108"/>
      <c r="I171" s="108">
        <v>39.9</v>
      </c>
      <c r="J171" s="108">
        <v>1.9</v>
      </c>
      <c r="K171" s="108">
        <v>0.9</v>
      </c>
      <c r="L171" s="108">
        <v>33.4</v>
      </c>
      <c r="M171" s="108">
        <v>0</v>
      </c>
      <c r="N171" s="108">
        <v>0</v>
      </c>
      <c r="O171" s="108">
        <v>23.900000000000006</v>
      </c>
      <c r="P171" s="108">
        <f t="shared" si="10"/>
        <v>23.900000000000006</v>
      </c>
      <c r="Q171" s="108">
        <v>390</v>
      </c>
      <c r="R171" s="109">
        <f t="shared" si="11"/>
        <v>399.8</v>
      </c>
    </row>
    <row r="172" spans="1:18" x14ac:dyDescent="0.25">
      <c r="A172" s="104">
        <v>1192.01</v>
      </c>
      <c r="B172" s="105" t="s">
        <v>257</v>
      </c>
      <c r="C172" s="118" t="s">
        <v>452</v>
      </c>
      <c r="D172" s="108" t="s">
        <v>377</v>
      </c>
      <c r="E172" s="104" t="s">
        <v>257</v>
      </c>
      <c r="F172" s="105"/>
      <c r="G172" s="108">
        <v>0</v>
      </c>
      <c r="H172" s="108"/>
      <c r="I172" s="108">
        <v>0.5</v>
      </c>
      <c r="J172" s="108">
        <v>99.8</v>
      </c>
      <c r="K172" s="108">
        <v>0</v>
      </c>
      <c r="L172" s="108">
        <v>0</v>
      </c>
      <c r="M172" s="108">
        <v>0</v>
      </c>
      <c r="N172" s="108">
        <v>0</v>
      </c>
      <c r="O172" s="108">
        <v>-0.29999999999999716</v>
      </c>
      <c r="P172" s="108">
        <v>0</v>
      </c>
      <c r="Q172" s="108">
        <v>0</v>
      </c>
      <c r="R172" s="109">
        <f t="shared" si="11"/>
        <v>0</v>
      </c>
    </row>
    <row r="173" spans="1:18" x14ac:dyDescent="0.25">
      <c r="A173" s="104">
        <v>1192.02</v>
      </c>
      <c r="B173" s="105" t="s">
        <v>258</v>
      </c>
      <c r="C173" s="118" t="s">
        <v>452</v>
      </c>
      <c r="D173" s="108" t="s">
        <v>378</v>
      </c>
      <c r="E173" s="104" t="s">
        <v>379</v>
      </c>
      <c r="F173" s="105"/>
      <c r="G173" s="108">
        <v>0</v>
      </c>
      <c r="H173" s="108"/>
      <c r="I173" s="108">
        <v>8.5</v>
      </c>
      <c r="J173" s="108">
        <v>4.7</v>
      </c>
      <c r="K173" s="108">
        <v>6.1</v>
      </c>
      <c r="L173" s="108">
        <v>8.6999999999999993</v>
      </c>
      <c r="M173" s="108">
        <v>21.6</v>
      </c>
      <c r="N173" s="108">
        <v>0</v>
      </c>
      <c r="O173" s="108">
        <v>50.4</v>
      </c>
      <c r="P173" s="108">
        <f t="shared" si="10"/>
        <v>50.4</v>
      </c>
      <c r="Q173" s="108">
        <v>348</v>
      </c>
      <c r="R173" s="109">
        <f t="shared" si="11"/>
        <v>347.5</v>
      </c>
    </row>
    <row r="174" spans="1:18" x14ac:dyDescent="0.25">
      <c r="A174" s="104">
        <v>1192.03</v>
      </c>
      <c r="B174" s="105" t="s">
        <v>259</v>
      </c>
      <c r="C174" s="118" t="s">
        <v>452</v>
      </c>
      <c r="D174" s="108" t="s">
        <v>380</v>
      </c>
      <c r="E174" s="104" t="s">
        <v>381</v>
      </c>
      <c r="F174" s="105"/>
      <c r="G174" s="108">
        <v>0.13</v>
      </c>
      <c r="H174" s="108"/>
      <c r="I174" s="108">
        <v>64.3</v>
      </c>
      <c r="J174" s="108">
        <v>1.3</v>
      </c>
      <c r="K174" s="108">
        <v>6.8</v>
      </c>
      <c r="L174" s="108">
        <v>0.4</v>
      </c>
      <c r="M174" s="108">
        <v>2.2999999999999998</v>
      </c>
      <c r="N174" s="108">
        <v>0</v>
      </c>
      <c r="O174" s="108">
        <v>24.900000000000006</v>
      </c>
      <c r="P174" s="108">
        <f t="shared" si="10"/>
        <v>24.900000000000006</v>
      </c>
      <c r="Q174" s="108">
        <v>135</v>
      </c>
      <c r="R174" s="109">
        <f t="shared" si="11"/>
        <v>135.00000000000003</v>
      </c>
    </row>
    <row r="175" spans="1:18" x14ac:dyDescent="0.25">
      <c r="A175" s="104">
        <v>1193.02</v>
      </c>
      <c r="B175" s="105" t="s">
        <v>260</v>
      </c>
      <c r="C175" s="118" t="s">
        <v>452</v>
      </c>
      <c r="D175" s="108" t="s">
        <v>382</v>
      </c>
      <c r="E175" s="104" t="s">
        <v>383</v>
      </c>
      <c r="F175" s="105"/>
      <c r="G175" s="108">
        <v>0</v>
      </c>
      <c r="H175" s="108"/>
      <c r="I175" s="108">
        <v>5</v>
      </c>
      <c r="J175" s="108">
        <v>8.3000000000000007</v>
      </c>
      <c r="K175" s="108">
        <v>35.6</v>
      </c>
      <c r="L175" s="108">
        <v>1.5</v>
      </c>
      <c r="M175" s="108">
        <v>19.7</v>
      </c>
      <c r="N175" s="108">
        <v>0</v>
      </c>
      <c r="O175" s="108">
        <v>29.900000000000002</v>
      </c>
      <c r="P175" s="108">
        <f t="shared" si="10"/>
        <v>29.900000000000002</v>
      </c>
      <c r="Q175" s="108">
        <v>315</v>
      </c>
      <c r="R175" s="109">
        <f t="shared" si="11"/>
        <v>314.90000000000003</v>
      </c>
    </row>
    <row r="176" spans="1:18" x14ac:dyDescent="0.25">
      <c r="A176" s="104">
        <v>1193.05</v>
      </c>
      <c r="B176" s="105" t="s">
        <v>261</v>
      </c>
      <c r="C176" s="118" t="s">
        <v>7</v>
      </c>
      <c r="D176" s="108" t="s">
        <v>476</v>
      </c>
      <c r="E176" s="104" t="s">
        <v>477</v>
      </c>
      <c r="F176" s="105"/>
      <c r="G176" s="108">
        <v>0</v>
      </c>
      <c r="H176" s="108"/>
      <c r="I176" s="108">
        <v>38.64</v>
      </c>
      <c r="J176" s="108">
        <v>1</v>
      </c>
      <c r="K176" s="108">
        <v>4.41</v>
      </c>
      <c r="L176" s="108">
        <v>18.52</v>
      </c>
      <c r="M176" s="108">
        <v>0.9</v>
      </c>
      <c r="N176" s="108">
        <v>0</v>
      </c>
      <c r="O176" s="108">
        <v>36.530000000000008</v>
      </c>
      <c r="P176" s="108">
        <f t="shared" si="10"/>
        <v>36.530000000000008</v>
      </c>
      <c r="Q176" s="108">
        <v>334</v>
      </c>
      <c r="R176" s="109">
        <f t="shared" si="11"/>
        <v>332.24</v>
      </c>
    </row>
    <row r="177" spans="1:18" x14ac:dyDescent="0.25">
      <c r="A177" s="104">
        <v>1193.06</v>
      </c>
      <c r="B177" s="105" t="s">
        <v>262</v>
      </c>
      <c r="C177" s="118" t="s">
        <v>7</v>
      </c>
      <c r="D177" s="108" t="s">
        <v>474</v>
      </c>
      <c r="E177" s="104" t="s">
        <v>475</v>
      </c>
      <c r="F177" s="105"/>
      <c r="G177" s="108">
        <v>0</v>
      </c>
      <c r="H177" s="108"/>
      <c r="I177" s="108">
        <v>85.5</v>
      </c>
      <c r="J177" s="108">
        <v>2.2999999999999998</v>
      </c>
      <c r="K177" s="108">
        <v>4.5999999999999996</v>
      </c>
      <c r="L177" s="108">
        <v>2.4</v>
      </c>
      <c r="M177" s="108">
        <v>0.2</v>
      </c>
      <c r="N177" s="108">
        <v>0</v>
      </c>
      <c r="O177" s="108">
        <v>4.9999999999999991</v>
      </c>
      <c r="P177" s="108">
        <f t="shared" si="10"/>
        <v>4.9999999999999991</v>
      </c>
      <c r="Q177" s="108">
        <v>61</v>
      </c>
      <c r="R177" s="109">
        <f t="shared" si="11"/>
        <v>60.399999999999991</v>
      </c>
    </row>
    <row r="178" spans="1:18" x14ac:dyDescent="0.25">
      <c r="A178" s="104">
        <v>1193.07</v>
      </c>
      <c r="B178" s="105" t="s">
        <v>263</v>
      </c>
      <c r="C178" s="118" t="s">
        <v>7</v>
      </c>
      <c r="D178" s="108" t="s">
        <v>474</v>
      </c>
      <c r="E178" s="104" t="s">
        <v>475</v>
      </c>
      <c r="F178" s="105"/>
      <c r="G178" s="108">
        <v>0</v>
      </c>
      <c r="H178" s="108"/>
      <c r="I178" s="108">
        <v>40.6</v>
      </c>
      <c r="J178" s="108">
        <v>1.21</v>
      </c>
      <c r="K178" s="108">
        <v>4.05</v>
      </c>
      <c r="L178" s="108">
        <v>8.06</v>
      </c>
      <c r="M178" s="108">
        <v>0.9</v>
      </c>
      <c r="N178" s="108">
        <v>0</v>
      </c>
      <c r="O178" s="108">
        <v>45.18</v>
      </c>
      <c r="P178" s="108">
        <f t="shared" si="10"/>
        <v>45.18</v>
      </c>
      <c r="Q178" s="108">
        <v>213</v>
      </c>
      <c r="R178" s="109">
        <f t="shared" si="11"/>
        <v>271.26</v>
      </c>
    </row>
    <row r="179" spans="1:18" x14ac:dyDescent="0.25">
      <c r="A179" s="104">
        <v>1195.99</v>
      </c>
      <c r="B179" s="105" t="s">
        <v>264</v>
      </c>
      <c r="C179" s="118" t="s">
        <v>7</v>
      </c>
      <c r="D179" s="108" t="s">
        <v>474</v>
      </c>
      <c r="E179" s="104" t="s">
        <v>475</v>
      </c>
      <c r="F179" s="105"/>
      <c r="G179" s="108">
        <v>0</v>
      </c>
      <c r="H179" s="108"/>
      <c r="I179" s="108">
        <v>85.5</v>
      </c>
      <c r="J179" s="108">
        <v>2.2999999999999998</v>
      </c>
      <c r="K179" s="108">
        <v>4.5999999999999996</v>
      </c>
      <c r="L179" s="108">
        <v>2.4</v>
      </c>
      <c r="M179" s="108">
        <v>0.2</v>
      </c>
      <c r="N179" s="108">
        <v>0</v>
      </c>
      <c r="O179" s="108">
        <v>4.9999999999999991</v>
      </c>
      <c r="P179" s="108">
        <f t="shared" si="10"/>
        <v>4.9999999999999991</v>
      </c>
      <c r="Q179" s="108">
        <v>61</v>
      </c>
      <c r="R179" s="109">
        <f t="shared" si="11"/>
        <v>60.399999999999991</v>
      </c>
    </row>
    <row r="180" spans="1:18" x14ac:dyDescent="0.25">
      <c r="A180" s="104">
        <v>1211.01</v>
      </c>
      <c r="B180" s="105" t="s">
        <v>265</v>
      </c>
      <c r="C180" s="118" t="s">
        <v>363</v>
      </c>
      <c r="D180" s="108" t="s">
        <v>364</v>
      </c>
      <c r="E180" s="104" t="s">
        <v>365</v>
      </c>
      <c r="F180" s="105" t="s">
        <v>68</v>
      </c>
      <c r="G180" s="108">
        <v>0</v>
      </c>
      <c r="H180" s="108"/>
      <c r="I180" s="108">
        <v>3.1</v>
      </c>
      <c r="J180" s="108">
        <v>8.8000000000000007</v>
      </c>
      <c r="K180" s="108">
        <v>15.4</v>
      </c>
      <c r="L180" s="108">
        <v>0.4</v>
      </c>
      <c r="M180" s="108">
        <v>0</v>
      </c>
      <c r="N180" s="108">
        <v>0</v>
      </c>
      <c r="O180" s="108">
        <v>72.400000000000006</v>
      </c>
      <c r="P180" s="108">
        <f t="shared" si="10"/>
        <v>72.3</v>
      </c>
      <c r="Q180" s="108">
        <v>354</v>
      </c>
      <c r="R180" s="109">
        <f t="shared" si="11"/>
        <v>354.4</v>
      </c>
    </row>
    <row r="181" spans="1:18" x14ac:dyDescent="0.25">
      <c r="A181" s="104">
        <v>1212.01</v>
      </c>
      <c r="B181" s="105" t="s">
        <v>266</v>
      </c>
      <c r="C181" s="118" t="s">
        <v>363</v>
      </c>
      <c r="D181" s="108" t="s">
        <v>366</v>
      </c>
      <c r="E181" s="104" t="s">
        <v>367</v>
      </c>
      <c r="F181" s="105" t="s">
        <v>68</v>
      </c>
      <c r="G181" s="108">
        <v>0</v>
      </c>
      <c r="H181" s="108"/>
      <c r="I181" s="108">
        <v>99.8</v>
      </c>
      <c r="J181" s="108">
        <v>0</v>
      </c>
      <c r="K181" s="108">
        <v>0.1</v>
      </c>
      <c r="L181" s="108">
        <v>0</v>
      </c>
      <c r="M181" s="108">
        <v>0</v>
      </c>
      <c r="N181" s="108">
        <v>0</v>
      </c>
      <c r="O181" s="108">
        <v>0</v>
      </c>
      <c r="P181" s="108">
        <f t="shared" si="10"/>
        <v>0.10000000000000284</v>
      </c>
      <c r="Q181" s="108">
        <v>0</v>
      </c>
      <c r="R181" s="109">
        <f t="shared" si="11"/>
        <v>0.80000000000001137</v>
      </c>
    </row>
    <row r="182" spans="1:18" x14ac:dyDescent="0.25">
      <c r="A182" s="104">
        <v>1213.01</v>
      </c>
      <c r="B182" s="105" t="s">
        <v>267</v>
      </c>
      <c r="C182" s="118" t="s">
        <v>363</v>
      </c>
      <c r="D182" s="108" t="s">
        <v>366</v>
      </c>
      <c r="E182" s="104" t="s">
        <v>367</v>
      </c>
      <c r="F182" s="105" t="s">
        <v>68</v>
      </c>
      <c r="G182" s="108">
        <v>0</v>
      </c>
      <c r="H182" s="108"/>
      <c r="I182" s="108">
        <v>99.8</v>
      </c>
      <c r="J182" s="108">
        <v>0</v>
      </c>
      <c r="K182" s="108">
        <v>0.1</v>
      </c>
      <c r="L182" s="108">
        <v>0</v>
      </c>
      <c r="M182" s="108">
        <v>0</v>
      </c>
      <c r="N182" s="108">
        <v>0</v>
      </c>
      <c r="O182" s="108">
        <v>0</v>
      </c>
      <c r="P182" s="108">
        <f t="shared" si="10"/>
        <v>0.10000000000000284</v>
      </c>
      <c r="Q182" s="108">
        <v>0</v>
      </c>
      <c r="R182" s="109">
        <f t="shared" si="11"/>
        <v>0.80000000000001137</v>
      </c>
    </row>
    <row r="183" spans="1:18" x14ac:dyDescent="0.25">
      <c r="A183" s="104">
        <v>1219.99</v>
      </c>
      <c r="B183" s="105" t="s">
        <v>268</v>
      </c>
      <c r="C183" s="118" t="s">
        <v>363</v>
      </c>
      <c r="D183" s="108" t="s">
        <v>366</v>
      </c>
      <c r="E183" s="104" t="s">
        <v>367</v>
      </c>
      <c r="F183" s="105" t="s">
        <v>68</v>
      </c>
      <c r="G183" s="108">
        <v>0</v>
      </c>
      <c r="H183" s="108"/>
      <c r="I183" s="108">
        <v>99.8</v>
      </c>
      <c r="J183" s="108">
        <v>0</v>
      </c>
      <c r="K183" s="108">
        <v>0.1</v>
      </c>
      <c r="L183" s="108">
        <v>0</v>
      </c>
      <c r="M183" s="108">
        <v>0</v>
      </c>
      <c r="N183" s="108">
        <v>0</v>
      </c>
      <c r="O183" s="108">
        <v>0</v>
      </c>
      <c r="P183" s="108">
        <f t="shared" si="10"/>
        <v>0.10000000000000284</v>
      </c>
      <c r="Q183" s="108">
        <v>0</v>
      </c>
      <c r="R183" s="109">
        <f t="shared" si="11"/>
        <v>0.80000000000001137</v>
      </c>
    </row>
    <row r="184" spans="1:18" x14ac:dyDescent="0.25">
      <c r="A184" s="104">
        <v>1221.01</v>
      </c>
      <c r="B184" s="105" t="s">
        <v>269</v>
      </c>
      <c r="C184" s="118" t="s">
        <v>363</v>
      </c>
      <c r="D184" s="108" t="s">
        <v>368</v>
      </c>
      <c r="E184" s="104" t="s">
        <v>369</v>
      </c>
      <c r="F184" s="105" t="s">
        <v>68</v>
      </c>
      <c r="G184" s="108">
        <v>0</v>
      </c>
      <c r="H184" s="108"/>
      <c r="I184" s="108">
        <v>100</v>
      </c>
      <c r="J184" s="108">
        <v>0.1</v>
      </c>
      <c r="K184" s="108">
        <v>0</v>
      </c>
      <c r="L184" s="108">
        <v>0</v>
      </c>
      <c r="M184" s="108">
        <v>0</v>
      </c>
      <c r="N184" s="108">
        <v>0</v>
      </c>
      <c r="O184" s="108">
        <v>0</v>
      </c>
      <c r="P184" s="108">
        <v>0</v>
      </c>
      <c r="Q184" s="108">
        <v>0</v>
      </c>
      <c r="R184" s="109">
        <f t="shared" si="11"/>
        <v>0</v>
      </c>
    </row>
    <row r="185" spans="1:18" x14ac:dyDescent="0.25">
      <c r="A185" s="104">
        <v>1222.01</v>
      </c>
      <c r="B185" s="105" t="s">
        <v>270</v>
      </c>
      <c r="C185" s="118" t="s">
        <v>363</v>
      </c>
      <c r="D185" s="108" t="s">
        <v>370</v>
      </c>
      <c r="E185" s="104" t="s">
        <v>371</v>
      </c>
      <c r="F185" s="105" t="s">
        <v>68</v>
      </c>
      <c r="G185" s="108">
        <v>0</v>
      </c>
      <c r="H185" s="108"/>
      <c r="I185" s="108">
        <v>88.9</v>
      </c>
      <c r="J185" s="108">
        <v>0.4</v>
      </c>
      <c r="K185" s="108">
        <v>0.7</v>
      </c>
      <c r="L185" s="108">
        <v>0.2</v>
      </c>
      <c r="M185" s="108">
        <v>0.1</v>
      </c>
      <c r="N185" s="108">
        <v>0</v>
      </c>
      <c r="O185" s="108">
        <v>9.8000000000000007</v>
      </c>
      <c r="P185" s="108">
        <f t="shared" si="10"/>
        <v>9.6999999999999957</v>
      </c>
      <c r="Q185" s="108">
        <v>44</v>
      </c>
      <c r="R185" s="109">
        <f t="shared" si="11"/>
        <v>43.59999999999998</v>
      </c>
    </row>
    <row r="186" spans="1:18" x14ac:dyDescent="0.25">
      <c r="A186" s="104">
        <v>1222.99</v>
      </c>
      <c r="B186" s="105" t="s">
        <v>271</v>
      </c>
      <c r="C186" s="118" t="s">
        <v>363</v>
      </c>
      <c r="D186" s="108" t="s">
        <v>370</v>
      </c>
      <c r="E186" s="104" t="s">
        <v>371</v>
      </c>
      <c r="F186" s="105" t="s">
        <v>68</v>
      </c>
      <c r="G186" s="108">
        <v>0</v>
      </c>
      <c r="H186" s="108"/>
      <c r="I186" s="108">
        <v>88.9</v>
      </c>
      <c r="J186" s="108">
        <v>0.4</v>
      </c>
      <c r="K186" s="108">
        <v>0.7</v>
      </c>
      <c r="L186" s="108">
        <v>0.2</v>
      </c>
      <c r="M186" s="108">
        <v>0.1</v>
      </c>
      <c r="N186" s="108">
        <v>0</v>
      </c>
      <c r="O186" s="108">
        <v>9.8000000000000007</v>
      </c>
      <c r="P186" s="108">
        <f t="shared" si="10"/>
        <v>9.6999999999999957</v>
      </c>
      <c r="Q186" s="108">
        <v>44</v>
      </c>
      <c r="R186" s="109">
        <f t="shared" si="11"/>
        <v>43.59999999999998</v>
      </c>
    </row>
    <row r="187" spans="1:18" x14ac:dyDescent="0.25">
      <c r="A187" s="104">
        <v>1223.01</v>
      </c>
      <c r="B187" s="105" t="s">
        <v>272</v>
      </c>
      <c r="C187" s="118" t="s">
        <v>363</v>
      </c>
      <c r="D187" s="108" t="s">
        <v>370</v>
      </c>
      <c r="E187" s="104" t="s">
        <v>371</v>
      </c>
      <c r="F187" s="105" t="s">
        <v>68</v>
      </c>
      <c r="G187" s="108">
        <v>0</v>
      </c>
      <c r="H187" s="108"/>
      <c r="I187" s="108">
        <v>88.9</v>
      </c>
      <c r="J187" s="108">
        <v>0.4</v>
      </c>
      <c r="K187" s="108">
        <v>0.7</v>
      </c>
      <c r="L187" s="108">
        <v>0.2</v>
      </c>
      <c r="M187" s="108">
        <v>0.1</v>
      </c>
      <c r="N187" s="108">
        <v>0</v>
      </c>
      <c r="O187" s="108">
        <v>9.8000000000000007</v>
      </c>
      <c r="P187" s="108">
        <f t="shared" si="10"/>
        <v>9.6999999999999957</v>
      </c>
      <c r="Q187" s="108">
        <v>44</v>
      </c>
      <c r="R187" s="109">
        <f t="shared" si="11"/>
        <v>43.59999999999998</v>
      </c>
    </row>
    <row r="188" spans="1:18" x14ac:dyDescent="0.25">
      <c r="A188" s="104">
        <v>1223.02</v>
      </c>
      <c r="B188" s="105" t="s">
        <v>273</v>
      </c>
      <c r="C188" s="118" t="s">
        <v>363</v>
      </c>
      <c r="D188" s="108" t="s">
        <v>372</v>
      </c>
      <c r="E188" s="104" t="s">
        <v>373</v>
      </c>
      <c r="F188" s="105" t="s">
        <v>321</v>
      </c>
      <c r="G188" s="108">
        <v>0</v>
      </c>
      <c r="H188" s="108"/>
      <c r="I188" s="108">
        <v>87.6</v>
      </c>
      <c r="J188" s="108">
        <v>0.1</v>
      </c>
      <c r="K188" s="108">
        <v>1.2</v>
      </c>
      <c r="L188" s="108">
        <v>0.1</v>
      </c>
      <c r="M188" s="108">
        <v>0.5</v>
      </c>
      <c r="N188" s="108">
        <v>0</v>
      </c>
      <c r="O188" s="108">
        <v>10.6</v>
      </c>
      <c r="P188" s="108">
        <f t="shared" si="10"/>
        <v>10.500000000000007</v>
      </c>
      <c r="Q188" s="108">
        <v>49</v>
      </c>
      <c r="R188" s="109">
        <f t="shared" si="11"/>
        <v>48.700000000000031</v>
      </c>
    </row>
    <row r="189" spans="1:18" x14ac:dyDescent="0.25">
      <c r="A189" s="104">
        <v>1223.99</v>
      </c>
      <c r="B189" s="105" t="s">
        <v>274</v>
      </c>
      <c r="C189" s="118" t="s">
        <v>363</v>
      </c>
      <c r="D189" s="108" t="s">
        <v>370</v>
      </c>
      <c r="E189" s="104" t="s">
        <v>371</v>
      </c>
      <c r="F189" s="105" t="s">
        <v>68</v>
      </c>
      <c r="G189" s="108">
        <v>0</v>
      </c>
      <c r="H189" s="108"/>
      <c r="I189" s="108">
        <v>88.9</v>
      </c>
      <c r="J189" s="108">
        <v>0.4</v>
      </c>
      <c r="K189" s="108">
        <v>0.7</v>
      </c>
      <c r="L189" s="108">
        <v>0.2</v>
      </c>
      <c r="M189" s="108">
        <v>0.1</v>
      </c>
      <c r="N189" s="108">
        <v>0</v>
      </c>
      <c r="O189" s="108">
        <v>9.8000000000000007</v>
      </c>
      <c r="P189" s="108">
        <f t="shared" si="10"/>
        <v>9.6999999999999957</v>
      </c>
      <c r="Q189" s="108">
        <v>44</v>
      </c>
      <c r="R189" s="109">
        <f t="shared" si="11"/>
        <v>43.59999999999998</v>
      </c>
    </row>
    <row r="190" spans="1:18" x14ac:dyDescent="0.25">
      <c r="A190" s="104">
        <v>2111.04</v>
      </c>
      <c r="B190" s="105" t="s">
        <v>275</v>
      </c>
      <c r="C190" s="118" t="s">
        <v>363</v>
      </c>
      <c r="D190" s="108" t="s">
        <v>375</v>
      </c>
      <c r="E190" s="104" t="s">
        <v>376</v>
      </c>
      <c r="F190" s="105"/>
      <c r="G190" s="108">
        <v>0</v>
      </c>
      <c r="H190" s="108"/>
      <c r="I190" s="108">
        <v>94</v>
      </c>
      <c r="J190" s="108">
        <v>0.2</v>
      </c>
      <c r="K190" s="108">
        <v>0.5</v>
      </c>
      <c r="L190" s="108">
        <v>0</v>
      </c>
      <c r="M190" s="108">
        <v>0.1</v>
      </c>
      <c r="N190" s="108">
        <v>3</v>
      </c>
      <c r="O190" s="108">
        <v>2.7</v>
      </c>
      <c r="P190" s="108">
        <f t="shared" si="10"/>
        <v>2.2000000000000002</v>
      </c>
      <c r="Q190" s="108">
        <v>31</v>
      </c>
      <c r="R190" s="109">
        <f t="shared" si="11"/>
        <v>32</v>
      </c>
    </row>
    <row r="191" spans="1:18" x14ac:dyDescent="0.25">
      <c r="A191" s="104">
        <v>2121.0100000000002</v>
      </c>
      <c r="B191" s="105" t="s">
        <v>276</v>
      </c>
      <c r="C191" s="118" t="s">
        <v>363</v>
      </c>
      <c r="D191" s="108" t="s">
        <v>386</v>
      </c>
      <c r="E191" s="104" t="s">
        <v>387</v>
      </c>
      <c r="F191" s="105"/>
      <c r="G191" s="108">
        <v>0</v>
      </c>
      <c r="H191" s="108"/>
      <c r="I191" s="108">
        <v>93.7</v>
      </c>
      <c r="J191" s="108">
        <v>0.2</v>
      </c>
      <c r="K191" s="108">
        <v>0.4</v>
      </c>
      <c r="L191" s="108">
        <v>0</v>
      </c>
      <c r="M191" s="108">
        <v>0</v>
      </c>
      <c r="N191" s="108">
        <v>3.8</v>
      </c>
      <c r="O191" s="108">
        <v>2.5</v>
      </c>
      <c r="P191" s="108">
        <f t="shared" si="10"/>
        <v>1.8999999999999968</v>
      </c>
      <c r="Q191" s="108">
        <v>34</v>
      </c>
      <c r="R191" s="109">
        <f t="shared" si="11"/>
        <v>35.799999999999983</v>
      </c>
    </row>
    <row r="192" spans="1:18" x14ac:dyDescent="0.25">
      <c r="A192" s="104">
        <v>2129.9899999999998</v>
      </c>
      <c r="B192" s="105" t="s">
        <v>277</v>
      </c>
      <c r="C192" s="118" t="s">
        <v>363</v>
      </c>
      <c r="D192" s="108" t="s">
        <v>388</v>
      </c>
      <c r="E192" s="104" t="s">
        <v>389</v>
      </c>
      <c r="F192" s="105"/>
      <c r="G192" s="108">
        <v>0</v>
      </c>
      <c r="H192" s="108"/>
      <c r="I192" s="108">
        <v>91</v>
      </c>
      <c r="J192" s="108">
        <v>0.3</v>
      </c>
      <c r="K192" s="108">
        <v>0.7</v>
      </c>
      <c r="L192" s="108">
        <v>0</v>
      </c>
      <c r="M192" s="108">
        <v>0.1</v>
      </c>
      <c r="N192" s="108">
        <v>3</v>
      </c>
      <c r="O192" s="108">
        <v>5.7</v>
      </c>
      <c r="P192" s="108">
        <f t="shared" si="10"/>
        <v>4.8999999999999995</v>
      </c>
      <c r="Q192" s="108">
        <v>43</v>
      </c>
      <c r="R192" s="109">
        <f t="shared" si="11"/>
        <v>43.599999999999994</v>
      </c>
    </row>
    <row r="193" spans="1:18" x14ac:dyDescent="0.25">
      <c r="A193" s="104">
        <v>2131.0100000000002</v>
      </c>
      <c r="B193" s="105" t="s">
        <v>278</v>
      </c>
      <c r="C193" s="118" t="s">
        <v>363</v>
      </c>
      <c r="D193" s="108" t="s">
        <v>384</v>
      </c>
      <c r="E193" s="104" t="s">
        <v>385</v>
      </c>
      <c r="F193" s="105"/>
      <c r="G193" s="108">
        <v>0</v>
      </c>
      <c r="H193" s="108"/>
      <c r="I193" s="108">
        <v>93.9</v>
      </c>
      <c r="J193" s="108">
        <v>0.1</v>
      </c>
      <c r="K193" s="108">
        <v>0.3</v>
      </c>
      <c r="L193" s="108">
        <v>0</v>
      </c>
      <c r="M193" s="108">
        <v>0</v>
      </c>
      <c r="N193" s="108">
        <v>4.4000000000000004</v>
      </c>
      <c r="O193" s="108">
        <v>2</v>
      </c>
      <c r="P193" s="108">
        <f t="shared" ref="P193:P194" si="12">100-I193-J193-K193-L193-M193-N193</f>
        <v>1.2999999999999945</v>
      </c>
      <c r="Q193" s="108">
        <v>35</v>
      </c>
      <c r="R193" s="109">
        <f t="shared" ref="R193:R194" si="13">K193*4+L193*9+M193*2+N193*7+P193*4</f>
        <v>37.199999999999989</v>
      </c>
    </row>
    <row r="194" spans="1:18" ht="15.75" thickBot="1" x14ac:dyDescent="0.3">
      <c r="A194" s="113">
        <v>2131.9899999999998</v>
      </c>
      <c r="B194" s="114" t="s">
        <v>279</v>
      </c>
      <c r="C194" s="119" t="s">
        <v>363</v>
      </c>
      <c r="D194" s="115" t="s">
        <v>375</v>
      </c>
      <c r="E194" s="113" t="s">
        <v>376</v>
      </c>
      <c r="F194" s="114"/>
      <c r="G194" s="115">
        <v>0</v>
      </c>
      <c r="H194" s="115"/>
      <c r="I194" s="115">
        <v>94</v>
      </c>
      <c r="J194" s="115">
        <v>0.2</v>
      </c>
      <c r="K194" s="115">
        <v>0.5</v>
      </c>
      <c r="L194" s="115">
        <v>0</v>
      </c>
      <c r="M194" s="115">
        <v>0.1</v>
      </c>
      <c r="N194" s="115">
        <v>3</v>
      </c>
      <c r="O194" s="115">
        <v>2.7</v>
      </c>
      <c r="P194" s="115">
        <f t="shared" si="12"/>
        <v>2.2000000000000002</v>
      </c>
      <c r="Q194" s="115">
        <v>31</v>
      </c>
      <c r="R194" s="116">
        <f t="shared" si="13"/>
        <v>32</v>
      </c>
    </row>
  </sheetData>
  <conditionalFormatting sqref="E4">
    <cfRule type="containsBlanks" priority="5" stopIfTrue="1">
      <formula>LEN(TRIM(E4))=0</formula>
    </cfRule>
  </conditionalFormatting>
  <conditionalFormatting sqref="D18:E18">
    <cfRule type="containsBlanks" priority="4" stopIfTrue="1">
      <formula>LEN(TRIM(D18))=0</formula>
    </cfRule>
  </conditionalFormatting>
  <conditionalFormatting sqref="D19:E19">
    <cfRule type="containsBlanks" priority="3" stopIfTrue="1">
      <formula>LEN(TRIM(D19))=0</formula>
    </cfRule>
  </conditionalFormatting>
  <conditionalFormatting sqref="D21:E21">
    <cfRule type="containsBlanks" priority="2" stopIfTrue="1">
      <formula>LEN(TRIM(D21))=0</formula>
    </cfRule>
  </conditionalFormatting>
  <conditionalFormatting sqref="D20">
    <cfRule type="containsBlanks" priority="1" stopIfTrue="1">
      <formula>LEN(TRIM(D20))=0</formula>
    </cfRule>
  </conditionalFormatting>
  <pageMargins left="0.7" right="0.7" top="0.75" bottom="0.75" header="0.3" footer="0.3"/>
  <pageSetup orientation="portrait" horizontalDpi="4294967292" verticalDpi="4294967292" r:id="rId1"/>
  <legacyDrawing r:id="rId2"/>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194"/>
  <sheetViews>
    <sheetView zoomScale="75" zoomScaleNormal="75" workbookViewId="0">
      <selection sqref="A1:XFD1048576"/>
    </sheetView>
  </sheetViews>
  <sheetFormatPr defaultColWidth="8.85546875" defaultRowHeight="15" x14ac:dyDescent="0.25"/>
  <cols>
    <col min="1" max="1" width="10.85546875" style="1" customWidth="1"/>
    <col min="2" max="2" width="47.140625" style="1" customWidth="1"/>
    <col min="3" max="3" width="34.140625" style="41" customWidth="1"/>
    <col min="4" max="4" width="15.85546875" style="93" customWidth="1"/>
    <col min="5" max="5" width="71.5703125" style="1" customWidth="1"/>
    <col min="6" max="6" width="16.7109375" style="1" customWidth="1"/>
    <col min="7" max="8" width="12.42578125" style="1" customWidth="1"/>
    <col min="9" max="9" width="8.85546875" style="93"/>
    <col min="10" max="11" width="9.140625" style="93" customWidth="1"/>
    <col min="12" max="12" width="7.42578125" style="93" customWidth="1"/>
    <col min="13" max="13" width="9.5703125" style="93" customWidth="1"/>
    <col min="14" max="14" width="8.42578125" style="93" customWidth="1"/>
    <col min="15" max="15" width="14.42578125" style="93" customWidth="1"/>
    <col min="16" max="16" width="25" style="1" customWidth="1"/>
    <col min="17" max="17" width="17.85546875" style="93" customWidth="1"/>
    <col min="18" max="18" width="22.5703125" style="1" customWidth="1"/>
    <col min="19" max="16384" width="8.85546875" style="13"/>
  </cols>
  <sheetData>
    <row r="1" spans="1:18" ht="118.5" customHeight="1" x14ac:dyDescent="0.25">
      <c r="A1" s="2" t="s">
        <v>700</v>
      </c>
      <c r="B1" s="2" t="s">
        <v>701</v>
      </c>
      <c r="C1" s="19" t="s">
        <v>1</v>
      </c>
      <c r="D1" s="2" t="s">
        <v>2</v>
      </c>
      <c r="E1" s="2" t="s">
        <v>3</v>
      </c>
      <c r="F1" s="19" t="s">
        <v>52</v>
      </c>
      <c r="G1" s="2" t="s">
        <v>702</v>
      </c>
      <c r="H1" s="2" t="s">
        <v>703</v>
      </c>
      <c r="I1" s="2" t="s">
        <v>5</v>
      </c>
      <c r="J1" s="2" t="s">
        <v>6</v>
      </c>
      <c r="K1" s="2" t="s">
        <v>704</v>
      </c>
      <c r="L1" s="2" t="s">
        <v>705</v>
      </c>
      <c r="M1" s="2" t="s">
        <v>706</v>
      </c>
      <c r="N1" s="2" t="s">
        <v>707</v>
      </c>
      <c r="O1" s="2" t="s">
        <v>4</v>
      </c>
      <c r="P1" s="18" t="s">
        <v>708</v>
      </c>
      <c r="Q1" s="2" t="s">
        <v>0</v>
      </c>
      <c r="R1" s="18" t="s">
        <v>709</v>
      </c>
    </row>
    <row r="2" spans="1:18" x14ac:dyDescent="0.25">
      <c r="A2" s="1">
        <v>1111.01</v>
      </c>
      <c r="B2" s="1" t="s">
        <v>118</v>
      </c>
      <c r="C2" s="1" t="s">
        <v>280</v>
      </c>
      <c r="D2" s="93" t="s">
        <v>288</v>
      </c>
      <c r="E2" s="1" t="s">
        <v>287</v>
      </c>
      <c r="G2" s="97">
        <v>0</v>
      </c>
      <c r="I2" s="1">
        <v>12.1</v>
      </c>
      <c r="J2" s="1">
        <v>0.7</v>
      </c>
      <c r="K2" s="1">
        <v>6.9</v>
      </c>
      <c r="L2" s="1">
        <v>0.6</v>
      </c>
      <c r="M2" s="1">
        <v>1.4</v>
      </c>
      <c r="N2" s="1">
        <v>0</v>
      </c>
      <c r="O2" s="1">
        <v>78.3</v>
      </c>
      <c r="P2" s="1">
        <f>100-I2-J2-K2-L2-M2-N2</f>
        <v>78.3</v>
      </c>
      <c r="Q2" s="1">
        <v>349</v>
      </c>
      <c r="R2" s="1">
        <f>K2*4+L2*9+M2*2+N2*7+P2*4</f>
        <v>349</v>
      </c>
    </row>
    <row r="3" spans="1:18" x14ac:dyDescent="0.25">
      <c r="A3" s="1">
        <v>1111.02</v>
      </c>
      <c r="B3" s="1" t="s">
        <v>550</v>
      </c>
      <c r="C3" s="1" t="s">
        <v>551</v>
      </c>
      <c r="D3" s="93" t="s">
        <v>552</v>
      </c>
      <c r="E3" s="1" t="s">
        <v>553</v>
      </c>
      <c r="G3" s="97">
        <v>0</v>
      </c>
      <c r="H3" s="13"/>
      <c r="I3" s="1">
        <v>0.9</v>
      </c>
      <c r="J3" s="1">
        <v>1.1000000000000001</v>
      </c>
      <c r="K3" s="1">
        <v>4</v>
      </c>
      <c r="L3" s="1">
        <v>0.34</v>
      </c>
      <c r="M3" s="1">
        <v>1.8</v>
      </c>
      <c r="N3" s="1">
        <v>0</v>
      </c>
      <c r="O3" s="1">
        <v>93.7</v>
      </c>
      <c r="P3" s="1">
        <f t="shared" ref="P3:P66" si="0">100-I3-J3-K3-L3-M3-N3</f>
        <v>91.86</v>
      </c>
      <c r="Q3" s="1">
        <v>394</v>
      </c>
      <c r="R3" s="1">
        <f t="shared" ref="R3:R66" si="1">K3*4+L3*9+M3*2+N3*7+P3*4</f>
        <v>390.1</v>
      </c>
    </row>
    <row r="4" spans="1:18" x14ac:dyDescent="0.25">
      <c r="A4" s="1">
        <v>1112.01</v>
      </c>
      <c r="B4" s="1" t="s">
        <v>160</v>
      </c>
      <c r="C4" s="1" t="s">
        <v>280</v>
      </c>
      <c r="D4" s="93" t="s">
        <v>282</v>
      </c>
      <c r="E4" s="1" t="s">
        <v>281</v>
      </c>
      <c r="G4" s="97">
        <v>0</v>
      </c>
      <c r="I4" s="1">
        <v>36.5</v>
      </c>
      <c r="J4" s="1">
        <v>1.9</v>
      </c>
      <c r="K4" s="1">
        <v>8.4</v>
      </c>
      <c r="L4" s="1">
        <v>1.8</v>
      </c>
      <c r="M4" s="1">
        <v>3.1</v>
      </c>
      <c r="N4" s="1">
        <v>0</v>
      </c>
      <c r="O4" s="1">
        <v>48.4</v>
      </c>
      <c r="P4" s="1">
        <f t="shared" si="0"/>
        <v>48.300000000000004</v>
      </c>
      <c r="Q4" s="1">
        <v>249</v>
      </c>
      <c r="R4" s="1">
        <f t="shared" si="1"/>
        <v>249.20000000000002</v>
      </c>
    </row>
    <row r="5" spans="1:18" x14ac:dyDescent="0.25">
      <c r="A5" s="1">
        <v>1112.02</v>
      </c>
      <c r="B5" s="1" t="s">
        <v>161</v>
      </c>
      <c r="C5" s="1" t="s">
        <v>280</v>
      </c>
      <c r="D5" s="93" t="s">
        <v>283</v>
      </c>
      <c r="E5" s="1" t="s">
        <v>284</v>
      </c>
      <c r="G5" s="97">
        <v>0</v>
      </c>
      <c r="I5" s="1">
        <v>34.299999999999997</v>
      </c>
      <c r="J5" s="1">
        <v>1.7</v>
      </c>
      <c r="K5" s="1">
        <v>9.1</v>
      </c>
      <c r="L5" s="1">
        <v>2.7</v>
      </c>
      <c r="M5" s="1">
        <v>2.7</v>
      </c>
      <c r="N5" s="1">
        <v>0</v>
      </c>
      <c r="O5" s="1">
        <v>49.6</v>
      </c>
      <c r="P5" s="1">
        <f t="shared" si="0"/>
        <v>49.499999999999993</v>
      </c>
      <c r="Q5" s="1">
        <v>264</v>
      </c>
      <c r="R5" s="1">
        <f t="shared" si="1"/>
        <v>264.09999999999997</v>
      </c>
    </row>
    <row r="6" spans="1:18" x14ac:dyDescent="0.25">
      <c r="A6" s="1">
        <v>1112.03</v>
      </c>
      <c r="B6" s="1" t="s">
        <v>162</v>
      </c>
      <c r="C6" s="1" t="s">
        <v>390</v>
      </c>
      <c r="D6" s="93" t="s">
        <v>283</v>
      </c>
      <c r="E6" s="1" t="s">
        <v>284</v>
      </c>
      <c r="G6" s="97">
        <v>0</v>
      </c>
      <c r="I6" s="1">
        <v>34.299999999999997</v>
      </c>
      <c r="J6" s="1">
        <v>1.7</v>
      </c>
      <c r="K6" s="1">
        <v>9.1</v>
      </c>
      <c r="L6" s="1">
        <v>2.7</v>
      </c>
      <c r="M6" s="1">
        <v>2.7</v>
      </c>
      <c r="N6" s="1">
        <v>0</v>
      </c>
      <c r="O6" s="1">
        <v>49.6</v>
      </c>
      <c r="P6" s="1">
        <f t="shared" si="0"/>
        <v>49.499999999999993</v>
      </c>
      <c r="Q6" s="1">
        <v>264</v>
      </c>
      <c r="R6" s="1">
        <f t="shared" si="1"/>
        <v>264.09999999999997</v>
      </c>
    </row>
    <row r="7" spans="1:18" x14ac:dyDescent="0.25">
      <c r="A7" s="1">
        <v>1112.04</v>
      </c>
      <c r="B7" s="1" t="s">
        <v>163</v>
      </c>
      <c r="C7" s="1" t="s">
        <v>390</v>
      </c>
      <c r="D7" s="93" t="s">
        <v>283</v>
      </c>
      <c r="E7" s="1" t="s">
        <v>284</v>
      </c>
      <c r="G7" s="97">
        <v>0</v>
      </c>
      <c r="I7" s="1">
        <v>34.299999999999997</v>
      </c>
      <c r="J7" s="1">
        <v>1.7</v>
      </c>
      <c r="K7" s="1">
        <v>9.1</v>
      </c>
      <c r="L7" s="1">
        <v>2.7</v>
      </c>
      <c r="M7" s="1">
        <v>2.7</v>
      </c>
      <c r="N7" s="1">
        <v>0</v>
      </c>
      <c r="O7" s="1">
        <v>49.6</v>
      </c>
      <c r="P7" s="1">
        <f t="shared" si="0"/>
        <v>49.499999999999993</v>
      </c>
      <c r="Q7" s="1">
        <v>264</v>
      </c>
      <c r="R7" s="1">
        <f t="shared" si="1"/>
        <v>264.09999999999997</v>
      </c>
    </row>
    <row r="8" spans="1:18" x14ac:dyDescent="0.25">
      <c r="A8" s="1">
        <v>1112.0899999999999</v>
      </c>
      <c r="B8" s="1" t="s">
        <v>164</v>
      </c>
      <c r="C8" s="1" t="s">
        <v>390</v>
      </c>
      <c r="D8" s="93" t="s">
        <v>283</v>
      </c>
      <c r="E8" s="1" t="s">
        <v>284</v>
      </c>
      <c r="G8" s="97">
        <v>0</v>
      </c>
      <c r="I8" s="1">
        <v>34.299999999999997</v>
      </c>
      <c r="J8" s="1">
        <v>1.7</v>
      </c>
      <c r="K8" s="1">
        <v>9.1</v>
      </c>
      <c r="L8" s="1">
        <v>2.7</v>
      </c>
      <c r="M8" s="1">
        <v>2.7</v>
      </c>
      <c r="N8" s="1">
        <v>0</v>
      </c>
      <c r="O8" s="1">
        <v>49.6</v>
      </c>
      <c r="P8" s="1">
        <f t="shared" si="0"/>
        <v>49.499999999999993</v>
      </c>
      <c r="Q8" s="1">
        <v>264</v>
      </c>
      <c r="R8" s="1">
        <f t="shared" si="1"/>
        <v>264.09999999999997</v>
      </c>
    </row>
    <row r="9" spans="1:18" x14ac:dyDescent="0.25">
      <c r="A9" s="1">
        <v>1113.01</v>
      </c>
      <c r="B9" s="1" t="s">
        <v>165</v>
      </c>
      <c r="C9" s="1" t="s">
        <v>280</v>
      </c>
      <c r="D9" s="93" t="s">
        <v>285</v>
      </c>
      <c r="E9" s="1" t="s">
        <v>286</v>
      </c>
      <c r="G9" s="97">
        <v>0</v>
      </c>
      <c r="I9" s="1">
        <v>60.6</v>
      </c>
      <c r="J9" s="1">
        <v>0.4</v>
      </c>
      <c r="K9" s="1">
        <v>5.4</v>
      </c>
      <c r="L9" s="1">
        <v>0.7</v>
      </c>
      <c r="M9" s="1">
        <v>1.6</v>
      </c>
      <c r="N9" s="1">
        <v>0</v>
      </c>
      <c r="O9" s="1">
        <v>31.299999999999997</v>
      </c>
      <c r="P9" s="1">
        <f t="shared" si="0"/>
        <v>31.299999999999997</v>
      </c>
      <c r="Q9" s="1">
        <v>156</v>
      </c>
      <c r="R9" s="1">
        <f t="shared" si="1"/>
        <v>156.29999999999998</v>
      </c>
    </row>
    <row r="10" spans="1:18" x14ac:dyDescent="0.25">
      <c r="A10" s="1">
        <v>1114.01</v>
      </c>
      <c r="B10" s="1" t="s">
        <v>166</v>
      </c>
      <c r="C10" s="1" t="s">
        <v>7</v>
      </c>
      <c r="D10" s="93" t="s">
        <v>453</v>
      </c>
      <c r="E10" s="1" t="s">
        <v>454</v>
      </c>
      <c r="G10" s="97">
        <v>0</v>
      </c>
      <c r="H10" s="13"/>
      <c r="I10" s="1">
        <v>25.3</v>
      </c>
      <c r="J10" s="1">
        <v>1</v>
      </c>
      <c r="K10" s="1">
        <v>2.9</v>
      </c>
      <c r="L10" s="1">
        <v>9.1</v>
      </c>
      <c r="M10" s="1">
        <v>2.4</v>
      </c>
      <c r="N10" s="1">
        <v>0</v>
      </c>
      <c r="O10" s="1">
        <v>59.3</v>
      </c>
      <c r="P10" s="1">
        <f t="shared" si="0"/>
        <v>59.3</v>
      </c>
      <c r="Q10" s="1">
        <v>437</v>
      </c>
      <c r="R10" s="1">
        <f t="shared" si="1"/>
        <v>335.5</v>
      </c>
    </row>
    <row r="11" spans="1:18" x14ac:dyDescent="0.25">
      <c r="A11" s="1">
        <v>1114.02</v>
      </c>
      <c r="B11" s="1" t="s">
        <v>167</v>
      </c>
      <c r="C11" s="1" t="s">
        <v>7</v>
      </c>
      <c r="D11" s="93" t="s">
        <v>455</v>
      </c>
      <c r="E11" s="1" t="s">
        <v>456</v>
      </c>
      <c r="G11" s="97">
        <v>0</v>
      </c>
      <c r="H11" s="13"/>
      <c r="I11" s="1">
        <v>7.96</v>
      </c>
      <c r="J11" s="1">
        <v>1.42</v>
      </c>
      <c r="K11" s="1">
        <v>3.41</v>
      </c>
      <c r="L11" s="1">
        <v>28.69</v>
      </c>
      <c r="M11" s="1">
        <v>1.4</v>
      </c>
      <c r="N11" s="1">
        <v>0</v>
      </c>
      <c r="O11" s="1">
        <v>57.120000000000012</v>
      </c>
      <c r="P11" s="1">
        <f t="shared" si="0"/>
        <v>57.120000000000012</v>
      </c>
      <c r="Q11" s="1">
        <v>481</v>
      </c>
      <c r="R11" s="1">
        <f t="shared" si="1"/>
        <v>503.13000000000011</v>
      </c>
    </row>
    <row r="12" spans="1:18" x14ac:dyDescent="0.25">
      <c r="A12" s="1">
        <v>1115.01</v>
      </c>
      <c r="B12" s="1" t="s">
        <v>168</v>
      </c>
      <c r="C12" s="1" t="s">
        <v>7</v>
      </c>
      <c r="D12" s="93" t="s">
        <v>457</v>
      </c>
      <c r="E12" s="1" t="s">
        <v>458</v>
      </c>
      <c r="G12" s="97">
        <v>0</v>
      </c>
      <c r="H12" s="13"/>
      <c r="I12" s="1">
        <v>89.93</v>
      </c>
      <c r="J12" s="1">
        <v>0.26</v>
      </c>
      <c r="K12" s="1">
        <v>0.77</v>
      </c>
      <c r="L12" s="1">
        <v>0.1</v>
      </c>
      <c r="M12" s="1">
        <v>1.1000000000000001</v>
      </c>
      <c r="N12" s="1">
        <v>0</v>
      </c>
      <c r="O12" s="1">
        <v>7.8399999999999945</v>
      </c>
      <c r="P12" s="1">
        <f t="shared" si="0"/>
        <v>7.8399999999999945</v>
      </c>
      <c r="Q12" s="1">
        <v>36</v>
      </c>
      <c r="R12" s="1">
        <f t="shared" si="1"/>
        <v>37.539999999999978</v>
      </c>
    </row>
    <row r="13" spans="1:18" x14ac:dyDescent="0.25">
      <c r="A13" s="1">
        <v>1115.02</v>
      </c>
      <c r="B13" s="1" t="s">
        <v>169</v>
      </c>
      <c r="C13" s="1" t="s">
        <v>390</v>
      </c>
      <c r="D13" s="93" t="s">
        <v>395</v>
      </c>
      <c r="E13" s="1" t="s">
        <v>396</v>
      </c>
      <c r="G13" s="97">
        <v>0</v>
      </c>
      <c r="I13" s="1">
        <v>2</v>
      </c>
      <c r="J13" s="1">
        <v>4.5999999999999996</v>
      </c>
      <c r="K13" s="1">
        <v>17.600000000000001</v>
      </c>
      <c r="L13" s="1">
        <v>19.7</v>
      </c>
      <c r="M13" s="1">
        <v>0</v>
      </c>
      <c r="N13" s="1">
        <v>0</v>
      </c>
      <c r="O13" s="1">
        <v>56.100000000000009</v>
      </c>
      <c r="P13" s="1">
        <f t="shared" si="0"/>
        <v>56.100000000000009</v>
      </c>
      <c r="Q13" s="1">
        <v>472</v>
      </c>
      <c r="R13" s="1">
        <f t="shared" si="1"/>
        <v>472.1</v>
      </c>
    </row>
    <row r="14" spans="1:18" x14ac:dyDescent="0.25">
      <c r="A14" s="1">
        <v>1115.03</v>
      </c>
      <c r="B14" s="1" t="s">
        <v>170</v>
      </c>
      <c r="C14" s="1" t="s">
        <v>390</v>
      </c>
      <c r="D14" s="93" t="s">
        <v>292</v>
      </c>
      <c r="E14" s="1" t="s">
        <v>392</v>
      </c>
      <c r="G14" s="97">
        <v>0</v>
      </c>
      <c r="I14" s="1">
        <v>50.4</v>
      </c>
      <c r="J14" s="1">
        <v>1.3</v>
      </c>
      <c r="K14" s="1">
        <v>7.6</v>
      </c>
      <c r="L14" s="1">
        <v>11.3</v>
      </c>
      <c r="M14" s="1">
        <v>1.2</v>
      </c>
      <c r="N14" s="1">
        <v>0</v>
      </c>
      <c r="O14" s="1">
        <v>28.200000000000003</v>
      </c>
      <c r="P14" s="1">
        <f t="shared" si="0"/>
        <v>28.200000000000003</v>
      </c>
      <c r="Q14" s="1">
        <v>247</v>
      </c>
      <c r="R14" s="1">
        <f t="shared" si="1"/>
        <v>247.3</v>
      </c>
    </row>
    <row r="15" spans="1:18" x14ac:dyDescent="0.25">
      <c r="A15" s="1">
        <v>1115.04</v>
      </c>
      <c r="B15" s="1" t="s">
        <v>171</v>
      </c>
      <c r="C15" s="1" t="s">
        <v>390</v>
      </c>
      <c r="D15" s="93" t="s">
        <v>393</v>
      </c>
      <c r="E15" s="1" t="s">
        <v>394</v>
      </c>
      <c r="G15" s="97">
        <v>0</v>
      </c>
      <c r="I15" s="1">
        <v>13.4</v>
      </c>
      <c r="J15" s="1">
        <v>1.1000000000000001</v>
      </c>
      <c r="K15" s="1">
        <v>8.5</v>
      </c>
      <c r="L15" s="1">
        <v>4</v>
      </c>
      <c r="M15" s="1">
        <v>1.5</v>
      </c>
      <c r="N15" s="1">
        <v>0</v>
      </c>
      <c r="O15" s="1">
        <v>63.3</v>
      </c>
      <c r="P15" s="1">
        <f t="shared" si="0"/>
        <v>71.5</v>
      </c>
      <c r="Q15" s="1">
        <v>343</v>
      </c>
      <c r="R15" s="1">
        <f t="shared" si="1"/>
        <v>359</v>
      </c>
    </row>
    <row r="16" spans="1:18" x14ac:dyDescent="0.25">
      <c r="A16" s="1">
        <v>1115.05</v>
      </c>
      <c r="B16" s="1" t="s">
        <v>172</v>
      </c>
      <c r="C16" s="1" t="s">
        <v>390</v>
      </c>
      <c r="D16" s="93" t="s">
        <v>478</v>
      </c>
      <c r="E16" s="1" t="s">
        <v>479</v>
      </c>
      <c r="G16" s="97">
        <v>0</v>
      </c>
      <c r="I16" s="1">
        <v>10.1</v>
      </c>
      <c r="J16" s="1">
        <v>1.5</v>
      </c>
      <c r="K16" s="1">
        <v>8.8000000000000007</v>
      </c>
      <c r="L16" s="1">
        <v>5.8</v>
      </c>
      <c r="M16" s="1">
        <v>9</v>
      </c>
      <c r="N16" s="1">
        <v>0</v>
      </c>
      <c r="O16" s="1">
        <v>64.800000000000011</v>
      </c>
      <c r="P16" s="1">
        <f t="shared" si="0"/>
        <v>64.800000000000011</v>
      </c>
      <c r="Q16" s="1">
        <v>364</v>
      </c>
      <c r="R16" s="1">
        <f t="shared" si="1"/>
        <v>364.6</v>
      </c>
    </row>
    <row r="17" spans="1:18" x14ac:dyDescent="0.25">
      <c r="A17" s="1">
        <v>1115.06</v>
      </c>
      <c r="B17" s="1" t="s">
        <v>173</v>
      </c>
      <c r="C17" s="1" t="s">
        <v>390</v>
      </c>
      <c r="D17" s="93" t="s">
        <v>480</v>
      </c>
      <c r="E17" s="1" t="s">
        <v>481</v>
      </c>
      <c r="G17" s="97">
        <v>0</v>
      </c>
      <c r="I17" s="1">
        <v>10.9</v>
      </c>
      <c r="J17" s="1">
        <v>2.4</v>
      </c>
      <c r="K17" s="1">
        <v>10.5</v>
      </c>
      <c r="L17" s="1">
        <v>3.3</v>
      </c>
      <c r="M17" s="1">
        <v>9.9</v>
      </c>
      <c r="N17" s="1">
        <v>0</v>
      </c>
      <c r="O17" s="1">
        <v>62.999999999999993</v>
      </c>
      <c r="P17" s="1">
        <f t="shared" si="0"/>
        <v>62.999999999999993</v>
      </c>
      <c r="Q17" s="1">
        <v>344</v>
      </c>
      <c r="R17" s="1">
        <f t="shared" si="1"/>
        <v>343.5</v>
      </c>
    </row>
    <row r="18" spans="1:18" x14ac:dyDescent="0.25">
      <c r="A18" s="1">
        <v>1115.07</v>
      </c>
      <c r="B18" s="1" t="s">
        <v>540</v>
      </c>
      <c r="C18" s="1" t="s">
        <v>390</v>
      </c>
      <c r="D18" s="93" t="s">
        <v>541</v>
      </c>
      <c r="E18" s="1" t="s">
        <v>540</v>
      </c>
      <c r="G18" s="97">
        <v>0</v>
      </c>
      <c r="I18" s="1">
        <v>12.7</v>
      </c>
      <c r="J18" s="1">
        <v>2.2000000000000002</v>
      </c>
      <c r="K18" s="1">
        <v>1.9</v>
      </c>
      <c r="L18" s="1">
        <v>0.5</v>
      </c>
      <c r="M18" s="1">
        <v>3.9</v>
      </c>
      <c r="N18" s="1">
        <v>0</v>
      </c>
      <c r="O18" s="1">
        <v>78.8</v>
      </c>
      <c r="P18" s="1">
        <f t="shared" si="0"/>
        <v>78.799999999999983</v>
      </c>
      <c r="Q18" s="1">
        <v>335</v>
      </c>
      <c r="R18" s="1">
        <f t="shared" si="1"/>
        <v>335.09999999999991</v>
      </c>
    </row>
    <row r="19" spans="1:18" x14ac:dyDescent="0.25">
      <c r="A19" s="1">
        <v>1119.01</v>
      </c>
      <c r="B19" s="1" t="s">
        <v>174</v>
      </c>
      <c r="C19" s="1" t="s">
        <v>7</v>
      </c>
      <c r="D19" s="93" t="s">
        <v>459</v>
      </c>
      <c r="E19" s="1" t="s">
        <v>460</v>
      </c>
      <c r="G19" s="97">
        <v>0.25</v>
      </c>
      <c r="H19" s="13"/>
      <c r="I19" s="1">
        <v>74.78</v>
      </c>
      <c r="J19" s="1">
        <v>1.1200000000000001</v>
      </c>
      <c r="K19" s="1">
        <v>21.81</v>
      </c>
      <c r="L19" s="1">
        <v>2.93</v>
      </c>
      <c r="M19" s="1">
        <v>0</v>
      </c>
      <c r="N19" s="1">
        <v>0</v>
      </c>
      <c r="O19" s="1">
        <v>-0.64000000000000101</v>
      </c>
      <c r="P19" s="1">
        <v>0</v>
      </c>
      <c r="Q19" s="1">
        <v>120</v>
      </c>
      <c r="R19" s="1">
        <f t="shared" si="1"/>
        <v>113.61</v>
      </c>
    </row>
    <row r="20" spans="1:18" s="96" customFormat="1" x14ac:dyDescent="0.25">
      <c r="A20" s="1">
        <v>1121.01</v>
      </c>
      <c r="B20" s="1" t="s">
        <v>175</v>
      </c>
      <c r="C20" s="1" t="s">
        <v>291</v>
      </c>
      <c r="D20" s="93" t="s">
        <v>710</v>
      </c>
      <c r="E20" s="1" t="s">
        <v>711</v>
      </c>
      <c r="F20" s="1"/>
      <c r="G20" s="97">
        <v>0</v>
      </c>
      <c r="H20" s="1"/>
      <c r="I20" s="1">
        <v>64.3</v>
      </c>
      <c r="J20" s="1">
        <v>1</v>
      </c>
      <c r="K20" s="1">
        <v>18.399999999999999</v>
      </c>
      <c r="L20" s="1">
        <v>18</v>
      </c>
      <c r="M20" s="1">
        <v>0</v>
      </c>
      <c r="N20" s="1">
        <v>0</v>
      </c>
      <c r="O20" s="1">
        <v>29</v>
      </c>
      <c r="P20" s="1">
        <v>0</v>
      </c>
      <c r="Q20" s="1"/>
      <c r="R20" s="1">
        <f t="shared" si="1"/>
        <v>235.6</v>
      </c>
    </row>
    <row r="21" spans="1:18" x14ac:dyDescent="0.25">
      <c r="A21" s="1">
        <v>1122.01</v>
      </c>
      <c r="B21" s="1" t="s">
        <v>119</v>
      </c>
      <c r="C21" s="1" t="s">
        <v>291</v>
      </c>
      <c r="D21" s="93" t="s">
        <v>295</v>
      </c>
      <c r="E21" s="1" t="s">
        <v>296</v>
      </c>
      <c r="G21" s="97">
        <v>0</v>
      </c>
      <c r="I21" s="1">
        <v>46.6</v>
      </c>
      <c r="J21" s="1">
        <v>1.2</v>
      </c>
      <c r="K21" s="1">
        <v>12.3</v>
      </c>
      <c r="L21" s="1">
        <v>38.799999999999997</v>
      </c>
      <c r="M21" s="1">
        <v>0</v>
      </c>
      <c r="N21" s="1">
        <v>0</v>
      </c>
      <c r="O21" s="1">
        <v>1.0999999999999943</v>
      </c>
      <c r="P21" s="1">
        <f t="shared" si="0"/>
        <v>1.0999999999999943</v>
      </c>
      <c r="Q21" s="1">
        <v>398</v>
      </c>
      <c r="R21" s="1">
        <f t="shared" si="1"/>
        <v>402.79999999999995</v>
      </c>
    </row>
    <row r="22" spans="1:18" x14ac:dyDescent="0.25">
      <c r="A22" s="1">
        <v>1123.01</v>
      </c>
      <c r="B22" s="1" t="s">
        <v>176</v>
      </c>
      <c r="C22" s="1" t="s">
        <v>291</v>
      </c>
      <c r="D22" s="93" t="s">
        <v>297</v>
      </c>
      <c r="E22" s="1" t="s">
        <v>298</v>
      </c>
      <c r="G22" s="97">
        <v>0.26</v>
      </c>
      <c r="I22" s="1">
        <v>68</v>
      </c>
      <c r="J22" s="1">
        <v>1.1000000000000001</v>
      </c>
      <c r="K22" s="1">
        <v>17.5</v>
      </c>
      <c r="L22" s="1">
        <v>10.6</v>
      </c>
      <c r="M22" s="1">
        <v>0</v>
      </c>
      <c r="N22" s="1">
        <v>0</v>
      </c>
      <c r="O22" s="1">
        <v>0</v>
      </c>
      <c r="P22" s="1">
        <f t="shared" si="0"/>
        <v>2.7999999999999989</v>
      </c>
      <c r="Q22" s="1">
        <v>165</v>
      </c>
      <c r="R22" s="1">
        <f t="shared" si="1"/>
        <v>176.59999999999997</v>
      </c>
    </row>
    <row r="23" spans="1:18" x14ac:dyDescent="0.25">
      <c r="A23" s="1">
        <v>1123.02</v>
      </c>
      <c r="B23" s="1" t="s">
        <v>177</v>
      </c>
      <c r="C23" s="1" t="s">
        <v>390</v>
      </c>
      <c r="D23" s="93" t="s">
        <v>397</v>
      </c>
      <c r="E23" s="1" t="s">
        <v>398</v>
      </c>
      <c r="G23" s="97">
        <v>0.25</v>
      </c>
      <c r="I23" s="1">
        <v>47.5</v>
      </c>
      <c r="J23" s="1">
        <v>1.5</v>
      </c>
      <c r="K23" s="1">
        <v>24.6</v>
      </c>
      <c r="L23" s="1">
        <v>25.2</v>
      </c>
      <c r="M23" s="1">
        <v>0</v>
      </c>
      <c r="N23" s="1">
        <v>0</v>
      </c>
      <c r="O23" s="1">
        <v>1.1999999999999993</v>
      </c>
      <c r="P23" s="1">
        <f t="shared" si="0"/>
        <v>1.1999999999999993</v>
      </c>
      <c r="Q23" s="1">
        <v>325</v>
      </c>
      <c r="R23" s="1">
        <f t="shared" si="1"/>
        <v>330</v>
      </c>
    </row>
    <row r="24" spans="1:18" x14ac:dyDescent="0.25">
      <c r="A24" s="1">
        <v>1124.01</v>
      </c>
      <c r="B24" s="1" t="s">
        <v>178</v>
      </c>
      <c r="C24" s="1" t="s">
        <v>390</v>
      </c>
      <c r="D24" s="93" t="s">
        <v>399</v>
      </c>
      <c r="E24" s="1" t="s">
        <v>400</v>
      </c>
      <c r="G24" s="97">
        <v>0</v>
      </c>
      <c r="I24" s="1">
        <v>72.900000000000006</v>
      </c>
      <c r="J24" s="1">
        <v>1</v>
      </c>
      <c r="K24" s="1">
        <v>20.399999999999999</v>
      </c>
      <c r="L24" s="1">
        <v>5.9</v>
      </c>
      <c r="M24" s="1">
        <v>0</v>
      </c>
      <c r="N24" s="1">
        <v>0</v>
      </c>
      <c r="O24" s="1">
        <v>-0.20000000000000462</v>
      </c>
      <c r="P24" s="1">
        <v>0</v>
      </c>
      <c r="Q24" s="1">
        <v>134</v>
      </c>
      <c r="R24" s="1">
        <f t="shared" si="1"/>
        <v>134.69999999999999</v>
      </c>
    </row>
    <row r="25" spans="1:18" x14ac:dyDescent="0.25">
      <c r="A25" s="1">
        <v>1124.02</v>
      </c>
      <c r="B25" s="1" t="s">
        <v>554</v>
      </c>
      <c r="C25" s="1" t="s">
        <v>7</v>
      </c>
      <c r="D25" s="93" t="s">
        <v>555</v>
      </c>
      <c r="E25" s="1" t="s">
        <v>556</v>
      </c>
      <c r="G25" s="97">
        <v>0</v>
      </c>
      <c r="H25" s="13"/>
      <c r="I25" s="1">
        <v>62.07</v>
      </c>
      <c r="J25" s="1">
        <v>1.26</v>
      </c>
      <c r="K25" s="1">
        <v>27.37</v>
      </c>
      <c r="L25" s="1">
        <v>10.4</v>
      </c>
      <c r="M25" s="1">
        <v>0</v>
      </c>
      <c r="N25" s="1">
        <v>0</v>
      </c>
      <c r="O25" s="1">
        <v>0</v>
      </c>
      <c r="P25" s="1">
        <v>0</v>
      </c>
      <c r="Q25" s="1">
        <v>203</v>
      </c>
      <c r="R25" s="1">
        <f t="shared" si="1"/>
        <v>203.08</v>
      </c>
    </row>
    <row r="26" spans="1:18" x14ac:dyDescent="0.25">
      <c r="A26" s="1">
        <v>1125.01</v>
      </c>
      <c r="B26" s="1" t="s">
        <v>179</v>
      </c>
      <c r="C26" s="1" t="s">
        <v>305</v>
      </c>
      <c r="D26" s="93" t="s">
        <v>295</v>
      </c>
      <c r="E26" s="1" t="s">
        <v>296</v>
      </c>
      <c r="G26" s="97">
        <v>0</v>
      </c>
      <c r="I26" s="1">
        <v>46.6</v>
      </c>
      <c r="J26" s="1">
        <v>1.2</v>
      </c>
      <c r="K26" s="1">
        <v>12.3</v>
      </c>
      <c r="L26" s="1">
        <v>38.799999999999997</v>
      </c>
      <c r="M26" s="1">
        <v>0</v>
      </c>
      <c r="N26" s="1">
        <v>0</v>
      </c>
      <c r="O26" s="1">
        <v>1.0999999999999943</v>
      </c>
      <c r="P26" s="1">
        <f t="shared" si="0"/>
        <v>1.0999999999999943</v>
      </c>
      <c r="Q26" s="1">
        <v>398</v>
      </c>
      <c r="R26" s="1">
        <f t="shared" si="1"/>
        <v>402.79999999999995</v>
      </c>
    </row>
    <row r="27" spans="1:18" x14ac:dyDescent="0.25">
      <c r="A27" s="1">
        <v>1125.02</v>
      </c>
      <c r="B27" s="1" t="s">
        <v>557</v>
      </c>
      <c r="C27" s="1" t="s">
        <v>7</v>
      </c>
      <c r="D27" s="93" t="s">
        <v>461</v>
      </c>
      <c r="E27" s="1" t="s">
        <v>462</v>
      </c>
      <c r="G27" s="97">
        <v>0</v>
      </c>
      <c r="H27" s="13"/>
      <c r="I27" s="1">
        <v>65.3</v>
      </c>
      <c r="J27" s="1">
        <v>3.7</v>
      </c>
      <c r="K27" s="1">
        <v>16.5</v>
      </c>
      <c r="L27" s="1">
        <v>10.3</v>
      </c>
      <c r="M27" s="1">
        <v>0</v>
      </c>
      <c r="N27" s="1">
        <v>0</v>
      </c>
      <c r="O27" s="1">
        <v>4.2</v>
      </c>
      <c r="P27" s="1">
        <f t="shared" si="0"/>
        <v>4.2000000000000028</v>
      </c>
      <c r="Q27" s="1">
        <v>180</v>
      </c>
      <c r="R27" s="1">
        <f t="shared" si="1"/>
        <v>175.5</v>
      </c>
    </row>
    <row r="28" spans="1:18" x14ac:dyDescent="0.25">
      <c r="A28" s="1">
        <v>1125.03</v>
      </c>
      <c r="B28" s="1" t="s">
        <v>180</v>
      </c>
      <c r="C28" s="1" t="s">
        <v>390</v>
      </c>
      <c r="D28" s="93" t="s">
        <v>403</v>
      </c>
      <c r="E28" s="1" t="s">
        <v>404</v>
      </c>
      <c r="G28" s="97">
        <v>0</v>
      </c>
      <c r="I28" s="1">
        <v>73.2</v>
      </c>
      <c r="J28" s="1">
        <v>1</v>
      </c>
      <c r="K28" s="1">
        <v>21.7</v>
      </c>
      <c r="L28" s="1">
        <v>4.3</v>
      </c>
      <c r="M28" s="1">
        <v>0</v>
      </c>
      <c r="N28" s="1">
        <v>0</v>
      </c>
      <c r="O28" s="1">
        <v>0</v>
      </c>
      <c r="P28" s="1">
        <v>0</v>
      </c>
      <c r="Q28" s="1">
        <v>126</v>
      </c>
      <c r="R28" s="1">
        <f t="shared" si="1"/>
        <v>125.5</v>
      </c>
    </row>
    <row r="29" spans="1:18" x14ac:dyDescent="0.25">
      <c r="A29" s="1">
        <v>1125.04</v>
      </c>
      <c r="B29" s="1" t="s">
        <v>181</v>
      </c>
      <c r="C29" s="1" t="s">
        <v>390</v>
      </c>
      <c r="D29" s="93" t="s">
        <v>401</v>
      </c>
      <c r="E29" s="1" t="s">
        <v>402</v>
      </c>
      <c r="G29" s="97">
        <v>0</v>
      </c>
      <c r="I29" s="1">
        <v>64.900000000000006</v>
      </c>
      <c r="J29" s="1">
        <v>2.6</v>
      </c>
      <c r="K29" s="1">
        <v>10.5</v>
      </c>
      <c r="L29" s="1">
        <v>19.399999999999999</v>
      </c>
      <c r="M29" s="1">
        <v>0</v>
      </c>
      <c r="N29" s="1">
        <v>0</v>
      </c>
      <c r="O29" s="1">
        <v>2.5999999999999943</v>
      </c>
      <c r="P29" s="1">
        <f t="shared" si="0"/>
        <v>2.5999999999999943</v>
      </c>
      <c r="Q29" s="1">
        <v>227</v>
      </c>
      <c r="R29" s="1">
        <f t="shared" si="1"/>
        <v>226.99999999999997</v>
      </c>
    </row>
    <row r="30" spans="1:18" x14ac:dyDescent="0.25">
      <c r="A30" s="1">
        <v>1125.05</v>
      </c>
      <c r="B30" s="1" t="s">
        <v>182</v>
      </c>
      <c r="C30" s="1" t="s">
        <v>7</v>
      </c>
      <c r="D30" s="93" t="s">
        <v>461</v>
      </c>
      <c r="E30" s="1" t="s">
        <v>462</v>
      </c>
      <c r="G30" s="97">
        <v>0</v>
      </c>
      <c r="H30" s="13"/>
      <c r="I30" s="1">
        <v>61.05</v>
      </c>
      <c r="J30" s="1">
        <v>0.9</v>
      </c>
      <c r="K30" s="1">
        <v>19.329999999999998</v>
      </c>
      <c r="L30" s="1">
        <v>19.059999999999999</v>
      </c>
      <c r="M30" s="1">
        <v>0</v>
      </c>
      <c r="N30" s="1">
        <v>0</v>
      </c>
      <c r="O30" s="1">
        <v>-0.33999999999999275</v>
      </c>
      <c r="P30" s="1">
        <v>0</v>
      </c>
      <c r="Q30" s="1">
        <v>254</v>
      </c>
      <c r="R30" s="1">
        <f t="shared" si="1"/>
        <v>248.85999999999999</v>
      </c>
    </row>
    <row r="31" spans="1:18" x14ac:dyDescent="0.25">
      <c r="A31" s="1">
        <v>1125.06</v>
      </c>
      <c r="B31" s="1" t="s">
        <v>183</v>
      </c>
      <c r="C31" s="1" t="s">
        <v>390</v>
      </c>
      <c r="D31" s="93" t="s">
        <v>401</v>
      </c>
      <c r="E31" s="1" t="s">
        <v>402</v>
      </c>
      <c r="G31" s="97">
        <v>0</v>
      </c>
      <c r="I31" s="1">
        <v>64.900000000000006</v>
      </c>
      <c r="J31" s="1">
        <v>2.6</v>
      </c>
      <c r="K31" s="1">
        <v>10.5</v>
      </c>
      <c r="L31" s="1">
        <v>19.399999999999999</v>
      </c>
      <c r="M31" s="1">
        <v>0</v>
      </c>
      <c r="N31" s="1">
        <v>0</v>
      </c>
      <c r="O31" s="1">
        <v>2.5999999999999943</v>
      </c>
      <c r="P31" s="1">
        <f t="shared" si="0"/>
        <v>2.5999999999999943</v>
      </c>
      <c r="Q31" s="1">
        <v>227</v>
      </c>
      <c r="R31" s="1">
        <f t="shared" si="1"/>
        <v>226.99999999999997</v>
      </c>
    </row>
    <row r="32" spans="1:18" x14ac:dyDescent="0.25">
      <c r="A32" s="1">
        <v>1125.07</v>
      </c>
      <c r="B32" s="1" t="s">
        <v>184</v>
      </c>
      <c r="C32" s="1" t="s">
        <v>452</v>
      </c>
      <c r="D32" s="93" t="s">
        <v>318</v>
      </c>
      <c r="E32" s="1" t="s">
        <v>319</v>
      </c>
      <c r="G32" s="97">
        <v>0</v>
      </c>
      <c r="I32" s="1">
        <v>84.2</v>
      </c>
      <c r="J32" s="1">
        <v>0.6</v>
      </c>
      <c r="K32" s="1">
        <v>12.1</v>
      </c>
      <c r="L32" s="1">
        <v>3.7</v>
      </c>
      <c r="M32" s="1">
        <v>0</v>
      </c>
      <c r="N32" s="1">
        <v>0</v>
      </c>
      <c r="O32" s="1">
        <v>0</v>
      </c>
      <c r="P32" s="1">
        <v>0</v>
      </c>
      <c r="Q32" s="1">
        <v>81</v>
      </c>
      <c r="R32" s="1">
        <f t="shared" si="1"/>
        <v>81.7</v>
      </c>
    </row>
    <row r="33" spans="1:18" x14ac:dyDescent="0.25">
      <c r="A33" s="1">
        <v>1125.08</v>
      </c>
      <c r="B33" s="1" t="s">
        <v>185</v>
      </c>
      <c r="C33" s="1" t="s">
        <v>291</v>
      </c>
      <c r="D33" s="93" t="s">
        <v>289</v>
      </c>
      <c r="E33" s="1" t="s">
        <v>290</v>
      </c>
      <c r="G33" s="97">
        <v>0</v>
      </c>
      <c r="I33" s="1">
        <v>71</v>
      </c>
      <c r="J33" s="1">
        <v>1.3</v>
      </c>
      <c r="K33" s="1">
        <v>19.399999999999999</v>
      </c>
      <c r="L33" s="1">
        <v>4.4000000000000004</v>
      </c>
      <c r="M33" s="1">
        <v>0</v>
      </c>
      <c r="N33" s="1">
        <v>0</v>
      </c>
      <c r="O33" s="1">
        <v>3.9000000000000004</v>
      </c>
      <c r="P33" s="1">
        <f t="shared" si="0"/>
        <v>3.9000000000000004</v>
      </c>
      <c r="Q33" s="1">
        <v>132</v>
      </c>
      <c r="R33" s="1">
        <f t="shared" si="1"/>
        <v>132.79999999999998</v>
      </c>
    </row>
    <row r="34" spans="1:18" x14ac:dyDescent="0.25">
      <c r="A34" s="1">
        <v>1126.01</v>
      </c>
      <c r="B34" s="1" t="s">
        <v>186</v>
      </c>
      <c r="C34" s="1" t="s">
        <v>291</v>
      </c>
      <c r="D34" s="93" t="s">
        <v>299</v>
      </c>
      <c r="E34" s="1" t="s">
        <v>300</v>
      </c>
      <c r="G34" s="97">
        <v>0</v>
      </c>
      <c r="I34" s="1">
        <v>69.5</v>
      </c>
      <c r="J34" s="1">
        <v>1</v>
      </c>
      <c r="K34" s="1">
        <v>20.100000000000001</v>
      </c>
      <c r="L34" s="1">
        <v>10</v>
      </c>
      <c r="M34" s="1">
        <v>0</v>
      </c>
      <c r="N34" s="1">
        <v>0</v>
      </c>
      <c r="O34" s="1">
        <v>0</v>
      </c>
      <c r="P34" s="1">
        <v>0</v>
      </c>
      <c r="Q34" s="1">
        <v>170</v>
      </c>
      <c r="R34" s="1">
        <f t="shared" si="1"/>
        <v>170.4</v>
      </c>
    </row>
    <row r="35" spans="1:18" x14ac:dyDescent="0.25">
      <c r="A35" s="1">
        <v>1126.02</v>
      </c>
      <c r="B35" s="1" t="s">
        <v>187</v>
      </c>
      <c r="C35" s="1" t="s">
        <v>291</v>
      </c>
      <c r="D35" s="93" t="s">
        <v>301</v>
      </c>
      <c r="E35" s="1" t="s">
        <v>302</v>
      </c>
      <c r="G35" s="97">
        <v>0</v>
      </c>
      <c r="I35" s="1">
        <v>57.7</v>
      </c>
      <c r="J35" s="1">
        <v>2.9</v>
      </c>
      <c r="K35" s="1">
        <v>27.1</v>
      </c>
      <c r="L35" s="1">
        <v>14.9</v>
      </c>
      <c r="M35" s="1">
        <v>0</v>
      </c>
      <c r="N35" s="1">
        <v>0</v>
      </c>
      <c r="O35" s="1">
        <v>-2.6000000000000032</v>
      </c>
      <c r="P35" s="1">
        <v>0</v>
      </c>
      <c r="Q35" s="1">
        <v>243</v>
      </c>
      <c r="R35" s="1">
        <f t="shared" si="1"/>
        <v>242.5</v>
      </c>
    </row>
    <row r="36" spans="1:18" x14ac:dyDescent="0.25">
      <c r="A36" s="1">
        <v>1127.01</v>
      </c>
      <c r="B36" s="1" t="s">
        <v>188</v>
      </c>
      <c r="C36" s="1" t="s">
        <v>7</v>
      </c>
      <c r="D36" s="93">
        <v>17164</v>
      </c>
      <c r="E36" s="1" t="s">
        <v>309</v>
      </c>
      <c r="G36" s="97">
        <v>0</v>
      </c>
      <c r="H36" s="13"/>
      <c r="I36" s="1">
        <v>73.569999999999993</v>
      </c>
      <c r="J36" s="1">
        <v>1.1599999999999999</v>
      </c>
      <c r="K36" s="1">
        <v>22.96</v>
      </c>
      <c r="L36" s="1">
        <v>2.42</v>
      </c>
      <c r="M36" s="1">
        <v>0</v>
      </c>
      <c r="N36" s="1">
        <v>0</v>
      </c>
      <c r="O36" s="1">
        <v>-0.1099999999999941</v>
      </c>
      <c r="P36" s="1">
        <v>0</v>
      </c>
      <c r="Q36" s="1">
        <v>120</v>
      </c>
      <c r="R36" s="1">
        <f t="shared" si="1"/>
        <v>113.62</v>
      </c>
    </row>
    <row r="37" spans="1:18" x14ac:dyDescent="0.25">
      <c r="A37" s="95">
        <v>1127.02</v>
      </c>
      <c r="B37" s="95" t="s">
        <v>558</v>
      </c>
      <c r="C37" s="1" t="s">
        <v>291</v>
      </c>
      <c r="D37" s="93" t="s">
        <v>295</v>
      </c>
      <c r="E37" s="1" t="s">
        <v>296</v>
      </c>
      <c r="G37" s="97">
        <v>0</v>
      </c>
      <c r="I37" s="1">
        <v>46.6</v>
      </c>
      <c r="J37" s="1">
        <v>1.2</v>
      </c>
      <c r="K37" s="1">
        <v>12.3</v>
      </c>
      <c r="L37" s="1">
        <v>38.799999999999997</v>
      </c>
      <c r="M37" s="1">
        <v>0</v>
      </c>
      <c r="N37" s="1">
        <v>0</v>
      </c>
      <c r="O37" s="1">
        <v>1.0999999999999943</v>
      </c>
      <c r="P37" s="1">
        <f t="shared" si="0"/>
        <v>1.0999999999999943</v>
      </c>
      <c r="Q37" s="1">
        <v>398</v>
      </c>
      <c r="R37" s="1">
        <f t="shared" si="1"/>
        <v>402.79999999999995</v>
      </c>
    </row>
    <row r="38" spans="1:18" x14ac:dyDescent="0.25">
      <c r="A38" s="1">
        <v>1127.03</v>
      </c>
      <c r="B38" s="1" t="s">
        <v>189</v>
      </c>
      <c r="C38" s="1" t="s">
        <v>7</v>
      </c>
      <c r="D38" s="93">
        <v>17170</v>
      </c>
      <c r="E38" s="1" t="s">
        <v>308</v>
      </c>
      <c r="G38" s="97">
        <v>0</v>
      </c>
      <c r="H38" s="13"/>
      <c r="I38" s="1">
        <v>72.63</v>
      </c>
      <c r="J38" s="1">
        <v>0.99</v>
      </c>
      <c r="K38" s="1">
        <v>21.39</v>
      </c>
      <c r="L38" s="1">
        <v>4.5999999999999996</v>
      </c>
      <c r="M38" s="1">
        <v>0</v>
      </c>
      <c r="N38" s="1">
        <v>0</v>
      </c>
      <c r="O38" s="1">
        <v>0.3900000000000059</v>
      </c>
      <c r="P38" s="1">
        <f t="shared" si="0"/>
        <v>0.3900000000000059</v>
      </c>
      <c r="Q38" s="1">
        <v>133</v>
      </c>
      <c r="R38" s="1">
        <f t="shared" si="1"/>
        <v>128.52000000000004</v>
      </c>
    </row>
    <row r="39" spans="1:18" x14ac:dyDescent="0.25">
      <c r="A39" s="1">
        <v>1127.04</v>
      </c>
      <c r="B39" s="1" t="s">
        <v>559</v>
      </c>
      <c r="C39" s="1" t="s">
        <v>7</v>
      </c>
      <c r="D39" s="93" t="s">
        <v>567</v>
      </c>
      <c r="E39" s="1" t="s">
        <v>568</v>
      </c>
      <c r="G39" s="97">
        <v>0</v>
      </c>
      <c r="H39" s="13"/>
      <c r="I39" s="1">
        <v>81.900000000000006</v>
      </c>
      <c r="J39" s="1">
        <v>1.4</v>
      </c>
      <c r="K39" s="1">
        <v>16.399999999999999</v>
      </c>
      <c r="L39" s="1">
        <v>0.3</v>
      </c>
      <c r="M39" s="1">
        <v>0</v>
      </c>
      <c r="N39" s="1">
        <v>0</v>
      </c>
      <c r="O39" s="1">
        <v>-2.8310687127941492E-15</v>
      </c>
      <c r="P39" s="1">
        <v>0</v>
      </c>
      <c r="Q39" s="1">
        <v>81.900000000000006</v>
      </c>
      <c r="R39" s="1">
        <f t="shared" si="1"/>
        <v>68.3</v>
      </c>
    </row>
    <row r="40" spans="1:18" x14ac:dyDescent="0.25">
      <c r="A40" s="1">
        <v>1128.01</v>
      </c>
      <c r="B40" s="1" t="s">
        <v>190</v>
      </c>
      <c r="C40" s="1" t="s">
        <v>570</v>
      </c>
      <c r="D40" s="91" t="s">
        <v>571</v>
      </c>
      <c r="E40" t="s">
        <v>572</v>
      </c>
      <c r="G40" s="97">
        <v>0</v>
      </c>
      <c r="I40" s="38">
        <v>77.3</v>
      </c>
      <c r="J40" s="38">
        <v>1.7</v>
      </c>
      <c r="K40" s="38">
        <v>14.1</v>
      </c>
      <c r="L40" s="38">
        <v>3.6</v>
      </c>
      <c r="M40" s="38">
        <v>2.6</v>
      </c>
      <c r="N40" s="1">
        <v>0</v>
      </c>
      <c r="O40" s="38">
        <v>0.3900000000000059</v>
      </c>
      <c r="P40" s="1">
        <f t="shared" si="0"/>
        <v>0.70000000000000373</v>
      </c>
      <c r="Q40" s="38">
        <v>97</v>
      </c>
      <c r="R40" s="1">
        <f t="shared" si="1"/>
        <v>96.800000000000011</v>
      </c>
    </row>
    <row r="41" spans="1:18" x14ac:dyDescent="0.25">
      <c r="A41" s="1">
        <v>1129.99</v>
      </c>
      <c r="B41" s="1" t="s">
        <v>191</v>
      </c>
      <c r="C41" s="1" t="s">
        <v>390</v>
      </c>
      <c r="D41" s="93" t="s">
        <v>405</v>
      </c>
      <c r="E41" s="1" t="s">
        <v>406</v>
      </c>
      <c r="G41" s="97">
        <v>0</v>
      </c>
      <c r="I41" s="1">
        <v>23.4</v>
      </c>
      <c r="J41" s="1">
        <v>3.4</v>
      </c>
      <c r="K41" s="1">
        <v>66.7</v>
      </c>
      <c r="L41" s="1">
        <v>7</v>
      </c>
      <c r="M41" s="1">
        <v>0</v>
      </c>
      <c r="N41" s="1">
        <v>0</v>
      </c>
      <c r="O41" s="1">
        <v>0</v>
      </c>
      <c r="P41" s="1">
        <v>0</v>
      </c>
      <c r="Q41" s="1">
        <v>330</v>
      </c>
      <c r="R41" s="1">
        <f t="shared" si="1"/>
        <v>329.8</v>
      </c>
    </row>
    <row r="42" spans="1:18" x14ac:dyDescent="0.25">
      <c r="A42" s="1">
        <v>1131.01</v>
      </c>
      <c r="B42" s="1" t="s">
        <v>192</v>
      </c>
      <c r="C42" s="1" t="s">
        <v>305</v>
      </c>
      <c r="D42" s="93" t="s">
        <v>312</v>
      </c>
      <c r="E42" s="1" t="s">
        <v>311</v>
      </c>
      <c r="G42" s="97">
        <v>0.45</v>
      </c>
      <c r="I42" s="1">
        <v>76.5</v>
      </c>
      <c r="J42" s="1">
        <v>1.7</v>
      </c>
      <c r="K42" s="1">
        <v>18.8</v>
      </c>
      <c r="L42" s="1">
        <v>2.7</v>
      </c>
      <c r="M42" s="1">
        <v>0</v>
      </c>
      <c r="N42" s="1">
        <v>0</v>
      </c>
      <c r="O42" s="1">
        <v>0</v>
      </c>
      <c r="P42" s="1">
        <f t="shared" si="0"/>
        <v>0.29999999999999982</v>
      </c>
      <c r="Q42" s="1">
        <v>99</v>
      </c>
      <c r="R42" s="1">
        <f t="shared" si="1"/>
        <v>100.7</v>
      </c>
    </row>
    <row r="43" spans="1:18" x14ac:dyDescent="0.25">
      <c r="A43" s="1">
        <v>1131.02</v>
      </c>
      <c r="B43" s="1" t="s">
        <v>193</v>
      </c>
      <c r="C43" s="1" t="s">
        <v>305</v>
      </c>
      <c r="D43" s="93" t="s">
        <v>313</v>
      </c>
      <c r="E43" s="1" t="s">
        <v>314</v>
      </c>
      <c r="G43" s="97">
        <v>0.28999999999999998</v>
      </c>
      <c r="I43" s="1">
        <v>72.5</v>
      </c>
      <c r="J43" s="1">
        <v>1.4</v>
      </c>
      <c r="K43" s="1">
        <v>19.7</v>
      </c>
      <c r="L43" s="1">
        <v>5</v>
      </c>
      <c r="M43" s="1">
        <v>0</v>
      </c>
      <c r="N43" s="1">
        <v>0</v>
      </c>
      <c r="O43" s="1">
        <v>0</v>
      </c>
      <c r="P43" s="1">
        <f t="shared" si="0"/>
        <v>1.4000000000000021</v>
      </c>
      <c r="Q43" s="1">
        <v>124</v>
      </c>
      <c r="R43" s="1">
        <f t="shared" si="1"/>
        <v>129.4</v>
      </c>
    </row>
    <row r="44" spans="1:18" x14ac:dyDescent="0.25">
      <c r="A44" s="1">
        <v>1132.01</v>
      </c>
      <c r="B44" s="1" t="s">
        <v>560</v>
      </c>
      <c r="C44" s="1" t="s">
        <v>7</v>
      </c>
      <c r="D44" s="93" t="s">
        <v>561</v>
      </c>
      <c r="E44" s="1" t="s">
        <v>562</v>
      </c>
      <c r="G44" s="97">
        <v>0</v>
      </c>
      <c r="H44" s="13"/>
      <c r="I44" s="1">
        <v>82.24</v>
      </c>
      <c r="J44" s="1">
        <v>1.34</v>
      </c>
      <c r="K44" s="1">
        <v>15.97</v>
      </c>
      <c r="L44" s="1">
        <v>0.95</v>
      </c>
      <c r="M44" s="1">
        <v>0</v>
      </c>
      <c r="N44" s="1">
        <v>0</v>
      </c>
      <c r="O44" s="1"/>
      <c r="P44" s="1">
        <v>0</v>
      </c>
      <c r="Q44" s="1">
        <v>77</v>
      </c>
      <c r="R44" s="1">
        <f t="shared" si="1"/>
        <v>72.430000000000007</v>
      </c>
    </row>
    <row r="45" spans="1:18" x14ac:dyDescent="0.25">
      <c r="A45" s="1">
        <v>1132.02</v>
      </c>
      <c r="B45" s="1" t="s">
        <v>563</v>
      </c>
      <c r="C45" s="1" t="s">
        <v>7</v>
      </c>
      <c r="D45" s="93" t="s">
        <v>564</v>
      </c>
      <c r="E45" s="1" t="s">
        <v>565</v>
      </c>
      <c r="G45" s="97">
        <v>0</v>
      </c>
      <c r="H45" s="13"/>
      <c r="I45" s="1">
        <v>75.099999999999994</v>
      </c>
      <c r="J45" s="1">
        <v>2.56</v>
      </c>
      <c r="K45" s="1">
        <v>23.72</v>
      </c>
      <c r="L45" s="1">
        <v>1.51</v>
      </c>
      <c r="M45" s="1">
        <v>0</v>
      </c>
      <c r="N45" s="1">
        <v>0</v>
      </c>
      <c r="O45" s="1"/>
      <c r="P45" s="1">
        <v>0</v>
      </c>
      <c r="Q45" s="1">
        <v>115</v>
      </c>
      <c r="R45" s="1">
        <f t="shared" si="1"/>
        <v>108.47</v>
      </c>
    </row>
    <row r="46" spans="1:18" x14ac:dyDescent="0.25">
      <c r="A46" s="1">
        <v>1132.03</v>
      </c>
      <c r="B46" s="1" t="s">
        <v>566</v>
      </c>
      <c r="C46" s="1" t="s">
        <v>7</v>
      </c>
      <c r="D46" s="93" t="s">
        <v>567</v>
      </c>
      <c r="E46" s="1" t="s">
        <v>568</v>
      </c>
      <c r="G46" s="97">
        <v>0</v>
      </c>
      <c r="H46" s="13"/>
      <c r="I46" s="1">
        <v>81.900000000000006</v>
      </c>
      <c r="J46" s="1">
        <v>1.4</v>
      </c>
      <c r="K46" s="1">
        <v>16.399999999999999</v>
      </c>
      <c r="L46" s="1">
        <v>0.3</v>
      </c>
      <c r="M46" s="1">
        <v>0</v>
      </c>
      <c r="N46" s="1">
        <v>0</v>
      </c>
      <c r="O46" s="1"/>
      <c r="P46" s="1">
        <v>0</v>
      </c>
      <c r="Q46" s="1">
        <v>81.900000000000006</v>
      </c>
      <c r="R46" s="1">
        <f t="shared" si="1"/>
        <v>68.3</v>
      </c>
    </row>
    <row r="47" spans="1:18" x14ac:dyDescent="0.25">
      <c r="A47" s="1">
        <v>1133.01</v>
      </c>
      <c r="B47" s="1" t="s">
        <v>194</v>
      </c>
      <c r="C47" s="1" t="s">
        <v>7</v>
      </c>
      <c r="D47" s="93">
        <v>15035</v>
      </c>
      <c r="E47" s="1" t="s">
        <v>315</v>
      </c>
      <c r="G47" s="97">
        <v>0</v>
      </c>
      <c r="H47" s="13"/>
      <c r="I47" s="1">
        <v>71.48</v>
      </c>
      <c r="J47" s="1">
        <v>1.62</v>
      </c>
      <c r="K47" s="1">
        <v>25.23</v>
      </c>
      <c r="L47" s="1">
        <v>0.96</v>
      </c>
      <c r="M47" s="1">
        <v>0</v>
      </c>
      <c r="N47" s="1">
        <v>0</v>
      </c>
      <c r="O47" s="1">
        <v>0.70999999999999464</v>
      </c>
      <c r="P47" s="1">
        <f t="shared" si="0"/>
        <v>0.70999999999999464</v>
      </c>
      <c r="Q47" s="1">
        <v>116</v>
      </c>
      <c r="R47" s="1">
        <f t="shared" si="1"/>
        <v>112.39999999999998</v>
      </c>
    </row>
    <row r="48" spans="1:18" x14ac:dyDescent="0.25">
      <c r="A48" s="1">
        <v>1133.02</v>
      </c>
      <c r="B48" s="1" t="s">
        <v>195</v>
      </c>
      <c r="C48" s="1" t="s">
        <v>305</v>
      </c>
      <c r="D48" s="93" t="s">
        <v>317</v>
      </c>
      <c r="E48" s="1" t="s">
        <v>316</v>
      </c>
      <c r="G48" s="97">
        <v>0.48</v>
      </c>
      <c r="I48" s="1">
        <v>74.900000000000006</v>
      </c>
      <c r="J48" s="1">
        <v>2.5</v>
      </c>
      <c r="K48" s="1">
        <v>19.399999999999999</v>
      </c>
      <c r="L48" s="1">
        <v>2.9</v>
      </c>
      <c r="M48" s="1">
        <v>0</v>
      </c>
      <c r="N48" s="1">
        <v>0</v>
      </c>
      <c r="O48" s="1">
        <v>0</v>
      </c>
      <c r="P48" s="1">
        <f t="shared" si="0"/>
        <v>0.29999999999999583</v>
      </c>
      <c r="Q48" s="1">
        <v>103</v>
      </c>
      <c r="R48" s="1">
        <f t="shared" si="1"/>
        <v>104.89999999999998</v>
      </c>
    </row>
    <row r="49" spans="1:18" x14ac:dyDescent="0.25">
      <c r="A49" s="1">
        <v>1133.03</v>
      </c>
      <c r="B49" s="1" t="s">
        <v>196</v>
      </c>
      <c r="C49" s="1" t="s">
        <v>7</v>
      </c>
      <c r="D49" s="93">
        <v>35165</v>
      </c>
      <c r="E49" s="1" t="s">
        <v>310</v>
      </c>
      <c r="G49" s="97">
        <v>0</v>
      </c>
      <c r="H49" s="13"/>
      <c r="I49" s="1">
        <v>20.59</v>
      </c>
      <c r="J49" s="1">
        <v>5.57</v>
      </c>
      <c r="K49" s="1">
        <v>62.44</v>
      </c>
      <c r="L49" s="1">
        <v>13.44</v>
      </c>
      <c r="M49" s="1">
        <v>0</v>
      </c>
      <c r="N49" s="1">
        <v>0</v>
      </c>
      <c r="O49" s="1">
        <v>-2.0399999999999938</v>
      </c>
      <c r="P49" s="1">
        <v>0</v>
      </c>
      <c r="Q49" s="1">
        <v>371</v>
      </c>
      <c r="R49" s="1">
        <f t="shared" si="1"/>
        <v>370.71999999999997</v>
      </c>
    </row>
    <row r="50" spans="1:18" x14ac:dyDescent="0.25">
      <c r="A50" s="1">
        <v>1134.01</v>
      </c>
      <c r="B50" s="1" t="s">
        <v>197</v>
      </c>
      <c r="C50" s="1" t="s">
        <v>305</v>
      </c>
      <c r="D50" s="93" t="s">
        <v>306</v>
      </c>
      <c r="E50" s="1" t="s">
        <v>307</v>
      </c>
      <c r="G50" s="97">
        <v>0</v>
      </c>
      <c r="I50" s="1">
        <v>57.9</v>
      </c>
      <c r="J50" s="1">
        <v>3.5</v>
      </c>
      <c r="K50" s="1">
        <v>24.7</v>
      </c>
      <c r="L50" s="1">
        <v>13.5</v>
      </c>
      <c r="M50" s="1">
        <v>0</v>
      </c>
      <c r="N50" s="1">
        <v>0</v>
      </c>
      <c r="O50" s="1">
        <v>0</v>
      </c>
      <c r="P50" s="1">
        <f t="shared" si="0"/>
        <v>0.40000000000000213</v>
      </c>
      <c r="Q50" s="1">
        <v>220</v>
      </c>
      <c r="R50" s="1">
        <f t="shared" si="1"/>
        <v>221.90000000000003</v>
      </c>
    </row>
    <row r="51" spans="1:18" x14ac:dyDescent="0.25">
      <c r="A51" s="1">
        <v>1139.99</v>
      </c>
      <c r="B51" s="1" t="s">
        <v>569</v>
      </c>
      <c r="C51" s="1" t="s">
        <v>7</v>
      </c>
      <c r="D51" s="93" t="s">
        <v>567</v>
      </c>
      <c r="E51" s="1" t="s">
        <v>568</v>
      </c>
      <c r="G51" s="97">
        <v>0</v>
      </c>
      <c r="H51" s="13"/>
      <c r="I51" s="1">
        <v>81.900000000000006</v>
      </c>
      <c r="J51" s="1">
        <v>1.4</v>
      </c>
      <c r="K51" s="1">
        <v>16.399999999999999</v>
      </c>
      <c r="L51" s="1">
        <v>0.3</v>
      </c>
      <c r="M51" s="1">
        <v>0</v>
      </c>
      <c r="N51" s="1">
        <v>0</v>
      </c>
      <c r="O51" s="1"/>
      <c r="P51" s="1">
        <v>0</v>
      </c>
      <c r="Q51" s="1">
        <v>81.900000000000006</v>
      </c>
      <c r="R51" s="1">
        <f t="shared" si="1"/>
        <v>68.3</v>
      </c>
    </row>
    <row r="52" spans="1:18" x14ac:dyDescent="0.25">
      <c r="A52" s="1">
        <v>1141.01</v>
      </c>
      <c r="B52" s="1" t="s">
        <v>198</v>
      </c>
      <c r="C52" s="1" t="s">
        <v>305</v>
      </c>
      <c r="D52" s="93" t="s">
        <v>303</v>
      </c>
      <c r="E52" s="1" t="s">
        <v>304</v>
      </c>
      <c r="G52" s="97">
        <v>0</v>
      </c>
      <c r="I52" s="1">
        <v>87.7</v>
      </c>
      <c r="J52" s="1">
        <v>0.8</v>
      </c>
      <c r="K52" s="1">
        <v>3.4</v>
      </c>
      <c r="L52" s="1">
        <v>3.7</v>
      </c>
      <c r="M52" s="1">
        <v>0</v>
      </c>
      <c r="N52" s="1">
        <v>0</v>
      </c>
      <c r="O52" s="1">
        <v>4.3999999999999959</v>
      </c>
      <c r="P52" s="1">
        <f t="shared" si="0"/>
        <v>4.3999999999999959</v>
      </c>
      <c r="Q52" s="1">
        <v>65</v>
      </c>
      <c r="R52" s="1">
        <f t="shared" si="1"/>
        <v>64.499999999999986</v>
      </c>
    </row>
    <row r="53" spans="1:18" x14ac:dyDescent="0.25">
      <c r="A53" s="1">
        <v>1141.02</v>
      </c>
      <c r="B53" s="1" t="s">
        <v>199</v>
      </c>
      <c r="C53" s="1" t="s">
        <v>320</v>
      </c>
      <c r="D53" s="93" t="s">
        <v>303</v>
      </c>
      <c r="E53" s="1" t="s">
        <v>304</v>
      </c>
      <c r="G53" s="97">
        <v>0</v>
      </c>
      <c r="I53" s="1">
        <v>87.7</v>
      </c>
      <c r="J53" s="1">
        <v>0.8</v>
      </c>
      <c r="K53" s="1">
        <v>3.4</v>
      </c>
      <c r="L53" s="1">
        <v>3.7</v>
      </c>
      <c r="M53" s="1">
        <v>0</v>
      </c>
      <c r="N53" s="1">
        <v>0</v>
      </c>
      <c r="O53" s="1">
        <v>4.3000000000000016</v>
      </c>
      <c r="P53" s="1">
        <f t="shared" si="0"/>
        <v>4.3999999999999959</v>
      </c>
      <c r="Q53" s="1">
        <v>65</v>
      </c>
      <c r="R53" s="1">
        <f t="shared" si="1"/>
        <v>64.499999999999986</v>
      </c>
    </row>
    <row r="54" spans="1:18" x14ac:dyDescent="0.25">
      <c r="A54" s="1">
        <v>1141.99</v>
      </c>
      <c r="B54" s="1" t="s">
        <v>200</v>
      </c>
      <c r="C54" s="1" t="s">
        <v>390</v>
      </c>
      <c r="D54" s="93" t="s">
        <v>408</v>
      </c>
      <c r="E54" s="1" t="s">
        <v>409</v>
      </c>
      <c r="G54" s="97">
        <v>0</v>
      </c>
      <c r="I54" s="1">
        <v>80.599999999999994</v>
      </c>
      <c r="J54" s="1">
        <v>1</v>
      </c>
      <c r="K54" s="1">
        <v>3.3</v>
      </c>
      <c r="L54" s="1">
        <v>3.2</v>
      </c>
      <c r="M54" s="1">
        <v>0.5</v>
      </c>
      <c r="N54" s="1">
        <v>0</v>
      </c>
      <c r="O54" s="1">
        <v>11.400000000000006</v>
      </c>
      <c r="P54" s="1">
        <f t="shared" si="0"/>
        <v>11.400000000000006</v>
      </c>
      <c r="Q54" s="1">
        <v>89</v>
      </c>
      <c r="R54" s="1">
        <f t="shared" si="1"/>
        <v>88.600000000000023</v>
      </c>
    </row>
    <row r="55" spans="1:18" x14ac:dyDescent="0.25">
      <c r="A55" s="1">
        <v>1142.01</v>
      </c>
      <c r="B55" s="1" t="s">
        <v>542</v>
      </c>
      <c r="C55" s="1" t="s">
        <v>320</v>
      </c>
      <c r="D55" s="93" t="s">
        <v>330</v>
      </c>
      <c r="E55" s="1" t="s">
        <v>543</v>
      </c>
      <c r="G55" s="97">
        <v>0</v>
      </c>
      <c r="I55" s="1">
        <v>89.3</v>
      </c>
      <c r="J55" s="1">
        <v>0.8</v>
      </c>
      <c r="K55" s="1">
        <v>3.5</v>
      </c>
      <c r="L55" s="1">
        <v>1.6</v>
      </c>
      <c r="M55" s="1">
        <v>0</v>
      </c>
      <c r="N55" s="1">
        <v>0</v>
      </c>
      <c r="O55" s="1">
        <v>4.8</v>
      </c>
      <c r="P55" s="1">
        <f t="shared" si="0"/>
        <v>4.8000000000000025</v>
      </c>
      <c r="Q55" s="1">
        <v>48</v>
      </c>
      <c r="R55" s="1">
        <f t="shared" si="1"/>
        <v>47.600000000000009</v>
      </c>
    </row>
    <row r="56" spans="1:18" x14ac:dyDescent="0.25">
      <c r="A56" s="1">
        <v>1142.02</v>
      </c>
      <c r="B56" s="1" t="s">
        <v>544</v>
      </c>
      <c r="C56" s="1" t="s">
        <v>320</v>
      </c>
      <c r="D56" s="93" t="s">
        <v>545</v>
      </c>
      <c r="E56" s="1" t="s">
        <v>546</v>
      </c>
      <c r="G56" s="97">
        <v>0</v>
      </c>
      <c r="I56" s="1">
        <v>90.6</v>
      </c>
      <c r="J56" s="1">
        <v>0.7</v>
      </c>
      <c r="K56" s="1">
        <v>3.5</v>
      </c>
      <c r="L56" s="1">
        <v>0.5</v>
      </c>
      <c r="M56" s="1">
        <v>0</v>
      </c>
      <c r="N56" s="1">
        <v>0</v>
      </c>
      <c r="O56" s="1">
        <v>4.7</v>
      </c>
      <c r="P56" s="1">
        <f t="shared" si="0"/>
        <v>4.7000000000000064</v>
      </c>
      <c r="Q56" s="1">
        <v>37</v>
      </c>
      <c r="R56" s="1">
        <f t="shared" si="1"/>
        <v>37.300000000000026</v>
      </c>
    </row>
    <row r="57" spans="1:18" x14ac:dyDescent="0.25">
      <c r="A57" s="1">
        <v>1143.01</v>
      </c>
      <c r="B57" s="1" t="s">
        <v>547</v>
      </c>
      <c r="C57" s="1" t="s">
        <v>320</v>
      </c>
      <c r="D57" s="93" t="s">
        <v>548</v>
      </c>
      <c r="E57" s="1" t="s">
        <v>549</v>
      </c>
      <c r="G57" s="97">
        <v>0</v>
      </c>
      <c r="I57" s="1">
        <v>27.2</v>
      </c>
      <c r="J57" s="1">
        <v>1.8</v>
      </c>
      <c r="K57" s="1">
        <v>7.9</v>
      </c>
      <c r="L57" s="1">
        <v>8.6999999999999993</v>
      </c>
      <c r="M57" s="1">
        <v>0</v>
      </c>
      <c r="N57" s="1">
        <v>0</v>
      </c>
      <c r="O57" s="1">
        <v>54.4</v>
      </c>
      <c r="P57" s="1">
        <f t="shared" si="0"/>
        <v>54.400000000000006</v>
      </c>
      <c r="Q57" s="1">
        <v>328</v>
      </c>
      <c r="R57" s="1">
        <f t="shared" si="1"/>
        <v>327.5</v>
      </c>
    </row>
    <row r="58" spans="1:18" x14ac:dyDescent="0.25">
      <c r="A58" s="1">
        <v>1143.02</v>
      </c>
      <c r="B58" s="1" t="s">
        <v>151</v>
      </c>
      <c r="C58" s="1" t="s">
        <v>320</v>
      </c>
      <c r="D58" s="93" t="s">
        <v>322</v>
      </c>
      <c r="E58" s="1" t="s">
        <v>323</v>
      </c>
      <c r="F58" s="1" t="s">
        <v>66</v>
      </c>
      <c r="G58" s="97">
        <v>0</v>
      </c>
      <c r="I58" s="1">
        <v>3.2</v>
      </c>
      <c r="J58" s="1">
        <v>7.9</v>
      </c>
      <c r="K58" s="1">
        <v>36.200000000000003</v>
      </c>
      <c r="L58" s="1">
        <v>0.8</v>
      </c>
      <c r="M58" s="1">
        <v>0</v>
      </c>
      <c r="N58" s="1">
        <v>0</v>
      </c>
      <c r="O58" s="1">
        <v>52</v>
      </c>
      <c r="P58" s="1">
        <f t="shared" si="0"/>
        <v>51.899999999999991</v>
      </c>
      <c r="Q58" s="1">
        <v>359</v>
      </c>
      <c r="R58" s="1">
        <f t="shared" si="1"/>
        <v>359.59999999999997</v>
      </c>
    </row>
    <row r="59" spans="1:18" x14ac:dyDescent="0.25">
      <c r="A59" s="1">
        <v>1143.03</v>
      </c>
      <c r="B59" s="1" t="s">
        <v>201</v>
      </c>
      <c r="C59" s="1" t="s">
        <v>320</v>
      </c>
      <c r="D59" s="93" t="s">
        <v>322</v>
      </c>
      <c r="E59" s="1" t="s">
        <v>323</v>
      </c>
      <c r="F59" s="1" t="s">
        <v>321</v>
      </c>
      <c r="G59" s="97">
        <v>0</v>
      </c>
      <c r="I59" s="1">
        <v>3.2</v>
      </c>
      <c r="J59" s="1">
        <v>7.9</v>
      </c>
      <c r="K59" s="1">
        <v>36.200000000000003</v>
      </c>
      <c r="L59" s="1">
        <v>0.8</v>
      </c>
      <c r="M59" s="1">
        <v>0</v>
      </c>
      <c r="N59" s="1">
        <v>0</v>
      </c>
      <c r="O59" s="1">
        <v>52</v>
      </c>
      <c r="P59" s="1">
        <f t="shared" si="0"/>
        <v>51.899999999999991</v>
      </c>
      <c r="Q59" s="1">
        <v>359</v>
      </c>
      <c r="R59" s="1">
        <f t="shared" si="1"/>
        <v>359.59999999999997</v>
      </c>
    </row>
    <row r="60" spans="1:18" x14ac:dyDescent="0.25">
      <c r="A60" s="1">
        <v>1143.04</v>
      </c>
      <c r="B60" s="1" t="s">
        <v>202</v>
      </c>
      <c r="C60" s="1" t="s">
        <v>320</v>
      </c>
      <c r="D60" s="93" t="s">
        <v>324</v>
      </c>
      <c r="E60" s="1" t="s">
        <v>325</v>
      </c>
      <c r="F60" s="1" t="s">
        <v>321</v>
      </c>
      <c r="G60" s="97">
        <v>0</v>
      </c>
      <c r="I60" s="1">
        <v>2</v>
      </c>
      <c r="J60" s="1">
        <v>2.8</v>
      </c>
      <c r="K60" s="1">
        <v>11.9</v>
      </c>
      <c r="L60" s="1">
        <v>27.7</v>
      </c>
      <c r="M60" s="1">
        <v>0</v>
      </c>
      <c r="N60" s="1">
        <v>0</v>
      </c>
      <c r="O60" s="1">
        <v>55.599999999999994</v>
      </c>
      <c r="P60" s="1">
        <f t="shared" si="0"/>
        <v>55.599999999999994</v>
      </c>
      <c r="Q60" s="1">
        <v>519</v>
      </c>
      <c r="R60" s="1">
        <f t="shared" si="1"/>
        <v>519.29999999999995</v>
      </c>
    </row>
    <row r="61" spans="1:18" x14ac:dyDescent="0.25">
      <c r="A61" s="1">
        <v>1144.01</v>
      </c>
      <c r="B61" s="1" t="s">
        <v>203</v>
      </c>
      <c r="C61" s="1" t="s">
        <v>320</v>
      </c>
      <c r="D61" s="93" t="s">
        <v>326</v>
      </c>
      <c r="E61" s="1" t="s">
        <v>327</v>
      </c>
      <c r="F61" s="1" t="s">
        <v>321</v>
      </c>
      <c r="G61" s="97">
        <v>0</v>
      </c>
      <c r="I61" s="1">
        <v>85.8</v>
      </c>
      <c r="J61" s="1">
        <v>0.8</v>
      </c>
      <c r="K61" s="1">
        <v>3.4</v>
      </c>
      <c r="L61" s="1">
        <v>4.5</v>
      </c>
      <c r="M61" s="1">
        <v>0</v>
      </c>
      <c r="N61" s="1">
        <v>0</v>
      </c>
      <c r="O61" s="1">
        <v>5.5000000000000018</v>
      </c>
      <c r="P61" s="1">
        <f t="shared" si="0"/>
        <v>5.5000000000000018</v>
      </c>
      <c r="Q61" s="1">
        <v>76</v>
      </c>
      <c r="R61" s="1">
        <f t="shared" si="1"/>
        <v>76.100000000000009</v>
      </c>
    </row>
    <row r="62" spans="1:18" x14ac:dyDescent="0.25">
      <c r="A62" s="1">
        <v>1144.02</v>
      </c>
      <c r="B62" s="1" t="s">
        <v>152</v>
      </c>
      <c r="C62" s="1" t="s">
        <v>320</v>
      </c>
      <c r="D62" s="93" t="s">
        <v>328</v>
      </c>
      <c r="E62" s="1" t="s">
        <v>329</v>
      </c>
      <c r="F62" s="1" t="s">
        <v>68</v>
      </c>
      <c r="G62" s="97">
        <v>0</v>
      </c>
      <c r="I62" s="1">
        <v>85.3</v>
      </c>
      <c r="J62" s="1">
        <v>0.8</v>
      </c>
      <c r="K62" s="1">
        <v>3.8</v>
      </c>
      <c r="L62" s="1">
        <v>3.4</v>
      </c>
      <c r="M62" s="1">
        <v>0</v>
      </c>
      <c r="N62" s="1">
        <v>0</v>
      </c>
      <c r="O62" s="1">
        <v>6.7000000000000011</v>
      </c>
      <c r="P62" s="1">
        <f t="shared" si="0"/>
        <v>6.7000000000000011</v>
      </c>
      <c r="Q62" s="1">
        <v>73</v>
      </c>
      <c r="R62" s="1">
        <f t="shared" si="1"/>
        <v>72.599999999999994</v>
      </c>
    </row>
    <row r="63" spans="1:18" x14ac:dyDescent="0.25">
      <c r="A63" s="1">
        <v>1144.03</v>
      </c>
      <c r="B63" s="1" t="s">
        <v>204</v>
      </c>
      <c r="C63" s="1" t="s">
        <v>320</v>
      </c>
      <c r="D63" s="93" t="s">
        <v>330</v>
      </c>
      <c r="E63" s="1" t="s">
        <v>304</v>
      </c>
      <c r="F63" s="1" t="s">
        <v>66</v>
      </c>
      <c r="G63" s="97">
        <v>0</v>
      </c>
      <c r="I63" s="1">
        <v>89.3</v>
      </c>
      <c r="J63" s="1">
        <v>0.8</v>
      </c>
      <c r="K63" s="1">
        <v>3.5</v>
      </c>
      <c r="L63" s="1">
        <v>1.6</v>
      </c>
      <c r="M63" s="1">
        <v>0</v>
      </c>
      <c r="N63" s="1">
        <v>0</v>
      </c>
      <c r="O63" s="1">
        <v>4.8</v>
      </c>
      <c r="P63" s="1">
        <f t="shared" si="0"/>
        <v>4.8000000000000025</v>
      </c>
      <c r="Q63" s="1">
        <v>48</v>
      </c>
      <c r="R63" s="1">
        <f t="shared" si="1"/>
        <v>47.600000000000009</v>
      </c>
    </row>
    <row r="64" spans="1:18" x14ac:dyDescent="0.25">
      <c r="A64" s="1">
        <v>1145.01</v>
      </c>
      <c r="B64" s="1" t="s">
        <v>205</v>
      </c>
      <c r="C64" s="1" t="s">
        <v>320</v>
      </c>
      <c r="D64" s="93" t="s">
        <v>331</v>
      </c>
      <c r="E64" s="1" t="s">
        <v>332</v>
      </c>
      <c r="F64" s="1" t="s">
        <v>66</v>
      </c>
      <c r="G64" s="97">
        <v>0</v>
      </c>
      <c r="I64" s="1">
        <v>41</v>
      </c>
      <c r="J64" s="1">
        <v>3.9</v>
      </c>
      <c r="K64" s="1">
        <v>24.8</v>
      </c>
      <c r="L64" s="1">
        <v>29.5</v>
      </c>
      <c r="M64" s="1">
        <v>0</v>
      </c>
      <c r="N64" s="1">
        <v>0</v>
      </c>
      <c r="O64" s="1">
        <v>0.7</v>
      </c>
      <c r="P64" s="1">
        <f t="shared" si="0"/>
        <v>0.80000000000000071</v>
      </c>
      <c r="Q64" s="1">
        <v>367</v>
      </c>
      <c r="R64" s="1">
        <f t="shared" si="1"/>
        <v>367.9</v>
      </c>
    </row>
    <row r="65" spans="1:18" x14ac:dyDescent="0.25">
      <c r="A65" s="1">
        <v>1146.01</v>
      </c>
      <c r="B65" s="1" t="s">
        <v>206</v>
      </c>
      <c r="C65" s="1" t="s">
        <v>320</v>
      </c>
      <c r="D65" s="93" t="s">
        <v>333</v>
      </c>
      <c r="E65" s="1" t="s">
        <v>334</v>
      </c>
      <c r="F65" s="1" t="s">
        <v>66</v>
      </c>
      <c r="G65" s="97">
        <v>0</v>
      </c>
      <c r="I65" s="1">
        <v>78.5</v>
      </c>
      <c r="J65" s="1">
        <v>0.6</v>
      </c>
      <c r="K65" s="1">
        <v>2.9</v>
      </c>
      <c r="L65" s="1">
        <v>13.5</v>
      </c>
      <c r="M65" s="1">
        <v>0</v>
      </c>
      <c r="N65" s="1">
        <v>0</v>
      </c>
      <c r="O65" s="1">
        <v>4.5</v>
      </c>
      <c r="P65" s="1">
        <f t="shared" si="0"/>
        <v>4.5</v>
      </c>
      <c r="Q65" s="1">
        <v>151</v>
      </c>
      <c r="R65" s="1">
        <f t="shared" si="1"/>
        <v>151.1</v>
      </c>
    </row>
    <row r="66" spans="1:18" x14ac:dyDescent="0.25">
      <c r="A66" s="1">
        <v>1147.01</v>
      </c>
      <c r="B66" s="1" t="s">
        <v>120</v>
      </c>
      <c r="C66" s="1" t="s">
        <v>320</v>
      </c>
      <c r="D66" s="93" t="s">
        <v>335</v>
      </c>
      <c r="E66" s="1" t="s">
        <v>336</v>
      </c>
      <c r="F66" s="1" t="s">
        <v>66</v>
      </c>
      <c r="G66" s="97">
        <v>0</v>
      </c>
      <c r="I66" s="1">
        <v>76.2</v>
      </c>
      <c r="J66" s="1">
        <v>1.1000000000000001</v>
      </c>
      <c r="K66" s="1">
        <v>12.6</v>
      </c>
      <c r="L66" s="1">
        <v>9.5</v>
      </c>
      <c r="M66" s="1">
        <v>0</v>
      </c>
      <c r="N66" s="1">
        <v>0</v>
      </c>
      <c r="O66" s="1">
        <v>0.7</v>
      </c>
      <c r="P66" s="1">
        <f t="shared" si="0"/>
        <v>0.59999999999999609</v>
      </c>
      <c r="Q66" s="1">
        <v>139</v>
      </c>
      <c r="R66" s="1">
        <f t="shared" si="1"/>
        <v>138.29999999999998</v>
      </c>
    </row>
    <row r="67" spans="1:18" x14ac:dyDescent="0.25">
      <c r="A67" s="1">
        <v>1151.01</v>
      </c>
      <c r="B67" s="1" t="s">
        <v>207</v>
      </c>
      <c r="C67" s="1" t="s">
        <v>320</v>
      </c>
      <c r="D67" s="93" t="s">
        <v>337</v>
      </c>
      <c r="E67" s="1" t="s">
        <v>338</v>
      </c>
      <c r="F67" s="1" t="s">
        <v>321</v>
      </c>
      <c r="G67" s="97">
        <v>0</v>
      </c>
      <c r="I67" s="1">
        <v>19.2</v>
      </c>
      <c r="J67" s="1">
        <v>0.3</v>
      </c>
      <c r="K67" s="1">
        <v>0.8</v>
      </c>
      <c r="L67" s="1">
        <v>79.599999999999994</v>
      </c>
      <c r="M67" s="1">
        <v>0</v>
      </c>
      <c r="N67" s="1">
        <v>0</v>
      </c>
      <c r="O67" s="1">
        <v>0.2</v>
      </c>
      <c r="P67" s="1">
        <f t="shared" ref="P67:P130" si="2">100-I67-J67-K67-L67-M67-N67</f>
        <v>0.10000000000000853</v>
      </c>
      <c r="Q67" s="1">
        <v>720</v>
      </c>
      <c r="R67" s="1">
        <f t="shared" ref="R67:R130" si="3">K67*4+L67*9+M67*2+N67*7+P67*4</f>
        <v>720</v>
      </c>
    </row>
    <row r="68" spans="1:18" x14ac:dyDescent="0.25">
      <c r="A68" s="1">
        <v>1152.01</v>
      </c>
      <c r="B68" s="1" t="s">
        <v>208</v>
      </c>
      <c r="C68" s="1" t="s">
        <v>320</v>
      </c>
      <c r="D68" s="93" t="s">
        <v>339</v>
      </c>
      <c r="E68" s="1" t="s">
        <v>340</v>
      </c>
      <c r="F68" s="1" t="s">
        <v>321</v>
      </c>
      <c r="G68" s="97">
        <v>0</v>
      </c>
      <c r="I68" s="1">
        <v>16.5</v>
      </c>
      <c r="J68" s="1">
        <v>1.9</v>
      </c>
      <c r="K68" s="1">
        <v>0.2</v>
      </c>
      <c r="L68" s="1">
        <v>80.7</v>
      </c>
      <c r="M68" s="1">
        <v>0</v>
      </c>
      <c r="N68" s="1">
        <v>0</v>
      </c>
      <c r="O68" s="1">
        <v>0.69999999999998863</v>
      </c>
      <c r="P68" s="1">
        <f t="shared" si="2"/>
        <v>0.69999999999998863</v>
      </c>
      <c r="Q68" s="1">
        <v>730</v>
      </c>
      <c r="R68" s="1">
        <f t="shared" si="3"/>
        <v>729.9</v>
      </c>
    </row>
    <row r="69" spans="1:18" x14ac:dyDescent="0.25">
      <c r="A69" s="1">
        <v>1152.02</v>
      </c>
      <c r="B69" s="1" t="s">
        <v>209</v>
      </c>
      <c r="C69" s="1" t="s">
        <v>320</v>
      </c>
      <c r="D69" s="93" t="s">
        <v>341</v>
      </c>
      <c r="E69" s="1" t="s">
        <v>342</v>
      </c>
      <c r="F69" s="1" t="s">
        <v>343</v>
      </c>
      <c r="G69" s="97">
        <v>0</v>
      </c>
      <c r="I69" s="1">
        <v>7.2</v>
      </c>
      <c r="J69" s="1">
        <v>2.6</v>
      </c>
      <c r="K69" s="1">
        <v>22.4</v>
      </c>
      <c r="L69" s="1">
        <v>44.5</v>
      </c>
      <c r="M69" s="1">
        <v>8.5</v>
      </c>
      <c r="N69" s="1">
        <v>0</v>
      </c>
      <c r="O69" s="1">
        <v>14.800000000000011</v>
      </c>
      <c r="P69" s="1">
        <f t="shared" si="2"/>
        <v>14.800000000000011</v>
      </c>
      <c r="Q69" s="1">
        <v>566</v>
      </c>
      <c r="R69" s="1">
        <f t="shared" si="3"/>
        <v>566.30000000000007</v>
      </c>
    </row>
    <row r="70" spans="1:18" x14ac:dyDescent="0.25">
      <c r="A70" s="1">
        <v>1154.01</v>
      </c>
      <c r="B70" s="1" t="s">
        <v>121</v>
      </c>
      <c r="C70" s="1" t="s">
        <v>390</v>
      </c>
      <c r="D70" s="93" t="s">
        <v>344</v>
      </c>
      <c r="E70" s="1" t="s">
        <v>345</v>
      </c>
      <c r="G70" s="97">
        <v>0</v>
      </c>
      <c r="I70" s="1">
        <v>0</v>
      </c>
      <c r="J70" s="1">
        <v>0</v>
      </c>
      <c r="K70" s="1">
        <v>0</v>
      </c>
      <c r="L70" s="1">
        <v>100</v>
      </c>
      <c r="M70" s="1">
        <v>0</v>
      </c>
      <c r="N70" s="1">
        <v>0</v>
      </c>
      <c r="O70" s="1">
        <v>0</v>
      </c>
      <c r="P70" s="1">
        <f t="shared" si="2"/>
        <v>0</v>
      </c>
      <c r="Q70" s="1">
        <v>900</v>
      </c>
      <c r="R70" s="1">
        <f t="shared" si="3"/>
        <v>900</v>
      </c>
    </row>
    <row r="71" spans="1:18" x14ac:dyDescent="0.25">
      <c r="A71" s="1">
        <v>1154.02</v>
      </c>
      <c r="B71" s="1" t="s">
        <v>210</v>
      </c>
      <c r="C71" s="1" t="s">
        <v>320</v>
      </c>
      <c r="D71" s="93" t="s">
        <v>344</v>
      </c>
      <c r="E71" s="1" t="s">
        <v>345</v>
      </c>
      <c r="F71" s="1" t="s">
        <v>68</v>
      </c>
      <c r="G71" s="97">
        <v>0</v>
      </c>
      <c r="I71" s="1">
        <v>0</v>
      </c>
      <c r="J71" s="1">
        <v>0</v>
      </c>
      <c r="K71" s="1">
        <v>0</v>
      </c>
      <c r="L71" s="1">
        <v>100</v>
      </c>
      <c r="M71" s="1">
        <v>0</v>
      </c>
      <c r="N71" s="1">
        <v>0</v>
      </c>
      <c r="O71" s="1">
        <v>0</v>
      </c>
      <c r="P71" s="1">
        <f t="shared" si="2"/>
        <v>0</v>
      </c>
      <c r="Q71" s="1">
        <v>900</v>
      </c>
      <c r="R71" s="1">
        <f t="shared" si="3"/>
        <v>900</v>
      </c>
    </row>
    <row r="72" spans="1:18" x14ac:dyDescent="0.25">
      <c r="A72" s="1">
        <v>1155.01</v>
      </c>
      <c r="B72" s="1" t="s">
        <v>211</v>
      </c>
      <c r="C72" s="1" t="s">
        <v>344</v>
      </c>
      <c r="D72" s="93" t="s">
        <v>390</v>
      </c>
      <c r="E72" s="1" t="s">
        <v>345</v>
      </c>
      <c r="G72" s="97">
        <v>0</v>
      </c>
      <c r="I72" s="1">
        <v>0</v>
      </c>
      <c r="J72" s="1">
        <v>0</v>
      </c>
      <c r="K72" s="1">
        <v>0</v>
      </c>
      <c r="L72" s="1">
        <v>100</v>
      </c>
      <c r="M72" s="1">
        <v>0</v>
      </c>
      <c r="N72" s="1">
        <v>0</v>
      </c>
      <c r="O72" s="1">
        <v>0</v>
      </c>
      <c r="P72" s="1">
        <f t="shared" si="2"/>
        <v>0</v>
      </c>
      <c r="Q72" s="1">
        <v>900</v>
      </c>
      <c r="R72" s="1">
        <f t="shared" si="3"/>
        <v>900</v>
      </c>
    </row>
    <row r="73" spans="1:18" x14ac:dyDescent="0.25">
      <c r="A73" s="1">
        <v>1155.02</v>
      </c>
      <c r="B73" s="1" t="s">
        <v>212</v>
      </c>
      <c r="C73" s="1" t="s">
        <v>390</v>
      </c>
      <c r="D73" s="93" t="s">
        <v>337</v>
      </c>
      <c r="E73" s="1" t="s">
        <v>338</v>
      </c>
      <c r="G73" s="97">
        <v>0</v>
      </c>
      <c r="I73" s="1">
        <v>19.2</v>
      </c>
      <c r="J73" s="1">
        <v>0.3</v>
      </c>
      <c r="K73" s="1">
        <v>0.8</v>
      </c>
      <c r="L73" s="1">
        <v>79.599999999999994</v>
      </c>
      <c r="M73" s="1">
        <v>0</v>
      </c>
      <c r="N73" s="1">
        <v>0</v>
      </c>
      <c r="O73" s="1">
        <v>0.2</v>
      </c>
      <c r="P73" s="1">
        <f t="shared" si="2"/>
        <v>0.10000000000000853</v>
      </c>
      <c r="Q73" s="1">
        <v>720</v>
      </c>
      <c r="R73" s="1">
        <f t="shared" si="3"/>
        <v>720</v>
      </c>
    </row>
    <row r="74" spans="1:18" x14ac:dyDescent="0.25">
      <c r="A74" s="1">
        <v>1155.03</v>
      </c>
      <c r="B74" s="1" t="s">
        <v>213</v>
      </c>
      <c r="C74" s="1" t="s">
        <v>390</v>
      </c>
      <c r="D74" s="93" t="s">
        <v>410</v>
      </c>
      <c r="E74" s="1" t="s">
        <v>411</v>
      </c>
      <c r="G74" s="97">
        <v>0</v>
      </c>
      <c r="I74" s="1">
        <v>0</v>
      </c>
      <c r="J74" s="1">
        <v>0</v>
      </c>
      <c r="K74" s="1">
        <v>0</v>
      </c>
      <c r="L74" s="1">
        <v>100</v>
      </c>
      <c r="M74" s="1">
        <v>0</v>
      </c>
      <c r="N74" s="1">
        <v>0</v>
      </c>
      <c r="O74" s="1">
        <v>0</v>
      </c>
      <c r="P74" s="1">
        <f t="shared" si="2"/>
        <v>0</v>
      </c>
      <c r="Q74" s="1">
        <v>900</v>
      </c>
      <c r="R74" s="1">
        <f t="shared" si="3"/>
        <v>900</v>
      </c>
    </row>
    <row r="75" spans="1:18" x14ac:dyDescent="0.25">
      <c r="A75" s="1">
        <v>1159.99</v>
      </c>
      <c r="B75" s="1" t="s">
        <v>214</v>
      </c>
      <c r="C75" s="1" t="s">
        <v>390</v>
      </c>
      <c r="D75" s="93" t="s">
        <v>410</v>
      </c>
      <c r="E75" s="1" t="s">
        <v>411</v>
      </c>
      <c r="G75" s="97">
        <v>0</v>
      </c>
      <c r="I75" s="1">
        <v>0</v>
      </c>
      <c r="J75" s="1">
        <v>0</v>
      </c>
      <c r="K75" s="1">
        <v>0</v>
      </c>
      <c r="L75" s="1">
        <v>100</v>
      </c>
      <c r="M75" s="1">
        <v>0</v>
      </c>
      <c r="N75" s="1">
        <v>0</v>
      </c>
      <c r="O75" s="1">
        <v>0</v>
      </c>
      <c r="P75" s="1">
        <f t="shared" si="2"/>
        <v>0</v>
      </c>
      <c r="Q75" s="1">
        <v>900</v>
      </c>
      <c r="R75" s="1">
        <f t="shared" si="3"/>
        <v>900</v>
      </c>
    </row>
    <row r="76" spans="1:18" x14ac:dyDescent="0.25">
      <c r="A76" s="1">
        <v>1161.01</v>
      </c>
      <c r="B76" s="1" t="s">
        <v>215</v>
      </c>
      <c r="C76" s="1" t="s">
        <v>390</v>
      </c>
      <c r="D76" s="93" t="s">
        <v>412</v>
      </c>
      <c r="E76" s="1" t="s">
        <v>413</v>
      </c>
      <c r="G76" s="97">
        <v>0.27</v>
      </c>
      <c r="I76" s="1">
        <v>87.8</v>
      </c>
      <c r="J76" s="1">
        <v>0.5</v>
      </c>
      <c r="K76" s="1">
        <v>0.7</v>
      </c>
      <c r="L76" s="1">
        <v>0.3</v>
      </c>
      <c r="M76" s="1">
        <v>1.7</v>
      </c>
      <c r="N76" s="1">
        <v>0</v>
      </c>
      <c r="O76" s="1">
        <v>9.0000000000000036</v>
      </c>
      <c r="P76" s="1">
        <f t="shared" si="2"/>
        <v>9.0000000000000036</v>
      </c>
      <c r="Q76" s="1">
        <v>45</v>
      </c>
      <c r="R76" s="1">
        <f t="shared" si="3"/>
        <v>44.900000000000013</v>
      </c>
    </row>
    <row r="77" spans="1:18" x14ac:dyDescent="0.25">
      <c r="A77" s="1">
        <v>1162.01</v>
      </c>
      <c r="B77" s="1" t="s">
        <v>155</v>
      </c>
      <c r="C77" s="1" t="s">
        <v>390</v>
      </c>
      <c r="D77" s="93" t="s">
        <v>414</v>
      </c>
      <c r="E77" s="1" t="s">
        <v>415</v>
      </c>
      <c r="G77" s="97">
        <v>0.36</v>
      </c>
      <c r="I77" s="1">
        <v>73.599999999999994</v>
      </c>
      <c r="J77" s="1">
        <v>0.8</v>
      </c>
      <c r="K77" s="1">
        <v>1.2</v>
      </c>
      <c r="L77" s="1">
        <v>0.2</v>
      </c>
      <c r="M77" s="1">
        <v>2</v>
      </c>
      <c r="N77" s="1">
        <v>0</v>
      </c>
      <c r="O77" s="1">
        <v>22.200000000000006</v>
      </c>
      <c r="P77" s="1">
        <f t="shared" si="2"/>
        <v>22.200000000000006</v>
      </c>
      <c r="Q77" s="1">
        <v>99</v>
      </c>
      <c r="R77" s="1">
        <f t="shared" si="3"/>
        <v>99.40000000000002</v>
      </c>
    </row>
    <row r="78" spans="1:18" x14ac:dyDescent="0.25">
      <c r="A78" s="1">
        <v>1163.01</v>
      </c>
      <c r="B78" s="1" t="s">
        <v>157</v>
      </c>
      <c r="C78" s="1" t="s">
        <v>390</v>
      </c>
      <c r="D78" s="93" t="s">
        <v>416</v>
      </c>
      <c r="E78" s="1" t="s">
        <v>417</v>
      </c>
      <c r="G78" s="97">
        <v>0.1</v>
      </c>
      <c r="I78" s="1">
        <v>85.6</v>
      </c>
      <c r="J78" s="1">
        <v>0.2</v>
      </c>
      <c r="K78" s="1">
        <v>0.3</v>
      </c>
      <c r="L78" s="1">
        <v>0.2</v>
      </c>
      <c r="M78" s="1">
        <v>2.4</v>
      </c>
      <c r="N78" s="1">
        <v>0</v>
      </c>
      <c r="O78" s="1">
        <v>11.300000000000006</v>
      </c>
      <c r="P78" s="1">
        <f t="shared" si="2"/>
        <v>11.300000000000006</v>
      </c>
      <c r="Q78" s="1">
        <v>53</v>
      </c>
      <c r="R78" s="1">
        <f t="shared" si="3"/>
        <v>53.000000000000021</v>
      </c>
    </row>
    <row r="79" spans="1:18" x14ac:dyDescent="0.25">
      <c r="A79" s="1">
        <v>1164.01</v>
      </c>
      <c r="B79" s="1" t="s">
        <v>216</v>
      </c>
      <c r="C79" s="1">
        <v>9252</v>
      </c>
      <c r="D79" s="93" t="s">
        <v>7</v>
      </c>
      <c r="E79" s="1" t="s">
        <v>580</v>
      </c>
      <c r="G79" s="97">
        <v>0</v>
      </c>
      <c r="I79" s="1">
        <v>83.71</v>
      </c>
      <c r="J79" s="1">
        <v>0.33</v>
      </c>
      <c r="K79" s="1">
        <v>0.38</v>
      </c>
      <c r="L79" s="1">
        <v>0.12</v>
      </c>
      <c r="M79" s="1">
        <v>3.1</v>
      </c>
      <c r="N79" s="1">
        <v>0</v>
      </c>
      <c r="O79" s="1">
        <v>15.46</v>
      </c>
      <c r="P79" s="1">
        <f t="shared" si="2"/>
        <v>12.360000000000007</v>
      </c>
      <c r="Q79" s="1">
        <v>58</v>
      </c>
      <c r="R79" s="1">
        <f t="shared" si="3"/>
        <v>58.240000000000023</v>
      </c>
    </row>
    <row r="80" spans="1:18" x14ac:dyDescent="0.25">
      <c r="A80" s="1">
        <v>1165.01</v>
      </c>
      <c r="B80" s="1" t="s">
        <v>581</v>
      </c>
      <c r="C80" s="1">
        <v>9021</v>
      </c>
      <c r="D80" s="93" t="s">
        <v>7</v>
      </c>
      <c r="E80" s="1" t="s">
        <v>582</v>
      </c>
      <c r="G80" s="97">
        <v>0</v>
      </c>
      <c r="I80" s="1">
        <v>86.35</v>
      </c>
      <c r="J80" s="1">
        <v>0.75</v>
      </c>
      <c r="K80" s="1">
        <v>1.4</v>
      </c>
      <c r="L80" s="1">
        <v>0.39</v>
      </c>
      <c r="M80" s="1">
        <v>2</v>
      </c>
      <c r="N80" s="1">
        <v>0</v>
      </c>
      <c r="O80" s="1">
        <v>11.12</v>
      </c>
      <c r="P80" s="1">
        <f t="shared" si="2"/>
        <v>9.1100000000000048</v>
      </c>
      <c r="Q80" s="1">
        <v>48</v>
      </c>
      <c r="R80" s="1">
        <f t="shared" si="3"/>
        <v>49.550000000000018</v>
      </c>
    </row>
    <row r="81" spans="1:18" x14ac:dyDescent="0.25">
      <c r="A81" s="1">
        <v>1165.02</v>
      </c>
      <c r="B81" s="1" t="s">
        <v>583</v>
      </c>
      <c r="C81" s="1">
        <v>5003</v>
      </c>
      <c r="D81" s="93" t="s">
        <v>584</v>
      </c>
      <c r="E81" s="1" t="s">
        <v>585</v>
      </c>
      <c r="G81" s="97">
        <v>0.28999999999999998</v>
      </c>
      <c r="I81" s="1">
        <v>74</v>
      </c>
      <c r="J81" s="1">
        <v>1.9</v>
      </c>
      <c r="K81" s="1">
        <v>1.6</v>
      </c>
      <c r="L81" s="1">
        <v>19.600000000000001</v>
      </c>
      <c r="M81" s="1">
        <v>4</v>
      </c>
      <c r="N81" s="1">
        <v>0</v>
      </c>
      <c r="O81" s="1">
        <v>0</v>
      </c>
      <c r="P81" s="1">
        <v>0</v>
      </c>
      <c r="Q81" s="1">
        <v>185</v>
      </c>
      <c r="R81" s="1">
        <f t="shared" si="3"/>
        <v>190.8</v>
      </c>
    </row>
    <row r="82" spans="1:18" x14ac:dyDescent="0.25">
      <c r="A82" s="1">
        <v>1165.03</v>
      </c>
      <c r="B82" s="1" t="s">
        <v>586</v>
      </c>
      <c r="C82" s="1">
        <v>9070</v>
      </c>
      <c r="D82" s="93" t="s">
        <v>7</v>
      </c>
      <c r="E82" s="1" t="s">
        <v>587</v>
      </c>
      <c r="G82" s="97">
        <v>0</v>
      </c>
      <c r="I82" s="1">
        <v>82.25</v>
      </c>
      <c r="J82" s="1">
        <v>0.48</v>
      </c>
      <c r="K82" s="1">
        <v>1.06</v>
      </c>
      <c r="L82" s="1">
        <v>0.2</v>
      </c>
      <c r="M82" s="1">
        <v>2.1</v>
      </c>
      <c r="N82" s="1">
        <v>0</v>
      </c>
      <c r="O82" s="1">
        <v>16.010000000000002</v>
      </c>
      <c r="P82" s="1">
        <f t="shared" si="2"/>
        <v>13.910000000000002</v>
      </c>
      <c r="Q82" s="1">
        <v>63</v>
      </c>
      <c r="R82" s="1">
        <f t="shared" si="3"/>
        <v>65.88000000000001</v>
      </c>
    </row>
    <row r="83" spans="1:18" x14ac:dyDescent="0.25">
      <c r="A83" s="1">
        <v>1165.04</v>
      </c>
      <c r="B83" s="1" t="s">
        <v>156</v>
      </c>
      <c r="C83" s="1" t="s">
        <v>320</v>
      </c>
      <c r="D83" s="93" t="s">
        <v>346</v>
      </c>
      <c r="E83" s="1" t="s">
        <v>347</v>
      </c>
      <c r="F83" s="1" t="s">
        <v>68</v>
      </c>
      <c r="G83" s="97" t="s">
        <v>348</v>
      </c>
      <c r="I83" s="1" t="s">
        <v>349</v>
      </c>
      <c r="J83" s="1" t="s">
        <v>350</v>
      </c>
      <c r="K83" s="1" t="s">
        <v>351</v>
      </c>
      <c r="L83" s="1" t="s">
        <v>352</v>
      </c>
      <c r="M83" s="1" t="s">
        <v>353</v>
      </c>
      <c r="N83" s="1">
        <v>0</v>
      </c>
      <c r="O83" s="1">
        <v>17.299999999999997</v>
      </c>
      <c r="P83" s="1">
        <f t="shared" si="2"/>
        <v>17.299999999999997</v>
      </c>
      <c r="Q83" s="1">
        <v>76</v>
      </c>
      <c r="R83" s="1">
        <f t="shared" si="3"/>
        <v>76.799999999999983</v>
      </c>
    </row>
    <row r="84" spans="1:18" x14ac:dyDescent="0.25">
      <c r="A84" s="1">
        <v>1165.05</v>
      </c>
      <c r="B84" s="1" t="s">
        <v>588</v>
      </c>
      <c r="C84" s="1">
        <v>9279</v>
      </c>
      <c r="D84" s="93" t="s">
        <v>7</v>
      </c>
      <c r="E84" s="1" t="s">
        <v>589</v>
      </c>
      <c r="G84" s="97">
        <v>0</v>
      </c>
      <c r="I84" s="1">
        <v>87.23</v>
      </c>
      <c r="J84" s="1">
        <v>0.37</v>
      </c>
      <c r="K84" s="1">
        <v>0.7</v>
      </c>
      <c r="L84" s="1">
        <v>0.28000000000000003</v>
      </c>
      <c r="M84" s="1">
        <v>1.4</v>
      </c>
      <c r="N84" s="1">
        <v>0</v>
      </c>
      <c r="O84" s="1">
        <v>11.42</v>
      </c>
      <c r="P84" s="1">
        <f t="shared" si="2"/>
        <v>10.019999999999998</v>
      </c>
      <c r="Q84" s="1">
        <v>46</v>
      </c>
      <c r="R84" s="1">
        <f t="shared" si="3"/>
        <v>48.199999999999989</v>
      </c>
    </row>
    <row r="85" spans="1:18" x14ac:dyDescent="0.25">
      <c r="A85" s="1">
        <v>1165.06</v>
      </c>
      <c r="B85" s="1" t="s">
        <v>590</v>
      </c>
      <c r="C85" s="1">
        <v>5027</v>
      </c>
      <c r="D85" s="93" t="s">
        <v>584</v>
      </c>
      <c r="E85" s="1" t="s">
        <v>591</v>
      </c>
      <c r="G85" s="97">
        <v>0.12</v>
      </c>
      <c r="I85" s="1">
        <v>86.7</v>
      </c>
      <c r="J85" s="1">
        <v>0.4</v>
      </c>
      <c r="K85" s="1">
        <v>1</v>
      </c>
      <c r="L85" s="1">
        <v>0.1</v>
      </c>
      <c r="M85" s="1">
        <v>1.9</v>
      </c>
      <c r="N85" s="1">
        <v>0</v>
      </c>
      <c r="O85" s="1">
        <v>9.9</v>
      </c>
      <c r="P85" s="1">
        <f t="shared" si="2"/>
        <v>9.8999999999999968</v>
      </c>
      <c r="Q85" s="1">
        <v>48</v>
      </c>
      <c r="R85" s="1">
        <f t="shared" si="3"/>
        <v>48.299999999999983</v>
      </c>
    </row>
    <row r="86" spans="1:18" x14ac:dyDescent="0.25">
      <c r="A86" s="1">
        <v>1166.01</v>
      </c>
      <c r="B86" s="1" t="s">
        <v>592</v>
      </c>
      <c r="C86" s="1">
        <v>5034</v>
      </c>
      <c r="D86" s="93" t="s">
        <v>584</v>
      </c>
      <c r="E86" s="1" t="s">
        <v>593</v>
      </c>
      <c r="G86" s="97">
        <v>0.04</v>
      </c>
      <c r="I86" s="1">
        <v>90</v>
      </c>
      <c r="J86" s="1">
        <v>0.4</v>
      </c>
      <c r="K86" s="1">
        <v>0.7</v>
      </c>
      <c r="L86" s="1">
        <v>0.2</v>
      </c>
      <c r="M86" s="1">
        <v>2.5</v>
      </c>
      <c r="N86" s="1">
        <v>0</v>
      </c>
      <c r="O86" s="1">
        <v>6.3</v>
      </c>
      <c r="P86" s="1">
        <f t="shared" si="2"/>
        <v>6.2000000000000011</v>
      </c>
      <c r="Q86" s="1">
        <v>35</v>
      </c>
      <c r="R86" s="1">
        <f t="shared" si="3"/>
        <v>34.400000000000006</v>
      </c>
    </row>
    <row r="87" spans="1:18" x14ac:dyDescent="0.25">
      <c r="A87" s="1">
        <v>1166.02</v>
      </c>
      <c r="B87" s="1" t="s">
        <v>594</v>
      </c>
      <c r="C87" s="1">
        <v>5021</v>
      </c>
      <c r="D87" s="93" t="s">
        <v>584</v>
      </c>
      <c r="E87" s="1" t="s">
        <v>595</v>
      </c>
      <c r="G87" s="97">
        <v>0.01</v>
      </c>
      <c r="I87" s="1">
        <v>89.5</v>
      </c>
      <c r="J87" s="1">
        <v>0.9</v>
      </c>
      <c r="K87" s="1">
        <v>1.6</v>
      </c>
      <c r="L87" s="1">
        <v>0.2</v>
      </c>
      <c r="M87" s="1">
        <v>2.2000000000000002</v>
      </c>
      <c r="N87" s="1">
        <v>0</v>
      </c>
      <c r="O87" s="1">
        <v>5.6</v>
      </c>
      <c r="P87" s="1">
        <f t="shared" si="2"/>
        <v>5.6</v>
      </c>
      <c r="Q87" s="1">
        <v>35</v>
      </c>
      <c r="R87" s="1">
        <f t="shared" si="3"/>
        <v>35</v>
      </c>
    </row>
    <row r="88" spans="1:18" x14ac:dyDescent="0.25">
      <c r="A88" s="1">
        <v>1166.03</v>
      </c>
      <c r="B88" s="1" t="s">
        <v>596</v>
      </c>
      <c r="C88" s="1">
        <v>9089</v>
      </c>
      <c r="D88" s="93" t="s">
        <v>7</v>
      </c>
      <c r="E88" s="1" t="s">
        <v>597</v>
      </c>
      <c r="G88" s="97">
        <v>0</v>
      </c>
      <c r="I88" s="1">
        <v>79.11</v>
      </c>
      <c r="J88" s="1">
        <v>0.66</v>
      </c>
      <c r="K88" s="1">
        <v>0.75</v>
      </c>
      <c r="L88" s="1">
        <v>0.3</v>
      </c>
      <c r="M88" s="1">
        <v>2.9</v>
      </c>
      <c r="N88" s="1">
        <v>0</v>
      </c>
      <c r="O88" s="1">
        <v>19.18</v>
      </c>
      <c r="P88" s="1">
        <f t="shared" si="2"/>
        <v>16.28</v>
      </c>
      <c r="Q88" s="1">
        <v>74</v>
      </c>
      <c r="R88" s="1">
        <f t="shared" si="3"/>
        <v>76.62</v>
      </c>
    </row>
    <row r="89" spans="1:18" x14ac:dyDescent="0.25">
      <c r="A89" s="1">
        <v>1166.04</v>
      </c>
      <c r="B89" s="1" t="s">
        <v>217</v>
      </c>
      <c r="C89" s="1" t="s">
        <v>390</v>
      </c>
      <c r="D89" s="93" t="s">
        <v>418</v>
      </c>
      <c r="E89" s="1" t="s">
        <v>419</v>
      </c>
      <c r="G89" s="97">
        <v>0</v>
      </c>
      <c r="I89" s="1">
        <v>90.7</v>
      </c>
      <c r="J89" s="1">
        <v>0.5</v>
      </c>
      <c r="K89" s="1">
        <v>0.7</v>
      </c>
      <c r="L89" s="1">
        <v>0.1</v>
      </c>
      <c r="M89" s="1">
        <v>1.2</v>
      </c>
      <c r="N89" s="1">
        <v>0</v>
      </c>
      <c r="O89" s="1">
        <v>6.799999999999998</v>
      </c>
      <c r="P89" s="1">
        <f t="shared" si="2"/>
        <v>6.799999999999998</v>
      </c>
      <c r="Q89" s="1">
        <v>33</v>
      </c>
      <c r="R89" s="1">
        <f t="shared" si="3"/>
        <v>33.29999999999999</v>
      </c>
    </row>
    <row r="90" spans="1:18" x14ac:dyDescent="0.25">
      <c r="A90" s="1">
        <v>1166.05</v>
      </c>
      <c r="B90" s="1" t="s">
        <v>159</v>
      </c>
      <c r="C90" s="1" t="s">
        <v>390</v>
      </c>
      <c r="D90" s="93" t="s">
        <v>354</v>
      </c>
      <c r="E90" s="1" t="s">
        <v>355</v>
      </c>
      <c r="G90" s="97">
        <v>0.22</v>
      </c>
      <c r="I90" s="1">
        <v>82.9</v>
      </c>
      <c r="J90" s="1">
        <v>0.6</v>
      </c>
      <c r="K90" s="1">
        <v>1</v>
      </c>
      <c r="L90" s="1">
        <v>0.4</v>
      </c>
      <c r="M90" s="1">
        <v>5.6</v>
      </c>
      <c r="N90" s="1">
        <v>0</v>
      </c>
      <c r="O90" s="1">
        <v>9.4999999999999929</v>
      </c>
      <c r="P90" s="1">
        <f t="shared" si="2"/>
        <v>9.4999999999999929</v>
      </c>
      <c r="Q90" s="1">
        <v>57</v>
      </c>
      <c r="R90" s="1">
        <f t="shared" si="3"/>
        <v>56.799999999999969</v>
      </c>
    </row>
    <row r="91" spans="1:18" x14ac:dyDescent="0.25">
      <c r="A91" s="1">
        <v>1166.06</v>
      </c>
      <c r="B91" s="1" t="s">
        <v>600</v>
      </c>
      <c r="C91" s="1">
        <v>9195</v>
      </c>
      <c r="D91" s="93" t="s">
        <v>7</v>
      </c>
      <c r="E91" s="1" t="s">
        <v>601</v>
      </c>
      <c r="G91" s="97">
        <v>0</v>
      </c>
      <c r="I91" s="1">
        <v>75.28</v>
      </c>
      <c r="J91" s="1">
        <v>4.53</v>
      </c>
      <c r="K91" s="1">
        <v>1.03</v>
      </c>
      <c r="L91" s="1">
        <v>15.32</v>
      </c>
      <c r="M91" s="1">
        <v>3.3</v>
      </c>
      <c r="N91" s="1">
        <v>0</v>
      </c>
      <c r="O91" s="1">
        <v>3.84</v>
      </c>
      <c r="P91" s="1">
        <f t="shared" si="2"/>
        <v>0.53999999999999648</v>
      </c>
      <c r="Q91" s="1">
        <v>145</v>
      </c>
      <c r="R91" s="1">
        <f t="shared" si="3"/>
        <v>150.76</v>
      </c>
    </row>
    <row r="92" spans="1:18" x14ac:dyDescent="0.25">
      <c r="A92" s="1">
        <v>1166.07</v>
      </c>
      <c r="B92" s="1" t="s">
        <v>602</v>
      </c>
      <c r="C92" s="1">
        <v>2054</v>
      </c>
      <c r="D92" s="93" t="s">
        <v>7</v>
      </c>
      <c r="E92" s="1" t="s">
        <v>603</v>
      </c>
      <c r="G92" s="97">
        <v>0</v>
      </c>
      <c r="I92" s="1">
        <v>83.85</v>
      </c>
      <c r="J92" s="1">
        <v>8.4</v>
      </c>
      <c r="K92" s="1">
        <v>2.36</v>
      </c>
      <c r="L92" s="1">
        <v>0.86</v>
      </c>
      <c r="M92" s="1">
        <v>3.2</v>
      </c>
      <c r="N92" s="1">
        <v>0</v>
      </c>
      <c r="O92" s="1">
        <v>4.8899999999999997</v>
      </c>
      <c r="P92" s="1">
        <f t="shared" si="2"/>
        <v>1.3300000000000054</v>
      </c>
      <c r="Q92" s="1">
        <v>23</v>
      </c>
      <c r="R92" s="1">
        <f t="shared" si="3"/>
        <v>28.90000000000002</v>
      </c>
    </row>
    <row r="93" spans="1:18" x14ac:dyDescent="0.25">
      <c r="A93" s="1">
        <v>1167.01</v>
      </c>
      <c r="B93" s="1" t="s">
        <v>218</v>
      </c>
      <c r="C93" s="1" t="s">
        <v>390</v>
      </c>
      <c r="D93" s="93" t="s">
        <v>420</v>
      </c>
      <c r="E93" s="1" t="s">
        <v>421</v>
      </c>
      <c r="G93" s="97">
        <v>0.54</v>
      </c>
      <c r="I93" s="1">
        <v>92</v>
      </c>
      <c r="J93" s="1">
        <v>0.6</v>
      </c>
      <c r="K93" s="1">
        <v>0.6</v>
      </c>
      <c r="L93" s="1">
        <v>0.1</v>
      </c>
      <c r="M93" s="1">
        <v>0.8</v>
      </c>
      <c r="N93" s="1">
        <v>0</v>
      </c>
      <c r="O93" s="1">
        <v>5.9000000000000012</v>
      </c>
      <c r="P93" s="1">
        <f t="shared" si="2"/>
        <v>5.9000000000000012</v>
      </c>
      <c r="Q93" s="1">
        <v>29</v>
      </c>
      <c r="R93" s="1">
        <f t="shared" si="3"/>
        <v>28.500000000000007</v>
      </c>
    </row>
    <row r="94" spans="1:18" x14ac:dyDescent="0.25">
      <c r="A94" s="1">
        <v>1167.02</v>
      </c>
      <c r="B94" s="1" t="s">
        <v>158</v>
      </c>
      <c r="C94" s="1" t="s">
        <v>390</v>
      </c>
      <c r="D94" s="93" t="s">
        <v>420</v>
      </c>
      <c r="E94" s="1" t="s">
        <v>421</v>
      </c>
      <c r="G94" s="97">
        <v>0.54</v>
      </c>
      <c r="I94" s="1">
        <v>92</v>
      </c>
      <c r="J94" s="1">
        <v>0.6</v>
      </c>
      <c r="K94" s="1">
        <v>0.6</v>
      </c>
      <c r="L94" s="1">
        <v>0.1</v>
      </c>
      <c r="M94" s="1">
        <v>0.8</v>
      </c>
      <c r="N94" s="1">
        <v>0</v>
      </c>
      <c r="O94" s="1">
        <v>5.9000000000000012</v>
      </c>
      <c r="P94" s="1">
        <f t="shared" si="2"/>
        <v>5.9000000000000012</v>
      </c>
      <c r="Q94" s="1">
        <v>29</v>
      </c>
      <c r="R94" s="1">
        <f t="shared" si="3"/>
        <v>28.500000000000007</v>
      </c>
    </row>
    <row r="95" spans="1:18" x14ac:dyDescent="0.25">
      <c r="A95" s="1">
        <v>1167.03</v>
      </c>
      <c r="B95" s="1" t="s">
        <v>605</v>
      </c>
      <c r="C95" s="1" t="s">
        <v>606</v>
      </c>
      <c r="D95" s="93" t="s">
        <v>390</v>
      </c>
      <c r="E95" s="1" t="s">
        <v>607</v>
      </c>
      <c r="G95" s="97">
        <v>0.49</v>
      </c>
      <c r="I95" s="1">
        <v>85.8</v>
      </c>
      <c r="J95" s="1">
        <v>0.3</v>
      </c>
      <c r="K95" s="1">
        <v>0.4</v>
      </c>
      <c r="L95" s="1">
        <v>0.2</v>
      </c>
      <c r="M95" s="1">
        <v>1.3</v>
      </c>
      <c r="N95" s="1">
        <v>0</v>
      </c>
      <c r="O95" s="1">
        <v>12</v>
      </c>
      <c r="P95" s="1">
        <f t="shared" si="2"/>
        <v>12.000000000000002</v>
      </c>
      <c r="Q95" s="1">
        <v>54</v>
      </c>
      <c r="R95" s="1">
        <f t="shared" si="3"/>
        <v>54.000000000000007</v>
      </c>
    </row>
    <row r="96" spans="1:18" x14ac:dyDescent="0.25">
      <c r="A96" s="1">
        <v>1167.99</v>
      </c>
      <c r="B96" s="1" t="s">
        <v>608</v>
      </c>
      <c r="C96" s="1">
        <v>5025</v>
      </c>
      <c r="D96" s="93" t="s">
        <v>584</v>
      </c>
      <c r="E96" s="1" t="s">
        <v>609</v>
      </c>
      <c r="G96" s="97">
        <v>0.48</v>
      </c>
      <c r="I96" s="1">
        <v>75.7</v>
      </c>
      <c r="J96" s="1">
        <v>0.8</v>
      </c>
      <c r="K96" s="1">
        <v>2.4</v>
      </c>
      <c r="L96" s="1">
        <v>0.9</v>
      </c>
      <c r="M96" s="1">
        <v>11.7</v>
      </c>
      <c r="N96" s="1">
        <v>0</v>
      </c>
      <c r="O96" s="1">
        <v>8.6999999999999993</v>
      </c>
      <c r="P96" s="1">
        <f t="shared" si="2"/>
        <v>8.5</v>
      </c>
      <c r="Q96" s="1">
        <v>75</v>
      </c>
      <c r="R96" s="1">
        <f t="shared" si="3"/>
        <v>75.099999999999994</v>
      </c>
    </row>
    <row r="97" spans="1:18" x14ac:dyDescent="0.25">
      <c r="A97" s="1">
        <v>1168.01</v>
      </c>
      <c r="B97" s="1" t="s">
        <v>219</v>
      </c>
      <c r="C97" s="1" t="s">
        <v>320</v>
      </c>
      <c r="D97" s="93" t="s">
        <v>357</v>
      </c>
      <c r="E97" s="1" t="s">
        <v>358</v>
      </c>
      <c r="F97" s="1" t="s">
        <v>343</v>
      </c>
      <c r="G97" s="97">
        <v>0</v>
      </c>
      <c r="I97" s="1" t="s">
        <v>359</v>
      </c>
      <c r="J97" s="1" t="s">
        <v>360</v>
      </c>
      <c r="K97" s="1" t="s">
        <v>361</v>
      </c>
      <c r="L97" s="1" t="s">
        <v>362</v>
      </c>
      <c r="M97" s="1">
        <v>4</v>
      </c>
      <c r="N97" s="1">
        <v>0</v>
      </c>
      <c r="O97" s="1">
        <v>19.600000000000009</v>
      </c>
      <c r="P97" s="1">
        <f t="shared" si="2"/>
        <v>19.600000000000009</v>
      </c>
      <c r="Q97" s="1">
        <v>609</v>
      </c>
      <c r="R97" s="1">
        <f t="shared" si="3"/>
        <v>608.5</v>
      </c>
    </row>
    <row r="98" spans="1:18" x14ac:dyDescent="0.25">
      <c r="A98" s="1">
        <v>1168.02</v>
      </c>
      <c r="B98" s="1" t="s">
        <v>531</v>
      </c>
      <c r="C98" s="1" t="s">
        <v>530</v>
      </c>
      <c r="D98" s="93" t="s">
        <v>357</v>
      </c>
      <c r="E98" s="1" t="s">
        <v>529</v>
      </c>
      <c r="F98" s="1" t="s">
        <v>343</v>
      </c>
      <c r="G98" s="97">
        <v>6.9999999999999951E-2</v>
      </c>
      <c r="I98" s="1">
        <v>86.9</v>
      </c>
      <c r="J98" s="1">
        <v>0.4</v>
      </c>
      <c r="K98" s="1">
        <v>0.7</v>
      </c>
      <c r="L98" s="1">
        <v>0.1</v>
      </c>
      <c r="M98" s="1">
        <v>2</v>
      </c>
      <c r="N98" s="1">
        <v>0</v>
      </c>
      <c r="O98" s="1">
        <v>9.9</v>
      </c>
      <c r="P98" s="1">
        <f t="shared" si="2"/>
        <v>9.899999999999995</v>
      </c>
      <c r="Q98" s="1">
        <v>47</v>
      </c>
      <c r="R98" s="1">
        <f t="shared" si="3"/>
        <v>47.299999999999983</v>
      </c>
    </row>
    <row r="99" spans="1:18" x14ac:dyDescent="0.25">
      <c r="A99" s="1">
        <v>1168.02</v>
      </c>
      <c r="B99" s="1" t="s">
        <v>220</v>
      </c>
      <c r="C99" s="1">
        <v>6029</v>
      </c>
      <c r="D99" s="93" t="s">
        <v>584</v>
      </c>
      <c r="E99" s="1" t="s">
        <v>610</v>
      </c>
      <c r="G99" s="97">
        <v>7.0000000000000007E-2</v>
      </c>
      <c r="I99" s="1">
        <v>86.9</v>
      </c>
      <c r="J99" s="1">
        <v>0.4</v>
      </c>
      <c r="K99" s="1">
        <v>0.7</v>
      </c>
      <c r="L99" s="1">
        <v>0.1</v>
      </c>
      <c r="M99" s="1">
        <v>2</v>
      </c>
      <c r="N99" s="1">
        <v>0</v>
      </c>
      <c r="O99" s="1">
        <v>9.9</v>
      </c>
      <c r="P99" s="1">
        <f t="shared" si="2"/>
        <v>9.899999999999995</v>
      </c>
      <c r="Q99" s="1">
        <v>47</v>
      </c>
      <c r="R99" s="1">
        <f t="shared" si="3"/>
        <v>47.299999999999983</v>
      </c>
    </row>
    <row r="100" spans="1:18" x14ac:dyDescent="0.25">
      <c r="A100" s="1">
        <v>1168.03</v>
      </c>
      <c r="B100" s="1" t="s">
        <v>611</v>
      </c>
      <c r="C100" s="1" t="s">
        <v>390</v>
      </c>
      <c r="D100" s="93" t="s">
        <v>416</v>
      </c>
      <c r="E100" s="1" t="s">
        <v>417</v>
      </c>
      <c r="G100" s="97">
        <v>0.1</v>
      </c>
      <c r="I100" s="1">
        <v>85.6</v>
      </c>
      <c r="J100" s="1">
        <v>0.2</v>
      </c>
      <c r="K100" s="1">
        <v>0.3</v>
      </c>
      <c r="L100" s="1">
        <v>0.2</v>
      </c>
      <c r="M100" s="1">
        <v>2.4</v>
      </c>
      <c r="N100" s="1">
        <v>0</v>
      </c>
      <c r="O100" s="1">
        <v>11.300000000000006</v>
      </c>
      <c r="P100" s="1">
        <f t="shared" si="2"/>
        <v>11.300000000000006</v>
      </c>
      <c r="Q100" s="1">
        <v>53</v>
      </c>
      <c r="R100" s="1">
        <f t="shared" si="3"/>
        <v>53.000000000000021</v>
      </c>
    </row>
    <row r="101" spans="1:18" s="95" customFormat="1" x14ac:dyDescent="0.25">
      <c r="A101" s="95">
        <v>1168.04</v>
      </c>
      <c r="B101" s="95" t="s">
        <v>221</v>
      </c>
      <c r="C101" s="1" t="s">
        <v>390</v>
      </c>
      <c r="D101" s="93" t="s">
        <v>412</v>
      </c>
      <c r="E101" s="1" t="s">
        <v>413</v>
      </c>
      <c r="F101" s="1"/>
      <c r="G101" s="97">
        <v>0.27</v>
      </c>
      <c r="H101" s="1"/>
      <c r="I101" s="1">
        <v>87.8</v>
      </c>
      <c r="J101" s="1">
        <v>0.5</v>
      </c>
      <c r="K101" s="1">
        <v>0.7</v>
      </c>
      <c r="L101" s="1">
        <v>0.3</v>
      </c>
      <c r="M101" s="1">
        <v>1.7</v>
      </c>
      <c r="N101" s="1">
        <v>0</v>
      </c>
      <c r="O101" s="1">
        <v>9.0000000000000036</v>
      </c>
      <c r="P101" s="1">
        <f t="shared" si="2"/>
        <v>9.0000000000000036</v>
      </c>
      <c r="Q101" s="1">
        <v>45</v>
      </c>
      <c r="R101" s="1">
        <f t="shared" si="3"/>
        <v>44.900000000000013</v>
      </c>
    </row>
    <row r="102" spans="1:18" x14ac:dyDescent="0.25">
      <c r="A102" s="1">
        <v>1168.05</v>
      </c>
      <c r="B102" s="1" t="s">
        <v>612</v>
      </c>
      <c r="C102" s="1" t="s">
        <v>390</v>
      </c>
      <c r="D102" s="93" t="s">
        <v>416</v>
      </c>
      <c r="E102" s="1" t="s">
        <v>417</v>
      </c>
      <c r="G102" s="97">
        <v>0.1</v>
      </c>
      <c r="I102" s="1">
        <v>85.6</v>
      </c>
      <c r="J102" s="1">
        <v>0.2</v>
      </c>
      <c r="K102" s="1">
        <v>0.3</v>
      </c>
      <c r="L102" s="1">
        <v>0.2</v>
      </c>
      <c r="M102" s="1">
        <v>2.4</v>
      </c>
      <c r="N102" s="1">
        <v>0</v>
      </c>
      <c r="O102" s="1">
        <v>11.300000000000006</v>
      </c>
      <c r="P102" s="1">
        <f t="shared" si="2"/>
        <v>11.300000000000006</v>
      </c>
      <c r="Q102" s="1">
        <v>53</v>
      </c>
      <c r="R102" s="1">
        <f t="shared" si="3"/>
        <v>53.000000000000021</v>
      </c>
    </row>
    <row r="103" spans="1:18" x14ac:dyDescent="0.25">
      <c r="A103" s="1">
        <v>1168.08</v>
      </c>
      <c r="B103" s="1" t="s">
        <v>222</v>
      </c>
      <c r="C103" s="1" t="s">
        <v>390</v>
      </c>
      <c r="D103" s="93" t="s">
        <v>422</v>
      </c>
      <c r="E103" s="1" t="s">
        <v>423</v>
      </c>
      <c r="G103" s="97">
        <v>0</v>
      </c>
      <c r="I103" s="1">
        <v>8.4</v>
      </c>
      <c r="J103" s="1">
        <v>3.1</v>
      </c>
      <c r="K103" s="1">
        <v>20.100000000000001</v>
      </c>
      <c r="L103" s="1">
        <v>5.9</v>
      </c>
      <c r="M103" s="1">
        <v>3.7</v>
      </c>
      <c r="N103" s="1">
        <v>0</v>
      </c>
      <c r="O103" s="1">
        <v>0</v>
      </c>
      <c r="P103" s="1">
        <f t="shared" si="2"/>
        <v>58.800000000000004</v>
      </c>
      <c r="Q103" s="1">
        <v>376</v>
      </c>
      <c r="R103" s="1">
        <f t="shared" si="3"/>
        <v>376.1</v>
      </c>
    </row>
    <row r="104" spans="1:18" x14ac:dyDescent="0.25">
      <c r="A104" s="1">
        <v>1168.0899999999999</v>
      </c>
      <c r="B104" s="1" t="s">
        <v>223</v>
      </c>
      <c r="C104" s="1" t="s">
        <v>390</v>
      </c>
      <c r="D104" t="s">
        <v>450</v>
      </c>
      <c r="E104" t="s">
        <v>451</v>
      </c>
      <c r="G104" s="97">
        <v>0</v>
      </c>
      <c r="I104">
        <v>6.3</v>
      </c>
      <c r="J104">
        <v>2.2999999999999998</v>
      </c>
      <c r="K104">
        <v>22.4</v>
      </c>
      <c r="L104">
        <v>45.9</v>
      </c>
      <c r="M104">
        <v>8.5</v>
      </c>
      <c r="N104" s="1">
        <v>0</v>
      </c>
      <c r="O104">
        <v>14.600000000000001</v>
      </c>
      <c r="P104" s="1">
        <f t="shared" si="2"/>
        <v>14.600000000000001</v>
      </c>
      <c r="Q104">
        <v>578</v>
      </c>
      <c r="R104" s="1">
        <f t="shared" si="3"/>
        <v>578.09999999999991</v>
      </c>
    </row>
    <row r="105" spans="1:18" x14ac:dyDescent="0.25">
      <c r="A105" s="1">
        <v>1168.0999999999999</v>
      </c>
      <c r="B105" s="1" t="s">
        <v>224</v>
      </c>
      <c r="C105" s="1" t="s">
        <v>390</v>
      </c>
      <c r="D105" s="93" t="s">
        <v>450</v>
      </c>
      <c r="E105" s="1" t="s">
        <v>451</v>
      </c>
      <c r="G105" s="97">
        <v>0</v>
      </c>
      <c r="I105" s="1">
        <v>6.3</v>
      </c>
      <c r="J105" s="1">
        <v>2.2999999999999998</v>
      </c>
      <c r="K105" s="1">
        <v>22.4</v>
      </c>
      <c r="L105" s="1">
        <v>45.9</v>
      </c>
      <c r="M105" s="1">
        <v>8.5</v>
      </c>
      <c r="N105" s="1">
        <v>0</v>
      </c>
      <c r="O105" s="1">
        <v>14.600000000000001</v>
      </c>
      <c r="P105" s="1">
        <f t="shared" si="2"/>
        <v>14.600000000000001</v>
      </c>
      <c r="Q105" s="1">
        <v>578</v>
      </c>
      <c r="R105" s="1">
        <f t="shared" si="3"/>
        <v>578.09999999999991</v>
      </c>
    </row>
    <row r="106" spans="1:18" x14ac:dyDescent="0.25">
      <c r="A106" s="1">
        <v>1168.0999999999999</v>
      </c>
      <c r="B106" s="1" t="s">
        <v>224</v>
      </c>
      <c r="C106" s="1" t="s">
        <v>390</v>
      </c>
      <c r="D106" t="s">
        <v>450</v>
      </c>
      <c r="E106" t="s">
        <v>451</v>
      </c>
      <c r="G106" s="97">
        <v>0</v>
      </c>
      <c r="I106">
        <v>6.3</v>
      </c>
      <c r="J106">
        <v>2.2999999999999998</v>
      </c>
      <c r="K106">
        <v>22.4</v>
      </c>
      <c r="L106">
        <v>45.9</v>
      </c>
      <c r="M106">
        <v>8.5</v>
      </c>
      <c r="N106" s="1">
        <v>0</v>
      </c>
      <c r="O106">
        <v>14.600000000000001</v>
      </c>
      <c r="P106" s="1">
        <f t="shared" si="2"/>
        <v>14.600000000000001</v>
      </c>
      <c r="Q106">
        <v>578</v>
      </c>
      <c r="R106" s="1">
        <f t="shared" si="3"/>
        <v>578.09999999999991</v>
      </c>
    </row>
    <row r="107" spans="1:18" x14ac:dyDescent="0.25">
      <c r="A107" s="1">
        <v>1168.1099999999999</v>
      </c>
      <c r="B107" s="1" t="s">
        <v>615</v>
      </c>
      <c r="C107" s="1" t="s">
        <v>573</v>
      </c>
      <c r="D107" s="93" t="s">
        <v>390</v>
      </c>
      <c r="E107" s="1" t="s">
        <v>616</v>
      </c>
      <c r="G107" s="97">
        <v>0.28000000000000003</v>
      </c>
      <c r="I107" s="1">
        <v>17.7</v>
      </c>
      <c r="J107" s="1">
        <v>4.3</v>
      </c>
      <c r="K107" s="1">
        <v>2.4</v>
      </c>
      <c r="L107" s="1">
        <v>0.6</v>
      </c>
      <c r="M107" s="1">
        <v>6.8</v>
      </c>
      <c r="N107" s="1">
        <v>0</v>
      </c>
      <c r="O107" s="1">
        <v>60.2</v>
      </c>
      <c r="P107" s="1">
        <f t="shared" si="2"/>
        <v>68.2</v>
      </c>
      <c r="Q107" s="1">
        <v>302</v>
      </c>
      <c r="R107" s="1">
        <f t="shared" si="3"/>
        <v>301.40000000000003</v>
      </c>
    </row>
    <row r="108" spans="1:18" x14ac:dyDescent="0.25">
      <c r="A108" s="1">
        <v>1168.1400000000001</v>
      </c>
      <c r="B108" s="1" t="s">
        <v>534</v>
      </c>
      <c r="C108" s="1" t="s">
        <v>7</v>
      </c>
      <c r="D108" s="93" t="s">
        <v>463</v>
      </c>
      <c r="E108" s="1" t="s">
        <v>464</v>
      </c>
      <c r="G108" s="97">
        <v>0</v>
      </c>
      <c r="I108" s="1">
        <v>66.930000000000007</v>
      </c>
      <c r="J108" s="1">
        <v>1.44</v>
      </c>
      <c r="K108" s="1">
        <v>9.1300000000000008</v>
      </c>
      <c r="L108" s="1">
        <v>0.09</v>
      </c>
      <c r="M108" s="1">
        <v>9.3000000000000007</v>
      </c>
      <c r="N108" s="1">
        <v>0</v>
      </c>
      <c r="O108" s="1">
        <v>13.109999999999992</v>
      </c>
      <c r="P108" s="1">
        <f t="shared" si="2"/>
        <v>13.109999999999992</v>
      </c>
      <c r="Q108" s="1">
        <v>124</v>
      </c>
      <c r="R108" s="1">
        <f t="shared" si="3"/>
        <v>108.36999999999998</v>
      </c>
    </row>
    <row r="109" spans="1:18" x14ac:dyDescent="0.25">
      <c r="A109" s="1">
        <v>1168.1400000000001</v>
      </c>
      <c r="B109" s="1" t="s">
        <v>225</v>
      </c>
      <c r="C109" s="1" t="s">
        <v>617</v>
      </c>
      <c r="D109" s="93" t="s">
        <v>390</v>
      </c>
      <c r="E109" s="1" t="s">
        <v>618</v>
      </c>
      <c r="G109" s="97">
        <v>0.43</v>
      </c>
      <c r="I109" s="1">
        <v>71.400000000000006</v>
      </c>
      <c r="J109" s="1">
        <v>1</v>
      </c>
      <c r="K109" s="1">
        <v>1.6</v>
      </c>
      <c r="L109" s="1">
        <v>0.5</v>
      </c>
      <c r="M109" s="1">
        <v>0.5</v>
      </c>
      <c r="N109" s="1">
        <v>0</v>
      </c>
      <c r="O109" s="1">
        <v>25.5</v>
      </c>
      <c r="P109" s="1">
        <f t="shared" si="2"/>
        <v>24.999999999999993</v>
      </c>
      <c r="Q109" s="1">
        <v>110</v>
      </c>
      <c r="R109" s="1">
        <f t="shared" si="3"/>
        <v>111.89999999999998</v>
      </c>
    </row>
    <row r="110" spans="1:18" x14ac:dyDescent="0.25">
      <c r="A110" s="1">
        <v>1168.1500000000001</v>
      </c>
      <c r="B110" s="1" t="s">
        <v>619</v>
      </c>
      <c r="C110" s="1" t="s">
        <v>7</v>
      </c>
      <c r="D110" s="93" t="s">
        <v>463</v>
      </c>
      <c r="E110" s="1" t="s">
        <v>464</v>
      </c>
      <c r="G110" s="97">
        <v>0</v>
      </c>
      <c r="I110" s="1">
        <v>66.930000000000007</v>
      </c>
      <c r="J110" s="1">
        <v>1.44</v>
      </c>
      <c r="K110" s="1">
        <v>9.1300000000000008</v>
      </c>
      <c r="L110" s="1">
        <v>0.09</v>
      </c>
      <c r="M110" s="1">
        <v>9.3000000000000007</v>
      </c>
      <c r="N110" s="1">
        <v>0</v>
      </c>
      <c r="O110" s="1">
        <v>13.109999999999992</v>
      </c>
      <c r="P110" s="1">
        <f t="shared" si="2"/>
        <v>13.109999999999992</v>
      </c>
      <c r="Q110" s="1">
        <v>124</v>
      </c>
      <c r="R110" s="1">
        <f t="shared" si="3"/>
        <v>108.36999999999998</v>
      </c>
    </row>
    <row r="111" spans="1:18" x14ac:dyDescent="0.25">
      <c r="A111" s="1">
        <v>1168.1600000000001</v>
      </c>
      <c r="B111" s="1" t="s">
        <v>620</v>
      </c>
      <c r="C111" s="1">
        <v>12104</v>
      </c>
      <c r="D111" s="93" t="s">
        <v>7</v>
      </c>
      <c r="E111" s="1" t="s">
        <v>621</v>
      </c>
      <c r="G111" s="97">
        <v>0</v>
      </c>
      <c r="I111" s="1">
        <v>46.99</v>
      </c>
      <c r="J111" s="1">
        <v>0.97</v>
      </c>
      <c r="K111" s="1">
        <v>3.33</v>
      </c>
      <c r="L111" s="1">
        <v>33.49</v>
      </c>
      <c r="M111" s="1">
        <v>9</v>
      </c>
      <c r="N111" s="1">
        <v>0</v>
      </c>
      <c r="O111" s="1">
        <v>15.23</v>
      </c>
      <c r="P111" s="1">
        <f t="shared" si="2"/>
        <v>6.2199999999999989</v>
      </c>
      <c r="Q111" s="1">
        <v>354</v>
      </c>
      <c r="R111" s="1">
        <f t="shared" si="3"/>
        <v>357.61</v>
      </c>
    </row>
    <row r="112" spans="1:18" x14ac:dyDescent="0.25">
      <c r="A112" s="1">
        <v>1168.17</v>
      </c>
      <c r="B112" s="1" t="s">
        <v>622</v>
      </c>
      <c r="C112" s="1">
        <v>12135</v>
      </c>
      <c r="D112" s="93" t="s">
        <v>7</v>
      </c>
      <c r="E112" s="1" t="s">
        <v>623</v>
      </c>
      <c r="G112" s="97">
        <v>0</v>
      </c>
      <c r="I112" s="1">
        <v>1.75</v>
      </c>
      <c r="J112" s="1">
        <v>4.1500000000000004</v>
      </c>
      <c r="K112" s="1">
        <v>17.3</v>
      </c>
      <c r="L112" s="1">
        <v>51.45</v>
      </c>
      <c r="M112" s="1">
        <v>9</v>
      </c>
      <c r="N112" s="1">
        <v>0</v>
      </c>
      <c r="O112" s="1">
        <v>25.35</v>
      </c>
      <c r="P112" s="1">
        <f t="shared" si="2"/>
        <v>16.349999999999994</v>
      </c>
      <c r="Q112" s="1">
        <v>594</v>
      </c>
      <c r="R112" s="1">
        <f t="shared" si="3"/>
        <v>615.65</v>
      </c>
    </row>
    <row r="113" spans="1:18" x14ac:dyDescent="0.25">
      <c r="A113" s="1">
        <v>1168.19</v>
      </c>
      <c r="B113" s="1" t="s">
        <v>624</v>
      </c>
      <c r="C113" s="1">
        <v>9094</v>
      </c>
      <c r="D113" s="93" t="s">
        <v>7</v>
      </c>
      <c r="E113" s="1" t="s">
        <v>625</v>
      </c>
      <c r="G113" s="97">
        <v>0</v>
      </c>
      <c r="I113" s="1">
        <v>30.05</v>
      </c>
      <c r="J113" s="1">
        <v>1.86</v>
      </c>
      <c r="K113" s="1">
        <v>3.3</v>
      </c>
      <c r="L113" s="1">
        <v>0.93</v>
      </c>
      <c r="M113" s="1">
        <v>9.8000000000000007</v>
      </c>
      <c r="N113" s="1">
        <v>0</v>
      </c>
      <c r="O113" s="1">
        <v>63.87</v>
      </c>
      <c r="P113" s="1">
        <f t="shared" si="2"/>
        <v>54.06</v>
      </c>
      <c r="Q113" s="1">
        <v>249</v>
      </c>
      <c r="R113" s="1">
        <f t="shared" si="3"/>
        <v>257.41000000000003</v>
      </c>
    </row>
    <row r="114" spans="1:18" x14ac:dyDescent="0.25">
      <c r="A114" s="1">
        <v>1168.2</v>
      </c>
      <c r="B114" s="1" t="s">
        <v>626</v>
      </c>
      <c r="C114" s="1">
        <v>9259</v>
      </c>
      <c r="D114" s="93" t="s">
        <v>7</v>
      </c>
      <c r="E114" s="1" t="s">
        <v>627</v>
      </c>
      <c r="G114" s="97">
        <v>0</v>
      </c>
      <c r="I114" s="1">
        <v>26.69</v>
      </c>
      <c r="J114" s="1">
        <v>1.1100000000000001</v>
      </c>
      <c r="K114" s="1">
        <v>1.87</v>
      </c>
      <c r="L114" s="1">
        <v>0.63</v>
      </c>
      <c r="M114" s="1">
        <v>7.5</v>
      </c>
      <c r="N114" s="1">
        <v>0</v>
      </c>
      <c r="O114" s="1">
        <v>69.7</v>
      </c>
      <c r="P114" s="1">
        <f t="shared" si="2"/>
        <v>62.2</v>
      </c>
      <c r="Q114" s="1">
        <v>262</v>
      </c>
      <c r="R114" s="1">
        <f t="shared" si="3"/>
        <v>276.95</v>
      </c>
    </row>
    <row r="115" spans="1:18" x14ac:dyDescent="0.25">
      <c r="A115" s="1">
        <v>1168.22</v>
      </c>
      <c r="B115" s="1" t="s">
        <v>628</v>
      </c>
      <c r="C115" s="1" t="s">
        <v>629</v>
      </c>
      <c r="D115" s="93" t="s">
        <v>390</v>
      </c>
      <c r="E115" s="1" t="s">
        <v>630</v>
      </c>
      <c r="G115" s="97">
        <v>0</v>
      </c>
      <c r="I115" s="1">
        <v>10.7</v>
      </c>
      <c r="J115" s="1">
        <v>1.6</v>
      </c>
      <c r="K115" s="1">
        <v>2.2999999999999998</v>
      </c>
      <c r="L115" s="1">
        <v>0.3</v>
      </c>
      <c r="M115" s="1">
        <v>6.9</v>
      </c>
      <c r="N115" s="1">
        <v>0</v>
      </c>
      <c r="O115" s="1">
        <v>70.099999999999994</v>
      </c>
      <c r="P115" s="1">
        <f t="shared" si="2"/>
        <v>78.2</v>
      </c>
      <c r="Q115" s="1">
        <v>307</v>
      </c>
      <c r="R115" s="1">
        <f t="shared" si="3"/>
        <v>338.5</v>
      </c>
    </row>
    <row r="116" spans="1:18" x14ac:dyDescent="0.25">
      <c r="A116" s="1">
        <v>1168.99</v>
      </c>
      <c r="B116" s="1" t="s">
        <v>631</v>
      </c>
      <c r="C116" s="1">
        <v>9188</v>
      </c>
      <c r="D116" s="93" t="s">
        <v>7</v>
      </c>
      <c r="E116" s="1" t="s">
        <v>632</v>
      </c>
      <c r="G116" s="97">
        <v>0</v>
      </c>
      <c r="I116" s="1">
        <v>31.18</v>
      </c>
      <c r="J116" s="1">
        <v>1.82</v>
      </c>
      <c r="K116" s="1">
        <v>2.46</v>
      </c>
      <c r="L116" s="1">
        <v>0.49</v>
      </c>
      <c r="M116" s="1">
        <v>7.8</v>
      </c>
      <c r="N116" s="1">
        <v>0</v>
      </c>
      <c r="O116" s="1">
        <v>64.06</v>
      </c>
      <c r="P116" s="1">
        <f t="shared" si="2"/>
        <v>56.250000000000014</v>
      </c>
      <c r="Q116" s="1">
        <v>243</v>
      </c>
      <c r="R116" s="1">
        <f t="shared" si="3"/>
        <v>254.85000000000005</v>
      </c>
    </row>
    <row r="117" spans="1:18" x14ac:dyDescent="0.25">
      <c r="A117" s="1">
        <v>1169.01</v>
      </c>
      <c r="B117" s="1" t="s">
        <v>633</v>
      </c>
      <c r="C117" s="1">
        <v>9187</v>
      </c>
      <c r="D117" s="93" t="s">
        <v>7</v>
      </c>
      <c r="E117" s="1" t="s">
        <v>634</v>
      </c>
      <c r="G117" s="97">
        <v>0</v>
      </c>
      <c r="I117" s="1">
        <v>80.56</v>
      </c>
      <c r="J117" s="1">
        <v>0.21</v>
      </c>
      <c r="K117" s="1">
        <v>0.37</v>
      </c>
      <c r="L117" s="1">
        <v>0.1</v>
      </c>
      <c r="M117" s="1">
        <v>1</v>
      </c>
      <c r="N117" s="1">
        <v>0</v>
      </c>
      <c r="O117" s="1">
        <v>18.760000000000002</v>
      </c>
      <c r="P117" s="1">
        <f t="shared" si="2"/>
        <v>17.759999999999994</v>
      </c>
      <c r="Q117" s="1">
        <v>72</v>
      </c>
      <c r="R117" s="1">
        <f t="shared" si="3"/>
        <v>75.419999999999973</v>
      </c>
    </row>
    <row r="118" spans="1:18" x14ac:dyDescent="0.25">
      <c r="A118" s="1">
        <v>1169.02</v>
      </c>
      <c r="B118" s="1" t="s">
        <v>635</v>
      </c>
      <c r="C118" s="1">
        <v>9189</v>
      </c>
      <c r="D118" s="93" t="s">
        <v>7</v>
      </c>
      <c r="E118" s="1" t="s">
        <v>636</v>
      </c>
      <c r="G118" s="97">
        <v>0</v>
      </c>
      <c r="I118" s="1">
        <v>73.73</v>
      </c>
      <c r="J118" s="1">
        <v>3.43</v>
      </c>
      <c r="K118" s="1">
        <v>1.42</v>
      </c>
      <c r="L118" s="1">
        <v>0.18</v>
      </c>
      <c r="M118" s="1">
        <v>1.9</v>
      </c>
      <c r="N118" s="1">
        <v>0</v>
      </c>
      <c r="O118" s="1">
        <v>24.23</v>
      </c>
      <c r="P118" s="1">
        <f t="shared" si="2"/>
        <v>19.339999999999996</v>
      </c>
      <c r="Q118" s="1">
        <v>98</v>
      </c>
      <c r="R118" s="1">
        <f t="shared" si="3"/>
        <v>88.45999999999998</v>
      </c>
    </row>
    <row r="119" spans="1:18" x14ac:dyDescent="0.25">
      <c r="A119" s="1">
        <v>1169.08</v>
      </c>
      <c r="B119" s="1" t="s">
        <v>637</v>
      </c>
      <c r="C119" s="1">
        <v>9187</v>
      </c>
      <c r="D119" s="93" t="s">
        <v>7</v>
      </c>
      <c r="E119" s="1" t="s">
        <v>634</v>
      </c>
      <c r="G119" s="97">
        <v>0</v>
      </c>
      <c r="I119" s="1">
        <v>80.56</v>
      </c>
      <c r="J119" s="1">
        <v>0.21</v>
      </c>
      <c r="K119" s="1">
        <v>0.37</v>
      </c>
      <c r="L119" s="1">
        <v>0.1</v>
      </c>
      <c r="M119" s="1">
        <v>1</v>
      </c>
      <c r="N119" s="1">
        <v>0</v>
      </c>
      <c r="O119" s="1">
        <v>18.760000000000002</v>
      </c>
      <c r="P119" s="1">
        <f t="shared" si="2"/>
        <v>17.759999999999994</v>
      </c>
      <c r="Q119" s="1">
        <v>72</v>
      </c>
      <c r="R119" s="1">
        <f t="shared" si="3"/>
        <v>75.419999999999973</v>
      </c>
    </row>
    <row r="120" spans="1:18" x14ac:dyDescent="0.25">
      <c r="A120" s="1">
        <v>1169.99</v>
      </c>
      <c r="B120" s="1" t="s">
        <v>226</v>
      </c>
      <c r="C120" s="1" t="s">
        <v>7</v>
      </c>
      <c r="D120" s="93" t="s">
        <v>463</v>
      </c>
      <c r="E120" s="1" t="s">
        <v>464</v>
      </c>
      <c r="G120" s="97">
        <v>0</v>
      </c>
      <c r="I120" s="1">
        <v>66.930000000000007</v>
      </c>
      <c r="J120" s="1">
        <v>1.44</v>
      </c>
      <c r="K120" s="1">
        <v>9.1300000000000008</v>
      </c>
      <c r="L120" s="1">
        <v>0.09</v>
      </c>
      <c r="M120" s="1">
        <v>9.3000000000000007</v>
      </c>
      <c r="N120" s="1">
        <v>0</v>
      </c>
      <c r="O120" s="1">
        <v>13.109999999999992</v>
      </c>
      <c r="P120" s="1">
        <f t="shared" si="2"/>
        <v>13.109999999999992</v>
      </c>
      <c r="Q120" s="1">
        <v>124</v>
      </c>
      <c r="R120" s="1">
        <f t="shared" si="3"/>
        <v>108.36999999999998</v>
      </c>
    </row>
    <row r="121" spans="1:18" x14ac:dyDescent="0.25">
      <c r="A121" s="1">
        <v>1169.99</v>
      </c>
      <c r="B121" s="1" t="s">
        <v>226</v>
      </c>
      <c r="C121" s="1" t="s">
        <v>7</v>
      </c>
      <c r="D121" s="93">
        <v>12635</v>
      </c>
      <c r="E121" s="1" t="s">
        <v>638</v>
      </c>
      <c r="G121" s="97">
        <v>0</v>
      </c>
      <c r="I121" s="1">
        <v>1.75</v>
      </c>
      <c r="J121" s="1">
        <v>4.1500000000000004</v>
      </c>
      <c r="K121" s="1">
        <v>17.3</v>
      </c>
      <c r="L121" s="1">
        <v>51.45</v>
      </c>
      <c r="M121" s="1">
        <v>9</v>
      </c>
      <c r="N121" s="1">
        <v>0</v>
      </c>
      <c r="O121" s="1">
        <v>25.35</v>
      </c>
      <c r="P121" s="1">
        <f t="shared" si="2"/>
        <v>16.349999999999994</v>
      </c>
      <c r="Q121" s="1">
        <v>594</v>
      </c>
      <c r="R121" s="1">
        <f t="shared" si="3"/>
        <v>615.65</v>
      </c>
    </row>
    <row r="122" spans="1:18" x14ac:dyDescent="0.25">
      <c r="A122" s="1">
        <v>1171.01</v>
      </c>
      <c r="B122" s="1" t="s">
        <v>227</v>
      </c>
      <c r="C122" s="1" t="s">
        <v>390</v>
      </c>
      <c r="D122" s="93" t="s">
        <v>639</v>
      </c>
      <c r="E122" s="1" t="s">
        <v>640</v>
      </c>
      <c r="G122" s="97">
        <v>0.3</v>
      </c>
      <c r="I122" s="1">
        <v>94.5</v>
      </c>
      <c r="J122" s="1">
        <v>0.8</v>
      </c>
      <c r="K122" s="1">
        <v>1</v>
      </c>
      <c r="L122" s="1">
        <v>0.2</v>
      </c>
      <c r="M122" s="1">
        <v>1.2</v>
      </c>
      <c r="N122" s="1">
        <v>0</v>
      </c>
      <c r="O122" s="1">
        <v>2.2999999999999998</v>
      </c>
      <c r="P122" s="1">
        <f t="shared" si="2"/>
        <v>2.2999999999999998</v>
      </c>
      <c r="Q122" s="1">
        <v>18</v>
      </c>
      <c r="R122" s="1">
        <f t="shared" si="3"/>
        <v>17.399999999999999</v>
      </c>
    </row>
    <row r="123" spans="1:18" x14ac:dyDescent="0.25">
      <c r="A123" s="1">
        <v>1171.02</v>
      </c>
      <c r="B123" s="1" t="s">
        <v>228</v>
      </c>
      <c r="C123" s="1" t="s">
        <v>390</v>
      </c>
      <c r="D123" s="93" t="s">
        <v>426</v>
      </c>
      <c r="E123" s="1" t="s">
        <v>427</v>
      </c>
      <c r="G123" s="97">
        <v>0.28000000000000003</v>
      </c>
      <c r="I123" s="1">
        <v>90.9</v>
      </c>
      <c r="J123" s="1">
        <v>1.8</v>
      </c>
      <c r="K123" s="1">
        <v>2.8</v>
      </c>
      <c r="L123" s="1">
        <v>0.6</v>
      </c>
      <c r="M123" s="1">
        <v>2.2000000000000002</v>
      </c>
      <c r="N123" s="1">
        <v>0</v>
      </c>
      <c r="O123" s="1">
        <v>1.6999999999999944</v>
      </c>
      <c r="P123" s="1">
        <f t="shared" si="2"/>
        <v>1.6999999999999944</v>
      </c>
      <c r="Q123" s="1">
        <v>28</v>
      </c>
      <c r="R123" s="1">
        <f t="shared" si="3"/>
        <v>27.799999999999976</v>
      </c>
    </row>
    <row r="124" spans="1:18" x14ac:dyDescent="0.25">
      <c r="A124" s="1">
        <v>1171.03</v>
      </c>
      <c r="B124" s="1" t="s">
        <v>643</v>
      </c>
      <c r="C124" s="1">
        <v>11143</v>
      </c>
      <c r="D124" s="93" t="s">
        <v>7</v>
      </c>
      <c r="E124" s="1" t="s">
        <v>644</v>
      </c>
      <c r="G124" s="97">
        <v>0</v>
      </c>
      <c r="I124" s="1">
        <v>95.43</v>
      </c>
      <c r="J124" s="1">
        <v>0.75</v>
      </c>
      <c r="K124" s="1">
        <v>0.69</v>
      </c>
      <c r="L124" s="1">
        <v>0.17</v>
      </c>
      <c r="M124" s="1">
        <v>1.6</v>
      </c>
      <c r="N124" s="1">
        <v>0</v>
      </c>
      <c r="O124" s="1">
        <v>2.97</v>
      </c>
      <c r="P124" s="1">
        <f t="shared" si="2"/>
        <v>1.3599999999999932</v>
      </c>
      <c r="Q124" s="1">
        <v>16</v>
      </c>
      <c r="R124" s="1">
        <f t="shared" si="3"/>
        <v>12.929999999999973</v>
      </c>
    </row>
    <row r="125" spans="1:18" x14ac:dyDescent="0.25">
      <c r="A125" s="1">
        <v>1171.99</v>
      </c>
      <c r="B125" s="1" t="s">
        <v>645</v>
      </c>
      <c r="C125" s="1">
        <v>11291</v>
      </c>
      <c r="D125" s="93" t="s">
        <v>7</v>
      </c>
      <c r="E125" s="1" t="s">
        <v>646</v>
      </c>
      <c r="G125" s="97">
        <v>0</v>
      </c>
      <c r="I125" s="1">
        <v>89.83</v>
      </c>
      <c r="J125" s="1">
        <v>0.81</v>
      </c>
      <c r="K125" s="1">
        <v>1.83</v>
      </c>
      <c r="L125" s="1">
        <v>0.19</v>
      </c>
      <c r="M125" s="1">
        <v>2.6</v>
      </c>
      <c r="N125" s="1">
        <v>0</v>
      </c>
      <c r="O125" s="1">
        <v>7.34</v>
      </c>
      <c r="P125" s="1">
        <f t="shared" si="2"/>
        <v>4.74</v>
      </c>
      <c r="Q125" s="1">
        <v>32</v>
      </c>
      <c r="R125" s="1">
        <f t="shared" si="3"/>
        <v>33.19</v>
      </c>
    </row>
    <row r="126" spans="1:18" x14ac:dyDescent="0.25">
      <c r="A126" s="1">
        <v>1172.01</v>
      </c>
      <c r="B126" s="1" t="s">
        <v>647</v>
      </c>
      <c r="C126" s="1">
        <v>11090</v>
      </c>
      <c r="D126" s="93" t="s">
        <v>7</v>
      </c>
      <c r="E126" s="1" t="s">
        <v>648</v>
      </c>
      <c r="G126" s="97">
        <v>0</v>
      </c>
      <c r="I126" s="1">
        <v>89.3</v>
      </c>
      <c r="J126" s="1">
        <v>0.87</v>
      </c>
      <c r="K126" s="1">
        <v>2.82</v>
      </c>
      <c r="L126" s="1">
        <v>0.37</v>
      </c>
      <c r="M126" s="1">
        <v>2.6</v>
      </c>
      <c r="N126" s="1">
        <v>0</v>
      </c>
      <c r="O126" s="1">
        <v>6.64</v>
      </c>
      <c r="P126" s="1">
        <f t="shared" si="2"/>
        <v>4.0400000000000027</v>
      </c>
      <c r="Q126" s="1">
        <v>34</v>
      </c>
      <c r="R126" s="1">
        <f t="shared" si="3"/>
        <v>35.970000000000013</v>
      </c>
    </row>
    <row r="127" spans="1:18" x14ac:dyDescent="0.25">
      <c r="A127" s="1">
        <v>1172.02</v>
      </c>
      <c r="B127" s="1" t="s">
        <v>154</v>
      </c>
      <c r="C127" s="1" t="s">
        <v>390</v>
      </c>
      <c r="D127" s="93" t="s">
        <v>424</v>
      </c>
      <c r="E127" s="1" t="s">
        <v>425</v>
      </c>
      <c r="G127" s="97">
        <v>0.2</v>
      </c>
      <c r="I127" s="1">
        <v>91.2</v>
      </c>
      <c r="J127" s="1">
        <v>0.8</v>
      </c>
      <c r="K127" s="1">
        <v>1.6</v>
      </c>
      <c r="L127" s="1">
        <v>0.1</v>
      </c>
      <c r="M127" s="1">
        <v>2.6</v>
      </c>
      <c r="N127" s="1">
        <v>0</v>
      </c>
      <c r="O127" s="1">
        <v>3.6999999999999971</v>
      </c>
      <c r="P127" s="1">
        <f t="shared" si="2"/>
        <v>3.6999999999999971</v>
      </c>
      <c r="Q127" s="1">
        <v>28</v>
      </c>
      <c r="R127" s="1">
        <f t="shared" si="3"/>
        <v>27.29999999999999</v>
      </c>
    </row>
    <row r="128" spans="1:18" x14ac:dyDescent="0.25">
      <c r="A128" s="1">
        <v>1172.03</v>
      </c>
      <c r="B128" s="1" t="s">
        <v>649</v>
      </c>
      <c r="C128" s="1">
        <v>1135</v>
      </c>
      <c r="D128" s="93" t="s">
        <v>7</v>
      </c>
      <c r="E128" s="1" t="s">
        <v>650</v>
      </c>
      <c r="G128" s="97">
        <v>0</v>
      </c>
      <c r="I128" s="1">
        <v>92.07</v>
      </c>
      <c r="J128" s="1">
        <v>0.76</v>
      </c>
      <c r="K128" s="1">
        <v>1.92</v>
      </c>
      <c r="L128" s="1">
        <v>0.28000000000000003</v>
      </c>
      <c r="M128" s="1">
        <v>2</v>
      </c>
      <c r="N128" s="1">
        <v>0</v>
      </c>
      <c r="O128" s="1">
        <v>4.97</v>
      </c>
      <c r="P128" s="1">
        <f t="shared" si="2"/>
        <v>2.9700000000000069</v>
      </c>
      <c r="Q128" s="1">
        <v>25</v>
      </c>
      <c r="R128" s="1">
        <f t="shared" si="3"/>
        <v>26.080000000000027</v>
      </c>
    </row>
    <row r="129" spans="1:18" x14ac:dyDescent="0.25">
      <c r="A129" s="1">
        <v>1172.04</v>
      </c>
      <c r="B129" s="1" t="s">
        <v>651</v>
      </c>
      <c r="C129" s="41">
        <v>111098</v>
      </c>
      <c r="D129" s="93" t="s">
        <v>7</v>
      </c>
      <c r="E129" s="1" t="s">
        <v>652</v>
      </c>
      <c r="G129" s="97">
        <v>0</v>
      </c>
      <c r="I129" s="93">
        <v>86</v>
      </c>
      <c r="J129" s="93">
        <v>1.37</v>
      </c>
      <c r="K129" s="93">
        <v>3.38</v>
      </c>
      <c r="L129" s="93">
        <v>0.3</v>
      </c>
      <c r="M129" s="93">
        <v>3.8</v>
      </c>
      <c r="N129" s="93">
        <v>0</v>
      </c>
      <c r="O129" s="93">
        <v>8.9499999999999993</v>
      </c>
      <c r="P129" s="1">
        <f t="shared" si="2"/>
        <v>5.1499999999999995</v>
      </c>
      <c r="Q129" s="93">
        <v>43</v>
      </c>
      <c r="R129" s="1">
        <f t="shared" si="3"/>
        <v>44.42</v>
      </c>
    </row>
    <row r="130" spans="1:18" x14ac:dyDescent="0.25">
      <c r="A130" s="1">
        <v>1173.01</v>
      </c>
      <c r="B130" s="1" t="s">
        <v>653</v>
      </c>
      <c r="C130" s="41">
        <v>11209</v>
      </c>
      <c r="D130" s="93" t="s">
        <v>7</v>
      </c>
      <c r="E130" s="1" t="s">
        <v>654</v>
      </c>
      <c r="G130" s="97">
        <v>0</v>
      </c>
      <c r="I130" s="93">
        <v>92.41</v>
      </c>
      <c r="J130" s="93">
        <v>0.7</v>
      </c>
      <c r="K130" s="93">
        <v>0.01</v>
      </c>
      <c r="L130" s="93">
        <v>0.19</v>
      </c>
      <c r="M130" s="93">
        <v>3.4</v>
      </c>
      <c r="N130" s="93">
        <v>0</v>
      </c>
      <c r="O130" s="93">
        <v>5.7</v>
      </c>
      <c r="P130" s="1">
        <f t="shared" si="2"/>
        <v>3.2900000000000031</v>
      </c>
      <c r="Q130" s="93">
        <v>24</v>
      </c>
      <c r="R130" s="1">
        <f t="shared" si="3"/>
        <v>21.710000000000015</v>
      </c>
    </row>
    <row r="131" spans="1:18" x14ac:dyDescent="0.25">
      <c r="A131" s="1">
        <v>1173.02</v>
      </c>
      <c r="B131" s="1" t="s">
        <v>229</v>
      </c>
      <c r="C131" s="41" t="s">
        <v>390</v>
      </c>
      <c r="D131" s="93" t="s">
        <v>432</v>
      </c>
      <c r="E131" s="1" t="s">
        <v>433</v>
      </c>
      <c r="G131" s="97">
        <v>0.17</v>
      </c>
      <c r="I131" s="93">
        <v>87.9</v>
      </c>
      <c r="J131" s="93">
        <v>1.2</v>
      </c>
      <c r="K131" s="93">
        <v>3.1</v>
      </c>
      <c r="L131" s="93">
        <v>0.2</v>
      </c>
      <c r="M131" s="93">
        <v>2.5</v>
      </c>
      <c r="N131" s="93">
        <v>0</v>
      </c>
      <c r="O131" s="93">
        <v>5.0999999999999952</v>
      </c>
      <c r="P131" s="1">
        <f t="shared" ref="P131:P194" si="4">100-I131-J131-K131-L131-M131-N131</f>
        <v>5.0999999999999952</v>
      </c>
      <c r="Q131" s="93">
        <v>40</v>
      </c>
      <c r="R131" s="1">
        <f t="shared" ref="R131:R194" si="5">K131*4+L131*9+M131*2+N131*7+P131*4</f>
        <v>39.59999999999998</v>
      </c>
    </row>
    <row r="132" spans="1:18" x14ac:dyDescent="0.25">
      <c r="A132" s="1">
        <v>1173.03</v>
      </c>
      <c r="B132" s="1" t="s">
        <v>230</v>
      </c>
      <c r="C132" s="41" t="s">
        <v>390</v>
      </c>
      <c r="D132" s="93" t="s">
        <v>430</v>
      </c>
      <c r="E132" s="1" t="s">
        <v>431</v>
      </c>
      <c r="G132" s="97">
        <v>0.19</v>
      </c>
      <c r="I132" s="93">
        <v>95.5</v>
      </c>
      <c r="J132" s="93">
        <v>0.5</v>
      </c>
      <c r="K132" s="93">
        <v>0.7</v>
      </c>
      <c r="L132" s="93">
        <v>0.1</v>
      </c>
      <c r="M132" s="93">
        <v>0.7</v>
      </c>
      <c r="N132" s="93">
        <v>0</v>
      </c>
      <c r="O132" s="93">
        <v>2.5</v>
      </c>
      <c r="P132" s="1">
        <f t="shared" si="4"/>
        <v>2.5</v>
      </c>
      <c r="Q132" s="93">
        <v>15</v>
      </c>
      <c r="R132" s="1">
        <f t="shared" si="5"/>
        <v>15.1</v>
      </c>
    </row>
    <row r="133" spans="1:18" x14ac:dyDescent="0.25">
      <c r="A133" s="1">
        <v>1173.04</v>
      </c>
      <c r="B133" s="1" t="s">
        <v>231</v>
      </c>
      <c r="C133" s="41" t="s">
        <v>390</v>
      </c>
      <c r="D133" s="93" t="s">
        <v>428</v>
      </c>
      <c r="E133" s="1" t="s">
        <v>429</v>
      </c>
      <c r="G133" s="97">
        <v>0.17</v>
      </c>
      <c r="I133" s="93">
        <v>92.2</v>
      </c>
      <c r="J133" s="93">
        <v>0.5</v>
      </c>
      <c r="K133" s="93">
        <v>0.9</v>
      </c>
      <c r="L133" s="93">
        <v>0.2</v>
      </c>
      <c r="M133" s="93">
        <v>2</v>
      </c>
      <c r="N133" s="93">
        <v>0</v>
      </c>
      <c r="O133" s="93">
        <v>4.1999999999999966</v>
      </c>
      <c r="P133" s="1">
        <f t="shared" si="4"/>
        <v>4.1999999999999966</v>
      </c>
      <c r="Q133" s="93">
        <v>26</v>
      </c>
      <c r="R133" s="1">
        <f t="shared" si="5"/>
        <v>26.199999999999989</v>
      </c>
    </row>
    <row r="134" spans="1:18" x14ac:dyDescent="0.25">
      <c r="A134" s="1">
        <v>1173.05</v>
      </c>
      <c r="B134" s="1" t="s">
        <v>658</v>
      </c>
      <c r="C134" s="41" t="s">
        <v>390</v>
      </c>
      <c r="D134" s="93" t="s">
        <v>434</v>
      </c>
      <c r="E134" s="1" t="s">
        <v>435</v>
      </c>
      <c r="G134" s="97">
        <v>0.73</v>
      </c>
      <c r="I134" s="93">
        <v>87.3</v>
      </c>
      <c r="J134" s="93">
        <v>0.7</v>
      </c>
      <c r="K134" s="93">
        <v>1.9</v>
      </c>
      <c r="L134" s="93">
        <v>0.3</v>
      </c>
      <c r="M134" s="93">
        <v>2.2000000000000002</v>
      </c>
      <c r="N134" s="93">
        <v>0</v>
      </c>
      <c r="O134" s="93">
        <v>7.6000000000000023</v>
      </c>
      <c r="P134" s="1">
        <f t="shared" si="4"/>
        <v>7.6000000000000023</v>
      </c>
      <c r="Q134" s="93">
        <v>45</v>
      </c>
      <c r="R134" s="1">
        <f t="shared" si="5"/>
        <v>45.100000000000009</v>
      </c>
    </row>
    <row r="135" spans="1:18" x14ac:dyDescent="0.25">
      <c r="A135" s="1">
        <v>1173.06</v>
      </c>
      <c r="B135" s="1" t="s">
        <v>232</v>
      </c>
      <c r="C135" s="41" t="s">
        <v>7</v>
      </c>
      <c r="D135" s="93">
        <v>11900</v>
      </c>
      <c r="E135" s="1" t="s">
        <v>660</v>
      </c>
      <c r="G135" s="97">
        <v>0</v>
      </c>
      <c r="I135" s="93">
        <v>75.959999999999994</v>
      </c>
      <c r="J135" s="93">
        <v>0.62</v>
      </c>
      <c r="K135" s="93">
        <v>3.22</v>
      </c>
      <c r="L135" s="93">
        <v>1.18</v>
      </c>
      <c r="M135" s="93">
        <v>2.7</v>
      </c>
      <c r="N135" s="93">
        <v>0</v>
      </c>
      <c r="O135" s="93">
        <v>16.320000000000007</v>
      </c>
      <c r="P135" s="1">
        <f t="shared" si="4"/>
        <v>16.320000000000007</v>
      </c>
      <c r="Q135" s="93">
        <v>86</v>
      </c>
      <c r="R135" s="1">
        <f t="shared" si="5"/>
        <v>94.180000000000035</v>
      </c>
    </row>
    <row r="136" spans="1:18" x14ac:dyDescent="0.25">
      <c r="A136" s="1">
        <v>1173.07</v>
      </c>
      <c r="B136" s="1" t="s">
        <v>233</v>
      </c>
      <c r="C136" s="41" t="s">
        <v>7</v>
      </c>
      <c r="D136" s="93">
        <v>11304</v>
      </c>
      <c r="E136" s="1" t="s">
        <v>661</v>
      </c>
      <c r="G136" s="97">
        <v>0</v>
      </c>
      <c r="I136" s="93">
        <v>78.86</v>
      </c>
      <c r="J136" s="93">
        <v>0.87</v>
      </c>
      <c r="K136" s="93">
        <v>5.42</v>
      </c>
      <c r="L136" s="93">
        <v>0.4</v>
      </c>
      <c r="M136" s="93">
        <v>5.0999999999999996</v>
      </c>
      <c r="N136" s="93">
        <v>0</v>
      </c>
      <c r="O136" s="93">
        <v>9.35</v>
      </c>
      <c r="P136" s="1">
        <f t="shared" si="4"/>
        <v>9.35</v>
      </c>
      <c r="Q136" s="93">
        <v>81</v>
      </c>
      <c r="R136" s="1">
        <f t="shared" si="5"/>
        <v>72.88</v>
      </c>
    </row>
    <row r="137" spans="1:18" x14ac:dyDescent="0.25">
      <c r="A137" s="1">
        <v>1173.08</v>
      </c>
      <c r="B137" s="1" t="s">
        <v>234</v>
      </c>
      <c r="C137" s="41" t="s">
        <v>390</v>
      </c>
      <c r="D137" s="93" t="s">
        <v>436</v>
      </c>
      <c r="E137" s="1" t="s">
        <v>437</v>
      </c>
      <c r="G137" s="97">
        <v>0.7</v>
      </c>
      <c r="I137" s="93">
        <v>91.9</v>
      </c>
      <c r="J137" s="93">
        <v>0.7</v>
      </c>
      <c r="K137" s="93">
        <v>1</v>
      </c>
      <c r="L137" s="93">
        <v>0.1</v>
      </c>
      <c r="M137" s="93">
        <v>0.8</v>
      </c>
      <c r="N137" s="93">
        <v>0</v>
      </c>
      <c r="O137" s="93">
        <v>5.4999999999999947</v>
      </c>
      <c r="P137" s="1">
        <f t="shared" si="4"/>
        <v>5.4999999999999947</v>
      </c>
      <c r="Q137" s="93">
        <v>29</v>
      </c>
      <c r="R137" s="1">
        <f t="shared" si="5"/>
        <v>28.499999999999979</v>
      </c>
    </row>
    <row r="138" spans="1:18" x14ac:dyDescent="0.25">
      <c r="A138" s="1">
        <v>1173.0899999999999</v>
      </c>
      <c r="B138" s="1" t="s">
        <v>235</v>
      </c>
      <c r="C138" s="41" t="s">
        <v>390</v>
      </c>
      <c r="D138" s="93" t="s">
        <v>438</v>
      </c>
      <c r="E138" s="1" t="s">
        <v>439</v>
      </c>
      <c r="G138" s="97">
        <v>0.09</v>
      </c>
      <c r="I138" s="93">
        <v>93.5</v>
      </c>
      <c r="J138" s="93">
        <v>0.6</v>
      </c>
      <c r="K138" s="93">
        <v>1</v>
      </c>
      <c r="L138" s="93">
        <v>0.2</v>
      </c>
      <c r="M138" s="93">
        <v>1.4</v>
      </c>
      <c r="N138" s="93">
        <v>0</v>
      </c>
      <c r="O138" s="93">
        <v>3.3000000000000003</v>
      </c>
      <c r="P138" s="1">
        <f t="shared" si="4"/>
        <v>3.3000000000000003</v>
      </c>
      <c r="Q138" s="93">
        <v>22</v>
      </c>
      <c r="R138" s="1">
        <f t="shared" si="5"/>
        <v>21.8</v>
      </c>
    </row>
    <row r="139" spans="1:18" x14ac:dyDescent="0.25">
      <c r="A139" s="1">
        <v>1174.01</v>
      </c>
      <c r="B139" s="1" t="s">
        <v>664</v>
      </c>
      <c r="C139" s="41">
        <v>11011</v>
      </c>
      <c r="D139" s="93" t="s">
        <v>7</v>
      </c>
      <c r="E139" s="1" t="s">
        <v>665</v>
      </c>
      <c r="G139" s="97">
        <v>0</v>
      </c>
      <c r="I139" s="93">
        <v>93.22</v>
      </c>
      <c r="J139" s="93">
        <v>0.57999999999999996</v>
      </c>
      <c r="K139" s="93">
        <v>2.2000000000000002</v>
      </c>
      <c r="L139" s="93">
        <v>0.12</v>
      </c>
      <c r="M139" s="93">
        <v>2.1</v>
      </c>
      <c r="N139" s="93">
        <v>0</v>
      </c>
      <c r="O139" s="93">
        <v>3.88</v>
      </c>
      <c r="P139" s="1">
        <f t="shared" si="4"/>
        <v>1.7800000000000007</v>
      </c>
      <c r="Q139" s="93">
        <v>20</v>
      </c>
      <c r="R139" s="1">
        <f t="shared" si="5"/>
        <v>21.200000000000003</v>
      </c>
    </row>
    <row r="140" spans="1:18" x14ac:dyDescent="0.25">
      <c r="A140" s="1">
        <v>1174.02</v>
      </c>
      <c r="B140" s="1" t="s">
        <v>236</v>
      </c>
      <c r="C140" s="41">
        <v>2005</v>
      </c>
      <c r="D140" s="93" t="s">
        <v>584</v>
      </c>
      <c r="E140" s="1" t="s">
        <v>666</v>
      </c>
      <c r="G140" s="97">
        <v>0.15</v>
      </c>
      <c r="I140" s="93">
        <v>86.1</v>
      </c>
      <c r="J140" s="93">
        <v>1.4</v>
      </c>
      <c r="K140" s="93">
        <v>2.17</v>
      </c>
      <c r="L140" s="93">
        <v>0.1</v>
      </c>
      <c r="M140" s="93">
        <v>3.31</v>
      </c>
      <c r="N140" s="93">
        <v>0</v>
      </c>
      <c r="O140" s="93">
        <v>6.9</v>
      </c>
      <c r="P140" s="1">
        <f t="shared" si="4"/>
        <v>6.9200000000000053</v>
      </c>
      <c r="Q140" s="93">
        <v>44</v>
      </c>
      <c r="R140" s="1">
        <f t="shared" si="5"/>
        <v>43.880000000000024</v>
      </c>
    </row>
    <row r="141" spans="1:18" x14ac:dyDescent="0.25">
      <c r="A141" s="1">
        <v>1174.03</v>
      </c>
      <c r="B141" s="1" t="s">
        <v>237</v>
      </c>
      <c r="C141" s="41" t="s">
        <v>390</v>
      </c>
      <c r="D141" s="93" t="s">
        <v>440</v>
      </c>
      <c r="E141" s="1" t="s">
        <v>441</v>
      </c>
      <c r="G141" s="97">
        <v>0.11</v>
      </c>
      <c r="I141" s="93">
        <v>88.8</v>
      </c>
      <c r="J141" s="93">
        <v>1.1000000000000001</v>
      </c>
      <c r="K141" s="93">
        <v>1</v>
      </c>
      <c r="L141" s="93">
        <v>0.3</v>
      </c>
      <c r="M141" s="93">
        <v>3.1</v>
      </c>
      <c r="N141" s="93">
        <v>0</v>
      </c>
      <c r="O141" s="93">
        <v>5.7000000000000028</v>
      </c>
      <c r="P141" s="1">
        <f t="shared" si="4"/>
        <v>5.7000000000000028</v>
      </c>
      <c r="Q141" s="93">
        <v>35</v>
      </c>
      <c r="R141" s="1">
        <f t="shared" si="5"/>
        <v>35.70000000000001</v>
      </c>
    </row>
    <row r="142" spans="1:18" x14ac:dyDescent="0.25">
      <c r="A142" s="1">
        <v>1174.05</v>
      </c>
      <c r="B142" s="1" t="s">
        <v>668</v>
      </c>
      <c r="C142" s="41">
        <v>4021</v>
      </c>
      <c r="D142" s="93" t="s">
        <v>584</v>
      </c>
      <c r="E142" s="1" t="s">
        <v>669</v>
      </c>
      <c r="G142" s="97">
        <v>0.45</v>
      </c>
      <c r="I142" s="93">
        <v>84.5</v>
      </c>
      <c r="J142" s="93">
        <v>0.8</v>
      </c>
      <c r="K142" s="93">
        <v>1.7</v>
      </c>
      <c r="L142" s="93">
        <v>0.4</v>
      </c>
      <c r="M142" s="93">
        <v>3.1</v>
      </c>
      <c r="N142" s="93">
        <v>0</v>
      </c>
      <c r="O142" s="93">
        <v>9.5</v>
      </c>
      <c r="P142" s="1">
        <f t="shared" si="4"/>
        <v>9.5</v>
      </c>
      <c r="Q142" s="93">
        <v>54</v>
      </c>
      <c r="R142" s="1">
        <f t="shared" si="5"/>
        <v>54.6</v>
      </c>
    </row>
    <row r="143" spans="1:18" x14ac:dyDescent="0.25">
      <c r="A143" s="1">
        <v>1174.06</v>
      </c>
      <c r="B143" s="1" t="s">
        <v>153</v>
      </c>
      <c r="C143" s="41" t="s">
        <v>390</v>
      </c>
      <c r="D143" s="93" t="s">
        <v>356</v>
      </c>
      <c r="E143" s="1" t="s">
        <v>148</v>
      </c>
      <c r="G143" s="97">
        <v>0.09</v>
      </c>
      <c r="I143" s="93">
        <v>89.5</v>
      </c>
      <c r="J143" s="93">
        <v>0.6</v>
      </c>
      <c r="K143" s="93">
        <v>1.1000000000000001</v>
      </c>
      <c r="L143" s="93">
        <v>0.1</v>
      </c>
      <c r="M143" s="93">
        <v>1.8</v>
      </c>
      <c r="N143" s="93">
        <v>0</v>
      </c>
      <c r="O143" s="93">
        <v>6.9000000000000012</v>
      </c>
      <c r="P143" s="1">
        <f t="shared" si="4"/>
        <v>6.9000000000000012</v>
      </c>
      <c r="Q143" s="93">
        <v>37</v>
      </c>
      <c r="R143" s="1">
        <f t="shared" si="5"/>
        <v>36.500000000000007</v>
      </c>
    </row>
    <row r="144" spans="1:18" x14ac:dyDescent="0.25">
      <c r="A144" s="1">
        <v>1174.08</v>
      </c>
      <c r="B144" s="1" t="s">
        <v>671</v>
      </c>
      <c r="C144" s="41" t="s">
        <v>672</v>
      </c>
      <c r="D144" s="93" t="s">
        <v>390</v>
      </c>
      <c r="E144" s="1" t="s">
        <v>673</v>
      </c>
      <c r="G144" s="97">
        <v>0</v>
      </c>
      <c r="I144" s="93">
        <v>73.5</v>
      </c>
      <c r="J144" s="93">
        <v>2.8</v>
      </c>
      <c r="K144" s="93">
        <v>4.3</v>
      </c>
      <c r="L144" s="93">
        <v>0.5</v>
      </c>
      <c r="M144" s="93">
        <v>4.0999999999999996</v>
      </c>
      <c r="N144" s="93">
        <v>0</v>
      </c>
      <c r="O144" s="93">
        <v>14.8</v>
      </c>
      <c r="P144" s="1">
        <f t="shared" si="4"/>
        <v>14.799999999999999</v>
      </c>
      <c r="Q144" s="93">
        <v>89</v>
      </c>
      <c r="R144" s="1">
        <f t="shared" si="5"/>
        <v>89.1</v>
      </c>
    </row>
    <row r="145" spans="1:18" x14ac:dyDescent="0.25">
      <c r="A145" s="1">
        <v>1174.0899999999999</v>
      </c>
      <c r="B145" s="1" t="s">
        <v>238</v>
      </c>
      <c r="C145" s="41">
        <v>11238</v>
      </c>
      <c r="D145" s="93" t="s">
        <v>7</v>
      </c>
      <c r="E145" s="1" t="s">
        <v>675</v>
      </c>
      <c r="G145" s="97">
        <v>0</v>
      </c>
      <c r="I145" s="93">
        <v>89.74</v>
      </c>
      <c r="J145" s="93">
        <v>0.73</v>
      </c>
      <c r="K145" s="93">
        <v>2.2400000000000002</v>
      </c>
      <c r="L145" s="93">
        <v>0.49</v>
      </c>
      <c r="M145" s="93">
        <v>2.5</v>
      </c>
      <c r="N145" s="93">
        <v>0</v>
      </c>
      <c r="O145" s="93">
        <v>6.79</v>
      </c>
      <c r="P145" s="1">
        <f t="shared" si="4"/>
        <v>4.3000000000000043</v>
      </c>
      <c r="Q145" s="93">
        <v>34</v>
      </c>
      <c r="R145" s="1">
        <f t="shared" si="5"/>
        <v>35.570000000000022</v>
      </c>
    </row>
    <row r="146" spans="1:18" x14ac:dyDescent="0.25">
      <c r="A146" s="1">
        <v>1175.01</v>
      </c>
      <c r="B146" s="1" t="s">
        <v>239</v>
      </c>
      <c r="C146" s="41" t="s">
        <v>390</v>
      </c>
      <c r="D146" s="93" t="s">
        <v>446</v>
      </c>
      <c r="E146" s="1" t="s">
        <v>447</v>
      </c>
      <c r="G146" s="97">
        <v>0</v>
      </c>
      <c r="I146" s="93">
        <v>8.9</v>
      </c>
      <c r="J146" s="93">
        <v>3.9</v>
      </c>
      <c r="K146" s="93">
        <v>22.1</v>
      </c>
      <c r="L146" s="93">
        <v>1.5</v>
      </c>
      <c r="M146" s="93">
        <v>10.3</v>
      </c>
      <c r="N146" s="93">
        <v>0</v>
      </c>
      <c r="O146" s="93">
        <v>53.3</v>
      </c>
      <c r="P146" s="1">
        <f t="shared" si="4"/>
        <v>53.3</v>
      </c>
      <c r="Q146" s="93">
        <v>335</v>
      </c>
      <c r="R146" s="1">
        <f t="shared" si="5"/>
        <v>335.7</v>
      </c>
    </row>
    <row r="147" spans="1:18" x14ac:dyDescent="0.25">
      <c r="A147" s="1">
        <v>1175.02</v>
      </c>
      <c r="B147" s="1" t="s">
        <v>677</v>
      </c>
      <c r="C147" s="41">
        <v>3010</v>
      </c>
      <c r="D147" s="93" t="s">
        <v>584</v>
      </c>
      <c r="E147" s="1" t="s">
        <v>678</v>
      </c>
      <c r="G147" s="97">
        <v>0</v>
      </c>
      <c r="I147" s="93">
        <v>9.9</v>
      </c>
      <c r="J147" s="93">
        <v>3.1</v>
      </c>
      <c r="K147" s="93">
        <v>22.3</v>
      </c>
      <c r="L147" s="93">
        <v>5.0999999999999996</v>
      </c>
      <c r="M147" s="93">
        <v>25.2</v>
      </c>
      <c r="N147" s="93">
        <v>0</v>
      </c>
      <c r="O147" s="93">
        <v>34.299999999999997</v>
      </c>
      <c r="P147" s="1">
        <f t="shared" si="4"/>
        <v>34.400000000000006</v>
      </c>
      <c r="Q147" s="93">
        <v>323</v>
      </c>
      <c r="R147" s="1">
        <f t="shared" si="5"/>
        <v>323.10000000000002</v>
      </c>
    </row>
    <row r="148" spans="1:18" x14ac:dyDescent="0.25">
      <c r="A148" s="1">
        <v>1175.03</v>
      </c>
      <c r="B148" s="1" t="s">
        <v>679</v>
      </c>
      <c r="C148" s="41" t="s">
        <v>680</v>
      </c>
      <c r="D148" s="93" t="s">
        <v>390</v>
      </c>
      <c r="E148" s="1" t="s">
        <v>679</v>
      </c>
      <c r="G148" s="97">
        <v>0.19</v>
      </c>
      <c r="I148" s="93">
        <v>91.3</v>
      </c>
      <c r="J148" s="93">
        <v>0.7</v>
      </c>
      <c r="K148" s="93">
        <v>0.9</v>
      </c>
      <c r="L148" s="93">
        <v>0.2</v>
      </c>
      <c r="M148" s="93">
        <v>2.5</v>
      </c>
      <c r="N148" s="93">
        <v>0</v>
      </c>
      <c r="O148" s="93">
        <v>4.4000000000000004</v>
      </c>
      <c r="P148" s="1">
        <f t="shared" si="4"/>
        <v>4.400000000000003</v>
      </c>
      <c r="Q148" s="93">
        <v>28</v>
      </c>
      <c r="R148" s="1">
        <f t="shared" si="5"/>
        <v>28.000000000000014</v>
      </c>
    </row>
    <row r="149" spans="1:18" x14ac:dyDescent="0.25">
      <c r="A149" s="1">
        <v>1175.0899999999999</v>
      </c>
      <c r="B149" s="1" t="s">
        <v>240</v>
      </c>
      <c r="C149" s="41" t="s">
        <v>390</v>
      </c>
      <c r="D149" s="93" t="s">
        <v>448</v>
      </c>
      <c r="E149" s="1" t="s">
        <v>449</v>
      </c>
      <c r="G149" s="97">
        <v>0</v>
      </c>
      <c r="I149" s="93">
        <v>10.3</v>
      </c>
      <c r="J149" s="93">
        <v>9.5</v>
      </c>
      <c r="K149" s="93">
        <v>24.4</v>
      </c>
      <c r="L149" s="93">
        <v>1.9</v>
      </c>
      <c r="M149" s="93">
        <v>24.1</v>
      </c>
      <c r="N149" s="93">
        <v>0</v>
      </c>
      <c r="O149" s="93">
        <v>29.800000000000004</v>
      </c>
      <c r="P149" s="1">
        <f t="shared" si="4"/>
        <v>29.800000000000004</v>
      </c>
      <c r="Q149" s="93">
        <v>282</v>
      </c>
      <c r="R149" s="1">
        <f t="shared" si="5"/>
        <v>282.10000000000002</v>
      </c>
    </row>
    <row r="150" spans="1:18" x14ac:dyDescent="0.25">
      <c r="A150" s="1">
        <v>1176.01</v>
      </c>
      <c r="B150" s="1" t="s">
        <v>241</v>
      </c>
      <c r="C150" s="41">
        <v>11941</v>
      </c>
      <c r="D150" s="93" t="s">
        <v>7</v>
      </c>
      <c r="E150" s="1" t="s">
        <v>683</v>
      </c>
      <c r="G150" s="97">
        <v>0</v>
      </c>
      <c r="I150" s="93">
        <v>94.08</v>
      </c>
      <c r="J150" s="93">
        <v>3.13</v>
      </c>
      <c r="K150" s="93">
        <v>0.33</v>
      </c>
      <c r="L150" s="93">
        <v>0.2</v>
      </c>
      <c r="M150" s="93">
        <v>1.2</v>
      </c>
      <c r="N150" s="93">
        <v>0</v>
      </c>
      <c r="O150" s="93">
        <v>2.2599999999999998</v>
      </c>
      <c r="P150" s="1">
        <f t="shared" si="4"/>
        <v>1.0600000000000016</v>
      </c>
      <c r="Q150" s="93">
        <v>11</v>
      </c>
      <c r="R150" s="1">
        <f t="shared" si="5"/>
        <v>9.7600000000000051</v>
      </c>
    </row>
    <row r="151" spans="1:18" x14ac:dyDescent="0.25">
      <c r="A151" s="1">
        <v>1177.01</v>
      </c>
      <c r="B151" s="1" t="s">
        <v>242</v>
      </c>
      <c r="C151" s="41" t="s">
        <v>390</v>
      </c>
      <c r="D151" s="93" t="s">
        <v>442</v>
      </c>
      <c r="E151" s="1" t="s">
        <v>443</v>
      </c>
      <c r="G151" s="97">
        <v>0.16</v>
      </c>
      <c r="I151" s="93">
        <v>77.8</v>
      </c>
      <c r="J151" s="93">
        <v>1.5</v>
      </c>
      <c r="K151" s="93">
        <v>1.9</v>
      </c>
      <c r="L151" s="93">
        <v>0.1</v>
      </c>
      <c r="M151" s="93">
        <v>1.8</v>
      </c>
      <c r="N151" s="93">
        <v>0</v>
      </c>
      <c r="O151" s="93">
        <v>16.900000000000002</v>
      </c>
      <c r="P151" s="1">
        <f t="shared" si="4"/>
        <v>16.900000000000002</v>
      </c>
      <c r="Q151" s="93">
        <v>80</v>
      </c>
      <c r="R151" s="1">
        <f t="shared" si="5"/>
        <v>79.7</v>
      </c>
    </row>
    <row r="152" spans="1:18" x14ac:dyDescent="0.25">
      <c r="A152" s="1">
        <v>1178.01</v>
      </c>
      <c r="B152" s="1" t="s">
        <v>243</v>
      </c>
      <c r="C152" s="41" t="s">
        <v>390</v>
      </c>
      <c r="D152" s="93" t="s">
        <v>444</v>
      </c>
      <c r="E152" s="1" t="s">
        <v>445</v>
      </c>
      <c r="G152" s="97">
        <v>0.16</v>
      </c>
      <c r="I152" s="93">
        <v>69.2</v>
      </c>
      <c r="J152" s="93">
        <v>0.9</v>
      </c>
      <c r="K152" s="93">
        <v>1.5</v>
      </c>
      <c r="L152" s="93">
        <v>0.2</v>
      </c>
      <c r="M152" s="93">
        <v>3</v>
      </c>
      <c r="N152" s="93">
        <v>0</v>
      </c>
      <c r="O152" s="93">
        <v>25.2</v>
      </c>
      <c r="P152" s="1">
        <f t="shared" si="4"/>
        <v>25.2</v>
      </c>
      <c r="Q152" s="93">
        <v>115</v>
      </c>
      <c r="R152" s="1">
        <f t="shared" si="5"/>
        <v>114.6</v>
      </c>
    </row>
    <row r="153" spans="1:18" x14ac:dyDescent="0.25">
      <c r="A153" s="1">
        <v>1178.02</v>
      </c>
      <c r="B153" s="1" t="s">
        <v>244</v>
      </c>
      <c r="C153" s="41">
        <v>15110</v>
      </c>
      <c r="D153" s="93" t="s">
        <v>584</v>
      </c>
      <c r="E153" s="1" t="s">
        <v>686</v>
      </c>
      <c r="G153" s="97">
        <v>0</v>
      </c>
      <c r="I153" s="93">
        <v>32.1</v>
      </c>
      <c r="J153" s="93">
        <v>1.9</v>
      </c>
      <c r="K153" s="93">
        <v>4.8</v>
      </c>
      <c r="L153" s="93">
        <v>13.6</v>
      </c>
      <c r="M153" s="93">
        <v>3.3</v>
      </c>
      <c r="N153" s="93">
        <v>0</v>
      </c>
      <c r="O153" s="93">
        <v>44.4</v>
      </c>
      <c r="P153" s="1">
        <f t="shared" si="4"/>
        <v>44.300000000000004</v>
      </c>
      <c r="Q153" s="93">
        <v>326</v>
      </c>
      <c r="R153" s="1">
        <f t="shared" si="5"/>
        <v>325.39999999999998</v>
      </c>
    </row>
    <row r="154" spans="1:18" x14ac:dyDescent="0.25">
      <c r="A154" s="1">
        <v>1178.03</v>
      </c>
      <c r="B154" s="1" t="s">
        <v>687</v>
      </c>
      <c r="C154" s="41">
        <v>11134</v>
      </c>
      <c r="D154" s="93" t="s">
        <v>7</v>
      </c>
      <c r="E154" s="1" t="s">
        <v>688</v>
      </c>
      <c r="G154" s="97">
        <v>0</v>
      </c>
      <c r="I154" s="93">
        <v>59.68</v>
      </c>
      <c r="J154" s="93">
        <v>0.6</v>
      </c>
      <c r="K154" s="93">
        <v>1.36</v>
      </c>
      <c r="L154" s="93">
        <v>0.28000000000000003</v>
      </c>
      <c r="M154" s="93">
        <v>1.8</v>
      </c>
      <c r="N154" s="93">
        <v>0</v>
      </c>
      <c r="O154" s="93">
        <v>38.06</v>
      </c>
      <c r="P154" s="1">
        <f t="shared" si="4"/>
        <v>36.28</v>
      </c>
      <c r="Q154" s="93">
        <v>160</v>
      </c>
      <c r="R154" s="1">
        <f t="shared" si="5"/>
        <v>156.68</v>
      </c>
    </row>
    <row r="155" spans="1:18" x14ac:dyDescent="0.25">
      <c r="A155" s="1">
        <v>1178.05</v>
      </c>
      <c r="B155" s="1" t="s">
        <v>245</v>
      </c>
      <c r="C155" s="41">
        <v>11584</v>
      </c>
      <c r="D155" s="93" t="s">
        <v>7</v>
      </c>
      <c r="E155" s="1" t="s">
        <v>689</v>
      </c>
      <c r="G155" s="97">
        <v>0</v>
      </c>
      <c r="I155" s="93">
        <v>83.23</v>
      </c>
      <c r="J155" s="93">
        <v>0.67</v>
      </c>
      <c r="K155" s="93">
        <v>2.86</v>
      </c>
      <c r="L155" s="93">
        <v>0.15</v>
      </c>
      <c r="M155" s="93">
        <v>4.4000000000000004</v>
      </c>
      <c r="N155" s="93">
        <v>0</v>
      </c>
      <c r="O155" s="93">
        <v>13.09</v>
      </c>
      <c r="P155" s="1">
        <f t="shared" si="4"/>
        <v>8.6899999999999942</v>
      </c>
      <c r="Q155" s="93">
        <v>65</v>
      </c>
      <c r="R155" s="1">
        <f t="shared" si="5"/>
        <v>56.34999999999998</v>
      </c>
    </row>
    <row r="156" spans="1:18" x14ac:dyDescent="0.25">
      <c r="A156" s="1">
        <v>1179.08</v>
      </c>
      <c r="B156" s="1" t="s">
        <v>246</v>
      </c>
      <c r="C156" s="41">
        <v>43312</v>
      </c>
      <c r="D156" s="93" t="s">
        <v>7</v>
      </c>
      <c r="E156" s="1" t="s">
        <v>690</v>
      </c>
      <c r="G156" s="97">
        <v>0</v>
      </c>
      <c r="I156" s="93">
        <v>90.2</v>
      </c>
      <c r="J156" s="93">
        <v>0.89</v>
      </c>
      <c r="K156" s="93">
        <v>1.4</v>
      </c>
      <c r="L156" s="93">
        <v>0.2</v>
      </c>
      <c r="M156" s="93">
        <v>3.1</v>
      </c>
      <c r="N156" s="93">
        <v>0</v>
      </c>
      <c r="O156" s="93">
        <v>7.31</v>
      </c>
      <c r="P156" s="1">
        <f t="shared" si="4"/>
        <v>4.2099999999999955</v>
      </c>
      <c r="Q156" s="93">
        <v>37</v>
      </c>
      <c r="R156" s="1">
        <f t="shared" si="5"/>
        <v>30.439999999999984</v>
      </c>
    </row>
    <row r="157" spans="1:18" x14ac:dyDescent="0.25">
      <c r="A157" s="1">
        <v>1179.99</v>
      </c>
      <c r="B157" s="1" t="s">
        <v>247</v>
      </c>
      <c r="C157" s="41" t="s">
        <v>390</v>
      </c>
      <c r="D157" s="93" t="s">
        <v>448</v>
      </c>
      <c r="E157" s="1" t="s">
        <v>449</v>
      </c>
      <c r="G157" s="97">
        <v>0</v>
      </c>
      <c r="I157" s="93">
        <v>10.3</v>
      </c>
      <c r="J157" s="93">
        <v>9.5</v>
      </c>
      <c r="K157" s="93">
        <v>24.4</v>
      </c>
      <c r="L157" s="93">
        <v>1.9</v>
      </c>
      <c r="M157" s="93">
        <v>24.1</v>
      </c>
      <c r="N157" s="93">
        <v>0</v>
      </c>
      <c r="O157" s="93">
        <v>29.800000000000004</v>
      </c>
      <c r="P157" s="1">
        <f t="shared" si="4"/>
        <v>29.800000000000004</v>
      </c>
      <c r="Q157" s="93">
        <v>282</v>
      </c>
      <c r="R157" s="1">
        <f t="shared" si="5"/>
        <v>282.10000000000002</v>
      </c>
    </row>
    <row r="158" spans="1:18" x14ac:dyDescent="0.25">
      <c r="A158" s="1">
        <v>1181.01</v>
      </c>
      <c r="B158" s="1" t="s">
        <v>122</v>
      </c>
      <c r="C158" s="41" t="s">
        <v>390</v>
      </c>
      <c r="D158" s="93" t="s">
        <v>374</v>
      </c>
      <c r="E158" s="1" t="s">
        <v>122</v>
      </c>
      <c r="G158" s="97">
        <v>0</v>
      </c>
      <c r="I158" s="93">
        <v>0</v>
      </c>
      <c r="J158" s="93">
        <v>0.01</v>
      </c>
      <c r="K158" s="93">
        <v>0</v>
      </c>
      <c r="L158" s="93">
        <v>0</v>
      </c>
      <c r="M158" s="93">
        <v>0</v>
      </c>
      <c r="N158" s="93">
        <v>0</v>
      </c>
      <c r="O158" s="93">
        <v>99.99</v>
      </c>
      <c r="P158" s="1">
        <f t="shared" si="4"/>
        <v>99.99</v>
      </c>
      <c r="Q158" s="93">
        <v>400</v>
      </c>
      <c r="R158" s="1">
        <f t="shared" si="5"/>
        <v>399.96</v>
      </c>
    </row>
    <row r="159" spans="1:18" x14ac:dyDescent="0.25">
      <c r="A159" s="1">
        <v>1181.02</v>
      </c>
      <c r="B159" s="1" t="s">
        <v>692</v>
      </c>
      <c r="C159" s="41">
        <v>11002</v>
      </c>
      <c r="D159" s="93" t="s">
        <v>584</v>
      </c>
      <c r="E159" s="1" t="s">
        <v>693</v>
      </c>
      <c r="G159" s="97">
        <v>0</v>
      </c>
      <c r="I159" s="93">
        <v>90.2</v>
      </c>
      <c r="J159" s="93">
        <v>0.4</v>
      </c>
      <c r="K159" s="93">
        <v>0.1</v>
      </c>
      <c r="L159" s="93">
        <v>0.2</v>
      </c>
      <c r="M159" s="93">
        <v>0.3</v>
      </c>
      <c r="N159" s="93">
        <v>0</v>
      </c>
      <c r="O159" s="93">
        <v>8.5</v>
      </c>
      <c r="P159" s="1">
        <f t="shared" si="4"/>
        <v>8.7999999999999972</v>
      </c>
      <c r="Q159" s="93">
        <v>37</v>
      </c>
      <c r="R159" s="1">
        <f t="shared" si="5"/>
        <v>37.999999999999986</v>
      </c>
    </row>
    <row r="160" spans="1:18" x14ac:dyDescent="0.25">
      <c r="A160" s="1">
        <v>1181.03</v>
      </c>
      <c r="B160" s="1" t="s">
        <v>694</v>
      </c>
      <c r="C160" s="41">
        <v>19336</v>
      </c>
      <c r="D160" s="93" t="s">
        <v>7</v>
      </c>
      <c r="E160" s="1" t="s">
        <v>695</v>
      </c>
      <c r="G160" s="97">
        <v>0</v>
      </c>
      <c r="I160" s="93">
        <v>0.23</v>
      </c>
      <c r="J160" s="93">
        <v>0.01</v>
      </c>
      <c r="K160" s="93">
        <v>0</v>
      </c>
      <c r="L160" s="93">
        <v>0</v>
      </c>
      <c r="M160" s="93">
        <v>0</v>
      </c>
      <c r="N160" s="93">
        <v>0</v>
      </c>
      <c r="O160" s="93">
        <v>99.77</v>
      </c>
      <c r="P160" s="1">
        <f t="shared" si="4"/>
        <v>99.759999999999991</v>
      </c>
      <c r="Q160" s="93">
        <v>389</v>
      </c>
      <c r="R160" s="1">
        <f t="shared" si="5"/>
        <v>399.03999999999996</v>
      </c>
    </row>
    <row r="161" spans="1:18" x14ac:dyDescent="0.25">
      <c r="A161" s="1">
        <v>1181.0899999999999</v>
      </c>
      <c r="B161" s="1" t="s">
        <v>696</v>
      </c>
      <c r="C161" s="41">
        <v>11002</v>
      </c>
      <c r="D161" s="93" t="s">
        <v>584</v>
      </c>
      <c r="E161" s="1" t="s">
        <v>693</v>
      </c>
      <c r="G161" s="97">
        <v>0</v>
      </c>
      <c r="I161" s="93">
        <v>90.2</v>
      </c>
      <c r="J161" s="93">
        <v>0.4</v>
      </c>
      <c r="K161" s="93">
        <v>0.1</v>
      </c>
      <c r="L161" s="93">
        <v>0.2</v>
      </c>
      <c r="M161" s="93">
        <v>0.3</v>
      </c>
      <c r="N161" s="93">
        <v>0</v>
      </c>
      <c r="O161" s="93">
        <v>8.5</v>
      </c>
      <c r="P161" s="1">
        <f t="shared" si="4"/>
        <v>8.7999999999999972</v>
      </c>
      <c r="Q161" s="93">
        <v>37</v>
      </c>
      <c r="R161" s="1">
        <f t="shared" si="5"/>
        <v>37.999999999999986</v>
      </c>
    </row>
    <row r="162" spans="1:18" x14ac:dyDescent="0.25">
      <c r="A162" s="1">
        <v>1182.01</v>
      </c>
      <c r="B162" s="1" t="s">
        <v>697</v>
      </c>
      <c r="C162" s="41" t="s">
        <v>698</v>
      </c>
      <c r="D162" s="93" t="s">
        <v>390</v>
      </c>
      <c r="E162" s="1" t="s">
        <v>697</v>
      </c>
      <c r="G162" s="97">
        <v>0</v>
      </c>
      <c r="I162" s="93">
        <v>2</v>
      </c>
      <c r="J162" s="93">
        <v>3.6</v>
      </c>
      <c r="K162" s="93">
        <v>9</v>
      </c>
      <c r="L162" s="93">
        <v>2.7</v>
      </c>
      <c r="M162" s="93">
        <v>2.5</v>
      </c>
      <c r="N162" s="93">
        <v>0</v>
      </c>
      <c r="O162" s="93">
        <v>80.2</v>
      </c>
      <c r="P162" s="1">
        <f t="shared" si="4"/>
        <v>80.2</v>
      </c>
      <c r="Q162" s="93">
        <v>386</v>
      </c>
      <c r="R162" s="1">
        <f t="shared" si="5"/>
        <v>386.1</v>
      </c>
    </row>
    <row r="163" spans="1:18" x14ac:dyDescent="0.25">
      <c r="A163" s="1">
        <v>1182.02</v>
      </c>
      <c r="B163" s="1" t="s">
        <v>248</v>
      </c>
      <c r="C163" s="41" t="s">
        <v>7</v>
      </c>
      <c r="D163" s="93" t="s">
        <v>537</v>
      </c>
      <c r="E163" s="1" t="s">
        <v>538</v>
      </c>
      <c r="G163" s="97">
        <v>0</v>
      </c>
      <c r="I163" s="93">
        <v>30.47</v>
      </c>
      <c r="J163" s="93">
        <v>0.23</v>
      </c>
      <c r="K163" s="93">
        <v>0.37</v>
      </c>
      <c r="L163" s="93">
        <v>7.0000000000000007E-2</v>
      </c>
      <c r="M163" s="93">
        <v>1.1000000000000001</v>
      </c>
      <c r="N163" s="93">
        <v>0</v>
      </c>
      <c r="P163" s="1">
        <f t="shared" si="4"/>
        <v>67.760000000000005</v>
      </c>
      <c r="Q163" s="93">
        <v>275</v>
      </c>
      <c r="R163" s="1">
        <f t="shared" si="5"/>
        <v>275.35000000000002</v>
      </c>
    </row>
    <row r="164" spans="1:18" x14ac:dyDescent="0.25">
      <c r="A164" s="1">
        <v>1183.01</v>
      </c>
      <c r="B164" s="1" t="s">
        <v>249</v>
      </c>
      <c r="C164" s="41" t="s">
        <v>7</v>
      </c>
      <c r="D164" s="93">
        <v>19081</v>
      </c>
      <c r="E164" s="1" t="s">
        <v>467</v>
      </c>
      <c r="G164" s="97">
        <v>0</v>
      </c>
      <c r="I164" s="93">
        <v>0.5</v>
      </c>
      <c r="J164" s="93">
        <v>1</v>
      </c>
      <c r="K164" s="93">
        <v>3.9</v>
      </c>
      <c r="L164" s="93">
        <v>34.200000000000003</v>
      </c>
      <c r="M164" s="93">
        <v>5.5</v>
      </c>
      <c r="N164" s="93">
        <v>0</v>
      </c>
      <c r="P164" s="1">
        <f t="shared" si="4"/>
        <v>54.899999999999991</v>
      </c>
      <c r="Q164" s="93">
        <v>550</v>
      </c>
      <c r="R164" s="1">
        <f t="shared" si="5"/>
        <v>554</v>
      </c>
    </row>
    <row r="165" spans="1:18" x14ac:dyDescent="0.25">
      <c r="A165" s="1">
        <v>1184.01</v>
      </c>
      <c r="B165" s="1" t="s">
        <v>250</v>
      </c>
      <c r="C165" s="41" t="s">
        <v>7</v>
      </c>
      <c r="D165" s="93" t="s">
        <v>465</v>
      </c>
      <c r="E165" s="1" t="s">
        <v>466</v>
      </c>
      <c r="G165" s="97">
        <v>0</v>
      </c>
      <c r="I165" s="93">
        <v>8.5</v>
      </c>
      <c r="J165" s="93">
        <v>1.8</v>
      </c>
      <c r="K165" s="93">
        <v>4.5999999999999996</v>
      </c>
      <c r="L165" s="93">
        <v>8.1</v>
      </c>
      <c r="M165" s="93">
        <v>0</v>
      </c>
      <c r="N165" s="93">
        <v>0</v>
      </c>
      <c r="O165" s="93">
        <v>77.000000000000014</v>
      </c>
      <c r="P165" s="1">
        <f t="shared" si="4"/>
        <v>77.000000000000014</v>
      </c>
      <c r="Q165" s="93">
        <v>382</v>
      </c>
      <c r="R165" s="1">
        <f t="shared" si="5"/>
        <v>399.30000000000007</v>
      </c>
    </row>
    <row r="166" spans="1:18" x14ac:dyDescent="0.25">
      <c r="A166" s="1">
        <v>1185.01</v>
      </c>
      <c r="B166" s="1" t="s">
        <v>251</v>
      </c>
      <c r="C166" s="41" t="s">
        <v>390</v>
      </c>
      <c r="D166" s="93" t="s">
        <v>333</v>
      </c>
      <c r="E166" s="1" t="s">
        <v>334</v>
      </c>
      <c r="G166" s="97">
        <v>0</v>
      </c>
      <c r="I166" s="93">
        <v>78.5</v>
      </c>
      <c r="J166" s="93">
        <v>0.6</v>
      </c>
      <c r="K166" s="93">
        <v>2.9</v>
      </c>
      <c r="L166" s="93">
        <v>13.5</v>
      </c>
      <c r="M166" s="93">
        <v>0</v>
      </c>
      <c r="N166" s="93">
        <v>0</v>
      </c>
      <c r="O166" s="93">
        <v>4.5</v>
      </c>
      <c r="P166" s="1">
        <f t="shared" si="4"/>
        <v>4.5</v>
      </c>
      <c r="Q166" s="93">
        <v>151</v>
      </c>
      <c r="R166" s="1">
        <f t="shared" si="5"/>
        <v>151.1</v>
      </c>
    </row>
    <row r="167" spans="1:18" x14ac:dyDescent="0.25">
      <c r="A167" s="1">
        <v>1186.99</v>
      </c>
      <c r="B167" s="1" t="s">
        <v>252</v>
      </c>
      <c r="C167" s="41" t="s">
        <v>7</v>
      </c>
      <c r="D167" s="93" t="s">
        <v>468</v>
      </c>
      <c r="E167" s="1" t="s">
        <v>469</v>
      </c>
      <c r="G167" s="97">
        <v>0</v>
      </c>
      <c r="I167" s="93">
        <v>2.44</v>
      </c>
      <c r="J167" s="93">
        <v>0.45</v>
      </c>
      <c r="K167" s="93">
        <v>0</v>
      </c>
      <c r="L167" s="93">
        <v>0</v>
      </c>
      <c r="N167" s="93">
        <v>0</v>
      </c>
      <c r="O167" s="93">
        <v>97.11</v>
      </c>
      <c r="P167" s="1">
        <f t="shared" si="4"/>
        <v>97.11</v>
      </c>
      <c r="Q167" s="93">
        <v>388</v>
      </c>
      <c r="R167" s="1">
        <f t="shared" si="5"/>
        <v>388.44</v>
      </c>
    </row>
    <row r="168" spans="1:18" x14ac:dyDescent="0.25">
      <c r="A168" s="1">
        <v>1191.01</v>
      </c>
      <c r="B168" s="1" t="s">
        <v>253</v>
      </c>
      <c r="C168" s="41" t="s">
        <v>7</v>
      </c>
      <c r="D168" s="93" t="s">
        <v>470</v>
      </c>
      <c r="E168" s="1" t="s">
        <v>471</v>
      </c>
      <c r="G168" s="97">
        <v>0</v>
      </c>
      <c r="I168" s="93">
        <v>21.7</v>
      </c>
      <c r="J168" s="93">
        <v>0.4</v>
      </c>
      <c r="K168" s="93">
        <v>0</v>
      </c>
      <c r="L168" s="93">
        <v>77.8</v>
      </c>
      <c r="M168" s="93">
        <v>0</v>
      </c>
      <c r="N168" s="93">
        <v>0</v>
      </c>
      <c r="O168" s="93">
        <v>9.9999999999994316E-2</v>
      </c>
      <c r="P168" s="1">
        <f t="shared" si="4"/>
        <v>9.9999999999994316E-2</v>
      </c>
      <c r="Q168" s="93">
        <v>688</v>
      </c>
      <c r="R168" s="1">
        <f t="shared" si="5"/>
        <v>700.59999999999991</v>
      </c>
    </row>
    <row r="169" spans="1:18" x14ac:dyDescent="0.25">
      <c r="A169" s="1">
        <v>1191.02</v>
      </c>
      <c r="B169" s="1" t="s">
        <v>254</v>
      </c>
      <c r="C169" s="41" t="s">
        <v>7</v>
      </c>
      <c r="D169" s="93" t="s">
        <v>472</v>
      </c>
      <c r="E169" s="1" t="s">
        <v>473</v>
      </c>
      <c r="G169" s="97">
        <v>0</v>
      </c>
      <c r="I169" s="93">
        <v>68</v>
      </c>
      <c r="J169" s="93">
        <v>0.48</v>
      </c>
      <c r="K169" s="93">
        <v>2.5</v>
      </c>
      <c r="L169" s="93">
        <v>0.3</v>
      </c>
      <c r="M169" s="93">
        <v>0.5</v>
      </c>
      <c r="N169" s="93">
        <v>0</v>
      </c>
      <c r="O169" s="93">
        <v>28.22</v>
      </c>
      <c r="P169" s="1">
        <f t="shared" si="4"/>
        <v>28.22</v>
      </c>
      <c r="Q169" s="93">
        <v>104</v>
      </c>
      <c r="R169" s="1">
        <f t="shared" si="5"/>
        <v>126.58</v>
      </c>
    </row>
    <row r="170" spans="1:18" x14ac:dyDescent="0.25">
      <c r="A170" s="1">
        <v>1191.03</v>
      </c>
      <c r="B170" s="1" t="s">
        <v>255</v>
      </c>
      <c r="C170" s="41" t="s">
        <v>390</v>
      </c>
      <c r="D170" s="93" t="s">
        <v>391</v>
      </c>
      <c r="E170" s="1" t="s">
        <v>255</v>
      </c>
      <c r="G170" s="97">
        <v>0</v>
      </c>
      <c r="I170" s="93">
        <v>98.7</v>
      </c>
      <c r="J170" s="93">
        <v>0.2</v>
      </c>
      <c r="K170" s="93">
        <v>0.4</v>
      </c>
      <c r="L170" s="93">
        <v>0</v>
      </c>
      <c r="M170" s="93">
        <v>0</v>
      </c>
      <c r="N170" s="93">
        <v>0</v>
      </c>
      <c r="O170" s="93">
        <v>0.69999999999999718</v>
      </c>
      <c r="P170" s="1">
        <f t="shared" si="4"/>
        <v>0.69999999999999718</v>
      </c>
      <c r="Q170" s="93">
        <v>5</v>
      </c>
      <c r="R170" s="1">
        <f t="shared" si="5"/>
        <v>4.3999999999999888</v>
      </c>
    </row>
    <row r="171" spans="1:18" x14ac:dyDescent="0.25">
      <c r="A171" s="1">
        <v>1191.08</v>
      </c>
      <c r="B171" s="1" t="s">
        <v>256</v>
      </c>
      <c r="C171" s="41" t="s">
        <v>7</v>
      </c>
      <c r="D171" s="93">
        <v>43599</v>
      </c>
      <c r="E171" s="1" t="s">
        <v>539</v>
      </c>
      <c r="G171" s="97">
        <v>0</v>
      </c>
      <c r="I171" s="93">
        <v>39.9</v>
      </c>
      <c r="J171" s="93">
        <v>1.9</v>
      </c>
      <c r="K171" s="93">
        <v>0.9</v>
      </c>
      <c r="L171" s="93">
        <v>33.4</v>
      </c>
      <c r="M171" s="93">
        <v>0</v>
      </c>
      <c r="N171" s="93">
        <v>0</v>
      </c>
      <c r="O171" s="93">
        <v>23.900000000000006</v>
      </c>
      <c r="P171" s="1">
        <f t="shared" si="4"/>
        <v>23.900000000000006</v>
      </c>
      <c r="Q171" s="93">
        <v>390</v>
      </c>
      <c r="R171" s="1">
        <f t="shared" si="5"/>
        <v>399.8</v>
      </c>
    </row>
    <row r="172" spans="1:18" x14ac:dyDescent="0.25">
      <c r="A172" s="1">
        <v>1192.01</v>
      </c>
      <c r="B172" s="1" t="s">
        <v>257</v>
      </c>
      <c r="C172" s="41" t="s">
        <v>452</v>
      </c>
      <c r="D172" s="93" t="s">
        <v>377</v>
      </c>
      <c r="E172" s="1" t="s">
        <v>257</v>
      </c>
      <c r="G172" s="97">
        <v>0</v>
      </c>
      <c r="I172" s="93">
        <v>0.5</v>
      </c>
      <c r="J172" s="93">
        <v>99.8</v>
      </c>
      <c r="K172" s="93">
        <v>0</v>
      </c>
      <c r="L172" s="93">
        <v>0</v>
      </c>
      <c r="M172" s="93">
        <v>0</v>
      </c>
      <c r="N172" s="93">
        <v>0</v>
      </c>
      <c r="O172" s="93">
        <v>-0.29999999999999716</v>
      </c>
      <c r="P172" s="1">
        <v>0</v>
      </c>
      <c r="Q172" s="93">
        <v>0</v>
      </c>
      <c r="R172" s="1">
        <f t="shared" si="5"/>
        <v>0</v>
      </c>
    </row>
    <row r="173" spans="1:18" x14ac:dyDescent="0.25">
      <c r="A173" s="1">
        <v>1192.02</v>
      </c>
      <c r="B173" s="1" t="s">
        <v>258</v>
      </c>
      <c r="C173" s="41" t="s">
        <v>452</v>
      </c>
      <c r="D173" s="93" t="s">
        <v>378</v>
      </c>
      <c r="E173" s="1" t="s">
        <v>379</v>
      </c>
      <c r="G173" s="97">
        <v>0</v>
      </c>
      <c r="I173" s="93">
        <v>8.5</v>
      </c>
      <c r="J173" s="93">
        <v>4.7</v>
      </c>
      <c r="K173" s="93">
        <v>6.1</v>
      </c>
      <c r="L173" s="93">
        <v>8.6999999999999993</v>
      </c>
      <c r="M173" s="93">
        <v>21.6</v>
      </c>
      <c r="N173" s="93">
        <v>0</v>
      </c>
      <c r="O173" s="93">
        <v>50.4</v>
      </c>
      <c r="P173" s="1">
        <f t="shared" si="4"/>
        <v>50.4</v>
      </c>
      <c r="Q173" s="93">
        <v>348</v>
      </c>
      <c r="R173" s="1">
        <f t="shared" si="5"/>
        <v>347.5</v>
      </c>
    </row>
    <row r="174" spans="1:18" x14ac:dyDescent="0.25">
      <c r="A174" s="1">
        <v>1192.03</v>
      </c>
      <c r="B174" s="1" t="s">
        <v>259</v>
      </c>
      <c r="C174" s="41" t="s">
        <v>452</v>
      </c>
      <c r="D174" s="93" t="s">
        <v>380</v>
      </c>
      <c r="E174" s="1" t="s">
        <v>381</v>
      </c>
      <c r="G174" s="97">
        <v>0.13</v>
      </c>
      <c r="I174" s="93">
        <v>64.3</v>
      </c>
      <c r="J174" s="93">
        <v>1.3</v>
      </c>
      <c r="K174" s="93">
        <v>6.8</v>
      </c>
      <c r="L174" s="93">
        <v>0.4</v>
      </c>
      <c r="M174" s="93">
        <v>2.2999999999999998</v>
      </c>
      <c r="N174" s="93">
        <v>0</v>
      </c>
      <c r="O174" s="93">
        <v>24.900000000000006</v>
      </c>
      <c r="P174" s="1">
        <f t="shared" si="4"/>
        <v>24.900000000000006</v>
      </c>
      <c r="Q174" s="93">
        <v>135</v>
      </c>
      <c r="R174" s="1">
        <f t="shared" si="5"/>
        <v>135.00000000000003</v>
      </c>
    </row>
    <row r="175" spans="1:18" x14ac:dyDescent="0.25">
      <c r="A175" s="1">
        <v>1193.02</v>
      </c>
      <c r="B175" s="1" t="s">
        <v>260</v>
      </c>
      <c r="C175" s="41" t="s">
        <v>452</v>
      </c>
      <c r="D175" s="93" t="s">
        <v>382</v>
      </c>
      <c r="E175" s="1" t="s">
        <v>383</v>
      </c>
      <c r="G175" s="97">
        <v>0</v>
      </c>
      <c r="I175" s="93">
        <v>5</v>
      </c>
      <c r="J175" s="93">
        <v>8.3000000000000007</v>
      </c>
      <c r="K175" s="93">
        <v>35.6</v>
      </c>
      <c r="L175" s="93">
        <v>1.5</v>
      </c>
      <c r="M175" s="93">
        <v>19.7</v>
      </c>
      <c r="N175" s="93">
        <v>0</v>
      </c>
      <c r="O175" s="93">
        <v>29.900000000000002</v>
      </c>
      <c r="P175" s="1">
        <f t="shared" si="4"/>
        <v>29.900000000000002</v>
      </c>
      <c r="Q175" s="93">
        <v>315</v>
      </c>
      <c r="R175" s="1">
        <f t="shared" si="5"/>
        <v>314.90000000000003</v>
      </c>
    </row>
    <row r="176" spans="1:18" x14ac:dyDescent="0.25">
      <c r="A176" s="1">
        <v>1193.05</v>
      </c>
      <c r="B176" s="1" t="s">
        <v>261</v>
      </c>
      <c r="C176" s="41" t="s">
        <v>7</v>
      </c>
      <c r="D176" s="93" t="s">
        <v>476</v>
      </c>
      <c r="E176" s="1" t="s">
        <v>477</v>
      </c>
      <c r="G176" s="97">
        <v>0</v>
      </c>
      <c r="I176" s="93">
        <v>38.64</v>
      </c>
      <c r="J176" s="93">
        <v>1</v>
      </c>
      <c r="K176" s="93">
        <v>4.41</v>
      </c>
      <c r="L176" s="93">
        <v>18.52</v>
      </c>
      <c r="M176" s="93">
        <v>0.9</v>
      </c>
      <c r="N176" s="93">
        <v>0</v>
      </c>
      <c r="O176" s="93">
        <v>36.530000000000008</v>
      </c>
      <c r="P176" s="1">
        <f t="shared" si="4"/>
        <v>36.530000000000008</v>
      </c>
      <c r="Q176" s="93">
        <v>334</v>
      </c>
      <c r="R176" s="1">
        <f t="shared" si="5"/>
        <v>332.24</v>
      </c>
    </row>
    <row r="177" spans="1:18" x14ac:dyDescent="0.25">
      <c r="A177" s="1">
        <v>1193.06</v>
      </c>
      <c r="B177" s="1" t="s">
        <v>262</v>
      </c>
      <c r="C177" s="41" t="s">
        <v>7</v>
      </c>
      <c r="D177" s="93" t="s">
        <v>474</v>
      </c>
      <c r="E177" s="1" t="s">
        <v>475</v>
      </c>
      <c r="G177" s="97">
        <v>0</v>
      </c>
      <c r="I177" s="93">
        <v>85.5</v>
      </c>
      <c r="J177" s="93">
        <v>2.2999999999999998</v>
      </c>
      <c r="K177" s="93">
        <v>4.5999999999999996</v>
      </c>
      <c r="L177" s="93">
        <v>2.4</v>
      </c>
      <c r="M177" s="93">
        <v>0.2</v>
      </c>
      <c r="N177" s="93">
        <v>0</v>
      </c>
      <c r="O177" s="93">
        <v>4.9999999999999991</v>
      </c>
      <c r="P177" s="1">
        <f t="shared" si="4"/>
        <v>4.9999999999999991</v>
      </c>
      <c r="Q177" s="93">
        <v>61</v>
      </c>
      <c r="R177" s="1">
        <f t="shared" si="5"/>
        <v>60.399999999999991</v>
      </c>
    </row>
    <row r="178" spans="1:18" x14ac:dyDescent="0.25">
      <c r="A178" s="1">
        <v>1193.07</v>
      </c>
      <c r="B178" s="1" t="s">
        <v>263</v>
      </c>
      <c r="C178" s="41" t="s">
        <v>7</v>
      </c>
      <c r="D178" s="93" t="s">
        <v>474</v>
      </c>
      <c r="E178" s="1" t="s">
        <v>475</v>
      </c>
      <c r="G178" s="97">
        <v>0</v>
      </c>
      <c r="I178" s="93">
        <v>40.6</v>
      </c>
      <c r="J178" s="93">
        <v>1.21</v>
      </c>
      <c r="K178" s="93">
        <v>4.05</v>
      </c>
      <c r="L178" s="93">
        <v>8.06</v>
      </c>
      <c r="M178" s="93">
        <v>0.9</v>
      </c>
      <c r="N178" s="93">
        <v>0</v>
      </c>
      <c r="O178" s="93">
        <v>45.18</v>
      </c>
      <c r="P178" s="1">
        <f t="shared" si="4"/>
        <v>45.18</v>
      </c>
      <c r="Q178" s="93">
        <v>213</v>
      </c>
      <c r="R178" s="1">
        <f t="shared" si="5"/>
        <v>271.26</v>
      </c>
    </row>
    <row r="179" spans="1:18" x14ac:dyDescent="0.25">
      <c r="A179" s="1">
        <v>1195.99</v>
      </c>
      <c r="B179" s="1" t="s">
        <v>264</v>
      </c>
      <c r="C179" s="41" t="s">
        <v>7</v>
      </c>
      <c r="D179" s="93" t="s">
        <v>474</v>
      </c>
      <c r="E179" s="1" t="s">
        <v>475</v>
      </c>
      <c r="G179" s="97">
        <v>0</v>
      </c>
      <c r="I179" s="93">
        <v>85.5</v>
      </c>
      <c r="J179" s="93">
        <v>2.2999999999999998</v>
      </c>
      <c r="K179" s="93">
        <v>4.5999999999999996</v>
      </c>
      <c r="L179" s="93">
        <v>2.4</v>
      </c>
      <c r="M179" s="93">
        <v>0.2</v>
      </c>
      <c r="N179" s="93">
        <v>0</v>
      </c>
      <c r="O179" s="93">
        <v>4.9999999999999991</v>
      </c>
      <c r="P179" s="1">
        <f t="shared" si="4"/>
        <v>4.9999999999999991</v>
      </c>
      <c r="Q179" s="93">
        <v>61</v>
      </c>
      <c r="R179" s="1">
        <f t="shared" si="5"/>
        <v>60.399999999999991</v>
      </c>
    </row>
    <row r="180" spans="1:18" x14ac:dyDescent="0.25">
      <c r="A180" s="1">
        <v>1211.01</v>
      </c>
      <c r="B180" s="1" t="s">
        <v>265</v>
      </c>
      <c r="C180" s="41" t="s">
        <v>363</v>
      </c>
      <c r="D180" s="93" t="s">
        <v>364</v>
      </c>
      <c r="E180" s="1" t="s">
        <v>365</v>
      </c>
      <c r="F180" s="1" t="s">
        <v>68</v>
      </c>
      <c r="G180" s="97">
        <v>0</v>
      </c>
      <c r="I180" s="93">
        <v>3.1</v>
      </c>
      <c r="J180" s="93">
        <v>8.8000000000000007</v>
      </c>
      <c r="K180" s="93">
        <v>15.4</v>
      </c>
      <c r="L180" s="93">
        <v>0.4</v>
      </c>
      <c r="M180" s="93">
        <v>0</v>
      </c>
      <c r="N180" s="93">
        <v>0</v>
      </c>
      <c r="O180" s="93">
        <v>72.400000000000006</v>
      </c>
      <c r="P180" s="1">
        <f t="shared" si="4"/>
        <v>72.3</v>
      </c>
      <c r="Q180" s="93">
        <v>354</v>
      </c>
      <c r="R180" s="1">
        <f t="shared" si="5"/>
        <v>354.4</v>
      </c>
    </row>
    <row r="181" spans="1:18" x14ac:dyDescent="0.25">
      <c r="A181" s="1">
        <v>1212.01</v>
      </c>
      <c r="B181" s="1" t="s">
        <v>266</v>
      </c>
      <c r="C181" s="41" t="s">
        <v>363</v>
      </c>
      <c r="D181" s="93" t="s">
        <v>366</v>
      </c>
      <c r="E181" s="1" t="s">
        <v>367</v>
      </c>
      <c r="F181" s="1" t="s">
        <v>68</v>
      </c>
      <c r="G181" s="97">
        <v>0</v>
      </c>
      <c r="I181" s="93">
        <v>99.8</v>
      </c>
      <c r="J181" s="93">
        <v>0</v>
      </c>
      <c r="K181" s="93">
        <v>0.1</v>
      </c>
      <c r="L181" s="93">
        <v>0</v>
      </c>
      <c r="M181" s="93">
        <v>0</v>
      </c>
      <c r="N181" s="93">
        <v>0</v>
      </c>
      <c r="O181" s="93">
        <v>0</v>
      </c>
      <c r="P181" s="1">
        <f t="shared" si="4"/>
        <v>0.10000000000000284</v>
      </c>
      <c r="Q181" s="93">
        <v>0</v>
      </c>
      <c r="R181" s="1">
        <f t="shared" si="5"/>
        <v>0.80000000000001137</v>
      </c>
    </row>
    <row r="182" spans="1:18" x14ac:dyDescent="0.25">
      <c r="A182" s="1">
        <v>1213.01</v>
      </c>
      <c r="B182" s="1" t="s">
        <v>267</v>
      </c>
      <c r="C182" s="41" t="s">
        <v>363</v>
      </c>
      <c r="D182" s="93" t="s">
        <v>366</v>
      </c>
      <c r="E182" s="1" t="s">
        <v>367</v>
      </c>
      <c r="F182" s="1" t="s">
        <v>68</v>
      </c>
      <c r="G182" s="97">
        <v>0</v>
      </c>
      <c r="I182" s="93">
        <v>99.8</v>
      </c>
      <c r="J182" s="93">
        <v>0</v>
      </c>
      <c r="K182" s="93">
        <v>0.1</v>
      </c>
      <c r="L182" s="93">
        <v>0</v>
      </c>
      <c r="M182" s="93">
        <v>0</v>
      </c>
      <c r="N182" s="93">
        <v>0</v>
      </c>
      <c r="O182" s="93">
        <v>0</v>
      </c>
      <c r="P182" s="1">
        <f t="shared" si="4"/>
        <v>0.10000000000000284</v>
      </c>
      <c r="Q182" s="93">
        <v>0</v>
      </c>
      <c r="R182" s="1">
        <f t="shared" si="5"/>
        <v>0.80000000000001137</v>
      </c>
    </row>
    <row r="183" spans="1:18" x14ac:dyDescent="0.25">
      <c r="A183" s="1">
        <v>1219.99</v>
      </c>
      <c r="B183" s="1" t="s">
        <v>268</v>
      </c>
      <c r="C183" s="41" t="s">
        <v>363</v>
      </c>
      <c r="D183" s="93" t="s">
        <v>366</v>
      </c>
      <c r="E183" s="1" t="s">
        <v>367</v>
      </c>
      <c r="F183" s="1" t="s">
        <v>68</v>
      </c>
      <c r="G183" s="97">
        <v>0</v>
      </c>
      <c r="I183" s="93">
        <v>99.8</v>
      </c>
      <c r="J183" s="93">
        <v>0</v>
      </c>
      <c r="K183" s="93">
        <v>0.1</v>
      </c>
      <c r="L183" s="93">
        <v>0</v>
      </c>
      <c r="M183" s="93">
        <v>0</v>
      </c>
      <c r="N183" s="93">
        <v>0</v>
      </c>
      <c r="O183" s="93">
        <v>0</v>
      </c>
      <c r="P183" s="1">
        <f t="shared" si="4"/>
        <v>0.10000000000000284</v>
      </c>
      <c r="Q183" s="93">
        <v>0</v>
      </c>
      <c r="R183" s="1">
        <f t="shared" si="5"/>
        <v>0.80000000000001137</v>
      </c>
    </row>
    <row r="184" spans="1:18" x14ac:dyDescent="0.25">
      <c r="A184" s="1">
        <v>1221.01</v>
      </c>
      <c r="B184" s="1" t="s">
        <v>269</v>
      </c>
      <c r="C184" s="41" t="s">
        <v>363</v>
      </c>
      <c r="D184" s="93" t="s">
        <v>368</v>
      </c>
      <c r="E184" s="1" t="s">
        <v>369</v>
      </c>
      <c r="F184" s="1" t="s">
        <v>68</v>
      </c>
      <c r="G184" s="97">
        <v>0</v>
      </c>
      <c r="I184" s="93">
        <v>100</v>
      </c>
      <c r="J184" s="93">
        <v>0.1</v>
      </c>
      <c r="K184" s="93">
        <v>0</v>
      </c>
      <c r="L184" s="93">
        <v>0</v>
      </c>
      <c r="M184" s="93">
        <v>0</v>
      </c>
      <c r="N184" s="93">
        <v>0</v>
      </c>
      <c r="O184" s="93">
        <v>0</v>
      </c>
      <c r="P184" s="1">
        <v>0</v>
      </c>
      <c r="Q184" s="93">
        <v>0</v>
      </c>
      <c r="R184" s="1">
        <f t="shared" si="5"/>
        <v>0</v>
      </c>
    </row>
    <row r="185" spans="1:18" x14ac:dyDescent="0.25">
      <c r="A185" s="1">
        <v>1222.01</v>
      </c>
      <c r="B185" s="1" t="s">
        <v>270</v>
      </c>
      <c r="C185" s="41" t="s">
        <v>363</v>
      </c>
      <c r="D185" s="93" t="s">
        <v>370</v>
      </c>
      <c r="E185" s="1" t="s">
        <v>371</v>
      </c>
      <c r="F185" s="1" t="s">
        <v>68</v>
      </c>
      <c r="G185" s="97">
        <v>0</v>
      </c>
      <c r="I185" s="93">
        <v>88.9</v>
      </c>
      <c r="J185" s="93">
        <v>0.4</v>
      </c>
      <c r="K185" s="93">
        <v>0.7</v>
      </c>
      <c r="L185" s="93">
        <v>0.2</v>
      </c>
      <c r="M185" s="93">
        <v>0.1</v>
      </c>
      <c r="N185" s="93">
        <v>0</v>
      </c>
      <c r="O185" s="93">
        <v>9.8000000000000007</v>
      </c>
      <c r="P185" s="1">
        <f t="shared" si="4"/>
        <v>9.6999999999999957</v>
      </c>
      <c r="Q185" s="93">
        <v>44</v>
      </c>
      <c r="R185" s="1">
        <f t="shared" si="5"/>
        <v>43.59999999999998</v>
      </c>
    </row>
    <row r="186" spans="1:18" x14ac:dyDescent="0.25">
      <c r="A186" s="1">
        <v>1222.99</v>
      </c>
      <c r="B186" s="1" t="s">
        <v>271</v>
      </c>
      <c r="C186" s="41" t="s">
        <v>363</v>
      </c>
      <c r="D186" s="93" t="s">
        <v>370</v>
      </c>
      <c r="E186" s="1" t="s">
        <v>371</v>
      </c>
      <c r="F186" s="1" t="s">
        <v>68</v>
      </c>
      <c r="G186" s="97">
        <v>0</v>
      </c>
      <c r="I186" s="93">
        <v>88.9</v>
      </c>
      <c r="J186" s="93">
        <v>0.4</v>
      </c>
      <c r="K186" s="93">
        <v>0.7</v>
      </c>
      <c r="L186" s="93">
        <v>0.2</v>
      </c>
      <c r="M186" s="93">
        <v>0.1</v>
      </c>
      <c r="N186" s="93">
        <v>0</v>
      </c>
      <c r="O186" s="93">
        <v>9.8000000000000007</v>
      </c>
      <c r="P186" s="1">
        <f t="shared" si="4"/>
        <v>9.6999999999999957</v>
      </c>
      <c r="Q186" s="93">
        <v>44</v>
      </c>
      <c r="R186" s="1">
        <f t="shared" si="5"/>
        <v>43.59999999999998</v>
      </c>
    </row>
    <row r="187" spans="1:18" x14ac:dyDescent="0.25">
      <c r="A187" s="1">
        <v>1223.01</v>
      </c>
      <c r="B187" s="1" t="s">
        <v>272</v>
      </c>
      <c r="C187" s="41" t="s">
        <v>363</v>
      </c>
      <c r="D187" s="93" t="s">
        <v>370</v>
      </c>
      <c r="E187" s="1" t="s">
        <v>371</v>
      </c>
      <c r="F187" s="1" t="s">
        <v>68</v>
      </c>
      <c r="G187" s="97">
        <v>0</v>
      </c>
      <c r="I187" s="93">
        <v>88.9</v>
      </c>
      <c r="J187" s="93">
        <v>0.4</v>
      </c>
      <c r="K187" s="93">
        <v>0.7</v>
      </c>
      <c r="L187" s="93">
        <v>0.2</v>
      </c>
      <c r="M187" s="93">
        <v>0.1</v>
      </c>
      <c r="N187" s="93">
        <v>0</v>
      </c>
      <c r="O187" s="93">
        <v>9.8000000000000007</v>
      </c>
      <c r="P187" s="1">
        <f t="shared" si="4"/>
        <v>9.6999999999999957</v>
      </c>
      <c r="Q187" s="93">
        <v>44</v>
      </c>
      <c r="R187" s="1">
        <f t="shared" si="5"/>
        <v>43.59999999999998</v>
      </c>
    </row>
    <row r="188" spans="1:18" x14ac:dyDescent="0.25">
      <c r="A188" s="1">
        <v>1223.02</v>
      </c>
      <c r="B188" s="1" t="s">
        <v>273</v>
      </c>
      <c r="C188" s="41" t="s">
        <v>363</v>
      </c>
      <c r="D188" s="93" t="s">
        <v>372</v>
      </c>
      <c r="E188" s="1" t="s">
        <v>373</v>
      </c>
      <c r="F188" s="1" t="s">
        <v>321</v>
      </c>
      <c r="G188" s="97">
        <v>0</v>
      </c>
      <c r="I188" s="93">
        <v>87.6</v>
      </c>
      <c r="J188" s="93">
        <v>0.1</v>
      </c>
      <c r="K188" s="93">
        <v>1.2</v>
      </c>
      <c r="L188" s="93">
        <v>0.1</v>
      </c>
      <c r="M188" s="93">
        <v>0.5</v>
      </c>
      <c r="N188" s="93">
        <v>0</v>
      </c>
      <c r="O188" s="93">
        <v>10.6</v>
      </c>
      <c r="P188" s="1">
        <f t="shared" si="4"/>
        <v>10.500000000000007</v>
      </c>
      <c r="Q188" s="93">
        <v>49</v>
      </c>
      <c r="R188" s="1">
        <f t="shared" si="5"/>
        <v>48.700000000000031</v>
      </c>
    </row>
    <row r="189" spans="1:18" x14ac:dyDescent="0.25">
      <c r="A189" s="1">
        <v>1223.99</v>
      </c>
      <c r="B189" s="1" t="s">
        <v>274</v>
      </c>
      <c r="C189" s="41" t="s">
        <v>363</v>
      </c>
      <c r="D189" s="93" t="s">
        <v>370</v>
      </c>
      <c r="E189" s="1" t="s">
        <v>371</v>
      </c>
      <c r="F189" s="1" t="s">
        <v>68</v>
      </c>
      <c r="G189" s="97">
        <v>0</v>
      </c>
      <c r="I189" s="93">
        <v>88.9</v>
      </c>
      <c r="J189" s="93">
        <v>0.4</v>
      </c>
      <c r="K189" s="93">
        <v>0.7</v>
      </c>
      <c r="L189" s="93">
        <v>0.2</v>
      </c>
      <c r="M189" s="93">
        <v>0.1</v>
      </c>
      <c r="N189" s="93">
        <v>0</v>
      </c>
      <c r="O189" s="93">
        <v>9.8000000000000007</v>
      </c>
      <c r="P189" s="1">
        <f t="shared" si="4"/>
        <v>9.6999999999999957</v>
      </c>
      <c r="Q189" s="93">
        <v>44</v>
      </c>
      <c r="R189" s="1">
        <f t="shared" si="5"/>
        <v>43.59999999999998</v>
      </c>
    </row>
    <row r="190" spans="1:18" x14ac:dyDescent="0.25">
      <c r="A190" s="1">
        <v>2111.04</v>
      </c>
      <c r="B190" s="1" t="s">
        <v>275</v>
      </c>
      <c r="C190" s="41" t="s">
        <v>363</v>
      </c>
      <c r="D190" s="93" t="s">
        <v>375</v>
      </c>
      <c r="E190" s="1" t="s">
        <v>376</v>
      </c>
      <c r="G190" s="97">
        <v>0</v>
      </c>
      <c r="I190" s="93">
        <v>94</v>
      </c>
      <c r="J190" s="93">
        <v>0.2</v>
      </c>
      <c r="K190" s="93">
        <v>0.5</v>
      </c>
      <c r="L190" s="93">
        <v>0</v>
      </c>
      <c r="M190" s="93">
        <v>0.1</v>
      </c>
      <c r="N190" s="93">
        <v>3</v>
      </c>
      <c r="O190" s="93">
        <v>2.7</v>
      </c>
      <c r="P190" s="1">
        <f t="shared" si="4"/>
        <v>2.2000000000000002</v>
      </c>
      <c r="Q190" s="93">
        <v>31</v>
      </c>
      <c r="R190" s="1">
        <f t="shared" si="5"/>
        <v>32</v>
      </c>
    </row>
    <row r="191" spans="1:18" x14ac:dyDescent="0.25">
      <c r="A191" s="1">
        <v>2121.0100000000002</v>
      </c>
      <c r="B191" s="1" t="s">
        <v>276</v>
      </c>
      <c r="C191" s="41" t="s">
        <v>363</v>
      </c>
      <c r="D191" s="93" t="s">
        <v>386</v>
      </c>
      <c r="E191" s="1" t="s">
        <v>387</v>
      </c>
      <c r="G191" s="97">
        <v>0</v>
      </c>
      <c r="I191" s="93">
        <v>93.7</v>
      </c>
      <c r="J191" s="93">
        <v>0.2</v>
      </c>
      <c r="K191" s="93">
        <v>0.4</v>
      </c>
      <c r="L191" s="93">
        <v>0</v>
      </c>
      <c r="M191" s="93">
        <v>0</v>
      </c>
      <c r="N191" s="93">
        <v>3.8</v>
      </c>
      <c r="O191" s="93">
        <v>2.5</v>
      </c>
      <c r="P191" s="1">
        <f t="shared" si="4"/>
        <v>1.8999999999999968</v>
      </c>
      <c r="Q191" s="93">
        <v>34</v>
      </c>
      <c r="R191" s="1">
        <f t="shared" si="5"/>
        <v>35.799999999999983</v>
      </c>
    </row>
    <row r="192" spans="1:18" x14ac:dyDescent="0.25">
      <c r="A192" s="1">
        <v>2129.9899999999998</v>
      </c>
      <c r="B192" s="1" t="s">
        <v>277</v>
      </c>
      <c r="C192" s="41" t="s">
        <v>363</v>
      </c>
      <c r="D192" s="93" t="s">
        <v>388</v>
      </c>
      <c r="E192" s="1" t="s">
        <v>389</v>
      </c>
      <c r="G192" s="97">
        <v>0</v>
      </c>
      <c r="I192" s="93">
        <v>91</v>
      </c>
      <c r="J192" s="93">
        <v>0.3</v>
      </c>
      <c r="K192" s="93">
        <v>0.7</v>
      </c>
      <c r="L192" s="93">
        <v>0</v>
      </c>
      <c r="M192" s="93">
        <v>0.1</v>
      </c>
      <c r="N192" s="93">
        <v>3</v>
      </c>
      <c r="O192" s="93">
        <v>5.7</v>
      </c>
      <c r="P192" s="1">
        <f t="shared" si="4"/>
        <v>4.8999999999999995</v>
      </c>
      <c r="Q192" s="93">
        <v>43</v>
      </c>
      <c r="R192" s="1">
        <f t="shared" si="5"/>
        <v>43.599999999999994</v>
      </c>
    </row>
    <row r="193" spans="1:18" x14ac:dyDescent="0.25">
      <c r="A193" s="1">
        <v>2131.0100000000002</v>
      </c>
      <c r="B193" s="1" t="s">
        <v>278</v>
      </c>
      <c r="C193" s="41" t="s">
        <v>363</v>
      </c>
      <c r="D193" s="93" t="s">
        <v>384</v>
      </c>
      <c r="E193" s="1" t="s">
        <v>385</v>
      </c>
      <c r="G193" s="97">
        <v>0</v>
      </c>
      <c r="I193" s="93">
        <v>93.9</v>
      </c>
      <c r="J193" s="93">
        <v>0.1</v>
      </c>
      <c r="K193" s="93">
        <v>0.3</v>
      </c>
      <c r="L193" s="93">
        <v>0</v>
      </c>
      <c r="M193" s="93">
        <v>0</v>
      </c>
      <c r="N193" s="93">
        <v>4.4000000000000004</v>
      </c>
      <c r="O193" s="93">
        <v>2</v>
      </c>
      <c r="P193" s="1">
        <f t="shared" si="4"/>
        <v>1.2999999999999945</v>
      </c>
      <c r="Q193" s="93">
        <v>35</v>
      </c>
      <c r="R193" s="1">
        <f t="shared" si="5"/>
        <v>37.199999999999989</v>
      </c>
    </row>
    <row r="194" spans="1:18" x14ac:dyDescent="0.25">
      <c r="A194" s="1">
        <v>2131.9899999999998</v>
      </c>
      <c r="B194" s="1" t="s">
        <v>279</v>
      </c>
      <c r="C194" s="41" t="s">
        <v>363</v>
      </c>
      <c r="D194" s="93" t="s">
        <v>375</v>
      </c>
      <c r="E194" s="1" t="s">
        <v>376</v>
      </c>
      <c r="G194" s="97">
        <v>0</v>
      </c>
      <c r="I194" s="93">
        <v>94</v>
      </c>
      <c r="J194" s="93">
        <v>0.2</v>
      </c>
      <c r="K194" s="93">
        <v>0.5</v>
      </c>
      <c r="L194" s="93">
        <v>0</v>
      </c>
      <c r="M194" s="93">
        <v>0.1</v>
      </c>
      <c r="N194" s="93">
        <v>3</v>
      </c>
      <c r="O194" s="93">
        <v>2.7</v>
      </c>
      <c r="P194" s="1">
        <f t="shared" si="4"/>
        <v>2.2000000000000002</v>
      </c>
      <c r="Q194" s="93">
        <v>31</v>
      </c>
      <c r="R194" s="1">
        <f t="shared" si="5"/>
        <v>32</v>
      </c>
    </row>
  </sheetData>
  <sortState xmlns:xlrd2="http://schemas.microsoft.com/office/spreadsheetml/2017/richdata2" ref="A4:AR139">
    <sortCondition ref="A3"/>
  </sortState>
  <conditionalFormatting sqref="E4">
    <cfRule type="containsBlanks" priority="4" stopIfTrue="1">
      <formula>LEN(TRIM(E4))=0</formula>
    </cfRule>
  </conditionalFormatting>
  <conditionalFormatting sqref="D18:E18">
    <cfRule type="containsBlanks" priority="3" stopIfTrue="1">
      <formula>LEN(TRIM(D18))=0</formula>
    </cfRule>
  </conditionalFormatting>
  <conditionalFormatting sqref="D19:E19">
    <cfRule type="containsBlanks" priority="2" stopIfTrue="1">
      <formula>LEN(TRIM(D19))=0</formula>
    </cfRule>
  </conditionalFormatting>
  <conditionalFormatting sqref="D21:E21">
    <cfRule type="containsBlanks" priority="1" stopIfTrue="1">
      <formula>LEN(TRIM(D21))=0</formula>
    </cfRule>
  </conditionalFormatting>
  <pageMargins left="0.7" right="0.7" top="0.75" bottom="0.75" header="0.3" footer="0.3"/>
  <pageSetup orientation="portrait"/>
  <legacyDrawing r:id="rId1"/>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194"/>
  <sheetViews>
    <sheetView tabSelected="1" zoomScale="110" zoomScaleNormal="110" workbookViewId="0">
      <pane ySplit="1" topLeftCell="A2" activePane="bottomLeft" state="frozen"/>
      <selection pane="bottomLeft" activeCell="E14" sqref="E14"/>
    </sheetView>
  </sheetViews>
  <sheetFormatPr defaultRowHeight="12.75" x14ac:dyDescent="0.2"/>
  <cols>
    <col min="2" max="2" width="28.28515625" customWidth="1"/>
    <col min="3" max="4" width="19.7109375" bestFit="1" customWidth="1"/>
    <col min="5" max="5" width="21.5703125" bestFit="1" customWidth="1"/>
    <col min="6" max="6" width="22.42578125" bestFit="1" customWidth="1"/>
    <col min="7" max="7" width="23.85546875" bestFit="1" customWidth="1"/>
    <col min="8" max="8" width="21.42578125" bestFit="1" customWidth="1"/>
  </cols>
  <sheetData>
    <row r="1" spans="1:10" x14ac:dyDescent="0.2">
      <c r="A1" t="s">
        <v>700</v>
      </c>
      <c r="B1" t="s">
        <v>701</v>
      </c>
      <c r="C1" t="s">
        <v>702</v>
      </c>
      <c r="D1" t="s">
        <v>703</v>
      </c>
      <c r="E1" t="s">
        <v>704</v>
      </c>
      <c r="F1" t="s">
        <v>705</v>
      </c>
      <c r="G1" t="s">
        <v>706</v>
      </c>
      <c r="H1" t="s">
        <v>707</v>
      </c>
      <c r="I1" t="s">
        <v>708</v>
      </c>
      <c r="J1" t="s">
        <v>709</v>
      </c>
    </row>
    <row r="2" spans="1:10" x14ac:dyDescent="0.2">
      <c r="A2">
        <v>1111.01</v>
      </c>
      <c r="B2" t="s">
        <v>118</v>
      </c>
      <c r="C2" s="98">
        <v>0</v>
      </c>
      <c r="E2">
        <v>6.9</v>
      </c>
      <c r="F2">
        <v>0.6</v>
      </c>
      <c r="G2">
        <v>1.4</v>
      </c>
      <c r="H2">
        <v>0</v>
      </c>
      <c r="I2">
        <v>78.3</v>
      </c>
      <c r="J2">
        <v>349</v>
      </c>
    </row>
    <row r="3" spans="1:10" x14ac:dyDescent="0.2">
      <c r="A3">
        <v>1111.02</v>
      </c>
      <c r="B3" t="s">
        <v>550</v>
      </c>
      <c r="C3" s="98">
        <v>0</v>
      </c>
      <c r="E3">
        <v>4</v>
      </c>
      <c r="F3">
        <v>0.34</v>
      </c>
      <c r="G3">
        <v>1.8</v>
      </c>
      <c r="H3">
        <v>0</v>
      </c>
      <c r="I3">
        <v>91.86</v>
      </c>
      <c r="J3">
        <v>390.1</v>
      </c>
    </row>
    <row r="4" spans="1:10" x14ac:dyDescent="0.2">
      <c r="A4">
        <v>1112.01</v>
      </c>
      <c r="B4" t="s">
        <v>160</v>
      </c>
      <c r="C4" s="98">
        <v>0</v>
      </c>
      <c r="E4">
        <v>8.4</v>
      </c>
      <c r="F4">
        <v>1.8</v>
      </c>
      <c r="G4">
        <v>3.1</v>
      </c>
      <c r="H4">
        <v>0</v>
      </c>
      <c r="I4">
        <v>48.300000000000004</v>
      </c>
      <c r="J4">
        <v>249.20000000000002</v>
      </c>
    </row>
    <row r="5" spans="1:10" x14ac:dyDescent="0.2">
      <c r="A5">
        <v>1112.02</v>
      </c>
      <c r="B5" t="s">
        <v>161</v>
      </c>
      <c r="C5" s="98">
        <v>0</v>
      </c>
      <c r="E5">
        <v>9.1</v>
      </c>
      <c r="F5">
        <v>2.7</v>
      </c>
      <c r="G5">
        <v>2.7</v>
      </c>
      <c r="H5">
        <v>0</v>
      </c>
      <c r="I5">
        <v>49.499999999999993</v>
      </c>
      <c r="J5">
        <v>264.09999999999997</v>
      </c>
    </row>
    <row r="6" spans="1:10" x14ac:dyDescent="0.2">
      <c r="A6">
        <v>1112.03</v>
      </c>
      <c r="B6" t="s">
        <v>162</v>
      </c>
      <c r="C6" s="98">
        <v>0</v>
      </c>
      <c r="E6">
        <v>9.1</v>
      </c>
      <c r="F6">
        <v>2.7</v>
      </c>
      <c r="G6">
        <v>2.7</v>
      </c>
      <c r="H6">
        <v>0</v>
      </c>
      <c r="I6">
        <v>49.499999999999993</v>
      </c>
      <c r="J6">
        <v>264.09999999999997</v>
      </c>
    </row>
    <row r="7" spans="1:10" x14ac:dyDescent="0.2">
      <c r="A7">
        <v>1112.04</v>
      </c>
      <c r="B7" t="s">
        <v>163</v>
      </c>
      <c r="C7" s="98">
        <v>0</v>
      </c>
      <c r="E7">
        <v>9.1</v>
      </c>
      <c r="F7">
        <v>2.7</v>
      </c>
      <c r="G7">
        <v>2.7</v>
      </c>
      <c r="H7">
        <v>0</v>
      </c>
      <c r="I7">
        <v>49.499999999999993</v>
      </c>
      <c r="J7">
        <v>264.09999999999997</v>
      </c>
    </row>
    <row r="8" spans="1:10" x14ac:dyDescent="0.2">
      <c r="A8">
        <v>1112.0899999999999</v>
      </c>
      <c r="B8" t="s">
        <v>164</v>
      </c>
      <c r="C8" s="98">
        <v>0</v>
      </c>
      <c r="E8">
        <v>9.1</v>
      </c>
      <c r="F8">
        <v>2.7</v>
      </c>
      <c r="G8">
        <v>2.7</v>
      </c>
      <c r="H8">
        <v>0</v>
      </c>
      <c r="I8">
        <v>49.499999999999993</v>
      </c>
      <c r="J8">
        <v>264.09999999999997</v>
      </c>
    </row>
    <row r="9" spans="1:10" x14ac:dyDescent="0.2">
      <c r="A9">
        <v>1113.01</v>
      </c>
      <c r="B9" t="s">
        <v>165</v>
      </c>
      <c r="C9" s="98">
        <v>0</v>
      </c>
      <c r="E9">
        <v>5.4</v>
      </c>
      <c r="F9">
        <v>0.7</v>
      </c>
      <c r="G9">
        <v>1.6</v>
      </c>
      <c r="H9">
        <v>0</v>
      </c>
      <c r="I9">
        <v>31.299999999999997</v>
      </c>
      <c r="J9">
        <v>156.29999999999998</v>
      </c>
    </row>
    <row r="10" spans="1:10" x14ac:dyDescent="0.2">
      <c r="A10">
        <v>1114.01</v>
      </c>
      <c r="B10" t="s">
        <v>166</v>
      </c>
      <c r="C10" s="98">
        <v>0</v>
      </c>
      <c r="E10">
        <v>2.9</v>
      </c>
      <c r="F10">
        <v>9.1</v>
      </c>
      <c r="G10">
        <v>2.4</v>
      </c>
      <c r="H10">
        <v>0</v>
      </c>
      <c r="I10">
        <v>59.3</v>
      </c>
      <c r="J10">
        <v>335.5</v>
      </c>
    </row>
    <row r="11" spans="1:10" x14ac:dyDescent="0.2">
      <c r="A11">
        <v>1114.02</v>
      </c>
      <c r="B11" t="s">
        <v>167</v>
      </c>
      <c r="C11" s="98">
        <v>0</v>
      </c>
      <c r="E11">
        <v>3.41</v>
      </c>
      <c r="F11">
        <v>28.69</v>
      </c>
      <c r="G11">
        <v>1.4</v>
      </c>
      <c r="H11">
        <v>0</v>
      </c>
      <c r="I11">
        <v>57.120000000000012</v>
      </c>
      <c r="J11">
        <v>503.13000000000011</v>
      </c>
    </row>
    <row r="12" spans="1:10" x14ac:dyDescent="0.2">
      <c r="A12">
        <v>1115.01</v>
      </c>
      <c r="B12" t="s">
        <v>168</v>
      </c>
      <c r="C12" s="98">
        <v>0</v>
      </c>
      <c r="E12">
        <v>0.77</v>
      </c>
      <c r="F12">
        <v>0.1</v>
      </c>
      <c r="G12">
        <v>1.1000000000000001</v>
      </c>
      <c r="H12">
        <v>0</v>
      </c>
      <c r="I12">
        <v>7.8399999999999945</v>
      </c>
      <c r="J12">
        <v>37.539999999999978</v>
      </c>
    </row>
    <row r="13" spans="1:10" x14ac:dyDescent="0.2">
      <c r="A13">
        <v>1115.02</v>
      </c>
      <c r="B13" t="s">
        <v>169</v>
      </c>
      <c r="C13" s="98">
        <v>0</v>
      </c>
      <c r="E13">
        <v>17.600000000000001</v>
      </c>
      <c r="F13">
        <v>19.7</v>
      </c>
      <c r="G13">
        <v>0</v>
      </c>
      <c r="H13">
        <v>0</v>
      </c>
      <c r="I13">
        <v>56.100000000000009</v>
      </c>
      <c r="J13">
        <v>472.1</v>
      </c>
    </row>
    <row r="14" spans="1:10" x14ac:dyDescent="0.2">
      <c r="A14">
        <v>1115.03</v>
      </c>
      <c r="B14" t="s">
        <v>170</v>
      </c>
      <c r="C14" s="98">
        <v>0</v>
      </c>
      <c r="E14">
        <v>7.6</v>
      </c>
      <c r="F14">
        <v>11.3</v>
      </c>
      <c r="G14">
        <v>1.2</v>
      </c>
      <c r="H14">
        <v>0</v>
      </c>
      <c r="I14">
        <v>28.200000000000003</v>
      </c>
      <c r="J14">
        <v>247.3</v>
      </c>
    </row>
    <row r="15" spans="1:10" x14ac:dyDescent="0.2">
      <c r="A15">
        <v>1115.04</v>
      </c>
      <c r="B15" t="s">
        <v>171</v>
      </c>
      <c r="C15" s="98">
        <v>0</v>
      </c>
      <c r="E15">
        <v>8.5</v>
      </c>
      <c r="F15">
        <v>4</v>
      </c>
      <c r="G15">
        <v>1.5</v>
      </c>
      <c r="H15">
        <v>0</v>
      </c>
      <c r="I15">
        <v>71.5</v>
      </c>
      <c r="J15">
        <v>359</v>
      </c>
    </row>
    <row r="16" spans="1:10" x14ac:dyDescent="0.2">
      <c r="A16">
        <v>1115.05</v>
      </c>
      <c r="B16" t="s">
        <v>172</v>
      </c>
      <c r="C16" s="98">
        <v>0</v>
      </c>
      <c r="E16">
        <v>8.8000000000000007</v>
      </c>
      <c r="F16">
        <v>5.8</v>
      </c>
      <c r="G16">
        <v>9</v>
      </c>
      <c r="H16">
        <v>0</v>
      </c>
      <c r="I16">
        <v>64.800000000000011</v>
      </c>
      <c r="J16">
        <v>364.6</v>
      </c>
    </row>
    <row r="17" spans="1:10" x14ac:dyDescent="0.2">
      <c r="A17">
        <v>1115.06</v>
      </c>
      <c r="B17" t="s">
        <v>173</v>
      </c>
      <c r="C17" s="98">
        <v>0</v>
      </c>
      <c r="E17">
        <v>10.5</v>
      </c>
      <c r="F17">
        <v>3.3</v>
      </c>
      <c r="G17">
        <v>9.9</v>
      </c>
      <c r="H17">
        <v>0</v>
      </c>
      <c r="I17">
        <v>62.999999999999993</v>
      </c>
      <c r="J17">
        <v>343.5</v>
      </c>
    </row>
    <row r="18" spans="1:10" x14ac:dyDescent="0.2">
      <c r="A18">
        <v>1115.07</v>
      </c>
      <c r="B18" t="s">
        <v>540</v>
      </c>
      <c r="C18" s="98">
        <v>0</v>
      </c>
      <c r="E18">
        <v>1.9</v>
      </c>
      <c r="F18">
        <v>0.5</v>
      </c>
      <c r="G18">
        <v>3.9</v>
      </c>
      <c r="H18">
        <v>0</v>
      </c>
      <c r="I18">
        <v>78.799999999999983</v>
      </c>
      <c r="J18">
        <v>335.09999999999991</v>
      </c>
    </row>
    <row r="19" spans="1:10" x14ac:dyDescent="0.2">
      <c r="A19">
        <v>1119.01</v>
      </c>
      <c r="B19" t="s">
        <v>174</v>
      </c>
      <c r="C19" s="98">
        <v>0.25</v>
      </c>
      <c r="E19">
        <v>21.81</v>
      </c>
      <c r="F19">
        <v>2.93</v>
      </c>
      <c r="G19">
        <v>0</v>
      </c>
      <c r="H19">
        <v>0</v>
      </c>
      <c r="I19">
        <v>0</v>
      </c>
      <c r="J19">
        <v>113.61</v>
      </c>
    </row>
    <row r="20" spans="1:10" x14ac:dyDescent="0.2">
      <c r="A20">
        <v>1121.01</v>
      </c>
      <c r="B20" t="s">
        <v>175</v>
      </c>
      <c r="C20" s="98">
        <v>0</v>
      </c>
      <c r="E20">
        <v>18.399999999999999</v>
      </c>
      <c r="F20">
        <v>18</v>
      </c>
      <c r="G20">
        <v>0</v>
      </c>
      <c r="H20">
        <v>0</v>
      </c>
      <c r="I20">
        <v>0</v>
      </c>
      <c r="J20">
        <v>235.6</v>
      </c>
    </row>
    <row r="21" spans="1:10" x14ac:dyDescent="0.2">
      <c r="A21">
        <v>1122.01</v>
      </c>
      <c r="B21" t="s">
        <v>119</v>
      </c>
      <c r="C21" s="98">
        <v>0</v>
      </c>
      <c r="E21">
        <v>12.3</v>
      </c>
      <c r="F21">
        <v>38.799999999999997</v>
      </c>
      <c r="G21">
        <v>0</v>
      </c>
      <c r="H21">
        <v>0</v>
      </c>
      <c r="I21">
        <v>1.0999999999999943</v>
      </c>
      <c r="J21">
        <v>402.79999999999995</v>
      </c>
    </row>
    <row r="22" spans="1:10" x14ac:dyDescent="0.2">
      <c r="A22">
        <v>1123.01</v>
      </c>
      <c r="B22" t="s">
        <v>176</v>
      </c>
      <c r="C22" s="98">
        <v>0.26</v>
      </c>
      <c r="E22">
        <v>17.5</v>
      </c>
      <c r="F22">
        <v>10.6</v>
      </c>
      <c r="G22">
        <v>0</v>
      </c>
      <c r="H22">
        <v>0</v>
      </c>
      <c r="I22">
        <v>2.7999999999999989</v>
      </c>
      <c r="J22">
        <v>176.59999999999997</v>
      </c>
    </row>
    <row r="23" spans="1:10" x14ac:dyDescent="0.2">
      <c r="A23">
        <v>1123.02</v>
      </c>
      <c r="B23" t="s">
        <v>177</v>
      </c>
      <c r="C23" s="98">
        <v>0.25</v>
      </c>
      <c r="E23">
        <v>24.6</v>
      </c>
      <c r="F23">
        <v>25.2</v>
      </c>
      <c r="G23">
        <v>0</v>
      </c>
      <c r="H23">
        <v>0</v>
      </c>
      <c r="I23">
        <v>1.1999999999999993</v>
      </c>
      <c r="J23">
        <v>330</v>
      </c>
    </row>
    <row r="24" spans="1:10" x14ac:dyDescent="0.2">
      <c r="A24">
        <v>1124.01</v>
      </c>
      <c r="B24" t="s">
        <v>178</v>
      </c>
      <c r="C24" s="98">
        <v>0</v>
      </c>
      <c r="E24">
        <v>20.399999999999999</v>
      </c>
      <c r="F24">
        <v>5.9</v>
      </c>
      <c r="G24">
        <v>0</v>
      </c>
      <c r="H24">
        <v>0</v>
      </c>
      <c r="I24">
        <v>0</v>
      </c>
      <c r="J24">
        <v>134.69999999999999</v>
      </c>
    </row>
    <row r="25" spans="1:10" x14ac:dyDescent="0.2">
      <c r="A25">
        <v>1124.02</v>
      </c>
      <c r="B25" t="s">
        <v>554</v>
      </c>
      <c r="C25" s="98">
        <v>0</v>
      </c>
      <c r="E25">
        <v>27.37</v>
      </c>
      <c r="F25">
        <v>10.4</v>
      </c>
      <c r="G25">
        <v>0</v>
      </c>
      <c r="H25">
        <v>0</v>
      </c>
      <c r="I25">
        <v>0</v>
      </c>
      <c r="J25">
        <v>203.08</v>
      </c>
    </row>
    <row r="26" spans="1:10" x14ac:dyDescent="0.2">
      <c r="A26">
        <v>1125.01</v>
      </c>
      <c r="B26" t="s">
        <v>179</v>
      </c>
      <c r="C26" s="98">
        <v>0</v>
      </c>
      <c r="E26">
        <v>12.3</v>
      </c>
      <c r="F26">
        <v>38.799999999999997</v>
      </c>
      <c r="G26">
        <v>0</v>
      </c>
      <c r="H26">
        <v>0</v>
      </c>
      <c r="I26">
        <v>1.0999999999999943</v>
      </c>
      <c r="J26">
        <v>402.79999999999995</v>
      </c>
    </row>
    <row r="27" spans="1:10" x14ac:dyDescent="0.2">
      <c r="A27">
        <v>1125.02</v>
      </c>
      <c r="B27" t="s">
        <v>557</v>
      </c>
      <c r="C27" s="98">
        <v>0</v>
      </c>
      <c r="E27">
        <v>16.5</v>
      </c>
      <c r="F27">
        <v>10.3</v>
      </c>
      <c r="G27">
        <v>0</v>
      </c>
      <c r="H27">
        <v>0</v>
      </c>
      <c r="I27">
        <v>4.2000000000000028</v>
      </c>
      <c r="J27">
        <v>175.5</v>
      </c>
    </row>
    <row r="28" spans="1:10" x14ac:dyDescent="0.2">
      <c r="A28">
        <v>1125.03</v>
      </c>
      <c r="B28" t="s">
        <v>180</v>
      </c>
      <c r="C28" s="98">
        <v>0</v>
      </c>
      <c r="E28">
        <v>21.7</v>
      </c>
      <c r="F28">
        <v>4.3</v>
      </c>
      <c r="G28">
        <v>0</v>
      </c>
      <c r="H28">
        <v>0</v>
      </c>
      <c r="I28">
        <v>0</v>
      </c>
      <c r="J28">
        <v>125.5</v>
      </c>
    </row>
    <row r="29" spans="1:10" x14ac:dyDescent="0.2">
      <c r="A29">
        <v>1125.04</v>
      </c>
      <c r="B29" t="s">
        <v>181</v>
      </c>
      <c r="C29" s="98">
        <v>0</v>
      </c>
      <c r="E29">
        <v>10.5</v>
      </c>
      <c r="F29">
        <v>19.399999999999999</v>
      </c>
      <c r="G29">
        <v>0</v>
      </c>
      <c r="H29">
        <v>0</v>
      </c>
      <c r="I29">
        <v>2.5999999999999943</v>
      </c>
      <c r="J29">
        <v>226.99999999999997</v>
      </c>
    </row>
    <row r="30" spans="1:10" x14ac:dyDescent="0.2">
      <c r="A30">
        <v>1125.05</v>
      </c>
      <c r="B30" t="s">
        <v>182</v>
      </c>
      <c r="C30" s="98">
        <v>0</v>
      </c>
      <c r="E30">
        <v>19.329999999999998</v>
      </c>
      <c r="F30">
        <v>19.059999999999999</v>
      </c>
      <c r="G30">
        <v>0</v>
      </c>
      <c r="H30">
        <v>0</v>
      </c>
      <c r="I30">
        <v>0</v>
      </c>
      <c r="J30">
        <v>248.85999999999999</v>
      </c>
    </row>
    <row r="31" spans="1:10" x14ac:dyDescent="0.2">
      <c r="A31">
        <v>1125.06</v>
      </c>
      <c r="B31" t="s">
        <v>183</v>
      </c>
      <c r="C31" s="98">
        <v>0</v>
      </c>
      <c r="E31">
        <v>10.5</v>
      </c>
      <c r="F31">
        <v>19.399999999999999</v>
      </c>
      <c r="G31">
        <v>0</v>
      </c>
      <c r="H31">
        <v>0</v>
      </c>
      <c r="I31">
        <v>2.5999999999999943</v>
      </c>
      <c r="J31">
        <v>226.99999999999997</v>
      </c>
    </row>
    <row r="32" spans="1:10" x14ac:dyDescent="0.2">
      <c r="A32">
        <v>1125.07</v>
      </c>
      <c r="B32" t="s">
        <v>184</v>
      </c>
      <c r="C32" s="98">
        <v>0</v>
      </c>
      <c r="E32">
        <v>12.1</v>
      </c>
      <c r="F32">
        <v>3.7</v>
      </c>
      <c r="G32">
        <v>0</v>
      </c>
      <c r="H32">
        <v>0</v>
      </c>
      <c r="I32">
        <v>0</v>
      </c>
      <c r="J32">
        <v>81.7</v>
      </c>
    </row>
    <row r="33" spans="1:10" x14ac:dyDescent="0.2">
      <c r="A33">
        <v>1125.08</v>
      </c>
      <c r="B33" t="s">
        <v>185</v>
      </c>
      <c r="C33" s="98">
        <v>0</v>
      </c>
      <c r="E33">
        <v>19.399999999999999</v>
      </c>
      <c r="F33">
        <v>4.4000000000000004</v>
      </c>
      <c r="G33">
        <v>0</v>
      </c>
      <c r="H33">
        <v>0</v>
      </c>
      <c r="I33">
        <v>3.9000000000000004</v>
      </c>
      <c r="J33">
        <v>132.79999999999998</v>
      </c>
    </row>
    <row r="34" spans="1:10" x14ac:dyDescent="0.2">
      <c r="A34">
        <v>1126.01</v>
      </c>
      <c r="B34" t="s">
        <v>186</v>
      </c>
      <c r="C34" s="98">
        <v>0</v>
      </c>
      <c r="E34">
        <v>20.100000000000001</v>
      </c>
      <c r="F34">
        <v>10</v>
      </c>
      <c r="G34">
        <v>0</v>
      </c>
      <c r="H34">
        <v>0</v>
      </c>
      <c r="I34">
        <v>0</v>
      </c>
      <c r="J34">
        <v>170.4</v>
      </c>
    </row>
    <row r="35" spans="1:10" x14ac:dyDescent="0.2">
      <c r="A35">
        <v>1126.02</v>
      </c>
      <c r="B35" t="s">
        <v>187</v>
      </c>
      <c r="C35" s="98">
        <v>0</v>
      </c>
      <c r="E35">
        <v>27.1</v>
      </c>
      <c r="F35">
        <v>14.9</v>
      </c>
      <c r="G35">
        <v>0</v>
      </c>
      <c r="H35">
        <v>0</v>
      </c>
      <c r="I35">
        <v>0</v>
      </c>
      <c r="J35">
        <v>242.5</v>
      </c>
    </row>
    <row r="36" spans="1:10" x14ac:dyDescent="0.2">
      <c r="A36">
        <v>1127.01</v>
      </c>
      <c r="B36" t="s">
        <v>188</v>
      </c>
      <c r="C36" s="98">
        <v>0</v>
      </c>
      <c r="E36">
        <v>22.96</v>
      </c>
      <c r="F36">
        <v>2.42</v>
      </c>
      <c r="G36">
        <v>0</v>
      </c>
      <c r="H36">
        <v>0</v>
      </c>
      <c r="I36">
        <v>0</v>
      </c>
      <c r="J36">
        <v>113.62</v>
      </c>
    </row>
    <row r="37" spans="1:10" x14ac:dyDescent="0.2">
      <c r="A37">
        <v>1127.02</v>
      </c>
      <c r="B37" t="s">
        <v>558</v>
      </c>
      <c r="C37" s="98">
        <v>0</v>
      </c>
      <c r="E37">
        <v>12.3</v>
      </c>
      <c r="F37">
        <v>38.799999999999997</v>
      </c>
      <c r="G37">
        <v>0</v>
      </c>
      <c r="H37">
        <v>0</v>
      </c>
      <c r="I37">
        <v>1.0999999999999943</v>
      </c>
      <c r="J37">
        <v>402.79999999999995</v>
      </c>
    </row>
    <row r="38" spans="1:10" x14ac:dyDescent="0.2">
      <c r="A38">
        <v>1127.03</v>
      </c>
      <c r="B38" t="s">
        <v>189</v>
      </c>
      <c r="C38" s="98">
        <v>0</v>
      </c>
      <c r="E38">
        <v>21.39</v>
      </c>
      <c r="F38">
        <v>4.5999999999999996</v>
      </c>
      <c r="G38">
        <v>0</v>
      </c>
      <c r="H38">
        <v>0</v>
      </c>
      <c r="I38">
        <v>0.3900000000000059</v>
      </c>
      <c r="J38">
        <v>128.52000000000004</v>
      </c>
    </row>
    <row r="39" spans="1:10" x14ac:dyDescent="0.2">
      <c r="A39">
        <v>1127.04</v>
      </c>
      <c r="B39" t="s">
        <v>559</v>
      </c>
      <c r="C39" s="98">
        <v>0</v>
      </c>
      <c r="E39">
        <v>16.399999999999999</v>
      </c>
      <c r="F39">
        <v>0.3</v>
      </c>
      <c r="G39">
        <v>0</v>
      </c>
      <c r="H39">
        <v>0</v>
      </c>
      <c r="I39">
        <v>0</v>
      </c>
      <c r="J39">
        <v>68.3</v>
      </c>
    </row>
    <row r="40" spans="1:10" x14ac:dyDescent="0.2">
      <c r="A40">
        <v>1128.01</v>
      </c>
      <c r="B40" t="s">
        <v>190</v>
      </c>
      <c r="C40" s="98">
        <v>0</v>
      </c>
      <c r="E40">
        <v>14.1</v>
      </c>
      <c r="F40">
        <v>3.6</v>
      </c>
      <c r="G40">
        <v>2.6</v>
      </c>
      <c r="H40">
        <v>0</v>
      </c>
      <c r="I40">
        <v>0.70000000000000373</v>
      </c>
      <c r="J40">
        <v>96.800000000000011</v>
      </c>
    </row>
    <row r="41" spans="1:10" x14ac:dyDescent="0.2">
      <c r="A41">
        <v>1129.99</v>
      </c>
      <c r="B41" t="s">
        <v>191</v>
      </c>
      <c r="C41" s="98">
        <v>0</v>
      </c>
      <c r="E41">
        <v>66.7</v>
      </c>
      <c r="F41">
        <v>7</v>
      </c>
      <c r="G41">
        <v>0</v>
      </c>
      <c r="H41">
        <v>0</v>
      </c>
      <c r="I41">
        <v>0</v>
      </c>
      <c r="J41">
        <v>329.8</v>
      </c>
    </row>
    <row r="42" spans="1:10" x14ac:dyDescent="0.2">
      <c r="A42">
        <v>1131.01</v>
      </c>
      <c r="B42" t="s">
        <v>192</v>
      </c>
      <c r="C42" s="98">
        <v>0.45</v>
      </c>
      <c r="E42">
        <v>18.8</v>
      </c>
      <c r="F42">
        <v>2.7</v>
      </c>
      <c r="G42">
        <v>0</v>
      </c>
      <c r="H42">
        <v>0</v>
      </c>
      <c r="I42">
        <v>0.29999999999999982</v>
      </c>
      <c r="J42">
        <v>100.7</v>
      </c>
    </row>
    <row r="43" spans="1:10" x14ac:dyDescent="0.2">
      <c r="A43">
        <v>1131.02</v>
      </c>
      <c r="B43" t="s">
        <v>193</v>
      </c>
      <c r="C43" s="98">
        <v>0.28999999999999998</v>
      </c>
      <c r="E43">
        <v>19.7</v>
      </c>
      <c r="F43">
        <v>5</v>
      </c>
      <c r="G43">
        <v>0</v>
      </c>
      <c r="H43">
        <v>0</v>
      </c>
      <c r="I43">
        <v>1.4000000000000021</v>
      </c>
      <c r="J43">
        <v>129.4</v>
      </c>
    </row>
    <row r="44" spans="1:10" x14ac:dyDescent="0.2">
      <c r="A44">
        <v>1132.01</v>
      </c>
      <c r="B44" t="s">
        <v>560</v>
      </c>
      <c r="C44" s="98">
        <v>0</v>
      </c>
      <c r="E44">
        <v>15.97</v>
      </c>
      <c r="F44">
        <v>0.95</v>
      </c>
      <c r="G44">
        <v>0</v>
      </c>
      <c r="H44">
        <v>0</v>
      </c>
      <c r="I44">
        <v>0</v>
      </c>
      <c r="J44">
        <v>72.430000000000007</v>
      </c>
    </row>
    <row r="45" spans="1:10" x14ac:dyDescent="0.2">
      <c r="A45">
        <v>1132.02</v>
      </c>
      <c r="B45" t="s">
        <v>563</v>
      </c>
      <c r="C45" s="98">
        <v>0</v>
      </c>
      <c r="E45">
        <v>23.72</v>
      </c>
      <c r="F45">
        <v>1.51</v>
      </c>
      <c r="G45">
        <v>0</v>
      </c>
      <c r="H45">
        <v>0</v>
      </c>
      <c r="I45">
        <v>0</v>
      </c>
      <c r="J45">
        <v>108.47</v>
      </c>
    </row>
    <row r="46" spans="1:10" x14ac:dyDescent="0.2">
      <c r="A46">
        <v>1132.03</v>
      </c>
      <c r="B46" t="s">
        <v>566</v>
      </c>
      <c r="C46" s="98">
        <v>0</v>
      </c>
      <c r="E46">
        <v>16.399999999999999</v>
      </c>
      <c r="F46">
        <v>0.3</v>
      </c>
      <c r="G46">
        <v>0</v>
      </c>
      <c r="H46">
        <v>0</v>
      </c>
      <c r="I46">
        <v>0</v>
      </c>
      <c r="J46">
        <v>68.3</v>
      </c>
    </row>
    <row r="47" spans="1:10" x14ac:dyDescent="0.2">
      <c r="A47">
        <v>1133.01</v>
      </c>
      <c r="B47" t="s">
        <v>194</v>
      </c>
      <c r="C47" s="98">
        <v>0</v>
      </c>
      <c r="E47">
        <v>25.23</v>
      </c>
      <c r="F47">
        <v>0.96</v>
      </c>
      <c r="G47">
        <v>0</v>
      </c>
      <c r="H47">
        <v>0</v>
      </c>
      <c r="I47">
        <v>0.70999999999999464</v>
      </c>
      <c r="J47">
        <v>112.39999999999998</v>
      </c>
    </row>
    <row r="48" spans="1:10" x14ac:dyDescent="0.2">
      <c r="A48">
        <v>1133.02</v>
      </c>
      <c r="B48" t="s">
        <v>195</v>
      </c>
      <c r="C48" s="98">
        <v>0.48</v>
      </c>
      <c r="E48">
        <v>19.399999999999999</v>
      </c>
      <c r="F48">
        <v>2.9</v>
      </c>
      <c r="G48">
        <v>0</v>
      </c>
      <c r="H48">
        <v>0</v>
      </c>
      <c r="I48">
        <v>0.29999999999999583</v>
      </c>
      <c r="J48">
        <v>104.89999999999998</v>
      </c>
    </row>
    <row r="49" spans="1:10" x14ac:dyDescent="0.2">
      <c r="A49">
        <v>1133.03</v>
      </c>
      <c r="B49" t="s">
        <v>196</v>
      </c>
      <c r="C49" s="98">
        <v>0</v>
      </c>
      <c r="E49">
        <v>62.44</v>
      </c>
      <c r="F49">
        <v>13.44</v>
      </c>
      <c r="G49">
        <v>0</v>
      </c>
      <c r="H49">
        <v>0</v>
      </c>
      <c r="I49">
        <v>0</v>
      </c>
      <c r="J49">
        <v>370.71999999999997</v>
      </c>
    </row>
    <row r="50" spans="1:10" x14ac:dyDescent="0.2">
      <c r="A50">
        <v>1134.01</v>
      </c>
      <c r="B50" t="s">
        <v>197</v>
      </c>
      <c r="C50" s="98">
        <v>0</v>
      </c>
      <c r="E50">
        <v>24.7</v>
      </c>
      <c r="F50">
        <v>13.5</v>
      </c>
      <c r="G50">
        <v>0</v>
      </c>
      <c r="H50">
        <v>0</v>
      </c>
      <c r="I50">
        <v>0.40000000000000213</v>
      </c>
      <c r="J50">
        <v>221.90000000000003</v>
      </c>
    </row>
    <row r="51" spans="1:10" x14ac:dyDescent="0.2">
      <c r="A51">
        <v>1139.99</v>
      </c>
      <c r="B51" t="s">
        <v>569</v>
      </c>
      <c r="C51" s="98">
        <v>0</v>
      </c>
      <c r="E51">
        <v>16.399999999999999</v>
      </c>
      <c r="F51">
        <v>0.3</v>
      </c>
      <c r="G51">
        <v>0</v>
      </c>
      <c r="H51">
        <v>0</v>
      </c>
      <c r="I51">
        <v>0</v>
      </c>
      <c r="J51">
        <v>68.3</v>
      </c>
    </row>
    <row r="52" spans="1:10" x14ac:dyDescent="0.2">
      <c r="A52">
        <v>1141.01</v>
      </c>
      <c r="B52" t="s">
        <v>198</v>
      </c>
      <c r="C52" s="98">
        <v>0</v>
      </c>
      <c r="E52">
        <v>3.4</v>
      </c>
      <c r="F52">
        <v>3.7</v>
      </c>
      <c r="G52">
        <v>0</v>
      </c>
      <c r="H52">
        <v>0</v>
      </c>
      <c r="I52">
        <v>4.3999999999999959</v>
      </c>
      <c r="J52">
        <v>64.499999999999986</v>
      </c>
    </row>
    <row r="53" spans="1:10" x14ac:dyDescent="0.2">
      <c r="A53">
        <v>1141.02</v>
      </c>
      <c r="B53" t="s">
        <v>199</v>
      </c>
      <c r="C53" s="98">
        <v>0</v>
      </c>
      <c r="E53">
        <v>3.4</v>
      </c>
      <c r="F53">
        <v>3.7</v>
      </c>
      <c r="G53">
        <v>0</v>
      </c>
      <c r="H53">
        <v>0</v>
      </c>
      <c r="I53">
        <v>4.3999999999999959</v>
      </c>
      <c r="J53">
        <v>64.499999999999986</v>
      </c>
    </row>
    <row r="54" spans="1:10" x14ac:dyDescent="0.2">
      <c r="A54">
        <v>1141.99</v>
      </c>
      <c r="B54" t="s">
        <v>200</v>
      </c>
      <c r="C54" s="98">
        <v>0</v>
      </c>
      <c r="E54">
        <v>3.3</v>
      </c>
      <c r="F54">
        <v>3.2</v>
      </c>
      <c r="G54">
        <v>0.5</v>
      </c>
      <c r="H54">
        <v>0</v>
      </c>
      <c r="I54">
        <v>11.400000000000006</v>
      </c>
      <c r="J54">
        <v>88.600000000000023</v>
      </c>
    </row>
    <row r="55" spans="1:10" x14ac:dyDescent="0.2">
      <c r="A55">
        <v>1142.01</v>
      </c>
      <c r="B55" t="s">
        <v>542</v>
      </c>
      <c r="C55" s="98">
        <v>0</v>
      </c>
      <c r="E55">
        <v>3.5</v>
      </c>
      <c r="F55">
        <v>1.6</v>
      </c>
      <c r="G55">
        <v>0</v>
      </c>
      <c r="H55">
        <v>0</v>
      </c>
      <c r="I55">
        <v>4.8000000000000025</v>
      </c>
      <c r="J55">
        <v>47.600000000000009</v>
      </c>
    </row>
    <row r="56" spans="1:10" x14ac:dyDescent="0.2">
      <c r="A56">
        <v>1142.02</v>
      </c>
      <c r="B56" t="s">
        <v>544</v>
      </c>
      <c r="C56" s="98">
        <v>0</v>
      </c>
      <c r="E56">
        <v>3.5</v>
      </c>
      <c r="F56">
        <v>0.5</v>
      </c>
      <c r="G56">
        <v>0</v>
      </c>
      <c r="H56">
        <v>0</v>
      </c>
      <c r="I56">
        <v>4.7000000000000064</v>
      </c>
      <c r="J56">
        <v>37.300000000000026</v>
      </c>
    </row>
    <row r="57" spans="1:10" x14ac:dyDescent="0.2">
      <c r="A57">
        <v>1143.01</v>
      </c>
      <c r="B57" t="s">
        <v>547</v>
      </c>
      <c r="C57" s="98">
        <v>0</v>
      </c>
      <c r="E57">
        <v>7.9</v>
      </c>
      <c r="F57">
        <v>8.6999999999999993</v>
      </c>
      <c r="G57">
        <v>0</v>
      </c>
      <c r="H57">
        <v>0</v>
      </c>
      <c r="I57">
        <v>54.400000000000006</v>
      </c>
      <c r="J57">
        <v>327.5</v>
      </c>
    </row>
    <row r="58" spans="1:10" x14ac:dyDescent="0.2">
      <c r="A58">
        <v>1143.02</v>
      </c>
      <c r="B58" t="s">
        <v>151</v>
      </c>
      <c r="C58" s="98">
        <v>0</v>
      </c>
      <c r="E58">
        <v>36.200000000000003</v>
      </c>
      <c r="F58">
        <v>0.8</v>
      </c>
      <c r="G58">
        <v>0</v>
      </c>
      <c r="H58">
        <v>0</v>
      </c>
      <c r="I58">
        <v>51.899999999999991</v>
      </c>
      <c r="J58">
        <v>359.59999999999997</v>
      </c>
    </row>
    <row r="59" spans="1:10" x14ac:dyDescent="0.2">
      <c r="A59">
        <v>1143.03</v>
      </c>
      <c r="B59" t="s">
        <v>201</v>
      </c>
      <c r="C59" s="98">
        <v>0</v>
      </c>
      <c r="E59">
        <v>36.200000000000003</v>
      </c>
      <c r="F59">
        <v>0.8</v>
      </c>
      <c r="G59">
        <v>0</v>
      </c>
      <c r="H59">
        <v>0</v>
      </c>
      <c r="I59">
        <v>51.899999999999991</v>
      </c>
      <c r="J59">
        <v>359.59999999999997</v>
      </c>
    </row>
    <row r="60" spans="1:10" x14ac:dyDescent="0.2">
      <c r="A60">
        <v>1143.04</v>
      </c>
      <c r="B60" t="s">
        <v>202</v>
      </c>
      <c r="C60" s="98">
        <v>0</v>
      </c>
      <c r="E60">
        <v>11.9</v>
      </c>
      <c r="F60">
        <v>27.7</v>
      </c>
      <c r="G60">
        <v>0</v>
      </c>
      <c r="H60">
        <v>0</v>
      </c>
      <c r="I60">
        <v>55.599999999999994</v>
      </c>
      <c r="J60">
        <v>519.29999999999995</v>
      </c>
    </row>
    <row r="61" spans="1:10" x14ac:dyDescent="0.2">
      <c r="A61">
        <v>1144.01</v>
      </c>
      <c r="B61" t="s">
        <v>203</v>
      </c>
      <c r="C61" s="98">
        <v>0</v>
      </c>
      <c r="E61">
        <v>3.4</v>
      </c>
      <c r="F61">
        <v>4.5</v>
      </c>
      <c r="G61">
        <v>0</v>
      </c>
      <c r="H61">
        <v>0</v>
      </c>
      <c r="I61">
        <v>5.5000000000000018</v>
      </c>
      <c r="J61">
        <v>76.100000000000009</v>
      </c>
    </row>
    <row r="62" spans="1:10" x14ac:dyDescent="0.2">
      <c r="A62">
        <v>1144.02</v>
      </c>
      <c r="B62" t="s">
        <v>152</v>
      </c>
      <c r="C62" s="98">
        <v>0</v>
      </c>
      <c r="E62">
        <v>3.8</v>
      </c>
      <c r="F62">
        <v>3.4</v>
      </c>
      <c r="G62">
        <v>0</v>
      </c>
      <c r="H62">
        <v>0</v>
      </c>
      <c r="I62">
        <v>6.7000000000000011</v>
      </c>
      <c r="J62">
        <v>72.599999999999994</v>
      </c>
    </row>
    <row r="63" spans="1:10" x14ac:dyDescent="0.2">
      <c r="A63">
        <v>1144.03</v>
      </c>
      <c r="B63" t="s">
        <v>204</v>
      </c>
      <c r="C63" s="98">
        <v>0</v>
      </c>
      <c r="E63">
        <v>3.5</v>
      </c>
      <c r="F63">
        <v>1.6</v>
      </c>
      <c r="G63">
        <v>0</v>
      </c>
      <c r="H63">
        <v>0</v>
      </c>
      <c r="I63">
        <v>4.8000000000000025</v>
      </c>
      <c r="J63">
        <v>47.600000000000009</v>
      </c>
    </row>
    <row r="64" spans="1:10" x14ac:dyDescent="0.2">
      <c r="A64">
        <v>1145.01</v>
      </c>
      <c r="B64" t="s">
        <v>205</v>
      </c>
      <c r="C64" s="98">
        <v>0</v>
      </c>
      <c r="E64">
        <v>24.8</v>
      </c>
      <c r="F64">
        <v>29.5</v>
      </c>
      <c r="G64">
        <v>0</v>
      </c>
      <c r="H64">
        <v>0</v>
      </c>
      <c r="I64">
        <v>0.80000000000000071</v>
      </c>
      <c r="J64">
        <v>367.9</v>
      </c>
    </row>
    <row r="65" spans="1:10" x14ac:dyDescent="0.2">
      <c r="A65">
        <v>1146.01</v>
      </c>
      <c r="B65" t="s">
        <v>206</v>
      </c>
      <c r="C65" s="98">
        <v>0</v>
      </c>
      <c r="E65">
        <v>2.9</v>
      </c>
      <c r="F65">
        <v>13.5</v>
      </c>
      <c r="G65">
        <v>0</v>
      </c>
      <c r="H65">
        <v>0</v>
      </c>
      <c r="I65">
        <v>4.5</v>
      </c>
      <c r="J65">
        <v>151.1</v>
      </c>
    </row>
    <row r="66" spans="1:10" x14ac:dyDescent="0.2">
      <c r="A66">
        <v>1147.01</v>
      </c>
      <c r="B66" t="s">
        <v>120</v>
      </c>
      <c r="C66" s="98">
        <v>0</v>
      </c>
      <c r="E66">
        <v>12.6</v>
      </c>
      <c r="F66">
        <v>9.5</v>
      </c>
      <c r="G66">
        <v>0</v>
      </c>
      <c r="H66">
        <v>0</v>
      </c>
      <c r="I66">
        <v>0.59999999999999609</v>
      </c>
      <c r="J66">
        <v>138.29999999999998</v>
      </c>
    </row>
    <row r="67" spans="1:10" x14ac:dyDescent="0.2">
      <c r="A67">
        <v>1151.01</v>
      </c>
      <c r="B67" t="s">
        <v>207</v>
      </c>
      <c r="C67" s="98">
        <v>0</v>
      </c>
      <c r="E67">
        <v>0.8</v>
      </c>
      <c r="F67">
        <v>79.599999999999994</v>
      </c>
      <c r="G67">
        <v>0</v>
      </c>
      <c r="H67">
        <v>0</v>
      </c>
      <c r="I67">
        <v>0.10000000000000853</v>
      </c>
      <c r="J67">
        <v>720</v>
      </c>
    </row>
    <row r="68" spans="1:10" x14ac:dyDescent="0.2">
      <c r="A68">
        <v>1152.01</v>
      </c>
      <c r="B68" t="s">
        <v>208</v>
      </c>
      <c r="C68" s="98">
        <v>0</v>
      </c>
      <c r="E68">
        <v>0.2</v>
      </c>
      <c r="F68">
        <v>80.7</v>
      </c>
      <c r="G68">
        <v>0</v>
      </c>
      <c r="H68">
        <v>0</v>
      </c>
      <c r="I68">
        <v>0.69999999999998863</v>
      </c>
      <c r="J68">
        <v>729.9</v>
      </c>
    </row>
    <row r="69" spans="1:10" x14ac:dyDescent="0.2">
      <c r="A69">
        <v>1152.02</v>
      </c>
      <c r="B69" t="s">
        <v>209</v>
      </c>
      <c r="C69" s="98">
        <v>0</v>
      </c>
      <c r="E69">
        <v>22.4</v>
      </c>
      <c r="F69">
        <v>44.5</v>
      </c>
      <c r="G69">
        <v>8.5</v>
      </c>
      <c r="H69">
        <v>0</v>
      </c>
      <c r="I69">
        <v>14.800000000000011</v>
      </c>
      <c r="J69">
        <v>566.30000000000007</v>
      </c>
    </row>
    <row r="70" spans="1:10" x14ac:dyDescent="0.2">
      <c r="A70">
        <v>1154.01</v>
      </c>
      <c r="B70" t="s">
        <v>121</v>
      </c>
      <c r="C70" s="98">
        <v>0</v>
      </c>
      <c r="E70">
        <v>0</v>
      </c>
      <c r="F70">
        <v>100</v>
      </c>
      <c r="G70">
        <v>0</v>
      </c>
      <c r="H70">
        <v>0</v>
      </c>
      <c r="I70">
        <v>0</v>
      </c>
      <c r="J70">
        <v>900</v>
      </c>
    </row>
    <row r="71" spans="1:10" x14ac:dyDescent="0.2">
      <c r="A71">
        <v>1154.02</v>
      </c>
      <c r="B71" t="s">
        <v>210</v>
      </c>
      <c r="C71" s="98">
        <v>0</v>
      </c>
      <c r="E71">
        <v>0</v>
      </c>
      <c r="F71">
        <v>100</v>
      </c>
      <c r="G71">
        <v>0</v>
      </c>
      <c r="H71">
        <v>0</v>
      </c>
      <c r="I71">
        <v>0</v>
      </c>
      <c r="J71">
        <v>900</v>
      </c>
    </row>
    <row r="72" spans="1:10" x14ac:dyDescent="0.2">
      <c r="A72">
        <v>1155.01</v>
      </c>
      <c r="B72" t="s">
        <v>211</v>
      </c>
      <c r="C72" s="98">
        <v>0</v>
      </c>
      <c r="E72">
        <v>0</v>
      </c>
      <c r="F72">
        <v>100</v>
      </c>
      <c r="G72">
        <v>0</v>
      </c>
      <c r="H72">
        <v>0</v>
      </c>
      <c r="I72">
        <v>0</v>
      </c>
      <c r="J72">
        <v>900</v>
      </c>
    </row>
    <row r="73" spans="1:10" x14ac:dyDescent="0.2">
      <c r="A73">
        <v>1155.02</v>
      </c>
      <c r="B73" t="s">
        <v>212</v>
      </c>
      <c r="C73" s="98">
        <v>0</v>
      </c>
      <c r="E73">
        <v>0.8</v>
      </c>
      <c r="F73">
        <v>79.599999999999994</v>
      </c>
      <c r="G73">
        <v>0</v>
      </c>
      <c r="H73">
        <v>0</v>
      </c>
      <c r="I73">
        <v>0.10000000000000853</v>
      </c>
      <c r="J73">
        <v>720</v>
      </c>
    </row>
    <row r="74" spans="1:10" x14ac:dyDescent="0.2">
      <c r="A74">
        <v>1155.03</v>
      </c>
      <c r="B74" t="s">
        <v>213</v>
      </c>
      <c r="C74" s="98">
        <v>0</v>
      </c>
      <c r="E74">
        <v>0</v>
      </c>
      <c r="F74">
        <v>100</v>
      </c>
      <c r="G74">
        <v>0</v>
      </c>
      <c r="H74">
        <v>0</v>
      </c>
      <c r="I74">
        <v>0</v>
      </c>
      <c r="J74">
        <v>900</v>
      </c>
    </row>
    <row r="75" spans="1:10" x14ac:dyDescent="0.2">
      <c r="A75">
        <v>1159.99</v>
      </c>
      <c r="B75" t="s">
        <v>214</v>
      </c>
      <c r="C75" s="98">
        <v>0</v>
      </c>
      <c r="E75">
        <v>0</v>
      </c>
      <c r="F75">
        <v>100</v>
      </c>
      <c r="G75">
        <v>0</v>
      </c>
      <c r="H75">
        <v>0</v>
      </c>
      <c r="I75">
        <v>0</v>
      </c>
      <c r="J75">
        <v>900</v>
      </c>
    </row>
    <row r="76" spans="1:10" x14ac:dyDescent="0.2">
      <c r="A76">
        <v>1161.01</v>
      </c>
      <c r="B76" t="s">
        <v>215</v>
      </c>
      <c r="C76" s="98">
        <v>0.27</v>
      </c>
      <c r="E76">
        <v>0.7</v>
      </c>
      <c r="F76">
        <v>0.3</v>
      </c>
      <c r="G76">
        <v>1.7</v>
      </c>
      <c r="H76">
        <v>0</v>
      </c>
      <c r="I76">
        <v>9.0000000000000036</v>
      </c>
      <c r="J76">
        <v>44.900000000000013</v>
      </c>
    </row>
    <row r="77" spans="1:10" x14ac:dyDescent="0.2">
      <c r="A77">
        <v>1162.01</v>
      </c>
      <c r="B77" t="s">
        <v>155</v>
      </c>
      <c r="C77" s="98">
        <v>0.36</v>
      </c>
      <c r="E77">
        <v>1.2</v>
      </c>
      <c r="F77">
        <v>0.2</v>
      </c>
      <c r="G77">
        <v>2</v>
      </c>
      <c r="H77">
        <v>0</v>
      </c>
      <c r="I77">
        <v>22.200000000000006</v>
      </c>
      <c r="J77">
        <v>99.40000000000002</v>
      </c>
    </row>
    <row r="78" spans="1:10" x14ac:dyDescent="0.2">
      <c r="A78">
        <v>1163.01</v>
      </c>
      <c r="B78" t="s">
        <v>157</v>
      </c>
      <c r="C78" s="98">
        <v>0.1</v>
      </c>
      <c r="E78">
        <v>0.3</v>
      </c>
      <c r="F78">
        <v>0.2</v>
      </c>
      <c r="G78">
        <v>2.4</v>
      </c>
      <c r="H78">
        <v>0</v>
      </c>
      <c r="I78">
        <v>11.300000000000006</v>
      </c>
      <c r="J78">
        <v>53.000000000000021</v>
      </c>
    </row>
    <row r="79" spans="1:10" x14ac:dyDescent="0.2">
      <c r="A79">
        <v>1164.01</v>
      </c>
      <c r="B79" t="s">
        <v>216</v>
      </c>
      <c r="C79" s="98">
        <v>0</v>
      </c>
      <c r="E79">
        <v>0.38</v>
      </c>
      <c r="F79">
        <v>0.12</v>
      </c>
      <c r="G79">
        <v>3.1</v>
      </c>
      <c r="H79">
        <v>0</v>
      </c>
      <c r="I79">
        <v>12.360000000000007</v>
      </c>
      <c r="J79">
        <v>58.240000000000023</v>
      </c>
    </row>
    <row r="80" spans="1:10" x14ac:dyDescent="0.2">
      <c r="A80">
        <v>1165.01</v>
      </c>
      <c r="B80" t="s">
        <v>581</v>
      </c>
      <c r="C80" s="98">
        <v>0</v>
      </c>
      <c r="E80">
        <v>1.4</v>
      </c>
      <c r="F80">
        <v>0.39</v>
      </c>
      <c r="G80">
        <v>2</v>
      </c>
      <c r="H80">
        <v>0</v>
      </c>
      <c r="I80">
        <v>9.1100000000000048</v>
      </c>
      <c r="J80">
        <v>49.550000000000018</v>
      </c>
    </row>
    <row r="81" spans="1:10" x14ac:dyDescent="0.2">
      <c r="A81">
        <v>1165.02</v>
      </c>
      <c r="B81" t="s">
        <v>583</v>
      </c>
      <c r="C81" s="98">
        <v>0.28999999999999998</v>
      </c>
      <c r="E81">
        <v>1.6</v>
      </c>
      <c r="F81">
        <v>19.600000000000001</v>
      </c>
      <c r="G81">
        <v>4</v>
      </c>
      <c r="H81">
        <v>0</v>
      </c>
      <c r="I81">
        <v>0</v>
      </c>
      <c r="J81">
        <v>190.8</v>
      </c>
    </row>
    <row r="82" spans="1:10" x14ac:dyDescent="0.2">
      <c r="A82">
        <v>1165.03</v>
      </c>
      <c r="B82" t="s">
        <v>586</v>
      </c>
      <c r="C82" s="98">
        <v>0</v>
      </c>
      <c r="E82">
        <v>1.06</v>
      </c>
      <c r="F82">
        <v>0.2</v>
      </c>
      <c r="G82">
        <v>2.1</v>
      </c>
      <c r="H82">
        <v>0</v>
      </c>
      <c r="I82">
        <v>13.910000000000002</v>
      </c>
      <c r="J82">
        <v>65.88000000000001</v>
      </c>
    </row>
    <row r="83" spans="1:10" x14ac:dyDescent="0.2">
      <c r="A83">
        <v>1165.04</v>
      </c>
      <c r="B83" t="s">
        <v>156</v>
      </c>
      <c r="C83" s="98" t="s">
        <v>348</v>
      </c>
      <c r="E83" t="s">
        <v>351</v>
      </c>
      <c r="F83" t="s">
        <v>352</v>
      </c>
      <c r="G83" t="s">
        <v>353</v>
      </c>
      <c r="H83">
        <v>0</v>
      </c>
      <c r="I83">
        <v>17.299999999999997</v>
      </c>
      <c r="J83">
        <v>76.799999999999983</v>
      </c>
    </row>
    <row r="84" spans="1:10" x14ac:dyDescent="0.2">
      <c r="A84">
        <v>1165.05</v>
      </c>
      <c r="B84" t="s">
        <v>588</v>
      </c>
      <c r="C84" s="98">
        <v>0</v>
      </c>
      <c r="E84">
        <v>0.7</v>
      </c>
      <c r="F84">
        <v>0.28000000000000003</v>
      </c>
      <c r="G84">
        <v>1.4</v>
      </c>
      <c r="H84">
        <v>0</v>
      </c>
      <c r="I84">
        <v>10.019999999999998</v>
      </c>
      <c r="J84">
        <v>48.199999999999989</v>
      </c>
    </row>
    <row r="85" spans="1:10" x14ac:dyDescent="0.2">
      <c r="A85">
        <v>1165.06</v>
      </c>
      <c r="B85" t="s">
        <v>590</v>
      </c>
      <c r="C85" s="98">
        <v>0.12</v>
      </c>
      <c r="E85">
        <v>1</v>
      </c>
      <c r="F85">
        <v>0.1</v>
      </c>
      <c r="G85">
        <v>1.9</v>
      </c>
      <c r="H85">
        <v>0</v>
      </c>
      <c r="I85">
        <v>9.8999999999999968</v>
      </c>
      <c r="J85">
        <v>48.299999999999983</v>
      </c>
    </row>
    <row r="86" spans="1:10" x14ac:dyDescent="0.2">
      <c r="A86">
        <v>1166.01</v>
      </c>
      <c r="B86" t="s">
        <v>592</v>
      </c>
      <c r="C86" s="98">
        <v>0.04</v>
      </c>
      <c r="E86">
        <v>0.7</v>
      </c>
      <c r="F86">
        <v>0.2</v>
      </c>
      <c r="G86">
        <v>2.5</v>
      </c>
      <c r="H86">
        <v>0</v>
      </c>
      <c r="I86">
        <v>6.2000000000000011</v>
      </c>
      <c r="J86">
        <v>34.400000000000006</v>
      </c>
    </row>
    <row r="87" spans="1:10" x14ac:dyDescent="0.2">
      <c r="A87">
        <v>1166.02</v>
      </c>
      <c r="B87" t="s">
        <v>594</v>
      </c>
      <c r="C87" s="98">
        <v>0.01</v>
      </c>
      <c r="E87">
        <v>1.6</v>
      </c>
      <c r="F87">
        <v>0.2</v>
      </c>
      <c r="G87">
        <v>2.2000000000000002</v>
      </c>
      <c r="H87">
        <v>0</v>
      </c>
      <c r="I87">
        <v>5.6</v>
      </c>
      <c r="J87">
        <v>35</v>
      </c>
    </row>
    <row r="88" spans="1:10" x14ac:dyDescent="0.2">
      <c r="A88">
        <v>1166.03</v>
      </c>
      <c r="B88" t="s">
        <v>596</v>
      </c>
      <c r="C88" s="98">
        <v>0</v>
      </c>
      <c r="E88">
        <v>0.75</v>
      </c>
      <c r="F88">
        <v>0.3</v>
      </c>
      <c r="G88">
        <v>2.9</v>
      </c>
      <c r="H88">
        <v>0</v>
      </c>
      <c r="I88">
        <v>16.28</v>
      </c>
      <c r="J88">
        <v>76.62</v>
      </c>
    </row>
    <row r="89" spans="1:10" x14ac:dyDescent="0.2">
      <c r="A89">
        <v>1166.04</v>
      </c>
      <c r="B89" t="s">
        <v>217</v>
      </c>
      <c r="C89" s="98">
        <v>0</v>
      </c>
      <c r="E89">
        <v>0.7</v>
      </c>
      <c r="F89">
        <v>0.1</v>
      </c>
      <c r="G89">
        <v>1.2</v>
      </c>
      <c r="H89">
        <v>0</v>
      </c>
      <c r="I89">
        <v>6.799999999999998</v>
      </c>
      <c r="J89">
        <v>33.29999999999999</v>
      </c>
    </row>
    <row r="90" spans="1:10" x14ac:dyDescent="0.2">
      <c r="A90">
        <v>1166.05</v>
      </c>
      <c r="B90" t="s">
        <v>159</v>
      </c>
      <c r="C90" s="98">
        <v>0.22</v>
      </c>
      <c r="E90">
        <v>1</v>
      </c>
      <c r="F90">
        <v>0.4</v>
      </c>
      <c r="G90">
        <v>5.6</v>
      </c>
      <c r="H90">
        <v>0</v>
      </c>
      <c r="I90">
        <v>9.4999999999999929</v>
      </c>
      <c r="J90">
        <v>56.799999999999969</v>
      </c>
    </row>
    <row r="91" spans="1:10" x14ac:dyDescent="0.2">
      <c r="A91">
        <v>1166.06</v>
      </c>
      <c r="B91" t="s">
        <v>600</v>
      </c>
      <c r="C91" s="98">
        <v>0</v>
      </c>
      <c r="E91">
        <v>1.03</v>
      </c>
      <c r="F91">
        <v>15.32</v>
      </c>
      <c r="G91">
        <v>3.3</v>
      </c>
      <c r="H91">
        <v>0</v>
      </c>
      <c r="I91">
        <v>0.53999999999999648</v>
      </c>
      <c r="J91">
        <v>150.76</v>
      </c>
    </row>
    <row r="92" spans="1:10" x14ac:dyDescent="0.2">
      <c r="A92">
        <v>1166.07</v>
      </c>
      <c r="B92" t="s">
        <v>602</v>
      </c>
      <c r="C92" s="98">
        <v>0</v>
      </c>
      <c r="E92">
        <v>2.36</v>
      </c>
      <c r="F92">
        <v>0.86</v>
      </c>
      <c r="G92">
        <v>3.2</v>
      </c>
      <c r="H92">
        <v>0</v>
      </c>
      <c r="I92">
        <v>1.3300000000000054</v>
      </c>
      <c r="J92">
        <v>28.90000000000002</v>
      </c>
    </row>
    <row r="93" spans="1:10" x14ac:dyDescent="0.2">
      <c r="A93">
        <v>1167.01</v>
      </c>
      <c r="B93" t="s">
        <v>218</v>
      </c>
      <c r="C93" s="98">
        <v>0.54</v>
      </c>
      <c r="E93">
        <v>0.6</v>
      </c>
      <c r="F93">
        <v>0.1</v>
      </c>
      <c r="G93">
        <v>0.8</v>
      </c>
      <c r="H93">
        <v>0</v>
      </c>
      <c r="I93">
        <v>5.9000000000000012</v>
      </c>
      <c r="J93">
        <v>28.500000000000007</v>
      </c>
    </row>
    <row r="94" spans="1:10" x14ac:dyDescent="0.2">
      <c r="A94">
        <v>1167.02</v>
      </c>
      <c r="B94" t="s">
        <v>158</v>
      </c>
      <c r="C94" s="98">
        <v>0.54</v>
      </c>
      <c r="E94">
        <v>0.6</v>
      </c>
      <c r="F94">
        <v>0.1</v>
      </c>
      <c r="G94">
        <v>0.8</v>
      </c>
      <c r="H94">
        <v>0</v>
      </c>
      <c r="I94">
        <v>5.9000000000000012</v>
      </c>
      <c r="J94">
        <v>28.500000000000007</v>
      </c>
    </row>
    <row r="95" spans="1:10" x14ac:dyDescent="0.2">
      <c r="A95">
        <v>1167.03</v>
      </c>
      <c r="B95" t="s">
        <v>605</v>
      </c>
      <c r="C95" s="98">
        <v>0.49</v>
      </c>
      <c r="E95">
        <v>0.4</v>
      </c>
      <c r="F95">
        <v>0.2</v>
      </c>
      <c r="G95">
        <v>1.3</v>
      </c>
      <c r="H95">
        <v>0</v>
      </c>
      <c r="I95">
        <v>12.000000000000002</v>
      </c>
      <c r="J95">
        <v>54.000000000000007</v>
      </c>
    </row>
    <row r="96" spans="1:10" x14ac:dyDescent="0.2">
      <c r="A96">
        <v>1167.99</v>
      </c>
      <c r="B96" t="s">
        <v>608</v>
      </c>
      <c r="C96" s="98">
        <v>0.48</v>
      </c>
      <c r="E96">
        <v>2.4</v>
      </c>
      <c r="F96">
        <v>0.9</v>
      </c>
      <c r="G96">
        <v>11.7</v>
      </c>
      <c r="H96">
        <v>0</v>
      </c>
      <c r="I96">
        <v>8.5</v>
      </c>
      <c r="J96">
        <v>75.099999999999994</v>
      </c>
    </row>
    <row r="97" spans="1:10" x14ac:dyDescent="0.2">
      <c r="A97">
        <v>1168.01</v>
      </c>
      <c r="B97" t="s">
        <v>219</v>
      </c>
      <c r="C97" s="98">
        <v>0</v>
      </c>
      <c r="E97" t="s">
        <v>361</v>
      </c>
      <c r="F97" t="s">
        <v>362</v>
      </c>
      <c r="G97">
        <v>4</v>
      </c>
      <c r="H97">
        <v>0</v>
      </c>
      <c r="I97">
        <v>19.600000000000009</v>
      </c>
      <c r="J97">
        <v>608.5</v>
      </c>
    </row>
    <row r="98" spans="1:10" x14ac:dyDescent="0.2">
      <c r="A98">
        <v>1168.02</v>
      </c>
      <c r="B98" t="s">
        <v>531</v>
      </c>
      <c r="C98" s="98">
        <v>6.9999999999999951E-2</v>
      </c>
      <c r="E98">
        <v>0.7</v>
      </c>
      <c r="F98">
        <v>0.1</v>
      </c>
      <c r="G98">
        <v>2</v>
      </c>
      <c r="H98">
        <v>0</v>
      </c>
      <c r="I98">
        <v>9.899999999999995</v>
      </c>
      <c r="J98">
        <v>47.299999999999983</v>
      </c>
    </row>
    <row r="99" spans="1:10" x14ac:dyDescent="0.2">
      <c r="A99">
        <v>1168.02</v>
      </c>
      <c r="B99" t="s">
        <v>220</v>
      </c>
      <c r="C99" s="98">
        <v>7.0000000000000007E-2</v>
      </c>
      <c r="E99">
        <v>0.7</v>
      </c>
      <c r="F99">
        <v>0.1</v>
      </c>
      <c r="G99">
        <v>2</v>
      </c>
      <c r="H99">
        <v>0</v>
      </c>
      <c r="I99">
        <v>9.899999999999995</v>
      </c>
      <c r="J99">
        <v>47.299999999999983</v>
      </c>
    </row>
    <row r="100" spans="1:10" x14ac:dyDescent="0.2">
      <c r="A100">
        <v>1168.03</v>
      </c>
      <c r="B100" t="s">
        <v>611</v>
      </c>
      <c r="C100" s="98">
        <v>0.1</v>
      </c>
      <c r="E100">
        <v>0.3</v>
      </c>
      <c r="F100">
        <v>0.2</v>
      </c>
      <c r="G100">
        <v>2.4</v>
      </c>
      <c r="H100">
        <v>0</v>
      </c>
      <c r="I100">
        <v>11.300000000000006</v>
      </c>
      <c r="J100">
        <v>53.000000000000021</v>
      </c>
    </row>
    <row r="101" spans="1:10" x14ac:dyDescent="0.2">
      <c r="A101">
        <v>1168.04</v>
      </c>
      <c r="B101" t="s">
        <v>221</v>
      </c>
      <c r="C101" s="98">
        <v>0.27</v>
      </c>
      <c r="E101">
        <v>0.7</v>
      </c>
      <c r="F101">
        <v>0.3</v>
      </c>
      <c r="G101">
        <v>1.7</v>
      </c>
      <c r="H101">
        <v>0</v>
      </c>
      <c r="I101">
        <v>9.0000000000000036</v>
      </c>
      <c r="J101">
        <v>44.900000000000013</v>
      </c>
    </row>
    <row r="102" spans="1:10" x14ac:dyDescent="0.2">
      <c r="A102">
        <v>1168.05</v>
      </c>
      <c r="B102" t="s">
        <v>612</v>
      </c>
      <c r="C102" s="98">
        <v>0.1</v>
      </c>
      <c r="E102">
        <v>0.3</v>
      </c>
      <c r="F102">
        <v>0.2</v>
      </c>
      <c r="G102">
        <v>2.4</v>
      </c>
      <c r="H102">
        <v>0</v>
      </c>
      <c r="I102">
        <v>11.300000000000006</v>
      </c>
      <c r="J102">
        <v>53.000000000000021</v>
      </c>
    </row>
    <row r="103" spans="1:10" x14ac:dyDescent="0.2">
      <c r="A103">
        <v>1168.08</v>
      </c>
      <c r="B103" t="s">
        <v>222</v>
      </c>
      <c r="C103" s="98">
        <v>0</v>
      </c>
      <c r="E103">
        <v>20.100000000000001</v>
      </c>
      <c r="F103">
        <v>5.9</v>
      </c>
      <c r="G103">
        <v>3.7</v>
      </c>
      <c r="H103">
        <v>0</v>
      </c>
      <c r="I103">
        <v>58.800000000000004</v>
      </c>
      <c r="J103">
        <v>376.1</v>
      </c>
    </row>
    <row r="104" spans="1:10" x14ac:dyDescent="0.2">
      <c r="A104">
        <v>1168.0899999999999</v>
      </c>
      <c r="B104" t="s">
        <v>223</v>
      </c>
      <c r="C104" s="98">
        <v>0</v>
      </c>
      <c r="E104">
        <v>22.4</v>
      </c>
      <c r="F104">
        <v>45.9</v>
      </c>
      <c r="G104">
        <v>8.5</v>
      </c>
      <c r="H104">
        <v>0</v>
      </c>
      <c r="I104">
        <v>14.600000000000001</v>
      </c>
      <c r="J104">
        <v>578.09999999999991</v>
      </c>
    </row>
    <row r="105" spans="1:10" x14ac:dyDescent="0.2">
      <c r="A105">
        <v>1168.0999999999999</v>
      </c>
      <c r="B105" t="s">
        <v>224</v>
      </c>
      <c r="C105" s="98">
        <v>0</v>
      </c>
      <c r="E105">
        <v>22.4</v>
      </c>
      <c r="F105">
        <v>45.9</v>
      </c>
      <c r="G105">
        <v>8.5</v>
      </c>
      <c r="H105">
        <v>0</v>
      </c>
      <c r="I105">
        <v>14.600000000000001</v>
      </c>
      <c r="J105">
        <v>578.09999999999991</v>
      </c>
    </row>
    <row r="106" spans="1:10" x14ac:dyDescent="0.2">
      <c r="A106">
        <v>1168.0999999999999</v>
      </c>
      <c r="B106" t="s">
        <v>224</v>
      </c>
      <c r="C106" s="98">
        <v>0</v>
      </c>
      <c r="E106">
        <v>22.4</v>
      </c>
      <c r="F106">
        <v>45.9</v>
      </c>
      <c r="G106">
        <v>8.5</v>
      </c>
      <c r="H106">
        <v>0</v>
      </c>
      <c r="I106">
        <v>14.600000000000001</v>
      </c>
      <c r="J106">
        <v>578.09999999999991</v>
      </c>
    </row>
    <row r="107" spans="1:10" x14ac:dyDescent="0.2">
      <c r="A107">
        <v>1168.1099999999999</v>
      </c>
      <c r="B107" t="s">
        <v>615</v>
      </c>
      <c r="C107" s="98">
        <v>0.28000000000000003</v>
      </c>
      <c r="E107">
        <v>2.4</v>
      </c>
      <c r="F107">
        <v>0.6</v>
      </c>
      <c r="G107">
        <v>6.8</v>
      </c>
      <c r="H107">
        <v>0</v>
      </c>
      <c r="I107">
        <v>68.2</v>
      </c>
      <c r="J107">
        <v>301.40000000000003</v>
      </c>
    </row>
    <row r="108" spans="1:10" x14ac:dyDescent="0.2">
      <c r="A108">
        <v>1168.1400000000001</v>
      </c>
      <c r="B108" t="s">
        <v>534</v>
      </c>
      <c r="C108" s="98">
        <v>0</v>
      </c>
      <c r="E108">
        <v>9.1300000000000008</v>
      </c>
      <c r="F108">
        <v>0.09</v>
      </c>
      <c r="G108">
        <v>9.3000000000000007</v>
      </c>
      <c r="H108">
        <v>0</v>
      </c>
      <c r="I108">
        <v>13.109999999999992</v>
      </c>
      <c r="J108">
        <v>108.36999999999998</v>
      </c>
    </row>
    <row r="109" spans="1:10" x14ac:dyDescent="0.2">
      <c r="A109">
        <v>1168.1400000000001</v>
      </c>
      <c r="B109" t="s">
        <v>225</v>
      </c>
      <c r="C109" s="98">
        <v>0.43</v>
      </c>
      <c r="E109">
        <v>1.6</v>
      </c>
      <c r="F109">
        <v>0.5</v>
      </c>
      <c r="G109">
        <v>0.5</v>
      </c>
      <c r="H109">
        <v>0</v>
      </c>
      <c r="I109">
        <v>24.999999999999993</v>
      </c>
      <c r="J109">
        <v>111.89999999999998</v>
      </c>
    </row>
    <row r="110" spans="1:10" x14ac:dyDescent="0.2">
      <c r="A110">
        <v>1168.1500000000001</v>
      </c>
      <c r="B110" t="s">
        <v>619</v>
      </c>
      <c r="C110" s="98">
        <v>0</v>
      </c>
      <c r="E110">
        <v>9.1300000000000008</v>
      </c>
      <c r="F110">
        <v>0.09</v>
      </c>
      <c r="G110">
        <v>9.3000000000000007</v>
      </c>
      <c r="H110">
        <v>0</v>
      </c>
      <c r="I110">
        <v>13.109999999999992</v>
      </c>
      <c r="J110">
        <v>108.36999999999998</v>
      </c>
    </row>
    <row r="111" spans="1:10" x14ac:dyDescent="0.2">
      <c r="A111">
        <v>1168.1600000000001</v>
      </c>
      <c r="B111" t="s">
        <v>620</v>
      </c>
      <c r="C111" s="98">
        <v>0</v>
      </c>
      <c r="E111">
        <v>3.33</v>
      </c>
      <c r="F111">
        <v>33.49</v>
      </c>
      <c r="G111">
        <v>9</v>
      </c>
      <c r="H111">
        <v>0</v>
      </c>
      <c r="I111">
        <v>6.2199999999999989</v>
      </c>
      <c r="J111">
        <v>357.61</v>
      </c>
    </row>
    <row r="112" spans="1:10" x14ac:dyDescent="0.2">
      <c r="A112">
        <v>1168.17</v>
      </c>
      <c r="B112" t="s">
        <v>622</v>
      </c>
      <c r="C112" s="98">
        <v>0</v>
      </c>
      <c r="E112">
        <v>17.3</v>
      </c>
      <c r="F112">
        <v>51.45</v>
      </c>
      <c r="G112">
        <v>9</v>
      </c>
      <c r="H112">
        <v>0</v>
      </c>
      <c r="I112">
        <v>16.349999999999994</v>
      </c>
      <c r="J112">
        <v>615.65</v>
      </c>
    </row>
    <row r="113" spans="1:10" x14ac:dyDescent="0.2">
      <c r="A113">
        <v>1168.19</v>
      </c>
      <c r="B113" t="s">
        <v>624</v>
      </c>
      <c r="C113" s="98">
        <v>0</v>
      </c>
      <c r="E113">
        <v>3.3</v>
      </c>
      <c r="F113">
        <v>0.93</v>
      </c>
      <c r="G113">
        <v>9.8000000000000007</v>
      </c>
      <c r="H113">
        <v>0</v>
      </c>
      <c r="I113">
        <v>54.06</v>
      </c>
      <c r="J113">
        <v>257.41000000000003</v>
      </c>
    </row>
    <row r="114" spans="1:10" x14ac:dyDescent="0.2">
      <c r="A114">
        <v>1168.2</v>
      </c>
      <c r="B114" t="s">
        <v>626</v>
      </c>
      <c r="C114" s="98">
        <v>0</v>
      </c>
      <c r="E114">
        <v>1.87</v>
      </c>
      <c r="F114">
        <v>0.63</v>
      </c>
      <c r="G114">
        <v>7.5</v>
      </c>
      <c r="H114">
        <v>0</v>
      </c>
      <c r="I114">
        <v>62.2</v>
      </c>
      <c r="J114">
        <v>276.95</v>
      </c>
    </row>
    <row r="115" spans="1:10" x14ac:dyDescent="0.2">
      <c r="A115">
        <v>1168.22</v>
      </c>
      <c r="B115" t="s">
        <v>628</v>
      </c>
      <c r="C115" s="98">
        <v>0</v>
      </c>
      <c r="E115">
        <v>2.2999999999999998</v>
      </c>
      <c r="F115">
        <v>0.3</v>
      </c>
      <c r="G115">
        <v>6.9</v>
      </c>
      <c r="H115">
        <v>0</v>
      </c>
      <c r="I115">
        <v>78.2</v>
      </c>
      <c r="J115">
        <v>338.5</v>
      </c>
    </row>
    <row r="116" spans="1:10" x14ac:dyDescent="0.2">
      <c r="A116">
        <v>1168.99</v>
      </c>
      <c r="B116" t="s">
        <v>631</v>
      </c>
      <c r="C116" s="98">
        <v>0</v>
      </c>
      <c r="E116">
        <v>2.46</v>
      </c>
      <c r="F116">
        <v>0.49</v>
      </c>
      <c r="G116">
        <v>7.8</v>
      </c>
      <c r="H116">
        <v>0</v>
      </c>
      <c r="I116">
        <v>56.250000000000014</v>
      </c>
      <c r="J116">
        <v>254.85000000000005</v>
      </c>
    </row>
    <row r="117" spans="1:10" x14ac:dyDescent="0.2">
      <c r="A117">
        <v>1169.01</v>
      </c>
      <c r="B117" t="s">
        <v>633</v>
      </c>
      <c r="C117" s="98">
        <v>0</v>
      </c>
      <c r="E117">
        <v>0.37</v>
      </c>
      <c r="F117">
        <v>0.1</v>
      </c>
      <c r="G117">
        <v>1</v>
      </c>
      <c r="H117">
        <v>0</v>
      </c>
      <c r="I117">
        <v>17.759999999999994</v>
      </c>
      <c r="J117">
        <v>75.419999999999973</v>
      </c>
    </row>
    <row r="118" spans="1:10" x14ac:dyDescent="0.2">
      <c r="A118">
        <v>1169.02</v>
      </c>
      <c r="B118" t="s">
        <v>635</v>
      </c>
      <c r="C118" s="98">
        <v>0</v>
      </c>
      <c r="E118">
        <v>1.42</v>
      </c>
      <c r="F118">
        <v>0.18</v>
      </c>
      <c r="G118">
        <v>1.9</v>
      </c>
      <c r="H118">
        <v>0</v>
      </c>
      <c r="I118">
        <v>19.339999999999996</v>
      </c>
      <c r="J118">
        <v>88.45999999999998</v>
      </c>
    </row>
    <row r="119" spans="1:10" x14ac:dyDescent="0.2">
      <c r="A119">
        <v>1169.08</v>
      </c>
      <c r="B119" t="s">
        <v>637</v>
      </c>
      <c r="C119" s="98">
        <v>0</v>
      </c>
      <c r="E119">
        <v>0.37</v>
      </c>
      <c r="F119">
        <v>0.1</v>
      </c>
      <c r="G119">
        <v>1</v>
      </c>
      <c r="H119">
        <v>0</v>
      </c>
      <c r="I119">
        <v>17.759999999999994</v>
      </c>
      <c r="J119">
        <v>75.419999999999973</v>
      </c>
    </row>
    <row r="120" spans="1:10" x14ac:dyDescent="0.2">
      <c r="A120">
        <v>1169.99</v>
      </c>
      <c r="B120" t="s">
        <v>226</v>
      </c>
      <c r="C120" s="98">
        <v>0</v>
      </c>
      <c r="E120">
        <v>9.1300000000000008</v>
      </c>
      <c r="F120">
        <v>0.09</v>
      </c>
      <c r="G120">
        <v>9.3000000000000007</v>
      </c>
      <c r="H120">
        <v>0</v>
      </c>
      <c r="I120">
        <v>13.109999999999992</v>
      </c>
      <c r="J120">
        <v>108.36999999999998</v>
      </c>
    </row>
    <row r="121" spans="1:10" x14ac:dyDescent="0.2">
      <c r="A121">
        <v>1169.99</v>
      </c>
      <c r="B121" t="s">
        <v>226</v>
      </c>
      <c r="C121" s="98">
        <v>0</v>
      </c>
      <c r="E121">
        <v>17.3</v>
      </c>
      <c r="F121">
        <v>51.45</v>
      </c>
      <c r="G121">
        <v>9</v>
      </c>
      <c r="H121">
        <v>0</v>
      </c>
      <c r="I121">
        <v>16.349999999999994</v>
      </c>
      <c r="J121">
        <v>615.65</v>
      </c>
    </row>
    <row r="122" spans="1:10" x14ac:dyDescent="0.2">
      <c r="A122">
        <v>1171.01</v>
      </c>
      <c r="B122" t="s">
        <v>227</v>
      </c>
      <c r="C122" s="98">
        <v>0.3</v>
      </c>
      <c r="E122">
        <v>1</v>
      </c>
      <c r="F122">
        <v>0.2</v>
      </c>
      <c r="G122">
        <v>1.2</v>
      </c>
      <c r="H122">
        <v>0</v>
      </c>
      <c r="I122">
        <v>2.2999999999999998</v>
      </c>
      <c r="J122">
        <v>17.399999999999999</v>
      </c>
    </row>
    <row r="123" spans="1:10" x14ac:dyDescent="0.2">
      <c r="A123">
        <v>1171.02</v>
      </c>
      <c r="B123" t="s">
        <v>228</v>
      </c>
      <c r="C123" s="98">
        <v>0.28000000000000003</v>
      </c>
      <c r="E123">
        <v>2.8</v>
      </c>
      <c r="F123">
        <v>0.6</v>
      </c>
      <c r="G123">
        <v>2.2000000000000002</v>
      </c>
      <c r="H123">
        <v>0</v>
      </c>
      <c r="I123">
        <v>1.6999999999999944</v>
      </c>
      <c r="J123">
        <v>27.799999999999976</v>
      </c>
    </row>
    <row r="124" spans="1:10" x14ac:dyDescent="0.2">
      <c r="A124">
        <v>1171.03</v>
      </c>
      <c r="B124" t="s">
        <v>643</v>
      </c>
      <c r="C124" s="98">
        <v>0</v>
      </c>
      <c r="E124">
        <v>0.69</v>
      </c>
      <c r="F124">
        <v>0.17</v>
      </c>
      <c r="G124">
        <v>1.6</v>
      </c>
      <c r="H124">
        <v>0</v>
      </c>
      <c r="I124">
        <v>1.3599999999999932</v>
      </c>
      <c r="J124">
        <v>12.929999999999973</v>
      </c>
    </row>
    <row r="125" spans="1:10" x14ac:dyDescent="0.2">
      <c r="A125">
        <v>1171.99</v>
      </c>
      <c r="B125" t="s">
        <v>645</v>
      </c>
      <c r="C125" s="98">
        <v>0</v>
      </c>
      <c r="E125">
        <v>1.83</v>
      </c>
      <c r="F125">
        <v>0.19</v>
      </c>
      <c r="G125">
        <v>2.6</v>
      </c>
      <c r="H125">
        <v>0</v>
      </c>
      <c r="I125">
        <v>4.74</v>
      </c>
      <c r="J125">
        <v>33.19</v>
      </c>
    </row>
    <row r="126" spans="1:10" x14ac:dyDescent="0.2">
      <c r="A126">
        <v>1172.01</v>
      </c>
      <c r="B126" t="s">
        <v>647</v>
      </c>
      <c r="C126" s="98">
        <v>0</v>
      </c>
      <c r="E126">
        <v>2.82</v>
      </c>
      <c r="F126">
        <v>0.37</v>
      </c>
      <c r="G126">
        <v>2.6</v>
      </c>
      <c r="H126">
        <v>0</v>
      </c>
      <c r="I126">
        <v>4.0400000000000027</v>
      </c>
      <c r="J126">
        <v>35.970000000000013</v>
      </c>
    </row>
    <row r="127" spans="1:10" x14ac:dyDescent="0.2">
      <c r="A127">
        <v>1172.02</v>
      </c>
      <c r="B127" t="s">
        <v>154</v>
      </c>
      <c r="C127" s="98">
        <v>0.2</v>
      </c>
      <c r="E127">
        <v>1.6</v>
      </c>
      <c r="F127">
        <v>0.1</v>
      </c>
      <c r="G127">
        <v>2.6</v>
      </c>
      <c r="H127">
        <v>0</v>
      </c>
      <c r="I127">
        <v>3.6999999999999971</v>
      </c>
      <c r="J127">
        <v>27.29999999999999</v>
      </c>
    </row>
    <row r="128" spans="1:10" x14ac:dyDescent="0.2">
      <c r="A128">
        <v>1172.03</v>
      </c>
      <c r="B128" t="s">
        <v>649</v>
      </c>
      <c r="C128" s="98">
        <v>0</v>
      </c>
      <c r="E128">
        <v>1.92</v>
      </c>
      <c r="F128">
        <v>0.28000000000000003</v>
      </c>
      <c r="G128">
        <v>2</v>
      </c>
      <c r="H128">
        <v>0</v>
      </c>
      <c r="I128">
        <v>2.9700000000000069</v>
      </c>
      <c r="J128">
        <v>26.080000000000027</v>
      </c>
    </row>
    <row r="129" spans="1:10" x14ac:dyDescent="0.2">
      <c r="A129">
        <v>1172.04</v>
      </c>
      <c r="B129" t="s">
        <v>651</v>
      </c>
      <c r="C129" s="98">
        <v>0</v>
      </c>
      <c r="E129">
        <v>3.38</v>
      </c>
      <c r="F129">
        <v>0.3</v>
      </c>
      <c r="G129">
        <v>3.8</v>
      </c>
      <c r="H129">
        <v>0</v>
      </c>
      <c r="I129">
        <v>5.1499999999999995</v>
      </c>
      <c r="J129">
        <v>44.42</v>
      </c>
    </row>
    <row r="130" spans="1:10" x14ac:dyDescent="0.2">
      <c r="A130">
        <v>1173.01</v>
      </c>
      <c r="B130" t="s">
        <v>653</v>
      </c>
      <c r="C130" s="98">
        <v>0</v>
      </c>
      <c r="E130">
        <v>0.01</v>
      </c>
      <c r="F130">
        <v>0.19</v>
      </c>
      <c r="G130">
        <v>3.4</v>
      </c>
      <c r="H130">
        <v>0</v>
      </c>
      <c r="I130">
        <v>3.2900000000000031</v>
      </c>
      <c r="J130">
        <v>21.710000000000015</v>
      </c>
    </row>
    <row r="131" spans="1:10" x14ac:dyDescent="0.2">
      <c r="A131">
        <v>1173.02</v>
      </c>
      <c r="B131" t="s">
        <v>229</v>
      </c>
      <c r="C131" s="98">
        <v>0.17</v>
      </c>
      <c r="E131">
        <v>3.1</v>
      </c>
      <c r="F131">
        <v>0.2</v>
      </c>
      <c r="G131">
        <v>2.5</v>
      </c>
      <c r="H131">
        <v>0</v>
      </c>
      <c r="I131">
        <v>5.0999999999999952</v>
      </c>
      <c r="J131">
        <v>39.59999999999998</v>
      </c>
    </row>
    <row r="132" spans="1:10" x14ac:dyDescent="0.2">
      <c r="A132">
        <v>1173.03</v>
      </c>
      <c r="B132" t="s">
        <v>230</v>
      </c>
      <c r="C132" s="98">
        <v>0.19</v>
      </c>
      <c r="E132">
        <v>0.7</v>
      </c>
      <c r="F132">
        <v>0.1</v>
      </c>
      <c r="G132">
        <v>0.7</v>
      </c>
      <c r="H132">
        <v>0</v>
      </c>
      <c r="I132">
        <v>2.5</v>
      </c>
      <c r="J132">
        <v>15.1</v>
      </c>
    </row>
    <row r="133" spans="1:10" x14ac:dyDescent="0.2">
      <c r="A133">
        <v>1173.04</v>
      </c>
      <c r="B133" t="s">
        <v>231</v>
      </c>
      <c r="C133" s="98">
        <v>0.17</v>
      </c>
      <c r="E133">
        <v>0.9</v>
      </c>
      <c r="F133">
        <v>0.2</v>
      </c>
      <c r="G133">
        <v>2</v>
      </c>
      <c r="H133">
        <v>0</v>
      </c>
      <c r="I133">
        <v>4.1999999999999966</v>
      </c>
      <c r="J133">
        <v>26.199999999999989</v>
      </c>
    </row>
    <row r="134" spans="1:10" x14ac:dyDescent="0.2">
      <c r="A134">
        <v>1173.05</v>
      </c>
      <c r="B134" t="s">
        <v>658</v>
      </c>
      <c r="C134" s="98">
        <v>0.73</v>
      </c>
      <c r="E134">
        <v>1.9</v>
      </c>
      <c r="F134">
        <v>0.3</v>
      </c>
      <c r="G134">
        <v>2.2000000000000002</v>
      </c>
      <c r="H134">
        <v>0</v>
      </c>
      <c r="I134">
        <v>7.6000000000000023</v>
      </c>
      <c r="J134">
        <v>45.100000000000009</v>
      </c>
    </row>
    <row r="135" spans="1:10" x14ac:dyDescent="0.2">
      <c r="A135">
        <v>1173.06</v>
      </c>
      <c r="B135" t="s">
        <v>232</v>
      </c>
      <c r="C135" s="98">
        <v>0</v>
      </c>
      <c r="E135">
        <v>3.22</v>
      </c>
      <c r="F135">
        <v>1.18</v>
      </c>
      <c r="G135">
        <v>2.7</v>
      </c>
      <c r="H135">
        <v>0</v>
      </c>
      <c r="I135">
        <v>16.320000000000007</v>
      </c>
      <c r="J135">
        <v>94.180000000000035</v>
      </c>
    </row>
    <row r="136" spans="1:10" x14ac:dyDescent="0.2">
      <c r="A136">
        <v>1173.07</v>
      </c>
      <c r="B136" t="s">
        <v>233</v>
      </c>
      <c r="C136" s="98">
        <v>0</v>
      </c>
      <c r="E136">
        <v>5.42</v>
      </c>
      <c r="F136">
        <v>0.4</v>
      </c>
      <c r="G136">
        <v>5.0999999999999996</v>
      </c>
      <c r="H136">
        <v>0</v>
      </c>
      <c r="I136">
        <v>9.35</v>
      </c>
      <c r="J136">
        <v>72.88</v>
      </c>
    </row>
    <row r="137" spans="1:10" x14ac:dyDescent="0.2">
      <c r="A137">
        <v>1173.08</v>
      </c>
      <c r="B137" t="s">
        <v>234</v>
      </c>
      <c r="C137" s="98">
        <v>0.7</v>
      </c>
      <c r="E137">
        <v>1</v>
      </c>
      <c r="F137">
        <v>0.1</v>
      </c>
      <c r="G137">
        <v>0.8</v>
      </c>
      <c r="H137">
        <v>0</v>
      </c>
      <c r="I137">
        <v>5.4999999999999947</v>
      </c>
      <c r="J137">
        <v>28.499999999999979</v>
      </c>
    </row>
    <row r="138" spans="1:10" x14ac:dyDescent="0.2">
      <c r="A138">
        <v>1173.0899999999999</v>
      </c>
      <c r="B138" t="s">
        <v>235</v>
      </c>
      <c r="C138" s="98">
        <v>0.09</v>
      </c>
      <c r="E138">
        <v>1</v>
      </c>
      <c r="F138">
        <v>0.2</v>
      </c>
      <c r="G138">
        <v>1.4</v>
      </c>
      <c r="H138">
        <v>0</v>
      </c>
      <c r="I138">
        <v>3.3000000000000003</v>
      </c>
      <c r="J138">
        <v>21.8</v>
      </c>
    </row>
    <row r="139" spans="1:10" x14ac:dyDescent="0.2">
      <c r="A139">
        <v>1174.01</v>
      </c>
      <c r="B139" t="s">
        <v>664</v>
      </c>
      <c r="C139" s="98">
        <v>0</v>
      </c>
      <c r="E139">
        <v>2.2000000000000002</v>
      </c>
      <c r="F139">
        <v>0.12</v>
      </c>
      <c r="G139">
        <v>2.1</v>
      </c>
      <c r="H139">
        <v>0</v>
      </c>
      <c r="I139">
        <v>1.7800000000000007</v>
      </c>
      <c r="J139">
        <v>21.200000000000003</v>
      </c>
    </row>
    <row r="140" spans="1:10" x14ac:dyDescent="0.2">
      <c r="A140">
        <v>1174.02</v>
      </c>
      <c r="B140" t="s">
        <v>236</v>
      </c>
      <c r="C140" s="98">
        <v>0.15</v>
      </c>
      <c r="E140">
        <v>2.17</v>
      </c>
      <c r="F140">
        <v>0.1</v>
      </c>
      <c r="G140">
        <v>3.31</v>
      </c>
      <c r="H140">
        <v>0</v>
      </c>
      <c r="I140">
        <v>6.9200000000000053</v>
      </c>
      <c r="J140">
        <v>43.880000000000024</v>
      </c>
    </row>
    <row r="141" spans="1:10" x14ac:dyDescent="0.2">
      <c r="A141">
        <v>1174.03</v>
      </c>
      <c r="B141" t="s">
        <v>237</v>
      </c>
      <c r="C141" s="98">
        <v>0.11</v>
      </c>
      <c r="E141">
        <v>1</v>
      </c>
      <c r="F141">
        <v>0.3</v>
      </c>
      <c r="G141">
        <v>3.1</v>
      </c>
      <c r="H141">
        <v>0</v>
      </c>
      <c r="I141">
        <v>5.7000000000000028</v>
      </c>
      <c r="J141">
        <v>35.70000000000001</v>
      </c>
    </row>
    <row r="142" spans="1:10" x14ac:dyDescent="0.2">
      <c r="A142">
        <v>1174.05</v>
      </c>
      <c r="B142" t="s">
        <v>668</v>
      </c>
      <c r="C142" s="98">
        <v>0.45</v>
      </c>
      <c r="E142">
        <v>1.7</v>
      </c>
      <c r="F142">
        <v>0.4</v>
      </c>
      <c r="G142">
        <v>3.1</v>
      </c>
      <c r="H142">
        <v>0</v>
      </c>
      <c r="I142">
        <v>9.5</v>
      </c>
      <c r="J142">
        <v>54.6</v>
      </c>
    </row>
    <row r="143" spans="1:10" x14ac:dyDescent="0.2">
      <c r="A143">
        <v>1174.06</v>
      </c>
      <c r="B143" t="s">
        <v>153</v>
      </c>
      <c r="C143" s="98">
        <v>0.09</v>
      </c>
      <c r="E143">
        <v>1.1000000000000001</v>
      </c>
      <c r="F143">
        <v>0.1</v>
      </c>
      <c r="G143">
        <v>1.8</v>
      </c>
      <c r="H143">
        <v>0</v>
      </c>
      <c r="I143">
        <v>6.9000000000000012</v>
      </c>
      <c r="J143">
        <v>36.500000000000007</v>
      </c>
    </row>
    <row r="144" spans="1:10" x14ac:dyDescent="0.2">
      <c r="A144">
        <v>1174.08</v>
      </c>
      <c r="B144" t="s">
        <v>671</v>
      </c>
      <c r="C144" s="98">
        <v>0</v>
      </c>
      <c r="E144">
        <v>4.3</v>
      </c>
      <c r="F144">
        <v>0.5</v>
      </c>
      <c r="G144">
        <v>4.0999999999999996</v>
      </c>
      <c r="H144">
        <v>0</v>
      </c>
      <c r="I144">
        <v>14.799999999999999</v>
      </c>
      <c r="J144">
        <v>89.1</v>
      </c>
    </row>
    <row r="145" spans="1:10" x14ac:dyDescent="0.2">
      <c r="A145">
        <v>1174.0899999999999</v>
      </c>
      <c r="B145" t="s">
        <v>238</v>
      </c>
      <c r="C145" s="98">
        <v>0</v>
      </c>
      <c r="E145">
        <v>2.2400000000000002</v>
      </c>
      <c r="F145">
        <v>0.49</v>
      </c>
      <c r="G145">
        <v>2.5</v>
      </c>
      <c r="H145">
        <v>0</v>
      </c>
      <c r="I145">
        <v>4.3000000000000043</v>
      </c>
      <c r="J145">
        <v>35.570000000000022</v>
      </c>
    </row>
    <row r="146" spans="1:10" x14ac:dyDescent="0.2">
      <c r="A146">
        <v>1175.01</v>
      </c>
      <c r="B146" t="s">
        <v>239</v>
      </c>
      <c r="C146" s="98">
        <v>0</v>
      </c>
      <c r="E146">
        <v>22.1</v>
      </c>
      <c r="F146">
        <v>1.5</v>
      </c>
      <c r="G146">
        <v>10.3</v>
      </c>
      <c r="H146">
        <v>0</v>
      </c>
      <c r="I146">
        <v>53.3</v>
      </c>
      <c r="J146">
        <v>335.7</v>
      </c>
    </row>
    <row r="147" spans="1:10" x14ac:dyDescent="0.2">
      <c r="A147">
        <v>1175.02</v>
      </c>
      <c r="B147" t="s">
        <v>677</v>
      </c>
      <c r="C147" s="98">
        <v>0</v>
      </c>
      <c r="E147">
        <v>22.3</v>
      </c>
      <c r="F147">
        <v>5.0999999999999996</v>
      </c>
      <c r="G147">
        <v>25.2</v>
      </c>
      <c r="H147">
        <v>0</v>
      </c>
      <c r="I147">
        <v>34.400000000000006</v>
      </c>
      <c r="J147">
        <v>323.10000000000002</v>
      </c>
    </row>
    <row r="148" spans="1:10" x14ac:dyDescent="0.2">
      <c r="A148">
        <v>1175.03</v>
      </c>
      <c r="B148" t="s">
        <v>679</v>
      </c>
      <c r="C148" s="98">
        <v>0.19</v>
      </c>
      <c r="E148">
        <v>0.9</v>
      </c>
      <c r="F148">
        <v>0.2</v>
      </c>
      <c r="G148">
        <v>2.5</v>
      </c>
      <c r="H148">
        <v>0</v>
      </c>
      <c r="I148">
        <v>4.400000000000003</v>
      </c>
      <c r="J148">
        <v>28.000000000000014</v>
      </c>
    </row>
    <row r="149" spans="1:10" x14ac:dyDescent="0.2">
      <c r="A149">
        <v>1175.0899999999999</v>
      </c>
      <c r="B149" t="s">
        <v>240</v>
      </c>
      <c r="C149" s="98">
        <v>0</v>
      </c>
      <c r="E149">
        <v>24.4</v>
      </c>
      <c r="F149">
        <v>1.9</v>
      </c>
      <c r="G149">
        <v>24.1</v>
      </c>
      <c r="H149">
        <v>0</v>
      </c>
      <c r="I149">
        <v>29.800000000000004</v>
      </c>
      <c r="J149">
        <v>282.10000000000002</v>
      </c>
    </row>
    <row r="150" spans="1:10" x14ac:dyDescent="0.2">
      <c r="A150">
        <v>1176.01</v>
      </c>
      <c r="B150" t="s">
        <v>241</v>
      </c>
      <c r="C150" s="98">
        <v>0</v>
      </c>
      <c r="E150">
        <v>0.33</v>
      </c>
      <c r="F150">
        <v>0.2</v>
      </c>
      <c r="G150">
        <v>1.2</v>
      </c>
      <c r="H150">
        <v>0</v>
      </c>
      <c r="I150">
        <v>1.0600000000000016</v>
      </c>
      <c r="J150">
        <v>9.7600000000000051</v>
      </c>
    </row>
    <row r="151" spans="1:10" x14ac:dyDescent="0.2">
      <c r="A151">
        <v>1177.01</v>
      </c>
      <c r="B151" t="s">
        <v>242</v>
      </c>
      <c r="C151" s="98">
        <v>0.16</v>
      </c>
      <c r="E151">
        <v>1.9</v>
      </c>
      <c r="F151">
        <v>0.1</v>
      </c>
      <c r="G151">
        <v>1.8</v>
      </c>
      <c r="H151">
        <v>0</v>
      </c>
      <c r="I151">
        <v>16.900000000000002</v>
      </c>
      <c r="J151">
        <v>79.7</v>
      </c>
    </row>
    <row r="152" spans="1:10" x14ac:dyDescent="0.2">
      <c r="A152">
        <v>1178.01</v>
      </c>
      <c r="B152" t="s">
        <v>243</v>
      </c>
      <c r="C152" s="98">
        <v>0.16</v>
      </c>
      <c r="E152">
        <v>1.5</v>
      </c>
      <c r="F152">
        <v>0.2</v>
      </c>
      <c r="G152">
        <v>3</v>
      </c>
      <c r="H152">
        <v>0</v>
      </c>
      <c r="I152">
        <v>25.2</v>
      </c>
      <c r="J152">
        <v>114.6</v>
      </c>
    </row>
    <row r="153" spans="1:10" x14ac:dyDescent="0.2">
      <c r="A153">
        <v>1178.02</v>
      </c>
      <c r="B153" t="s">
        <v>244</v>
      </c>
      <c r="C153" s="98">
        <v>0</v>
      </c>
      <c r="E153">
        <v>4.8</v>
      </c>
      <c r="F153">
        <v>13.6</v>
      </c>
      <c r="G153">
        <v>3.3</v>
      </c>
      <c r="H153">
        <v>0</v>
      </c>
      <c r="I153">
        <v>44.300000000000004</v>
      </c>
      <c r="J153">
        <v>325.39999999999998</v>
      </c>
    </row>
    <row r="154" spans="1:10" x14ac:dyDescent="0.2">
      <c r="A154">
        <v>1178.03</v>
      </c>
      <c r="B154" t="s">
        <v>687</v>
      </c>
      <c r="C154" s="98">
        <v>0</v>
      </c>
      <c r="E154">
        <v>1.36</v>
      </c>
      <c r="F154">
        <v>0.28000000000000003</v>
      </c>
      <c r="G154">
        <v>1.8</v>
      </c>
      <c r="H154">
        <v>0</v>
      </c>
      <c r="I154">
        <v>36.28</v>
      </c>
      <c r="J154">
        <v>156.68</v>
      </c>
    </row>
    <row r="155" spans="1:10" x14ac:dyDescent="0.2">
      <c r="A155">
        <v>1178.05</v>
      </c>
      <c r="B155" t="s">
        <v>245</v>
      </c>
      <c r="C155" s="98">
        <v>0</v>
      </c>
      <c r="E155">
        <v>2.86</v>
      </c>
      <c r="F155">
        <v>0.15</v>
      </c>
      <c r="G155">
        <v>4.4000000000000004</v>
      </c>
      <c r="H155">
        <v>0</v>
      </c>
      <c r="I155">
        <v>8.6899999999999942</v>
      </c>
      <c r="J155">
        <v>56.34999999999998</v>
      </c>
    </row>
    <row r="156" spans="1:10" x14ac:dyDescent="0.2">
      <c r="A156">
        <v>1179.08</v>
      </c>
      <c r="B156" t="s">
        <v>246</v>
      </c>
      <c r="C156" s="98">
        <v>0</v>
      </c>
      <c r="E156">
        <v>1.4</v>
      </c>
      <c r="F156">
        <v>0.2</v>
      </c>
      <c r="G156">
        <v>3.1</v>
      </c>
      <c r="H156">
        <v>0</v>
      </c>
      <c r="I156">
        <v>4.2099999999999955</v>
      </c>
      <c r="J156">
        <v>30.439999999999984</v>
      </c>
    </row>
    <row r="157" spans="1:10" x14ac:dyDescent="0.2">
      <c r="A157">
        <v>1179.99</v>
      </c>
      <c r="B157" t="s">
        <v>247</v>
      </c>
      <c r="C157" s="98">
        <v>0</v>
      </c>
      <c r="E157">
        <v>24.4</v>
      </c>
      <c r="F157">
        <v>1.9</v>
      </c>
      <c r="G157">
        <v>24.1</v>
      </c>
      <c r="H157">
        <v>0</v>
      </c>
      <c r="I157">
        <v>29.800000000000004</v>
      </c>
      <c r="J157">
        <v>282.10000000000002</v>
      </c>
    </row>
    <row r="158" spans="1:10" x14ac:dyDescent="0.2">
      <c r="A158">
        <v>1181.01</v>
      </c>
      <c r="B158" t="s">
        <v>122</v>
      </c>
      <c r="C158" s="98">
        <v>0</v>
      </c>
      <c r="E158">
        <v>0</v>
      </c>
      <c r="F158">
        <v>0</v>
      </c>
      <c r="G158">
        <v>0</v>
      </c>
      <c r="H158">
        <v>0</v>
      </c>
      <c r="I158">
        <v>99.99</v>
      </c>
      <c r="J158">
        <v>399.96</v>
      </c>
    </row>
    <row r="159" spans="1:10" x14ac:dyDescent="0.2">
      <c r="A159">
        <v>1181.02</v>
      </c>
      <c r="B159" t="s">
        <v>692</v>
      </c>
      <c r="C159" s="98">
        <v>0</v>
      </c>
      <c r="E159">
        <v>0.1</v>
      </c>
      <c r="F159">
        <v>0.2</v>
      </c>
      <c r="G159">
        <v>0.3</v>
      </c>
      <c r="H159">
        <v>0</v>
      </c>
      <c r="I159">
        <v>8.7999999999999972</v>
      </c>
      <c r="J159">
        <v>37.999999999999986</v>
      </c>
    </row>
    <row r="160" spans="1:10" x14ac:dyDescent="0.2">
      <c r="A160">
        <v>1181.03</v>
      </c>
      <c r="B160" t="s">
        <v>694</v>
      </c>
      <c r="C160" s="98">
        <v>0</v>
      </c>
      <c r="E160">
        <v>0</v>
      </c>
      <c r="F160">
        <v>0</v>
      </c>
      <c r="G160">
        <v>0</v>
      </c>
      <c r="H160">
        <v>0</v>
      </c>
      <c r="I160">
        <v>99.759999999999991</v>
      </c>
      <c r="J160">
        <v>399.03999999999996</v>
      </c>
    </row>
    <row r="161" spans="1:10" x14ac:dyDescent="0.2">
      <c r="A161">
        <v>1181.0899999999999</v>
      </c>
      <c r="B161" t="s">
        <v>696</v>
      </c>
      <c r="C161" s="98">
        <v>0</v>
      </c>
      <c r="E161">
        <v>0.1</v>
      </c>
      <c r="F161">
        <v>0.2</v>
      </c>
      <c r="G161">
        <v>0.3</v>
      </c>
      <c r="H161">
        <v>0</v>
      </c>
      <c r="I161">
        <v>8.7999999999999972</v>
      </c>
      <c r="J161">
        <v>37.999999999999986</v>
      </c>
    </row>
    <row r="162" spans="1:10" x14ac:dyDescent="0.2">
      <c r="A162">
        <v>1182.01</v>
      </c>
      <c r="B162" t="s">
        <v>697</v>
      </c>
      <c r="C162" s="98">
        <v>0</v>
      </c>
      <c r="E162">
        <v>9</v>
      </c>
      <c r="F162">
        <v>2.7</v>
      </c>
      <c r="G162">
        <v>2.5</v>
      </c>
      <c r="H162">
        <v>0</v>
      </c>
      <c r="I162">
        <v>80.2</v>
      </c>
      <c r="J162">
        <v>386.1</v>
      </c>
    </row>
    <row r="163" spans="1:10" x14ac:dyDescent="0.2">
      <c r="A163">
        <v>1182.02</v>
      </c>
      <c r="B163" t="s">
        <v>248</v>
      </c>
      <c r="C163" s="98">
        <v>0</v>
      </c>
      <c r="E163">
        <v>0.37</v>
      </c>
      <c r="F163">
        <v>7.0000000000000007E-2</v>
      </c>
      <c r="G163">
        <v>1.1000000000000001</v>
      </c>
      <c r="H163">
        <v>0</v>
      </c>
      <c r="I163">
        <v>67.760000000000005</v>
      </c>
      <c r="J163">
        <v>275.35000000000002</v>
      </c>
    </row>
    <row r="164" spans="1:10" x14ac:dyDescent="0.2">
      <c r="A164">
        <v>1183.01</v>
      </c>
      <c r="B164" t="s">
        <v>249</v>
      </c>
      <c r="C164" s="98">
        <v>0</v>
      </c>
      <c r="E164">
        <v>3.9</v>
      </c>
      <c r="F164">
        <v>34.200000000000003</v>
      </c>
      <c r="G164">
        <v>5.5</v>
      </c>
      <c r="H164">
        <v>0</v>
      </c>
      <c r="I164">
        <v>54.899999999999991</v>
      </c>
      <c r="J164">
        <v>554</v>
      </c>
    </row>
    <row r="165" spans="1:10" x14ac:dyDescent="0.2">
      <c r="A165">
        <v>1184.01</v>
      </c>
      <c r="B165" t="s">
        <v>250</v>
      </c>
      <c r="C165" s="98">
        <v>0</v>
      </c>
      <c r="E165">
        <v>4.5999999999999996</v>
      </c>
      <c r="F165">
        <v>8.1</v>
      </c>
      <c r="G165">
        <v>0</v>
      </c>
      <c r="H165">
        <v>0</v>
      </c>
      <c r="I165">
        <v>77.000000000000014</v>
      </c>
      <c r="J165">
        <v>399.30000000000007</v>
      </c>
    </row>
    <row r="166" spans="1:10" x14ac:dyDescent="0.2">
      <c r="A166">
        <v>1185.01</v>
      </c>
      <c r="B166" t="s">
        <v>251</v>
      </c>
      <c r="C166" s="98">
        <v>0</v>
      </c>
      <c r="E166">
        <v>2.9</v>
      </c>
      <c r="F166">
        <v>13.5</v>
      </c>
      <c r="G166">
        <v>0</v>
      </c>
      <c r="H166">
        <v>0</v>
      </c>
      <c r="I166">
        <v>4.5</v>
      </c>
      <c r="J166">
        <v>151.1</v>
      </c>
    </row>
    <row r="167" spans="1:10" x14ac:dyDescent="0.2">
      <c r="A167">
        <v>1186.99</v>
      </c>
      <c r="B167" t="s">
        <v>252</v>
      </c>
      <c r="C167" s="98">
        <v>0</v>
      </c>
      <c r="E167">
        <v>0</v>
      </c>
      <c r="F167">
        <v>0</v>
      </c>
      <c r="H167">
        <v>0</v>
      </c>
      <c r="I167">
        <v>97.11</v>
      </c>
      <c r="J167">
        <v>388.44</v>
      </c>
    </row>
    <row r="168" spans="1:10" x14ac:dyDescent="0.2">
      <c r="A168">
        <v>1191.01</v>
      </c>
      <c r="B168" t="s">
        <v>253</v>
      </c>
      <c r="C168" s="98">
        <v>0</v>
      </c>
      <c r="E168">
        <v>0</v>
      </c>
      <c r="F168">
        <v>77.8</v>
      </c>
      <c r="G168">
        <v>0</v>
      </c>
      <c r="H168">
        <v>0</v>
      </c>
      <c r="I168">
        <v>9.9999999999994316E-2</v>
      </c>
      <c r="J168">
        <v>700.59999999999991</v>
      </c>
    </row>
    <row r="169" spans="1:10" x14ac:dyDescent="0.2">
      <c r="A169">
        <v>1191.02</v>
      </c>
      <c r="B169" t="s">
        <v>254</v>
      </c>
      <c r="C169" s="98">
        <v>0</v>
      </c>
      <c r="E169">
        <v>2.5</v>
      </c>
      <c r="F169">
        <v>0.3</v>
      </c>
      <c r="G169">
        <v>0.5</v>
      </c>
      <c r="H169">
        <v>0</v>
      </c>
      <c r="I169">
        <v>28.22</v>
      </c>
      <c r="J169">
        <v>126.58</v>
      </c>
    </row>
    <row r="170" spans="1:10" x14ac:dyDescent="0.2">
      <c r="A170">
        <v>1191.03</v>
      </c>
      <c r="B170" t="s">
        <v>255</v>
      </c>
      <c r="C170" s="98">
        <v>0</v>
      </c>
      <c r="E170">
        <v>0.4</v>
      </c>
      <c r="F170">
        <v>0</v>
      </c>
      <c r="G170">
        <v>0</v>
      </c>
      <c r="H170">
        <v>0</v>
      </c>
      <c r="I170">
        <v>0.69999999999999718</v>
      </c>
      <c r="J170">
        <v>4.3999999999999888</v>
      </c>
    </row>
    <row r="171" spans="1:10" x14ac:dyDescent="0.2">
      <c r="A171">
        <v>1191.08</v>
      </c>
      <c r="B171" t="s">
        <v>256</v>
      </c>
      <c r="C171" s="98">
        <v>0</v>
      </c>
      <c r="E171">
        <v>0.9</v>
      </c>
      <c r="F171">
        <v>33.4</v>
      </c>
      <c r="G171">
        <v>0</v>
      </c>
      <c r="H171">
        <v>0</v>
      </c>
      <c r="I171">
        <v>23.900000000000006</v>
      </c>
      <c r="J171">
        <v>399.8</v>
      </c>
    </row>
    <row r="172" spans="1:10" x14ac:dyDescent="0.2">
      <c r="A172">
        <v>1192.01</v>
      </c>
      <c r="B172" t="s">
        <v>257</v>
      </c>
      <c r="C172" s="98">
        <v>0</v>
      </c>
      <c r="E172">
        <v>0</v>
      </c>
      <c r="F172">
        <v>0</v>
      </c>
      <c r="G172">
        <v>0</v>
      </c>
      <c r="H172">
        <v>0</v>
      </c>
      <c r="I172">
        <v>0</v>
      </c>
      <c r="J172">
        <v>0</v>
      </c>
    </row>
    <row r="173" spans="1:10" x14ac:dyDescent="0.2">
      <c r="A173">
        <v>1192.02</v>
      </c>
      <c r="B173" t="s">
        <v>258</v>
      </c>
      <c r="C173" s="98">
        <v>0</v>
      </c>
      <c r="E173">
        <v>6.1</v>
      </c>
      <c r="F173">
        <v>8.6999999999999993</v>
      </c>
      <c r="G173">
        <v>21.6</v>
      </c>
      <c r="H173">
        <v>0</v>
      </c>
      <c r="I173">
        <v>50.4</v>
      </c>
      <c r="J173">
        <v>347.5</v>
      </c>
    </row>
    <row r="174" spans="1:10" x14ac:dyDescent="0.2">
      <c r="A174">
        <v>1192.03</v>
      </c>
      <c r="B174" t="s">
        <v>259</v>
      </c>
      <c r="C174" s="98">
        <v>0.13</v>
      </c>
      <c r="E174">
        <v>6.8</v>
      </c>
      <c r="F174">
        <v>0.4</v>
      </c>
      <c r="G174">
        <v>2.2999999999999998</v>
      </c>
      <c r="H174">
        <v>0</v>
      </c>
      <c r="I174">
        <v>24.900000000000006</v>
      </c>
      <c r="J174">
        <v>135.00000000000003</v>
      </c>
    </row>
    <row r="175" spans="1:10" x14ac:dyDescent="0.2">
      <c r="A175">
        <v>1193.02</v>
      </c>
      <c r="B175" t="s">
        <v>260</v>
      </c>
      <c r="C175" s="98">
        <v>0</v>
      </c>
      <c r="E175">
        <v>35.6</v>
      </c>
      <c r="F175">
        <v>1.5</v>
      </c>
      <c r="G175">
        <v>19.7</v>
      </c>
      <c r="H175">
        <v>0</v>
      </c>
      <c r="I175">
        <v>29.900000000000002</v>
      </c>
      <c r="J175">
        <v>314.90000000000003</v>
      </c>
    </row>
    <row r="176" spans="1:10" x14ac:dyDescent="0.2">
      <c r="A176">
        <v>1193.05</v>
      </c>
      <c r="B176" t="s">
        <v>261</v>
      </c>
      <c r="C176" s="98">
        <v>0</v>
      </c>
      <c r="E176">
        <v>4.41</v>
      </c>
      <c r="F176">
        <v>18.52</v>
      </c>
      <c r="G176">
        <v>0.9</v>
      </c>
      <c r="H176">
        <v>0</v>
      </c>
      <c r="I176">
        <v>36.530000000000008</v>
      </c>
      <c r="J176">
        <v>332.24</v>
      </c>
    </row>
    <row r="177" spans="1:10" x14ac:dyDescent="0.2">
      <c r="A177">
        <v>1193.06</v>
      </c>
      <c r="B177" t="s">
        <v>262</v>
      </c>
      <c r="C177" s="98">
        <v>0</v>
      </c>
      <c r="E177">
        <v>4.5999999999999996</v>
      </c>
      <c r="F177">
        <v>2.4</v>
      </c>
      <c r="G177">
        <v>0.2</v>
      </c>
      <c r="H177">
        <v>0</v>
      </c>
      <c r="I177">
        <v>4.9999999999999991</v>
      </c>
      <c r="J177">
        <v>60.399999999999991</v>
      </c>
    </row>
    <row r="178" spans="1:10" x14ac:dyDescent="0.2">
      <c r="A178">
        <v>1193.07</v>
      </c>
      <c r="B178" t="s">
        <v>263</v>
      </c>
      <c r="C178" s="98">
        <v>0</v>
      </c>
      <c r="E178">
        <v>4.05</v>
      </c>
      <c r="F178">
        <v>8.06</v>
      </c>
      <c r="G178">
        <v>0.9</v>
      </c>
      <c r="H178">
        <v>0</v>
      </c>
      <c r="I178">
        <v>45.18</v>
      </c>
      <c r="J178">
        <v>271.26</v>
      </c>
    </row>
    <row r="179" spans="1:10" x14ac:dyDescent="0.2">
      <c r="A179">
        <v>1195.99</v>
      </c>
      <c r="B179" t="s">
        <v>264</v>
      </c>
      <c r="C179" s="98">
        <v>0</v>
      </c>
      <c r="E179">
        <v>4.5999999999999996</v>
      </c>
      <c r="F179">
        <v>2.4</v>
      </c>
      <c r="G179">
        <v>0.2</v>
      </c>
      <c r="H179">
        <v>0</v>
      </c>
      <c r="I179">
        <v>4.9999999999999991</v>
      </c>
      <c r="J179">
        <v>60.399999999999991</v>
      </c>
    </row>
    <row r="180" spans="1:10" x14ac:dyDescent="0.2">
      <c r="A180">
        <v>1211.01</v>
      </c>
      <c r="B180" t="s">
        <v>265</v>
      </c>
      <c r="C180" s="98">
        <v>0</v>
      </c>
      <c r="E180">
        <v>15.4</v>
      </c>
      <c r="F180">
        <v>0.4</v>
      </c>
      <c r="G180">
        <v>0</v>
      </c>
      <c r="H180">
        <v>0</v>
      </c>
      <c r="I180">
        <v>72.3</v>
      </c>
      <c r="J180">
        <v>354.4</v>
      </c>
    </row>
    <row r="181" spans="1:10" x14ac:dyDescent="0.2">
      <c r="A181">
        <v>1212.01</v>
      </c>
      <c r="B181" t="s">
        <v>266</v>
      </c>
      <c r="C181" s="98">
        <v>0</v>
      </c>
      <c r="E181">
        <v>0.1</v>
      </c>
      <c r="F181">
        <v>0</v>
      </c>
      <c r="G181">
        <v>0</v>
      </c>
      <c r="H181">
        <v>0</v>
      </c>
      <c r="I181">
        <v>0.10000000000000284</v>
      </c>
      <c r="J181">
        <v>0.80000000000001137</v>
      </c>
    </row>
    <row r="182" spans="1:10" x14ac:dyDescent="0.2">
      <c r="A182">
        <v>1213.01</v>
      </c>
      <c r="B182" t="s">
        <v>267</v>
      </c>
      <c r="C182" s="98">
        <v>0</v>
      </c>
      <c r="E182">
        <v>0.1</v>
      </c>
      <c r="F182">
        <v>0</v>
      </c>
      <c r="G182">
        <v>0</v>
      </c>
      <c r="H182">
        <v>0</v>
      </c>
      <c r="I182">
        <v>0.10000000000000284</v>
      </c>
      <c r="J182">
        <v>0.80000000000001137</v>
      </c>
    </row>
    <row r="183" spans="1:10" x14ac:dyDescent="0.2">
      <c r="A183">
        <v>1219.99</v>
      </c>
      <c r="B183" t="s">
        <v>268</v>
      </c>
      <c r="C183" s="98">
        <v>0</v>
      </c>
      <c r="E183">
        <v>0.1</v>
      </c>
      <c r="F183">
        <v>0</v>
      </c>
      <c r="G183">
        <v>0</v>
      </c>
      <c r="H183">
        <v>0</v>
      </c>
      <c r="I183">
        <v>0.10000000000000284</v>
      </c>
      <c r="J183">
        <v>0.80000000000001137</v>
      </c>
    </row>
    <row r="184" spans="1:10" x14ac:dyDescent="0.2">
      <c r="A184">
        <v>1221.01</v>
      </c>
      <c r="B184" t="s">
        <v>269</v>
      </c>
      <c r="C184" s="98">
        <v>0</v>
      </c>
      <c r="E184">
        <v>0</v>
      </c>
      <c r="F184">
        <v>0</v>
      </c>
      <c r="G184">
        <v>0</v>
      </c>
      <c r="H184">
        <v>0</v>
      </c>
      <c r="I184">
        <v>0</v>
      </c>
      <c r="J184">
        <v>0</v>
      </c>
    </row>
    <row r="185" spans="1:10" x14ac:dyDescent="0.2">
      <c r="A185">
        <v>1222.01</v>
      </c>
      <c r="B185" t="s">
        <v>270</v>
      </c>
      <c r="C185" s="98">
        <v>0</v>
      </c>
      <c r="E185">
        <v>0.7</v>
      </c>
      <c r="F185">
        <v>0.2</v>
      </c>
      <c r="G185">
        <v>0.1</v>
      </c>
      <c r="H185">
        <v>0</v>
      </c>
      <c r="I185">
        <v>9.6999999999999957</v>
      </c>
      <c r="J185">
        <v>43.59999999999998</v>
      </c>
    </row>
    <row r="186" spans="1:10" x14ac:dyDescent="0.2">
      <c r="A186">
        <v>1222.99</v>
      </c>
      <c r="B186" t="s">
        <v>271</v>
      </c>
      <c r="C186" s="98">
        <v>0</v>
      </c>
      <c r="E186">
        <v>0.7</v>
      </c>
      <c r="F186">
        <v>0.2</v>
      </c>
      <c r="G186">
        <v>0.1</v>
      </c>
      <c r="H186">
        <v>0</v>
      </c>
      <c r="I186">
        <v>9.6999999999999957</v>
      </c>
      <c r="J186">
        <v>43.59999999999998</v>
      </c>
    </row>
    <row r="187" spans="1:10" x14ac:dyDescent="0.2">
      <c r="A187">
        <v>1223.01</v>
      </c>
      <c r="B187" t="s">
        <v>272</v>
      </c>
      <c r="C187" s="98">
        <v>0</v>
      </c>
      <c r="E187">
        <v>0.7</v>
      </c>
      <c r="F187">
        <v>0.2</v>
      </c>
      <c r="G187">
        <v>0.1</v>
      </c>
      <c r="H187">
        <v>0</v>
      </c>
      <c r="I187">
        <v>9.6999999999999957</v>
      </c>
      <c r="J187">
        <v>43.59999999999998</v>
      </c>
    </row>
    <row r="188" spans="1:10" x14ac:dyDescent="0.2">
      <c r="A188">
        <v>1223.02</v>
      </c>
      <c r="B188" t="s">
        <v>273</v>
      </c>
      <c r="C188" s="98">
        <v>0</v>
      </c>
      <c r="E188">
        <v>1.2</v>
      </c>
      <c r="F188">
        <v>0.1</v>
      </c>
      <c r="G188">
        <v>0.5</v>
      </c>
      <c r="H188">
        <v>0</v>
      </c>
      <c r="I188">
        <v>10.500000000000007</v>
      </c>
      <c r="J188">
        <v>48.700000000000031</v>
      </c>
    </row>
    <row r="189" spans="1:10" x14ac:dyDescent="0.2">
      <c r="A189">
        <v>1223.99</v>
      </c>
      <c r="B189" t="s">
        <v>274</v>
      </c>
      <c r="C189" s="98">
        <v>0</v>
      </c>
      <c r="E189">
        <v>0.7</v>
      </c>
      <c r="F189">
        <v>0.2</v>
      </c>
      <c r="G189">
        <v>0.1</v>
      </c>
      <c r="H189">
        <v>0</v>
      </c>
      <c r="I189">
        <v>9.6999999999999957</v>
      </c>
      <c r="J189">
        <v>43.59999999999998</v>
      </c>
    </row>
    <row r="190" spans="1:10" x14ac:dyDescent="0.2">
      <c r="A190">
        <v>2111.04</v>
      </c>
      <c r="B190" t="s">
        <v>275</v>
      </c>
      <c r="C190" s="98">
        <v>0</v>
      </c>
      <c r="E190">
        <v>0.5</v>
      </c>
      <c r="F190">
        <v>0</v>
      </c>
      <c r="G190">
        <v>0.1</v>
      </c>
      <c r="H190">
        <v>3</v>
      </c>
      <c r="I190">
        <v>2.2000000000000002</v>
      </c>
      <c r="J190">
        <v>32</v>
      </c>
    </row>
    <row r="191" spans="1:10" x14ac:dyDescent="0.2">
      <c r="A191">
        <v>2121.0100000000002</v>
      </c>
      <c r="B191" t="s">
        <v>276</v>
      </c>
      <c r="C191" s="98">
        <v>0</v>
      </c>
      <c r="E191">
        <v>0.4</v>
      </c>
      <c r="F191">
        <v>0</v>
      </c>
      <c r="G191">
        <v>0</v>
      </c>
      <c r="H191">
        <v>3.8</v>
      </c>
      <c r="I191">
        <v>1.8999999999999968</v>
      </c>
      <c r="J191">
        <v>35.799999999999983</v>
      </c>
    </row>
    <row r="192" spans="1:10" x14ac:dyDescent="0.2">
      <c r="A192">
        <v>2129.9899999999998</v>
      </c>
      <c r="B192" t="s">
        <v>277</v>
      </c>
      <c r="C192" s="98">
        <v>0</v>
      </c>
      <c r="E192">
        <v>0.7</v>
      </c>
      <c r="F192">
        <v>0</v>
      </c>
      <c r="G192">
        <v>0.1</v>
      </c>
      <c r="H192">
        <v>3</v>
      </c>
      <c r="I192">
        <v>4.8999999999999995</v>
      </c>
      <c r="J192">
        <v>43.599999999999994</v>
      </c>
    </row>
    <row r="193" spans="1:10" x14ac:dyDescent="0.2">
      <c r="A193">
        <v>2131.0100000000002</v>
      </c>
      <c r="B193" t="s">
        <v>278</v>
      </c>
      <c r="C193" s="98">
        <v>0</v>
      </c>
      <c r="E193">
        <v>0.3</v>
      </c>
      <c r="F193">
        <v>0</v>
      </c>
      <c r="G193">
        <v>0</v>
      </c>
      <c r="H193">
        <v>4.4000000000000004</v>
      </c>
      <c r="I193">
        <v>1.2999999999999945</v>
      </c>
      <c r="J193">
        <v>37.199999999999989</v>
      </c>
    </row>
    <row r="194" spans="1:10" x14ac:dyDescent="0.2">
      <c r="A194">
        <v>2131.9899999999998</v>
      </c>
      <c r="B194" t="s">
        <v>279</v>
      </c>
      <c r="C194" s="98">
        <v>0</v>
      </c>
      <c r="E194">
        <v>0.5</v>
      </c>
      <c r="F194">
        <v>0</v>
      </c>
      <c r="G194">
        <v>0.1</v>
      </c>
      <c r="H194">
        <v>3</v>
      </c>
      <c r="I194">
        <v>2.2000000000000002</v>
      </c>
      <c r="J194">
        <v>32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S180"/>
  <sheetViews>
    <sheetView zoomScale="120" zoomScaleNormal="120" workbookViewId="0">
      <pane xSplit="6" ySplit="1" topLeftCell="G2" activePane="bottomRight" state="frozen"/>
      <selection pane="topRight" activeCell="G1" sqref="G1"/>
      <selection pane="bottomLeft" activeCell="A2" sqref="A2"/>
      <selection pane="bottomRight" activeCell="C6" sqref="C6:L9"/>
    </sheetView>
  </sheetViews>
  <sheetFormatPr defaultColWidth="8.85546875" defaultRowHeight="12.75" x14ac:dyDescent="0.2"/>
  <cols>
    <col min="2" max="2" width="15.28515625" customWidth="1"/>
    <col min="5" max="5" width="22.85546875" customWidth="1"/>
  </cols>
  <sheetData>
    <row r="1" spans="1:45" s="1" customFormat="1" ht="78" customHeight="1" x14ac:dyDescent="0.25">
      <c r="A1" s="2" t="s">
        <v>76</v>
      </c>
      <c r="B1" s="2" t="s">
        <v>77</v>
      </c>
      <c r="C1" s="2" t="s">
        <v>1</v>
      </c>
      <c r="D1" s="2" t="s">
        <v>2</v>
      </c>
      <c r="E1" s="2" t="s">
        <v>3</v>
      </c>
      <c r="F1" s="20" t="s">
        <v>65</v>
      </c>
      <c r="G1" s="2" t="s">
        <v>78</v>
      </c>
      <c r="H1" s="2" t="s">
        <v>79</v>
      </c>
      <c r="I1" s="2" t="s">
        <v>5</v>
      </c>
      <c r="J1" s="2" t="s">
        <v>6</v>
      </c>
      <c r="K1" s="2" t="s">
        <v>80</v>
      </c>
      <c r="L1" s="2" t="s">
        <v>81</v>
      </c>
      <c r="M1" s="2" t="s">
        <v>82</v>
      </c>
      <c r="N1" s="2" t="s">
        <v>83</v>
      </c>
      <c r="O1" s="2" t="s">
        <v>4</v>
      </c>
      <c r="P1" s="18" t="s">
        <v>84</v>
      </c>
      <c r="Q1" s="2" t="s">
        <v>0</v>
      </c>
      <c r="R1" s="18" t="s">
        <v>85</v>
      </c>
      <c r="S1" s="2" t="s">
        <v>86</v>
      </c>
      <c r="T1" s="2" t="s">
        <v>87</v>
      </c>
      <c r="U1" s="18" t="s">
        <v>88</v>
      </c>
      <c r="V1" s="18" t="s">
        <v>89</v>
      </c>
      <c r="W1" s="2" t="s">
        <v>124</v>
      </c>
      <c r="X1" s="2" t="s">
        <v>125</v>
      </c>
      <c r="Y1" s="2" t="s">
        <v>123</v>
      </c>
      <c r="Z1" s="2" t="s">
        <v>126</v>
      </c>
      <c r="AA1" s="2" t="s">
        <v>90</v>
      </c>
      <c r="AB1" s="2" t="s">
        <v>91</v>
      </c>
      <c r="AC1" s="2" t="s">
        <v>92</v>
      </c>
      <c r="AD1" s="2" t="s">
        <v>93</v>
      </c>
      <c r="AE1" s="2" t="s">
        <v>94</v>
      </c>
      <c r="AF1" s="2" t="s">
        <v>95</v>
      </c>
      <c r="AG1" s="2" t="s">
        <v>96</v>
      </c>
      <c r="AH1" s="2" t="s">
        <v>97</v>
      </c>
      <c r="AI1" s="2" t="s">
        <v>98</v>
      </c>
      <c r="AJ1" s="2" t="s">
        <v>99</v>
      </c>
      <c r="AK1" s="2" t="s">
        <v>100</v>
      </c>
      <c r="AL1" s="2" t="s">
        <v>101</v>
      </c>
      <c r="AM1" s="2" t="s">
        <v>102</v>
      </c>
      <c r="AN1" s="2" t="s">
        <v>103</v>
      </c>
      <c r="AO1" s="2" t="s">
        <v>104</v>
      </c>
      <c r="AP1" s="2" t="s">
        <v>105</v>
      </c>
      <c r="AQ1" s="2" t="s">
        <v>106</v>
      </c>
      <c r="AR1" s="2" t="s">
        <v>107</v>
      </c>
      <c r="AS1" s="2" t="s">
        <v>108</v>
      </c>
    </row>
    <row r="2" spans="1:45" s="37" customFormat="1" x14ac:dyDescent="0.2"/>
    <row r="3" spans="1:45" s="37" customFormat="1" x14ac:dyDescent="0.2"/>
    <row r="4" spans="1:45" s="37" customFormat="1" x14ac:dyDescent="0.2"/>
    <row r="5" spans="1:45" s="37" customFormat="1" x14ac:dyDescent="0.2"/>
    <row r="6" spans="1:45" s="37" customFormat="1" x14ac:dyDescent="0.2">
      <c r="C6" s="42" t="s">
        <v>496</v>
      </c>
      <c r="D6" t="s">
        <v>483</v>
      </c>
      <c r="E6" t="s">
        <v>484</v>
      </c>
      <c r="F6"/>
      <c r="G6">
        <v>0.16000000000000003</v>
      </c>
      <c r="H6"/>
      <c r="I6">
        <v>60.3</v>
      </c>
      <c r="J6">
        <v>1</v>
      </c>
      <c r="K6">
        <v>1.2</v>
      </c>
      <c r="L6">
        <v>0.3</v>
      </c>
      <c r="M6">
        <v>1.8</v>
      </c>
      <c r="N6"/>
      <c r="O6"/>
      <c r="P6">
        <v>35.6</v>
      </c>
      <c r="Q6" t="s">
        <v>482</v>
      </c>
    </row>
    <row r="7" spans="1:45" s="37" customFormat="1" ht="15" x14ac:dyDescent="0.25">
      <c r="A7" s="36"/>
      <c r="B7" s="40"/>
      <c r="C7" s="42" t="s">
        <v>496</v>
      </c>
      <c r="D7" t="s">
        <v>485</v>
      </c>
      <c r="E7" t="s">
        <v>486</v>
      </c>
      <c r="F7"/>
      <c r="G7">
        <v>0</v>
      </c>
      <c r="H7"/>
      <c r="I7">
        <v>71.7</v>
      </c>
      <c r="J7">
        <v>1.9</v>
      </c>
      <c r="K7">
        <v>7.9</v>
      </c>
      <c r="L7">
        <v>0.9</v>
      </c>
      <c r="M7" t="s">
        <v>487</v>
      </c>
      <c r="N7"/>
      <c r="O7"/>
      <c r="P7">
        <v>13.6</v>
      </c>
      <c r="Q7" t="s">
        <v>488</v>
      </c>
    </row>
    <row r="8" spans="1:45" s="37" customFormat="1" x14ac:dyDescent="0.2">
      <c r="C8" s="42" t="s">
        <v>496</v>
      </c>
      <c r="D8" t="s">
        <v>489</v>
      </c>
      <c r="E8" t="s">
        <v>490</v>
      </c>
      <c r="F8"/>
      <c r="G8">
        <v>0</v>
      </c>
      <c r="H8"/>
      <c r="I8">
        <v>88.4</v>
      </c>
      <c r="J8">
        <v>0.7</v>
      </c>
      <c r="K8">
        <v>1.9</v>
      </c>
      <c r="L8">
        <v>0.3</v>
      </c>
      <c r="M8">
        <v>3.6</v>
      </c>
      <c r="N8"/>
      <c r="O8"/>
      <c r="P8">
        <v>5</v>
      </c>
      <c r="Q8" t="s">
        <v>491</v>
      </c>
    </row>
    <row r="9" spans="1:45" s="37" customFormat="1" x14ac:dyDescent="0.2">
      <c r="C9" s="42" t="s">
        <v>496</v>
      </c>
      <c r="D9" t="s">
        <v>492</v>
      </c>
      <c r="E9" t="s">
        <v>493</v>
      </c>
      <c r="F9"/>
      <c r="G9">
        <v>0.18999999999999995</v>
      </c>
      <c r="H9"/>
      <c r="I9">
        <v>90.9</v>
      </c>
      <c r="J9">
        <v>0.6</v>
      </c>
      <c r="K9">
        <v>1.1000000000000001</v>
      </c>
      <c r="L9">
        <v>0.2</v>
      </c>
      <c r="M9">
        <v>2.6</v>
      </c>
      <c r="N9"/>
      <c r="O9"/>
      <c r="P9">
        <v>4.5999999999999996</v>
      </c>
      <c r="Q9" t="s">
        <v>494</v>
      </c>
    </row>
    <row r="10" spans="1:45" s="37" customFormat="1" x14ac:dyDescent="0.2"/>
    <row r="11" spans="1:45" s="37" customFormat="1" x14ac:dyDescent="0.2"/>
    <row r="12" spans="1:45" s="37" customFormat="1" x14ac:dyDescent="0.2"/>
    <row r="13" spans="1:45" s="37" customFormat="1" ht="15" x14ac:dyDescent="0.25">
      <c r="A13" s="36"/>
      <c r="B13" s="40"/>
    </row>
    <row r="14" spans="1:45" s="37" customFormat="1" x14ac:dyDescent="0.2">
      <c r="A14" s="92">
        <v>1179.99</v>
      </c>
      <c r="B14" s="92" t="s">
        <v>247</v>
      </c>
      <c r="C14" s="42" t="s">
        <v>495</v>
      </c>
      <c r="D14"/>
      <c r="E14" s="94"/>
      <c r="F14"/>
      <c r="G14">
        <f>AVERAGE(G6:G13)</f>
        <v>8.7499999999999994E-2</v>
      </c>
      <c r="H14"/>
      <c r="I14">
        <f t="shared" ref="I14:Q14" si="0">AVERAGE(I6:I13)</f>
        <v>77.825000000000003</v>
      </c>
      <c r="J14">
        <f t="shared" si="0"/>
        <v>1.0499999999999998</v>
      </c>
      <c r="K14">
        <f t="shared" si="0"/>
        <v>3.0249999999999999</v>
      </c>
      <c r="L14">
        <f t="shared" si="0"/>
        <v>0.42499999999999999</v>
      </c>
      <c r="M14">
        <f t="shared" si="0"/>
        <v>2.6666666666666665</v>
      </c>
      <c r="N14" t="e">
        <f t="shared" si="0"/>
        <v>#DIV/0!</v>
      </c>
      <c r="O14" t="e">
        <f t="shared" si="0"/>
        <v>#DIV/0!</v>
      </c>
      <c r="P14">
        <f t="shared" si="0"/>
        <v>14.700000000000001</v>
      </c>
      <c r="Q14" t="e">
        <f t="shared" si="0"/>
        <v>#DIV/0!</v>
      </c>
    </row>
    <row r="15" spans="1:45" s="37" customFormat="1" ht="15" x14ac:dyDescent="0.25">
      <c r="I15" s="44"/>
      <c r="J15" s="44"/>
      <c r="K15" s="44"/>
      <c r="L15" s="44"/>
      <c r="M15" s="45"/>
      <c r="O15" s="44"/>
      <c r="Q15" s="45"/>
      <c r="S15" s="45"/>
      <c r="T15" s="44"/>
      <c r="V15" s="44"/>
      <c r="W15" s="47"/>
      <c r="X15" s="47"/>
      <c r="Y15" s="47"/>
      <c r="Z15" s="47"/>
      <c r="AA15" s="44"/>
      <c r="AB15" s="46"/>
      <c r="AC15" s="46"/>
      <c r="AD15" s="45"/>
      <c r="AE15" s="45"/>
      <c r="AF15" s="45"/>
      <c r="AG15" s="46"/>
      <c r="AH15" s="47"/>
    </row>
    <row r="16" spans="1:45" s="37" customFormat="1" ht="15" x14ac:dyDescent="0.25">
      <c r="D16"/>
      <c r="E16"/>
      <c r="F16"/>
      <c r="G16"/>
      <c r="H16"/>
      <c r="I16"/>
      <c r="J16"/>
      <c r="K16"/>
      <c r="L16"/>
      <c r="M16"/>
      <c r="N16"/>
      <c r="O16"/>
      <c r="P16"/>
      <c r="Q16"/>
      <c r="S16" s="45"/>
      <c r="T16" s="44"/>
      <c r="V16" s="44"/>
      <c r="W16" s="47"/>
      <c r="X16" s="47"/>
      <c r="Y16" s="47"/>
      <c r="Z16" s="47"/>
      <c r="AA16" s="44"/>
      <c r="AB16" s="46"/>
      <c r="AC16" s="46"/>
      <c r="AD16" s="45"/>
      <c r="AE16" s="45"/>
      <c r="AF16" s="45"/>
      <c r="AG16" s="46"/>
      <c r="AH16" s="47"/>
    </row>
    <row r="17" spans="1:34" s="37" customFormat="1" ht="15" x14ac:dyDescent="0.25">
      <c r="I17" s="44"/>
      <c r="J17" s="44"/>
      <c r="K17" s="44"/>
      <c r="L17" s="44"/>
      <c r="M17" s="45"/>
      <c r="O17" s="44"/>
      <c r="Q17" s="45"/>
      <c r="S17" s="45"/>
      <c r="T17" s="44"/>
      <c r="V17" s="44"/>
      <c r="W17" s="47"/>
      <c r="X17" s="47"/>
      <c r="Y17" s="47"/>
      <c r="Z17" s="47"/>
      <c r="AA17" s="44"/>
      <c r="AB17" s="46"/>
      <c r="AC17" s="46"/>
      <c r="AD17" s="45"/>
      <c r="AE17" s="45"/>
      <c r="AF17" s="45"/>
      <c r="AG17" s="46"/>
      <c r="AH17" s="47"/>
    </row>
    <row r="18" spans="1:34" s="37" customFormat="1" x14ac:dyDescent="0.2"/>
    <row r="19" spans="1:34" s="37" customFormat="1" ht="15" x14ac:dyDescent="0.25">
      <c r="A19" s="36"/>
      <c r="B19" s="40"/>
      <c r="Z19" s="59"/>
    </row>
    <row r="20" spans="1:34" s="37" customFormat="1" x14ac:dyDescent="0.2"/>
    <row r="21" spans="1:34" s="42" customFormat="1" ht="15" x14ac:dyDescent="0.25">
      <c r="A21" s="92"/>
      <c r="B21" s="92"/>
      <c r="C21" s="37"/>
      <c r="D21" s="43"/>
      <c r="E21" s="43"/>
      <c r="P21" s="37"/>
      <c r="R21" s="37"/>
    </row>
    <row r="22" spans="1:34" s="42" customFormat="1" ht="15" x14ac:dyDescent="0.25">
      <c r="C22" s="37"/>
      <c r="D22" s="43"/>
      <c r="E22" s="43"/>
      <c r="P22" s="37"/>
      <c r="R22" s="37"/>
    </row>
    <row r="23" spans="1:34" s="42" customFormat="1" x14ac:dyDescent="0.2"/>
    <row r="24" spans="1:34" s="37" customFormat="1" x14ac:dyDescent="0.2">
      <c r="D24" t="s">
        <v>501</v>
      </c>
      <c r="E24" t="s">
        <v>502</v>
      </c>
      <c r="F24"/>
      <c r="G24">
        <v>0</v>
      </c>
      <c r="H24"/>
      <c r="I24">
        <v>73.5</v>
      </c>
      <c r="J24">
        <v>2.8</v>
      </c>
      <c r="K24">
        <v>4.3</v>
      </c>
      <c r="L24">
        <v>0.5</v>
      </c>
      <c r="M24">
        <v>4.0999999999999996</v>
      </c>
      <c r="N24"/>
      <c r="O24"/>
      <c r="P24">
        <v>14.8</v>
      </c>
      <c r="Q24">
        <v>89</v>
      </c>
      <c r="W24" s="59"/>
      <c r="X24" s="59"/>
      <c r="Y24" s="59"/>
      <c r="Z24" s="59"/>
    </row>
    <row r="25" spans="1:34" s="37" customFormat="1" ht="15" x14ac:dyDescent="0.25">
      <c r="A25" s="13"/>
      <c r="B25" s="13"/>
      <c r="D25" t="s">
        <v>497</v>
      </c>
      <c r="E25" t="s">
        <v>498</v>
      </c>
      <c r="F25"/>
      <c r="G25">
        <v>0.31999999999999995</v>
      </c>
      <c r="H25"/>
      <c r="I25">
        <v>59.1</v>
      </c>
      <c r="J25">
        <v>1.4</v>
      </c>
      <c r="K25">
        <v>31.4</v>
      </c>
      <c r="L25">
        <v>6.6</v>
      </c>
      <c r="M25">
        <v>0</v>
      </c>
      <c r="N25"/>
      <c r="O25"/>
      <c r="P25">
        <v>0</v>
      </c>
      <c r="Q25">
        <v>185</v>
      </c>
    </row>
    <row r="26" spans="1:34" s="37" customFormat="1" x14ac:dyDescent="0.2">
      <c r="D26" t="s">
        <v>499</v>
      </c>
      <c r="E26" t="s">
        <v>500</v>
      </c>
      <c r="F26"/>
      <c r="G26">
        <v>0.26</v>
      </c>
      <c r="H26"/>
      <c r="I26">
        <v>76.5</v>
      </c>
      <c r="J26">
        <v>1.1000000000000001</v>
      </c>
      <c r="K26">
        <v>1.7</v>
      </c>
      <c r="L26">
        <v>14.7</v>
      </c>
      <c r="M26">
        <v>4.7</v>
      </c>
      <c r="N26"/>
      <c r="O26"/>
      <c r="P26">
        <v>1.4</v>
      </c>
      <c r="Q26">
        <v>154</v>
      </c>
    </row>
    <row r="27" spans="1:34" s="37" customFormat="1" x14ac:dyDescent="0.2">
      <c r="D27" t="s">
        <v>333</v>
      </c>
      <c r="E27" t="s">
        <v>334</v>
      </c>
      <c r="F27"/>
      <c r="G27">
        <v>0</v>
      </c>
      <c r="H27"/>
      <c r="I27">
        <v>78.5</v>
      </c>
      <c r="J27">
        <v>0.6</v>
      </c>
      <c r="K27">
        <v>2.9</v>
      </c>
      <c r="L27">
        <v>13.5</v>
      </c>
      <c r="M27">
        <v>0</v>
      </c>
      <c r="N27"/>
      <c r="O27"/>
      <c r="P27">
        <v>4.5</v>
      </c>
      <c r="Q27">
        <v>151</v>
      </c>
    </row>
    <row r="28" spans="1:34" s="37" customFormat="1" x14ac:dyDescent="0.2"/>
    <row r="29" spans="1:34" s="37" customFormat="1" x14ac:dyDescent="0.2"/>
    <row r="30" spans="1:34" s="37" customFormat="1" ht="15" x14ac:dyDescent="0.25">
      <c r="A30" s="13"/>
      <c r="B30" s="13"/>
    </row>
    <row r="31" spans="1:34" x14ac:dyDescent="0.2">
      <c r="C31" s="37"/>
      <c r="P31" s="37"/>
      <c r="R31" s="37"/>
    </row>
    <row r="32" spans="1:34" x14ac:dyDescent="0.2">
      <c r="C32" s="37"/>
      <c r="P32" s="37"/>
      <c r="R32" s="37"/>
    </row>
    <row r="33" spans="1:34" x14ac:dyDescent="0.2">
      <c r="A33" s="92">
        <v>1195.99</v>
      </c>
      <c r="B33" s="92" t="s">
        <v>264</v>
      </c>
      <c r="C33" s="42" t="s">
        <v>495</v>
      </c>
      <c r="G33">
        <f>AVERAGE(G24:G32)</f>
        <v>0.14499999999999999</v>
      </c>
      <c r="H33" t="e">
        <f t="shared" ref="H33:Q33" si="1">AVERAGE(H24:H32)</f>
        <v>#DIV/0!</v>
      </c>
      <c r="I33">
        <f t="shared" si="1"/>
        <v>71.900000000000006</v>
      </c>
      <c r="J33">
        <f t="shared" si="1"/>
        <v>1.4749999999999996</v>
      </c>
      <c r="K33">
        <f t="shared" si="1"/>
        <v>10.074999999999999</v>
      </c>
      <c r="L33">
        <f t="shared" si="1"/>
        <v>8.8249999999999993</v>
      </c>
      <c r="M33">
        <f t="shared" si="1"/>
        <v>2.2000000000000002</v>
      </c>
      <c r="N33" t="e">
        <f t="shared" si="1"/>
        <v>#DIV/0!</v>
      </c>
      <c r="O33" t="e">
        <f t="shared" si="1"/>
        <v>#DIV/0!</v>
      </c>
      <c r="P33">
        <f t="shared" si="1"/>
        <v>5.1749999999999998</v>
      </c>
      <c r="Q33">
        <f t="shared" si="1"/>
        <v>144.75</v>
      </c>
      <c r="R33" s="37"/>
    </row>
    <row r="34" spans="1:34" x14ac:dyDescent="0.2">
      <c r="C34" s="37"/>
      <c r="P34" s="37"/>
      <c r="R34" s="37"/>
    </row>
    <row r="36" spans="1:34" x14ac:dyDescent="0.2">
      <c r="R36" s="37"/>
    </row>
    <row r="37" spans="1:34" x14ac:dyDescent="0.2">
      <c r="C37" t="s">
        <v>293</v>
      </c>
      <c r="D37" t="s">
        <v>294</v>
      </c>
      <c r="G37">
        <v>0</v>
      </c>
      <c r="H37" s="38"/>
      <c r="I37">
        <v>64.3</v>
      </c>
      <c r="J37">
        <v>1</v>
      </c>
      <c r="K37">
        <v>18.399999999999999</v>
      </c>
      <c r="L37">
        <v>18</v>
      </c>
      <c r="M37">
        <v>0</v>
      </c>
      <c r="P37" s="37">
        <v>0</v>
      </c>
      <c r="Q37">
        <v>235</v>
      </c>
      <c r="R37" s="37"/>
    </row>
    <row r="38" spans="1:34" x14ac:dyDescent="0.2">
      <c r="C38" t="s">
        <v>403</v>
      </c>
      <c r="D38" t="s">
        <v>404</v>
      </c>
      <c r="G38">
        <v>0</v>
      </c>
      <c r="H38" s="38"/>
      <c r="I38">
        <v>73.2</v>
      </c>
      <c r="J38">
        <v>1</v>
      </c>
      <c r="K38">
        <v>21.7</v>
      </c>
      <c r="L38">
        <v>4.3</v>
      </c>
      <c r="M38">
        <v>0</v>
      </c>
      <c r="P38" s="37">
        <v>0</v>
      </c>
      <c r="Q38">
        <v>126</v>
      </c>
      <c r="R38" s="37"/>
    </row>
    <row r="39" spans="1:34" x14ac:dyDescent="0.2">
      <c r="C39" t="s">
        <v>503</v>
      </c>
      <c r="D39" t="s">
        <v>504</v>
      </c>
      <c r="G39">
        <v>0</v>
      </c>
      <c r="H39" s="38"/>
      <c r="I39">
        <v>55.3</v>
      </c>
      <c r="J39">
        <v>1.7</v>
      </c>
      <c r="K39">
        <v>36.200000000000003</v>
      </c>
      <c r="L39">
        <v>7.2</v>
      </c>
      <c r="M39">
        <v>0</v>
      </c>
      <c r="P39">
        <v>0</v>
      </c>
      <c r="Q39">
        <v>209</v>
      </c>
    </row>
    <row r="40" spans="1:34" x14ac:dyDescent="0.2">
      <c r="C40" t="s">
        <v>505</v>
      </c>
      <c r="D40" t="s">
        <v>506</v>
      </c>
      <c r="G40">
        <v>0</v>
      </c>
      <c r="H40" s="38"/>
      <c r="I40">
        <v>62.8</v>
      </c>
      <c r="J40">
        <v>1.4</v>
      </c>
      <c r="K40">
        <v>30.1</v>
      </c>
      <c r="L40">
        <v>6</v>
      </c>
      <c r="M40">
        <v>0</v>
      </c>
      <c r="P40">
        <v>0</v>
      </c>
      <c r="Q40">
        <v>174</v>
      </c>
      <c r="R40" s="37"/>
      <c r="W40" s="60"/>
      <c r="X40" s="60"/>
      <c r="Y40" s="60"/>
      <c r="Z40" s="60"/>
    </row>
    <row r="41" spans="1:34" x14ac:dyDescent="0.2">
      <c r="C41" t="s">
        <v>507</v>
      </c>
      <c r="D41" t="s">
        <v>508</v>
      </c>
      <c r="G41">
        <v>0</v>
      </c>
      <c r="H41" s="38"/>
      <c r="I41">
        <v>49.1</v>
      </c>
      <c r="J41">
        <v>1.6</v>
      </c>
      <c r="K41">
        <v>30.6</v>
      </c>
      <c r="L41">
        <v>21.3</v>
      </c>
      <c r="M41">
        <v>0</v>
      </c>
      <c r="P41">
        <v>0</v>
      </c>
      <c r="Q41">
        <v>314</v>
      </c>
    </row>
    <row r="42" spans="1:34" ht="15" x14ac:dyDescent="0.25">
      <c r="C42" t="s">
        <v>509</v>
      </c>
      <c r="D42" t="s">
        <v>510</v>
      </c>
      <c r="E42" s="43"/>
      <c r="F42" s="43"/>
      <c r="G42">
        <v>0</v>
      </c>
      <c r="H42" s="38"/>
      <c r="I42" s="44">
        <v>55.4</v>
      </c>
      <c r="J42" s="44">
        <v>1.3</v>
      </c>
      <c r="K42" s="45">
        <v>25.5</v>
      </c>
      <c r="L42" s="45">
        <v>19.899999999999999</v>
      </c>
      <c r="M42" s="44">
        <v>0</v>
      </c>
      <c r="N42" s="44"/>
      <c r="O42" s="45"/>
      <c r="P42" s="37">
        <v>0</v>
      </c>
      <c r="Q42" s="45">
        <v>282</v>
      </c>
      <c r="R42" s="37"/>
      <c r="S42" s="44"/>
      <c r="T42" s="44"/>
      <c r="U42" s="44"/>
      <c r="V42" s="46"/>
      <c r="AA42" s="46"/>
      <c r="AB42" s="45"/>
      <c r="AC42" s="45"/>
      <c r="AD42" s="45"/>
      <c r="AE42" s="46"/>
      <c r="AF42" s="47"/>
    </row>
    <row r="43" spans="1:34" x14ac:dyDescent="0.2">
      <c r="C43" t="s">
        <v>511</v>
      </c>
      <c r="D43" t="s">
        <v>512</v>
      </c>
      <c r="G43">
        <v>0</v>
      </c>
      <c r="H43" s="38"/>
      <c r="I43">
        <v>54.2</v>
      </c>
      <c r="J43">
        <v>0.8</v>
      </c>
      <c r="K43">
        <v>16.399999999999999</v>
      </c>
      <c r="L43">
        <v>28.4</v>
      </c>
      <c r="M43">
        <v>0</v>
      </c>
      <c r="P43" s="37">
        <v>0</v>
      </c>
      <c r="Q43">
        <v>321</v>
      </c>
      <c r="R43" s="37"/>
    </row>
    <row r="44" spans="1:34" x14ac:dyDescent="0.2">
      <c r="C44" t="s">
        <v>513</v>
      </c>
      <c r="D44" t="s">
        <v>514</v>
      </c>
      <c r="G44">
        <v>0</v>
      </c>
      <c r="H44" s="38"/>
      <c r="I44">
        <v>32.299999999999997</v>
      </c>
      <c r="J44">
        <v>1.3</v>
      </c>
      <c r="K44">
        <v>27.3</v>
      </c>
      <c r="L44">
        <v>38.700000000000003</v>
      </c>
      <c r="M44">
        <v>0</v>
      </c>
      <c r="P44">
        <v>0</v>
      </c>
      <c r="Q44">
        <v>457</v>
      </c>
    </row>
    <row r="45" spans="1:34" x14ac:dyDescent="0.2">
      <c r="C45" t="s">
        <v>515</v>
      </c>
      <c r="D45" t="s">
        <v>516</v>
      </c>
      <c r="G45">
        <v>0</v>
      </c>
      <c r="H45" s="38"/>
      <c r="I45" s="48">
        <v>41.4</v>
      </c>
      <c r="J45" s="48">
        <v>1.1000000000000001</v>
      </c>
      <c r="K45" s="48">
        <v>22.8</v>
      </c>
      <c r="L45" s="48">
        <v>34.4</v>
      </c>
      <c r="M45" s="48">
        <v>0</v>
      </c>
      <c r="N45" s="48"/>
      <c r="O45" s="48"/>
      <c r="P45" s="48">
        <v>0</v>
      </c>
      <c r="Q45" s="48">
        <v>401</v>
      </c>
      <c r="R45" s="37"/>
      <c r="S45" s="48"/>
      <c r="T45" s="48"/>
      <c r="U45" s="48"/>
      <c r="V45" s="48"/>
      <c r="W45" s="60"/>
      <c r="X45" s="60"/>
      <c r="Y45" s="60"/>
      <c r="Z45" s="60"/>
      <c r="AA45" s="48"/>
      <c r="AB45" s="48"/>
      <c r="AC45" s="48"/>
      <c r="AD45" s="48"/>
      <c r="AE45" s="48"/>
      <c r="AF45" s="48"/>
      <c r="AG45" s="48"/>
      <c r="AH45" s="48"/>
    </row>
    <row r="46" spans="1:34" x14ac:dyDescent="0.2">
      <c r="C46" t="s">
        <v>517</v>
      </c>
      <c r="D46" t="s">
        <v>518</v>
      </c>
      <c r="G46">
        <v>0</v>
      </c>
      <c r="H46" s="38"/>
      <c r="I46">
        <v>53.8</v>
      </c>
      <c r="J46">
        <v>4.0999999999999996</v>
      </c>
      <c r="K46">
        <v>31.1</v>
      </c>
      <c r="L46">
        <v>1.9</v>
      </c>
      <c r="M46">
        <v>0</v>
      </c>
      <c r="P46">
        <v>9.1</v>
      </c>
      <c r="Q46">
        <v>178</v>
      </c>
    </row>
    <row r="47" spans="1:34" s="38" customFormat="1" ht="15" x14ac:dyDescent="0.25">
      <c r="A47"/>
      <c r="B47"/>
      <c r="C47" t="s">
        <v>519</v>
      </c>
      <c r="D47" t="s">
        <v>520</v>
      </c>
      <c r="E47" s="49"/>
      <c r="G47" s="38">
        <v>0.16000000000000003</v>
      </c>
      <c r="I47" s="38">
        <v>56.2</v>
      </c>
      <c r="J47" s="38">
        <v>2</v>
      </c>
      <c r="K47" s="38">
        <v>29.4</v>
      </c>
      <c r="L47" s="38">
        <v>6.6</v>
      </c>
      <c r="M47" s="38">
        <v>0</v>
      </c>
      <c r="P47" s="37">
        <v>5.9</v>
      </c>
      <c r="Q47" s="38">
        <v>201</v>
      </c>
      <c r="R47" s="37"/>
      <c r="W47"/>
      <c r="X47"/>
    </row>
    <row r="48" spans="1:34" s="38" customFormat="1" x14ac:dyDescent="0.2">
      <c r="A48"/>
      <c r="B48"/>
      <c r="C48" t="s">
        <v>521</v>
      </c>
      <c r="D48" t="s">
        <v>522</v>
      </c>
      <c r="G48">
        <v>0</v>
      </c>
      <c r="I48" s="38">
        <v>77.900000000000006</v>
      </c>
      <c r="J48" s="38">
        <v>1.3</v>
      </c>
      <c r="K48" s="38">
        <v>17.399999999999999</v>
      </c>
      <c r="L48" s="38">
        <v>3.1</v>
      </c>
      <c r="M48" s="38">
        <v>0</v>
      </c>
      <c r="P48" s="37">
        <v>0.3</v>
      </c>
      <c r="Q48" s="38">
        <v>99</v>
      </c>
      <c r="R48" s="37"/>
      <c r="W48"/>
      <c r="X48"/>
    </row>
    <row r="49" spans="1:34" s="38" customFormat="1" ht="15" x14ac:dyDescent="0.25">
      <c r="A49"/>
      <c r="B49"/>
      <c r="C49" t="s">
        <v>523</v>
      </c>
      <c r="D49" t="s">
        <v>524</v>
      </c>
      <c r="E49" s="49"/>
      <c r="G49">
        <v>0</v>
      </c>
      <c r="I49" s="50">
        <v>64.900000000000006</v>
      </c>
      <c r="J49" s="50">
        <v>2.1</v>
      </c>
      <c r="K49" s="50">
        <v>27.6</v>
      </c>
      <c r="L49" s="50">
        <v>4.9000000000000004</v>
      </c>
      <c r="M49" s="51">
        <v>0</v>
      </c>
      <c r="N49" s="51"/>
      <c r="O49" s="50"/>
      <c r="P49" s="37">
        <v>0.5</v>
      </c>
      <c r="Q49" s="51">
        <v>156</v>
      </c>
      <c r="R49" s="37"/>
      <c r="S49" s="51"/>
      <c r="T49" s="50"/>
      <c r="U49" s="50"/>
      <c r="V49" s="51"/>
      <c r="W49"/>
      <c r="X49"/>
      <c r="Y49" s="53"/>
      <c r="Z49"/>
      <c r="AA49" s="50"/>
      <c r="AB49" s="52"/>
      <c r="AC49" s="52"/>
      <c r="AD49" s="51"/>
      <c r="AE49" s="51"/>
      <c r="AF49" s="51"/>
      <c r="AG49" s="52"/>
      <c r="AH49" s="53"/>
    </row>
    <row r="50" spans="1:34" s="38" customFormat="1" ht="15" x14ac:dyDescent="0.25">
      <c r="A50"/>
      <c r="B50"/>
      <c r="C50" t="s">
        <v>318</v>
      </c>
      <c r="D50" t="s">
        <v>319</v>
      </c>
      <c r="E50" s="49"/>
      <c r="G50">
        <v>0</v>
      </c>
      <c r="I50" s="50">
        <v>84.2</v>
      </c>
      <c r="J50" s="50">
        <v>0.6</v>
      </c>
      <c r="K50" s="50">
        <v>12.1</v>
      </c>
      <c r="L50" s="50">
        <v>3.7</v>
      </c>
      <c r="M50" s="51">
        <v>0</v>
      </c>
      <c r="N50" s="51"/>
      <c r="O50" s="50"/>
      <c r="P50" s="37">
        <v>0</v>
      </c>
      <c r="Q50" s="51">
        <v>81</v>
      </c>
      <c r="R50" s="37"/>
      <c r="S50" s="51"/>
      <c r="T50" s="50"/>
      <c r="U50" s="50"/>
      <c r="V50" s="51"/>
      <c r="W50"/>
      <c r="X50"/>
      <c r="Y50" s="53"/>
      <c r="Z50"/>
      <c r="AA50" s="50"/>
      <c r="AB50" s="52"/>
      <c r="AC50" s="52"/>
      <c r="AD50" s="51"/>
      <c r="AE50" s="51"/>
      <c r="AF50" s="51"/>
      <c r="AG50" s="52"/>
      <c r="AH50" s="53"/>
    </row>
    <row r="51" spans="1:34" x14ac:dyDescent="0.2">
      <c r="C51" t="s">
        <v>525</v>
      </c>
      <c r="D51" t="s">
        <v>526</v>
      </c>
      <c r="G51">
        <v>0</v>
      </c>
      <c r="H51" s="38"/>
      <c r="I51">
        <v>77.7</v>
      </c>
      <c r="J51">
        <v>0.8</v>
      </c>
      <c r="K51">
        <v>17</v>
      </c>
      <c r="L51">
        <v>5.2</v>
      </c>
      <c r="M51">
        <v>0</v>
      </c>
      <c r="P51">
        <v>0</v>
      </c>
      <c r="Q51">
        <v>115</v>
      </c>
    </row>
    <row r="52" spans="1:34" s="39" customFormat="1" ht="15" x14ac:dyDescent="0.25">
      <c r="A52"/>
      <c r="B52"/>
      <c r="C52" t="s">
        <v>299</v>
      </c>
      <c r="D52" t="s">
        <v>300</v>
      </c>
      <c r="E52" s="54"/>
      <c r="G52">
        <v>0</v>
      </c>
      <c r="H52" s="38"/>
      <c r="I52" s="39">
        <v>69.5</v>
      </c>
      <c r="J52" s="39">
        <v>1</v>
      </c>
      <c r="K52" s="39">
        <v>20.100000000000001</v>
      </c>
      <c r="L52" s="39">
        <v>10</v>
      </c>
      <c r="M52" s="39">
        <v>0</v>
      </c>
      <c r="P52" s="39">
        <v>0</v>
      </c>
      <c r="Q52" s="39">
        <v>170</v>
      </c>
    </row>
    <row r="53" spans="1:34" s="39" customFormat="1" x14ac:dyDescent="0.2">
      <c r="A53"/>
      <c r="B53"/>
      <c r="C53" t="s">
        <v>527</v>
      </c>
      <c r="D53" t="s">
        <v>528</v>
      </c>
      <c r="G53">
        <v>0</v>
      </c>
      <c r="H53" s="38"/>
      <c r="I53" s="39">
        <v>60.4</v>
      </c>
      <c r="J53" s="39">
        <v>1.4</v>
      </c>
      <c r="K53" s="39">
        <v>27.8</v>
      </c>
      <c r="L53" s="39">
        <v>11.2</v>
      </c>
      <c r="M53" s="39">
        <v>0</v>
      </c>
      <c r="P53" s="39">
        <v>0</v>
      </c>
      <c r="Q53" s="39">
        <v>212</v>
      </c>
    </row>
    <row r="54" spans="1:34" s="39" customFormat="1" ht="15" x14ac:dyDescent="0.25">
      <c r="A54"/>
      <c r="B54"/>
      <c r="C54" t="s">
        <v>301</v>
      </c>
      <c r="D54" t="s">
        <v>302</v>
      </c>
      <c r="E54" s="54"/>
      <c r="G54">
        <v>0</v>
      </c>
      <c r="H54" s="38"/>
      <c r="I54" s="39">
        <v>57.7</v>
      </c>
      <c r="J54" s="39">
        <v>2.9</v>
      </c>
      <c r="K54" s="39">
        <v>27.1</v>
      </c>
      <c r="L54" s="39">
        <v>14.9</v>
      </c>
      <c r="M54" s="39">
        <v>0</v>
      </c>
      <c r="P54" s="39">
        <v>0</v>
      </c>
      <c r="Q54" s="39">
        <v>243</v>
      </c>
    </row>
    <row r="55" spans="1:34" s="39" customFormat="1" ht="15" x14ac:dyDescent="0.25">
      <c r="C55" s="37"/>
      <c r="D55" s="54"/>
      <c r="E55" s="54"/>
    </row>
    <row r="56" spans="1:34" ht="15" x14ac:dyDescent="0.25">
      <c r="D56" s="43"/>
      <c r="E56" s="43"/>
    </row>
    <row r="57" spans="1:34" s="55" customFormat="1" x14ac:dyDescent="0.2">
      <c r="R57" s="37"/>
    </row>
    <row r="59" spans="1:34" x14ac:dyDescent="0.2">
      <c r="C59" s="37"/>
      <c r="R59" s="37"/>
    </row>
    <row r="60" spans="1:34" ht="15" x14ac:dyDescent="0.25">
      <c r="A60" s="92">
        <v>1121.01</v>
      </c>
      <c r="B60" s="92" t="s">
        <v>175</v>
      </c>
      <c r="C60" s="42" t="s">
        <v>495</v>
      </c>
      <c r="D60" s="43"/>
      <c r="E60" s="43"/>
      <c r="G60">
        <f>AVERAGE(G37:G54)</f>
        <v>8.8888888888888906E-3</v>
      </c>
      <c r="H60">
        <v>0</v>
      </c>
      <c r="I60">
        <f t="shared" ref="I60:R60" si="2">AVERAGE(I37:I54)</f>
        <v>60.57222222222223</v>
      </c>
      <c r="J60">
        <f t="shared" si="2"/>
        <v>1.5222222222222221</v>
      </c>
      <c r="K60">
        <f t="shared" si="2"/>
        <v>24.366666666666671</v>
      </c>
      <c r="L60">
        <f t="shared" si="2"/>
        <v>13.316666666666666</v>
      </c>
      <c r="M60">
        <f t="shared" si="2"/>
        <v>0</v>
      </c>
      <c r="N60">
        <v>0</v>
      </c>
      <c r="O60">
        <v>0</v>
      </c>
      <c r="P60">
        <f t="shared" si="2"/>
        <v>0.87777777777777777</v>
      </c>
      <c r="Q60">
        <f t="shared" si="2"/>
        <v>220.77777777777777</v>
      </c>
      <c r="R60" t="e">
        <f t="shared" si="2"/>
        <v>#DIV/0!</v>
      </c>
      <c r="S60" s="45"/>
      <c r="T60" s="44"/>
      <c r="U60" s="44"/>
      <c r="V60" s="44"/>
      <c r="Y60" s="47"/>
      <c r="AA60" s="44"/>
      <c r="AB60" s="46"/>
      <c r="AC60" s="46"/>
      <c r="AD60" s="45"/>
      <c r="AE60" s="45"/>
      <c r="AF60" s="45"/>
      <c r="AG60" s="46"/>
      <c r="AH60" s="47"/>
    </row>
    <row r="61" spans="1:34" ht="15" x14ac:dyDescent="0.25">
      <c r="C61" s="37"/>
      <c r="D61" s="43"/>
      <c r="E61" s="43"/>
      <c r="I61" s="44"/>
      <c r="J61" s="44"/>
      <c r="K61" s="44"/>
      <c r="L61" s="44"/>
      <c r="M61" s="45"/>
      <c r="N61" s="45"/>
      <c r="O61" s="44"/>
      <c r="P61" s="44"/>
      <c r="Q61" s="45"/>
      <c r="R61" s="37"/>
      <c r="S61" s="45"/>
      <c r="T61" s="44"/>
      <c r="U61" s="44"/>
      <c r="V61" s="44"/>
      <c r="W61" s="47"/>
      <c r="X61" s="47"/>
      <c r="Y61" s="47"/>
      <c r="Z61" s="47"/>
      <c r="AA61" s="44"/>
      <c r="AB61" s="46"/>
      <c r="AC61" s="46"/>
      <c r="AD61" s="45"/>
      <c r="AE61" s="45"/>
      <c r="AF61" s="45"/>
      <c r="AG61" s="46"/>
      <c r="AH61" s="47"/>
    </row>
    <row r="62" spans="1:34" ht="15" x14ac:dyDescent="0.25">
      <c r="C62" s="37"/>
      <c r="D62" s="43"/>
      <c r="E62" s="43"/>
      <c r="I62" s="44"/>
      <c r="J62" s="44"/>
      <c r="K62" s="44"/>
      <c r="L62" s="44"/>
      <c r="M62" s="45"/>
      <c r="N62" s="45"/>
      <c r="O62" s="44"/>
      <c r="P62" s="44"/>
      <c r="Q62" s="45"/>
      <c r="R62" s="37"/>
      <c r="S62" s="45"/>
      <c r="T62" s="44"/>
      <c r="U62" s="44"/>
      <c r="V62" s="44"/>
      <c r="W62" s="47"/>
      <c r="X62" s="47"/>
      <c r="Y62" s="47"/>
      <c r="Z62" s="47"/>
      <c r="AA62" s="44"/>
      <c r="AB62" s="46"/>
      <c r="AC62" s="46"/>
      <c r="AD62" s="45"/>
      <c r="AE62" s="45"/>
      <c r="AF62" s="45"/>
      <c r="AG62" s="46"/>
      <c r="AH62" s="47"/>
    </row>
    <row r="63" spans="1:34" ht="15" x14ac:dyDescent="0.25">
      <c r="C63" s="37"/>
      <c r="D63" s="43"/>
      <c r="E63" s="43"/>
      <c r="R63" s="37"/>
    </row>
    <row r="65" spans="3:34" x14ac:dyDescent="0.2">
      <c r="R65" s="37"/>
      <c r="W65" s="55"/>
      <c r="X65" s="55"/>
    </row>
    <row r="67" spans="3:34" x14ac:dyDescent="0.2">
      <c r="C67" s="37"/>
      <c r="P67" s="37"/>
      <c r="R67" s="37"/>
    </row>
    <row r="68" spans="3:34" ht="15" x14ac:dyDescent="0.25">
      <c r="C68" s="37"/>
      <c r="D68" s="43"/>
      <c r="E68" s="43"/>
      <c r="I68" s="44"/>
      <c r="J68" s="44"/>
      <c r="K68" s="44"/>
      <c r="L68" s="44"/>
      <c r="M68" s="45"/>
      <c r="N68" s="45"/>
      <c r="O68" s="44"/>
      <c r="P68" s="37"/>
      <c r="Q68" s="45"/>
      <c r="R68" s="37"/>
      <c r="S68" s="45"/>
      <c r="T68" s="44"/>
      <c r="U68" s="44"/>
      <c r="V68" s="44"/>
      <c r="W68" s="47"/>
      <c r="X68" s="47"/>
      <c r="Y68" s="47"/>
      <c r="Z68" s="47"/>
      <c r="AA68" s="44"/>
      <c r="AB68" s="46"/>
      <c r="AC68" s="46"/>
      <c r="AD68" s="45"/>
      <c r="AE68" s="45"/>
      <c r="AF68" s="45"/>
      <c r="AG68" s="46"/>
      <c r="AH68" s="47"/>
    </row>
    <row r="70" spans="3:34" x14ac:dyDescent="0.2">
      <c r="R70" s="37"/>
    </row>
    <row r="72" spans="3:34" s="37" customFormat="1" x14ac:dyDescent="0.2">
      <c r="Z72" s="38"/>
    </row>
    <row r="73" spans="3:34" s="37" customFormat="1" x14ac:dyDescent="0.2">
      <c r="Z73" s="38"/>
      <c r="AF73" s="56"/>
    </row>
    <row r="75" spans="3:34" x14ac:dyDescent="0.2">
      <c r="R75" s="37"/>
    </row>
    <row r="77" spans="3:34" ht="15" x14ac:dyDescent="0.25">
      <c r="C77" s="37"/>
      <c r="I77" s="44"/>
      <c r="J77" s="44"/>
      <c r="K77" s="44"/>
      <c r="L77" s="44"/>
      <c r="M77" s="45"/>
      <c r="N77" s="45"/>
      <c r="O77" s="44"/>
      <c r="P77" s="44"/>
      <c r="Q77" s="45"/>
      <c r="R77" s="37"/>
      <c r="S77" s="45"/>
      <c r="T77" s="44"/>
      <c r="U77" s="44"/>
      <c r="V77" s="44"/>
      <c r="W77" s="47"/>
      <c r="X77" s="47"/>
      <c r="Y77" s="47"/>
      <c r="Z77" s="47"/>
      <c r="AA77" s="44"/>
      <c r="AB77" s="46"/>
      <c r="AC77" s="46"/>
      <c r="AD77" s="45"/>
      <c r="AE77" s="45"/>
      <c r="AF77" s="45"/>
      <c r="AG77" s="46"/>
      <c r="AH77" s="47"/>
    </row>
    <row r="78" spans="3:34" ht="15" x14ac:dyDescent="0.25">
      <c r="C78" s="37"/>
      <c r="I78" s="44"/>
      <c r="J78" s="44"/>
      <c r="K78" s="44"/>
      <c r="L78" s="44"/>
      <c r="M78" s="45"/>
      <c r="N78" s="45"/>
      <c r="O78" s="44"/>
      <c r="P78" s="44"/>
      <c r="Q78" s="45"/>
      <c r="R78" s="37"/>
      <c r="S78" s="45"/>
      <c r="T78" s="44"/>
      <c r="U78" s="44"/>
      <c r="V78" s="44"/>
      <c r="W78" s="47"/>
      <c r="X78" s="47"/>
      <c r="Y78" s="47"/>
      <c r="Z78" s="47"/>
      <c r="AA78" s="44"/>
      <c r="AB78" s="46"/>
      <c r="AC78" s="46"/>
      <c r="AD78" s="45"/>
      <c r="AE78" s="45"/>
      <c r="AF78" s="45"/>
      <c r="AG78" s="46"/>
      <c r="AH78" s="47"/>
    </row>
    <row r="80" spans="3:34" x14ac:dyDescent="0.2">
      <c r="R80" s="37"/>
    </row>
    <row r="82" spans="3:18" x14ac:dyDescent="0.2">
      <c r="C82" s="37"/>
      <c r="R82" s="37"/>
    </row>
    <row r="83" spans="3:18" x14ac:dyDescent="0.2">
      <c r="C83" s="37"/>
      <c r="R83" s="37"/>
    </row>
    <row r="84" spans="3:18" x14ac:dyDescent="0.2">
      <c r="C84" s="37"/>
      <c r="R84" s="37"/>
    </row>
    <row r="86" spans="3:18" x14ac:dyDescent="0.2">
      <c r="R86" s="37"/>
    </row>
    <row r="88" spans="3:18" s="38" customFormat="1" x14ac:dyDescent="0.2">
      <c r="R88" s="37"/>
    </row>
    <row r="89" spans="3:18" s="38" customFormat="1" x14ac:dyDescent="0.2">
      <c r="R89" s="37"/>
    </row>
    <row r="90" spans="3:18" s="38" customFormat="1" x14ac:dyDescent="0.2">
      <c r="R90" s="37"/>
    </row>
    <row r="91" spans="3:18" s="38" customFormat="1" x14ac:dyDescent="0.2">
      <c r="R91" s="37"/>
    </row>
    <row r="92" spans="3:18" s="38" customFormat="1" x14ac:dyDescent="0.2">
      <c r="R92" s="37"/>
    </row>
    <row r="93" spans="3:18" s="38" customFormat="1" x14ac:dyDescent="0.2">
      <c r="R93" s="37"/>
    </row>
    <row r="95" spans="3:18" s="39" customFormat="1" x14ac:dyDescent="0.2"/>
    <row r="96" spans="3:18" s="39" customFormat="1" x14ac:dyDescent="0.2"/>
    <row r="97" spans="3:34" s="39" customFormat="1" x14ac:dyDescent="0.2"/>
    <row r="98" spans="3:34" s="39" customFormat="1" x14ac:dyDescent="0.2"/>
    <row r="99" spans="3:34" s="39" customFormat="1" x14ac:dyDescent="0.2"/>
    <row r="100" spans="3:34" s="39" customFormat="1" x14ac:dyDescent="0.2"/>
    <row r="102" spans="3:34" s="57" customFormat="1" x14ac:dyDescent="0.2">
      <c r="R102" s="37"/>
    </row>
    <row r="104" spans="3:34" ht="15" x14ac:dyDescent="0.25">
      <c r="C104" s="37"/>
      <c r="D104" s="43"/>
      <c r="E104" s="43"/>
      <c r="I104" s="44"/>
      <c r="J104" s="44"/>
      <c r="K104" s="44"/>
      <c r="L104" s="44"/>
      <c r="M104" s="45"/>
      <c r="N104" s="45"/>
      <c r="O104" s="44"/>
      <c r="Q104" s="45"/>
      <c r="R104" s="37"/>
      <c r="S104" s="45"/>
      <c r="T104" s="44"/>
      <c r="U104" s="44"/>
      <c r="V104" s="44"/>
      <c r="W104" s="47"/>
      <c r="X104" s="47"/>
      <c r="Y104" s="47"/>
      <c r="Z104" s="47"/>
      <c r="AA104" s="44"/>
      <c r="AB104" s="46"/>
      <c r="AC104" s="46"/>
      <c r="AD104" s="45"/>
      <c r="AE104" s="45"/>
      <c r="AF104" s="45"/>
      <c r="AG104" s="46"/>
      <c r="AH104" s="47"/>
    </row>
    <row r="105" spans="3:34" ht="15" x14ac:dyDescent="0.25">
      <c r="C105" s="37"/>
      <c r="D105" s="43"/>
      <c r="E105" s="43"/>
      <c r="I105" s="44"/>
      <c r="J105" s="44"/>
      <c r="K105" s="44"/>
      <c r="L105" s="44"/>
      <c r="M105" s="45"/>
      <c r="N105" s="45"/>
      <c r="O105" s="44"/>
      <c r="Q105" s="45"/>
      <c r="R105" s="37"/>
      <c r="S105" s="45"/>
      <c r="T105" s="44"/>
      <c r="U105" s="44"/>
      <c r="V105" s="44"/>
      <c r="W105" s="47"/>
      <c r="X105" s="47"/>
      <c r="Y105" s="47"/>
      <c r="Z105" s="47"/>
      <c r="AA105" s="44"/>
      <c r="AB105" s="46"/>
      <c r="AC105" s="46"/>
      <c r="AD105" s="45"/>
      <c r="AE105" s="45"/>
      <c r="AF105" s="45"/>
      <c r="AG105" s="46"/>
      <c r="AH105" s="47"/>
    </row>
    <row r="107" spans="3:34" x14ac:dyDescent="0.2">
      <c r="R107" s="37"/>
    </row>
    <row r="109" spans="3:34" ht="15" x14ac:dyDescent="0.25">
      <c r="C109" s="37"/>
      <c r="I109" s="44"/>
      <c r="J109" s="44"/>
      <c r="K109" s="44"/>
      <c r="L109" s="44"/>
      <c r="M109" s="45"/>
      <c r="N109" s="45"/>
      <c r="O109" s="44"/>
      <c r="P109" s="44"/>
      <c r="Q109" s="45"/>
      <c r="R109" s="37"/>
      <c r="S109" s="45"/>
      <c r="T109" s="44"/>
      <c r="U109" s="44"/>
      <c r="V109" s="44"/>
      <c r="W109" s="47"/>
      <c r="X109" s="47"/>
      <c r="Y109" s="47"/>
      <c r="Z109" s="47"/>
      <c r="AA109" s="44"/>
      <c r="AB109" s="46"/>
      <c r="AC109" s="46"/>
      <c r="AD109" s="45"/>
      <c r="AE109" s="45"/>
      <c r="AF109" s="45"/>
      <c r="AG109" s="46"/>
      <c r="AH109" s="47"/>
    </row>
    <row r="110" spans="3:34" ht="15" x14ac:dyDescent="0.25">
      <c r="C110" s="37"/>
      <c r="I110" s="44"/>
      <c r="J110" s="44"/>
      <c r="K110" s="44"/>
      <c r="L110" s="44"/>
      <c r="M110" s="45"/>
      <c r="N110" s="45"/>
      <c r="O110" s="44"/>
      <c r="P110" s="44"/>
      <c r="Q110" s="45"/>
      <c r="R110" s="37"/>
      <c r="S110" s="45"/>
      <c r="T110" s="44"/>
      <c r="U110" s="44"/>
      <c r="V110" s="44"/>
      <c r="W110" s="47"/>
      <c r="X110" s="47"/>
      <c r="Y110" s="47"/>
      <c r="Z110" s="47"/>
      <c r="AA110" s="44"/>
      <c r="AB110" s="46"/>
      <c r="AC110" s="46"/>
      <c r="AD110" s="45"/>
      <c r="AE110" s="45"/>
      <c r="AF110" s="45"/>
      <c r="AG110" s="46"/>
      <c r="AH110" s="47"/>
    </row>
    <row r="111" spans="3:34" ht="15" x14ac:dyDescent="0.25">
      <c r="C111" s="37"/>
      <c r="I111" s="44"/>
      <c r="J111" s="44"/>
      <c r="K111" s="44"/>
      <c r="L111" s="44"/>
      <c r="M111" s="45"/>
      <c r="N111" s="45"/>
      <c r="O111" s="44"/>
      <c r="P111" s="44"/>
      <c r="Q111" s="45"/>
      <c r="R111" s="37"/>
      <c r="S111" s="45"/>
      <c r="T111" s="44"/>
      <c r="U111" s="44"/>
      <c r="V111" s="44"/>
      <c r="W111" s="47"/>
      <c r="X111" s="47"/>
      <c r="Y111" s="47"/>
      <c r="Z111" s="47"/>
      <c r="AA111" s="44"/>
      <c r="AB111" s="46"/>
      <c r="AC111" s="46"/>
      <c r="AD111" s="45"/>
      <c r="AE111" s="45"/>
      <c r="AF111" s="45"/>
      <c r="AG111" s="46"/>
      <c r="AH111" s="47"/>
    </row>
    <row r="113" spans="3:34" x14ac:dyDescent="0.2">
      <c r="R113" s="37"/>
      <c r="Z113" s="60"/>
    </row>
    <row r="116" spans="3:34" ht="15" x14ac:dyDescent="0.25">
      <c r="C116" s="37"/>
      <c r="I116" s="44"/>
      <c r="J116" s="44"/>
      <c r="K116" s="44"/>
      <c r="L116" s="44"/>
      <c r="M116" s="45"/>
      <c r="N116" s="45"/>
      <c r="O116" s="44"/>
      <c r="P116" s="44"/>
      <c r="Q116" s="45"/>
      <c r="R116" s="37"/>
      <c r="S116" s="45"/>
      <c r="T116" s="44"/>
      <c r="U116" s="44"/>
      <c r="V116" s="44"/>
      <c r="W116" s="47"/>
      <c r="X116" s="47"/>
      <c r="Y116" s="47"/>
      <c r="Z116" s="47"/>
      <c r="AA116" s="44"/>
      <c r="AB116" s="46"/>
      <c r="AC116" s="46"/>
      <c r="AD116" s="45"/>
      <c r="AE116" s="45"/>
      <c r="AF116" s="45"/>
      <c r="AG116" s="46"/>
      <c r="AH116" s="47"/>
    </row>
    <row r="117" spans="3:34" ht="15" x14ac:dyDescent="0.25">
      <c r="C117" s="37"/>
      <c r="D117" s="43"/>
      <c r="E117" s="43"/>
      <c r="I117" s="44"/>
      <c r="J117" s="44"/>
      <c r="K117" s="44"/>
      <c r="L117" s="44"/>
      <c r="M117" s="45"/>
      <c r="N117" s="45"/>
      <c r="O117" s="44"/>
      <c r="P117" s="44"/>
      <c r="Q117" s="45"/>
      <c r="R117" s="37"/>
      <c r="S117" s="45"/>
      <c r="T117" s="44"/>
      <c r="U117" s="44"/>
      <c r="V117" s="44"/>
      <c r="W117" s="47"/>
      <c r="X117" s="47"/>
      <c r="Y117" s="47"/>
      <c r="Z117" s="47"/>
      <c r="AA117" s="44"/>
      <c r="AB117" s="46"/>
      <c r="AC117" s="46"/>
      <c r="AD117" s="45"/>
      <c r="AE117" s="45"/>
      <c r="AF117" s="45"/>
      <c r="AG117" s="46"/>
      <c r="AH117" s="47"/>
    </row>
    <row r="121" spans="3:34" s="38" customFormat="1" ht="15" x14ac:dyDescent="0.25">
      <c r="D121" s="49"/>
      <c r="E121" s="49"/>
      <c r="R121" s="37"/>
    </row>
    <row r="122" spans="3:34" s="38" customFormat="1" ht="15" x14ac:dyDescent="0.25">
      <c r="I122" s="50"/>
      <c r="J122" s="50"/>
      <c r="K122" s="50"/>
      <c r="L122" s="50"/>
      <c r="M122" s="51"/>
      <c r="N122" s="51"/>
      <c r="O122" s="50"/>
      <c r="Q122" s="51"/>
      <c r="R122" s="37"/>
      <c r="S122" s="51"/>
      <c r="T122" s="50"/>
      <c r="U122" s="50"/>
      <c r="V122" s="50"/>
      <c r="W122" s="53"/>
      <c r="X122" s="53"/>
      <c r="Y122" s="53"/>
      <c r="Z122" s="53"/>
      <c r="AA122" s="50"/>
      <c r="AB122" s="52"/>
      <c r="AC122" s="52"/>
      <c r="AD122" s="51"/>
      <c r="AE122" s="51"/>
      <c r="AF122" s="51"/>
      <c r="AG122" s="52"/>
      <c r="AH122" s="53"/>
    </row>
    <row r="123" spans="3:34" s="38" customFormat="1" ht="15" x14ac:dyDescent="0.25">
      <c r="D123" s="49"/>
      <c r="E123" s="49"/>
      <c r="I123" s="50"/>
      <c r="J123" s="50"/>
      <c r="K123" s="50"/>
      <c r="L123" s="50"/>
      <c r="M123" s="51"/>
      <c r="N123" s="51"/>
      <c r="O123" s="50"/>
      <c r="Q123" s="51"/>
      <c r="R123" s="37"/>
      <c r="S123" s="51"/>
      <c r="T123" s="50"/>
      <c r="U123" s="50"/>
      <c r="V123" s="50"/>
      <c r="W123" s="53"/>
      <c r="X123" s="53"/>
      <c r="Y123" s="53"/>
      <c r="Z123" s="53"/>
      <c r="AA123" s="50"/>
      <c r="AB123" s="52"/>
      <c r="AC123" s="52"/>
      <c r="AD123" s="51"/>
      <c r="AE123" s="51"/>
      <c r="AF123" s="51"/>
      <c r="AG123" s="52"/>
      <c r="AH123" s="53"/>
    </row>
    <row r="124" spans="3:34" s="38" customFormat="1" ht="15" x14ac:dyDescent="0.25">
      <c r="D124" s="49"/>
      <c r="E124" s="49"/>
      <c r="I124" s="50"/>
      <c r="J124" s="50"/>
      <c r="K124" s="50"/>
      <c r="L124" s="50"/>
      <c r="M124" s="51"/>
      <c r="N124" s="51"/>
      <c r="O124" s="50"/>
      <c r="Q124" s="51"/>
      <c r="R124" s="37"/>
      <c r="S124" s="51"/>
      <c r="T124" s="50"/>
      <c r="U124" s="50"/>
      <c r="V124" s="50"/>
      <c r="W124" s="53"/>
      <c r="X124" s="53"/>
      <c r="Y124" s="53"/>
      <c r="Z124" s="53"/>
      <c r="AA124" s="50"/>
      <c r="AB124" s="52"/>
      <c r="AC124" s="52"/>
      <c r="AD124" s="51"/>
      <c r="AE124" s="51"/>
      <c r="AF124" s="51"/>
      <c r="AG124" s="52"/>
      <c r="AH124" s="53"/>
    </row>
    <row r="125" spans="3:34" s="38" customFormat="1" ht="15" x14ac:dyDescent="0.25">
      <c r="D125" s="49"/>
      <c r="E125" s="49"/>
      <c r="I125" s="50"/>
      <c r="J125" s="50"/>
      <c r="K125" s="50"/>
      <c r="L125" s="50"/>
      <c r="M125" s="51"/>
      <c r="N125" s="51"/>
      <c r="O125" s="50"/>
      <c r="Q125" s="51"/>
      <c r="R125" s="37"/>
      <c r="S125" s="51"/>
      <c r="T125" s="50"/>
      <c r="U125" s="50"/>
      <c r="V125" s="50"/>
      <c r="W125" s="53"/>
      <c r="X125" s="53"/>
      <c r="Y125" s="53"/>
      <c r="Z125" s="53"/>
      <c r="AA125" s="50"/>
      <c r="AB125" s="52"/>
      <c r="AC125" s="52"/>
      <c r="AD125" s="51"/>
      <c r="AE125" s="51"/>
      <c r="AF125" s="51"/>
      <c r="AG125" s="52"/>
      <c r="AH125" s="53"/>
    </row>
    <row r="127" spans="3:34" s="39" customFormat="1" ht="15" x14ac:dyDescent="0.25">
      <c r="D127" s="54"/>
      <c r="E127" s="54"/>
    </row>
    <row r="128" spans="3:34" s="39" customFormat="1" x14ac:dyDescent="0.2"/>
    <row r="129" spans="4:34" s="39" customFormat="1" ht="15" x14ac:dyDescent="0.25">
      <c r="D129" s="54"/>
      <c r="E129" s="54"/>
    </row>
    <row r="130" spans="4:34" s="39" customFormat="1" ht="15" x14ac:dyDescent="0.25">
      <c r="D130" s="54"/>
      <c r="E130" s="54"/>
    </row>
    <row r="131" spans="4:34" s="39" customFormat="1" ht="15" x14ac:dyDescent="0.25">
      <c r="D131" s="54"/>
      <c r="E131" s="54"/>
    </row>
    <row r="133" spans="4:34" s="58" customFormat="1" x14ac:dyDescent="0.2">
      <c r="R133" s="37"/>
    </row>
    <row r="135" spans="4:34" ht="15" x14ac:dyDescent="0.25">
      <c r="D135" s="43"/>
      <c r="E135" s="43"/>
      <c r="P135" s="44"/>
      <c r="R135" s="37"/>
    </row>
    <row r="136" spans="4:34" ht="15" x14ac:dyDescent="0.25">
      <c r="D136" s="43"/>
      <c r="E136" s="43"/>
      <c r="P136" s="44"/>
      <c r="R136" s="37"/>
    </row>
    <row r="137" spans="4:34" ht="15" x14ac:dyDescent="0.25">
      <c r="D137" s="43"/>
      <c r="E137" s="43"/>
      <c r="I137" s="44"/>
      <c r="J137" s="44"/>
      <c r="K137" s="44"/>
      <c r="L137" s="44"/>
      <c r="M137" s="45"/>
      <c r="N137" s="45"/>
      <c r="O137" s="44"/>
      <c r="P137" s="44"/>
      <c r="Q137" s="45"/>
      <c r="R137" s="37"/>
      <c r="S137" s="45"/>
      <c r="T137" s="44"/>
      <c r="U137" s="44"/>
      <c r="V137" s="44"/>
      <c r="W137" s="47"/>
      <c r="X137" s="47"/>
      <c r="Y137" s="47"/>
      <c r="Z137" s="47"/>
      <c r="AA137" s="44"/>
      <c r="AB137" s="46"/>
      <c r="AC137" s="46"/>
      <c r="AD137" s="45"/>
      <c r="AE137" s="45"/>
      <c r="AF137" s="45"/>
      <c r="AG137" s="46"/>
      <c r="AH137" s="47"/>
    </row>
    <row r="138" spans="4:34" ht="15" x14ac:dyDescent="0.25">
      <c r="D138" s="43"/>
      <c r="E138" s="43"/>
      <c r="I138" s="44"/>
      <c r="J138" s="44"/>
      <c r="K138" s="44"/>
      <c r="L138" s="44"/>
      <c r="M138" s="45"/>
      <c r="N138" s="45"/>
      <c r="O138" s="44"/>
      <c r="P138" s="44"/>
      <c r="Q138" s="45"/>
      <c r="R138" s="37"/>
      <c r="S138" s="45"/>
      <c r="T138" s="44"/>
      <c r="U138" s="44"/>
      <c r="V138" s="44"/>
      <c r="W138" s="47"/>
      <c r="X138" s="47"/>
      <c r="Y138" s="47"/>
      <c r="Z138" s="47"/>
      <c r="AA138" s="44"/>
      <c r="AB138" s="46"/>
      <c r="AC138" s="46"/>
      <c r="AD138" s="45"/>
      <c r="AE138" s="45"/>
      <c r="AF138" s="45"/>
      <c r="AG138" s="46"/>
      <c r="AH138" s="47"/>
    </row>
    <row r="139" spans="4:34" ht="15" x14ac:dyDescent="0.25">
      <c r="D139" s="43"/>
      <c r="E139" s="43"/>
      <c r="I139" s="44"/>
      <c r="J139" s="44"/>
      <c r="K139" s="44"/>
      <c r="L139" s="44"/>
      <c r="M139" s="45"/>
      <c r="N139" s="45"/>
      <c r="O139" s="44"/>
      <c r="P139" s="44"/>
      <c r="Q139" s="45"/>
      <c r="R139" s="37"/>
      <c r="S139" s="45"/>
      <c r="T139" s="44"/>
      <c r="U139" s="44"/>
      <c r="V139" s="44"/>
      <c r="W139" s="47"/>
      <c r="X139" s="47"/>
      <c r="Y139" s="47"/>
      <c r="Z139" s="47"/>
      <c r="AA139" s="44"/>
      <c r="AB139" s="46"/>
      <c r="AC139" s="46"/>
      <c r="AD139" s="45"/>
      <c r="AE139" s="45"/>
      <c r="AF139" s="45"/>
      <c r="AG139" s="46"/>
      <c r="AH139" s="47"/>
    </row>
    <row r="141" spans="4:34" x14ac:dyDescent="0.2">
      <c r="R141" s="37"/>
      <c r="Z141" s="60"/>
    </row>
    <row r="143" spans="4:34" ht="15" x14ac:dyDescent="0.25">
      <c r="D143" s="43"/>
      <c r="E143" s="43"/>
      <c r="P143" s="44"/>
      <c r="R143" s="37"/>
    </row>
    <row r="144" spans="4:34" ht="15" x14ac:dyDescent="0.25">
      <c r="D144" s="43"/>
      <c r="E144" s="43"/>
      <c r="I144" s="44"/>
      <c r="J144" s="44"/>
      <c r="K144" s="44"/>
      <c r="L144" s="44"/>
      <c r="M144" s="45"/>
      <c r="N144" s="45"/>
      <c r="O144" s="44"/>
      <c r="P144" s="44"/>
      <c r="Q144" s="45"/>
      <c r="R144" s="37"/>
      <c r="S144" s="45"/>
      <c r="T144" s="44"/>
      <c r="U144" s="44"/>
      <c r="V144" s="44"/>
      <c r="W144" s="47"/>
      <c r="X144" s="47"/>
      <c r="Y144" s="47"/>
      <c r="Z144" s="47"/>
      <c r="AA144" s="44"/>
      <c r="AB144" s="46"/>
      <c r="AC144" s="46"/>
      <c r="AD144" s="45"/>
      <c r="AE144" s="45"/>
      <c r="AF144" s="45"/>
      <c r="AG144" s="46"/>
      <c r="AH144" s="47"/>
    </row>
    <row r="145" spans="1:34" ht="15" x14ac:dyDescent="0.25">
      <c r="D145" s="43"/>
      <c r="E145" s="43"/>
      <c r="I145" s="44"/>
      <c r="J145" s="44"/>
      <c r="K145" s="44"/>
      <c r="L145" s="44"/>
      <c r="M145" s="45"/>
      <c r="N145" s="45"/>
      <c r="O145" s="44"/>
      <c r="P145" s="44"/>
      <c r="Q145" s="45"/>
      <c r="R145" s="37"/>
      <c r="S145" s="45"/>
      <c r="T145" s="44"/>
      <c r="U145" s="44"/>
      <c r="V145" s="44"/>
      <c r="W145" s="47"/>
      <c r="X145" s="47"/>
      <c r="Y145" s="47"/>
      <c r="Z145" s="47"/>
      <c r="AA145" s="44"/>
      <c r="AB145" s="46"/>
      <c r="AC145" s="46"/>
      <c r="AD145" s="45"/>
      <c r="AE145" s="45"/>
      <c r="AF145" s="45"/>
      <c r="AG145" s="46"/>
      <c r="AH145" s="47"/>
    </row>
    <row r="146" spans="1:34" ht="15" x14ac:dyDescent="0.25">
      <c r="D146" s="43"/>
      <c r="E146" s="43"/>
      <c r="I146" s="44"/>
      <c r="J146" s="44"/>
      <c r="K146" s="44"/>
      <c r="L146" s="44"/>
      <c r="M146" s="45"/>
      <c r="N146" s="45"/>
      <c r="O146" s="44"/>
      <c r="P146" s="44"/>
      <c r="Q146" s="45"/>
      <c r="R146" s="37"/>
      <c r="S146" s="45"/>
      <c r="T146" s="44"/>
      <c r="U146" s="44"/>
      <c r="V146" s="44"/>
      <c r="W146" s="47"/>
      <c r="X146" s="47"/>
      <c r="Y146" s="47"/>
      <c r="Z146" s="47"/>
      <c r="AA146" s="44"/>
      <c r="AB146" s="46"/>
      <c r="AC146" s="46"/>
      <c r="AD146" s="45"/>
      <c r="AE146" s="45"/>
      <c r="AF146" s="45"/>
      <c r="AG146" s="46"/>
      <c r="AH146" s="47"/>
    </row>
    <row r="147" spans="1:34" ht="15" x14ac:dyDescent="0.25">
      <c r="D147" s="43"/>
      <c r="E147" s="43"/>
      <c r="I147" s="44"/>
      <c r="J147" s="44"/>
      <c r="K147" s="44"/>
      <c r="L147" s="44"/>
      <c r="M147" s="45"/>
      <c r="N147" s="45"/>
      <c r="O147" s="44"/>
      <c r="P147" s="44"/>
      <c r="Q147" s="45"/>
      <c r="R147" s="37"/>
      <c r="S147" s="45"/>
      <c r="T147" s="44"/>
      <c r="U147" s="44"/>
      <c r="V147" s="44"/>
      <c r="W147" s="47"/>
      <c r="X147" s="47"/>
      <c r="Y147" s="47"/>
      <c r="Z147" s="47"/>
      <c r="AA147" s="44"/>
      <c r="AB147" s="46"/>
      <c r="AC147" s="46"/>
      <c r="AD147" s="45"/>
      <c r="AE147" s="45"/>
      <c r="AF147" s="45"/>
      <c r="AG147" s="46"/>
      <c r="AH147" s="47"/>
    </row>
    <row r="148" spans="1:34" ht="15" x14ac:dyDescent="0.25">
      <c r="D148" s="43"/>
      <c r="E148" s="43"/>
      <c r="I148" s="44"/>
      <c r="J148" s="44"/>
      <c r="K148" s="44"/>
      <c r="L148" s="44"/>
      <c r="M148" s="45"/>
      <c r="N148" s="45"/>
      <c r="O148" s="44"/>
      <c r="P148" s="44"/>
      <c r="Q148" s="45"/>
      <c r="R148" s="37"/>
      <c r="S148" s="45"/>
      <c r="T148" s="44"/>
      <c r="U148" s="44"/>
      <c r="V148" s="44"/>
      <c r="W148" s="47"/>
      <c r="X148" s="47"/>
      <c r="Y148" s="47"/>
      <c r="Z148" s="47"/>
      <c r="AA148" s="44"/>
      <c r="AB148" s="46"/>
      <c r="AC148" s="46"/>
      <c r="AD148" s="45"/>
      <c r="AE148" s="45"/>
      <c r="AF148" s="45"/>
      <c r="AG148" s="46"/>
      <c r="AH148" s="47"/>
    </row>
    <row r="149" spans="1:34" ht="15" x14ac:dyDescent="0.25">
      <c r="D149" s="43"/>
      <c r="E149" s="43"/>
      <c r="I149" s="44"/>
      <c r="J149" s="44"/>
      <c r="K149" s="44"/>
      <c r="L149" s="44"/>
      <c r="M149" s="45"/>
      <c r="N149" s="45"/>
      <c r="O149" s="44"/>
      <c r="P149" s="44"/>
      <c r="Q149" s="45"/>
      <c r="R149" s="37"/>
      <c r="S149" s="45"/>
      <c r="T149" s="44"/>
      <c r="U149" s="44"/>
      <c r="V149" s="44"/>
      <c r="W149" s="47"/>
      <c r="X149" s="47"/>
      <c r="Y149" s="47"/>
      <c r="Z149" s="47"/>
      <c r="AA149" s="44"/>
      <c r="AB149" s="46"/>
      <c r="AC149" s="46"/>
      <c r="AD149" s="45"/>
      <c r="AE149" s="45"/>
      <c r="AF149" s="45"/>
      <c r="AG149" s="46"/>
      <c r="AH149" s="47"/>
    </row>
    <row r="151" spans="1:34" ht="15" x14ac:dyDescent="0.25">
      <c r="A151" s="36"/>
      <c r="B151" s="40"/>
      <c r="R151" s="37"/>
    </row>
    <row r="153" spans="1:34" ht="15" x14ac:dyDescent="0.25">
      <c r="D153" s="43"/>
      <c r="E153" s="43"/>
      <c r="I153" s="44"/>
      <c r="J153" s="44"/>
      <c r="K153" s="44"/>
      <c r="L153" s="44"/>
      <c r="M153" s="45"/>
      <c r="N153" s="45"/>
      <c r="O153" s="44"/>
      <c r="P153" s="44"/>
      <c r="Q153" s="45"/>
      <c r="R153" s="37"/>
      <c r="S153" s="45"/>
      <c r="T153" s="44"/>
      <c r="U153" s="44"/>
      <c r="V153" s="44"/>
      <c r="W153" s="47"/>
      <c r="X153" s="47"/>
      <c r="Y153" s="47"/>
      <c r="Z153" s="47"/>
      <c r="AA153" s="44"/>
      <c r="AB153" s="46"/>
      <c r="AC153" s="46"/>
      <c r="AD153" s="45"/>
      <c r="AE153" s="45"/>
      <c r="AF153" s="45"/>
      <c r="AG153" s="46"/>
      <c r="AH153" s="47"/>
    </row>
    <row r="154" spans="1:34" ht="15" x14ac:dyDescent="0.25">
      <c r="D154" s="43"/>
      <c r="E154" s="43"/>
      <c r="I154" s="44"/>
      <c r="J154" s="44"/>
      <c r="K154" s="44"/>
      <c r="L154" s="44"/>
      <c r="M154" s="45"/>
      <c r="N154" s="45"/>
      <c r="O154" s="44"/>
      <c r="P154" s="44"/>
      <c r="Q154" s="45"/>
      <c r="R154" s="37"/>
      <c r="S154" s="45"/>
      <c r="T154" s="44"/>
      <c r="U154" s="44"/>
      <c r="V154" s="44"/>
      <c r="W154" s="47"/>
      <c r="X154" s="47"/>
      <c r="Y154" s="47"/>
      <c r="Z154" s="47"/>
      <c r="AA154" s="44"/>
      <c r="AB154" s="46"/>
      <c r="AC154" s="46"/>
      <c r="AD154" s="45"/>
      <c r="AE154" s="45"/>
      <c r="AF154" s="45"/>
      <c r="AG154" s="46"/>
      <c r="AH154" s="47"/>
    </row>
    <row r="155" spans="1:34" ht="15" x14ac:dyDescent="0.25">
      <c r="D155" s="43"/>
      <c r="E155" s="43"/>
      <c r="I155" s="44"/>
      <c r="J155" s="44"/>
      <c r="K155" s="44"/>
      <c r="L155" s="44"/>
      <c r="M155" s="45"/>
      <c r="N155" s="45"/>
      <c r="O155" s="44"/>
      <c r="P155" s="44"/>
      <c r="Q155" s="45"/>
      <c r="R155" s="37"/>
      <c r="S155" s="45"/>
      <c r="T155" s="44"/>
      <c r="U155" s="44"/>
      <c r="V155" s="44"/>
      <c r="W155" s="47"/>
      <c r="X155" s="47"/>
      <c r="Y155" s="47"/>
      <c r="Z155" s="47"/>
      <c r="AA155" s="44"/>
      <c r="AB155" s="46"/>
      <c r="AC155" s="46"/>
      <c r="AD155" s="45"/>
      <c r="AE155" s="45"/>
      <c r="AF155" s="45"/>
      <c r="AG155" s="46"/>
      <c r="AH155" s="47"/>
    </row>
    <row r="157" spans="1:34" x14ac:dyDescent="0.2">
      <c r="R157" s="37"/>
    </row>
    <row r="159" spans="1:34" ht="15" x14ac:dyDescent="0.25">
      <c r="D159" s="43"/>
      <c r="E159" s="43"/>
      <c r="P159" s="44"/>
      <c r="R159" s="37"/>
    </row>
    <row r="160" spans="1:34" ht="15" x14ac:dyDescent="0.25">
      <c r="D160" s="43"/>
      <c r="E160" s="43"/>
      <c r="I160" s="44"/>
      <c r="J160" s="44"/>
      <c r="K160" s="44"/>
      <c r="L160" s="44"/>
      <c r="M160" s="45"/>
      <c r="N160" s="45"/>
      <c r="O160" s="44"/>
      <c r="P160" s="44"/>
      <c r="Q160" s="45"/>
      <c r="R160" s="37"/>
      <c r="S160" s="45"/>
      <c r="T160" s="44"/>
      <c r="U160" s="44"/>
      <c r="V160" s="44"/>
      <c r="W160" s="47"/>
      <c r="X160" s="47"/>
      <c r="Y160" s="47"/>
      <c r="Z160" s="47"/>
      <c r="AA160" s="44"/>
      <c r="AB160" s="46"/>
      <c r="AC160" s="46"/>
      <c r="AD160" s="45"/>
      <c r="AE160" s="45"/>
      <c r="AF160" s="45"/>
      <c r="AG160" s="46"/>
      <c r="AH160" s="47"/>
    </row>
    <row r="162" spans="4:34" x14ac:dyDescent="0.2">
      <c r="R162" s="37"/>
    </row>
    <row r="164" spans="4:34" ht="15" x14ac:dyDescent="0.25">
      <c r="D164" s="43"/>
      <c r="E164" s="43"/>
      <c r="P164" s="44"/>
      <c r="R164" s="37"/>
    </row>
    <row r="165" spans="4:34" ht="15" x14ac:dyDescent="0.25">
      <c r="D165" s="43"/>
      <c r="E165" s="43"/>
      <c r="P165" s="44"/>
      <c r="R165" s="37"/>
    </row>
    <row r="167" spans="4:34" x14ac:dyDescent="0.2">
      <c r="R167" s="37"/>
    </row>
    <row r="170" spans="4:34" ht="15" x14ac:dyDescent="0.25">
      <c r="D170" s="43"/>
      <c r="E170" s="43"/>
      <c r="F170" s="43"/>
      <c r="G170" s="44"/>
      <c r="H170" s="44"/>
      <c r="I170" s="44"/>
      <c r="J170" s="44"/>
      <c r="K170" s="45"/>
      <c r="L170" s="45"/>
      <c r="M170" s="44"/>
      <c r="N170" s="44"/>
      <c r="O170" s="45"/>
      <c r="P170" s="44"/>
      <c r="Q170" s="45"/>
      <c r="R170" s="37"/>
      <c r="S170" s="44"/>
      <c r="T170" s="44"/>
      <c r="U170" s="44"/>
      <c r="V170" s="44"/>
      <c r="AA170" s="46"/>
      <c r="AB170" s="45"/>
      <c r="AC170" s="45"/>
      <c r="AD170" s="45"/>
      <c r="AE170" s="46"/>
      <c r="AF170" s="47"/>
    </row>
    <row r="171" spans="4:34" ht="15" x14ac:dyDescent="0.25">
      <c r="D171" s="43"/>
      <c r="E171" s="43"/>
      <c r="F171" s="43"/>
      <c r="G171" s="44"/>
      <c r="H171" s="44"/>
      <c r="I171" s="44"/>
      <c r="J171" s="44"/>
      <c r="K171" s="45"/>
      <c r="L171" s="45"/>
      <c r="M171" s="44"/>
      <c r="N171" s="44"/>
      <c r="O171" s="45"/>
      <c r="P171" s="44"/>
      <c r="Q171" s="45"/>
      <c r="R171" s="37"/>
      <c r="S171" s="44"/>
      <c r="T171" s="44"/>
      <c r="U171" s="44"/>
      <c r="V171" s="44"/>
      <c r="AA171" s="46"/>
      <c r="AB171" s="45"/>
      <c r="AC171" s="45"/>
      <c r="AD171" s="45"/>
      <c r="AE171" s="46"/>
      <c r="AF171" s="47"/>
    </row>
    <row r="172" spans="4:34" ht="15" x14ac:dyDescent="0.25">
      <c r="D172" s="43"/>
      <c r="E172" s="43"/>
      <c r="F172" s="43"/>
      <c r="G172" s="44"/>
      <c r="H172" s="44"/>
      <c r="I172" s="44"/>
      <c r="J172" s="44"/>
      <c r="K172" s="45"/>
      <c r="L172" s="45"/>
      <c r="M172" s="44"/>
      <c r="N172" s="44"/>
      <c r="O172" s="45"/>
      <c r="P172" s="44"/>
      <c r="Q172" s="45"/>
      <c r="R172" s="37"/>
      <c r="S172" s="44"/>
      <c r="T172" s="44"/>
      <c r="U172" s="44"/>
      <c r="V172" s="44"/>
      <c r="AA172" s="46"/>
      <c r="AB172" s="45"/>
      <c r="AC172" s="45"/>
      <c r="AD172" s="45"/>
      <c r="AE172" s="46"/>
      <c r="AF172" s="47"/>
    </row>
    <row r="174" spans="4:34" x14ac:dyDescent="0.2">
      <c r="G174" s="48"/>
      <c r="H174" s="48"/>
      <c r="I174" s="48"/>
      <c r="K174" s="48"/>
      <c r="L174" s="48"/>
      <c r="M174" s="48"/>
      <c r="N174" s="48"/>
      <c r="O174" s="48"/>
      <c r="P174" s="48"/>
      <c r="Q174" s="48"/>
      <c r="R174" s="37"/>
      <c r="S174" s="48"/>
      <c r="T174" s="48"/>
      <c r="U174" s="48"/>
      <c r="V174" s="48"/>
      <c r="W174" s="48"/>
      <c r="X174" s="48"/>
      <c r="Y174" s="48"/>
      <c r="Z174" s="48"/>
      <c r="AA174" s="48"/>
      <c r="AB174" s="48"/>
      <c r="AC174" s="48"/>
      <c r="AD174" s="48"/>
      <c r="AE174" s="48"/>
      <c r="AF174" s="48"/>
      <c r="AG174" s="48"/>
      <c r="AH174" s="48"/>
    </row>
    <row r="176" spans="4:34" ht="15" x14ac:dyDescent="0.25">
      <c r="D176" s="43"/>
      <c r="E176" s="43"/>
      <c r="I176" s="44"/>
      <c r="J176" s="44"/>
      <c r="K176" s="44"/>
      <c r="L176" s="44"/>
      <c r="M176" s="45"/>
      <c r="N176" s="45"/>
      <c r="O176" s="44"/>
      <c r="P176" s="44"/>
      <c r="Q176" s="45"/>
      <c r="R176" s="37"/>
      <c r="S176" s="45"/>
      <c r="T176" s="44"/>
      <c r="U176" s="44"/>
      <c r="V176" s="44"/>
      <c r="W176" s="47"/>
      <c r="X176" s="47"/>
      <c r="Y176" s="47"/>
      <c r="Z176" s="47"/>
      <c r="AA176" s="44"/>
      <c r="AB176" s="46"/>
      <c r="AC176" s="46"/>
      <c r="AD176" s="45"/>
      <c r="AE176" s="45"/>
      <c r="AF176" s="45"/>
      <c r="AG176" s="46"/>
      <c r="AH176" s="47"/>
    </row>
    <row r="177" spans="1:34" ht="15" x14ac:dyDescent="0.25">
      <c r="D177" s="43"/>
      <c r="E177" s="43"/>
      <c r="I177" s="44"/>
      <c r="J177" s="44"/>
      <c r="K177" s="44"/>
      <c r="L177" s="44"/>
      <c r="M177" s="45"/>
      <c r="N177" s="45"/>
      <c r="O177" s="44"/>
      <c r="P177" s="44"/>
      <c r="Q177" s="45"/>
      <c r="R177" s="37"/>
      <c r="S177" s="45"/>
      <c r="T177" s="44"/>
      <c r="U177" s="44"/>
      <c r="V177" s="44"/>
      <c r="W177" s="47"/>
      <c r="X177" s="47"/>
      <c r="Y177" s="47"/>
      <c r="Z177" s="47"/>
      <c r="AA177" s="44"/>
      <c r="AB177" s="46"/>
      <c r="AC177" s="46"/>
      <c r="AD177" s="45"/>
      <c r="AE177" s="45"/>
      <c r="AF177" s="45"/>
      <c r="AG177" s="46"/>
      <c r="AH177" s="47"/>
    </row>
    <row r="178" spans="1:34" ht="15" x14ac:dyDescent="0.25">
      <c r="D178" s="43"/>
      <c r="E178" s="43"/>
      <c r="I178" s="44"/>
      <c r="J178" s="44"/>
      <c r="K178" s="44"/>
      <c r="L178" s="44"/>
      <c r="M178" s="45"/>
      <c r="N178" s="45"/>
      <c r="O178" s="44"/>
      <c r="P178" s="44"/>
      <c r="Q178" s="45"/>
      <c r="R178" s="37"/>
      <c r="S178" s="45"/>
      <c r="T178" s="44"/>
      <c r="U178" s="44"/>
      <c r="V178" s="44"/>
      <c r="W178" s="47"/>
      <c r="X178" s="47"/>
      <c r="Y178" s="47"/>
      <c r="Z178" s="47"/>
      <c r="AA178" s="44"/>
      <c r="AB178" s="46"/>
      <c r="AC178" s="46"/>
      <c r="AD178" s="45"/>
      <c r="AE178" s="45"/>
      <c r="AF178" s="45"/>
      <c r="AG178" s="46"/>
      <c r="AH178" s="47"/>
    </row>
    <row r="180" spans="1:34" ht="15" x14ac:dyDescent="0.25">
      <c r="A180" s="1"/>
      <c r="B180" s="1"/>
      <c r="R180" s="37"/>
      <c r="W180" s="60"/>
      <c r="X180" s="60"/>
      <c r="Y180" s="60"/>
      <c r="Z180" s="60"/>
    </row>
  </sheetData>
  <conditionalFormatting sqref="D27:E27 I109:Q111 S109:V111 AA109:AH111 E42:F42 D170:O172 I42:O42">
    <cfRule type="containsBlanks" priority="381" stopIfTrue="1">
      <formula>LEN(TRIM(D27))=0</formula>
    </cfRule>
  </conditionalFormatting>
  <conditionalFormatting sqref="I15:M15 O15 AA15:AH15 Q15 S15:T15 I109:Q111 S109:V111 AA109:AH111 G170:O172 I42:O42">
    <cfRule type="containsBlanks" dxfId="158" priority="398" stopIfTrue="1">
      <formula>LEN(TRIM(G15))=0</formula>
    </cfRule>
  </conditionalFormatting>
  <conditionalFormatting sqref="I15:M15 O15 AA15:AH15 Q15 S15:T15">
    <cfRule type="containsBlanks" priority="397" stopIfTrue="1">
      <formula>LEN(TRIM(I15))=0</formula>
    </cfRule>
  </conditionalFormatting>
  <conditionalFormatting sqref="I16:M16 O16 AA16:AH16 Q16 S16:T16">
    <cfRule type="containsBlanks" dxfId="157" priority="396" stopIfTrue="1">
      <formula>LEN(TRIM(I16))=0</formula>
    </cfRule>
  </conditionalFormatting>
  <conditionalFormatting sqref="I16:M16 O16 AA16:AH16 Q16 S16:T16">
    <cfRule type="containsBlanks" priority="395" stopIfTrue="1">
      <formula>LEN(TRIM(I16))=0</formula>
    </cfRule>
  </conditionalFormatting>
  <conditionalFormatting sqref="I17:M17 O17 AA17:AH17 Q17 S17:T17">
    <cfRule type="containsBlanks" dxfId="156" priority="394" stopIfTrue="1">
      <formula>LEN(TRIM(I17))=0</formula>
    </cfRule>
  </conditionalFormatting>
  <conditionalFormatting sqref="I17:M17 O17 AA17:AH17 Q17 S17:T17">
    <cfRule type="containsBlanks" priority="393" stopIfTrue="1">
      <formula>LEN(TRIM(I17))=0</formula>
    </cfRule>
  </conditionalFormatting>
  <conditionalFormatting sqref="V15">
    <cfRule type="containsBlanks" dxfId="155" priority="392" stopIfTrue="1">
      <formula>LEN(TRIM(V15))=0</formula>
    </cfRule>
  </conditionalFormatting>
  <conditionalFormatting sqref="V15">
    <cfRule type="containsBlanks" priority="391" stopIfTrue="1">
      <formula>LEN(TRIM(V15))=0</formula>
    </cfRule>
  </conditionalFormatting>
  <conditionalFormatting sqref="V16">
    <cfRule type="containsBlanks" dxfId="154" priority="390" stopIfTrue="1">
      <formula>LEN(TRIM(V16))=0</formula>
    </cfRule>
  </conditionalFormatting>
  <conditionalFormatting sqref="V16">
    <cfRule type="containsBlanks" priority="389" stopIfTrue="1">
      <formula>LEN(TRIM(V16))=0</formula>
    </cfRule>
  </conditionalFormatting>
  <conditionalFormatting sqref="V17">
    <cfRule type="containsBlanks" dxfId="153" priority="388" stopIfTrue="1">
      <formula>LEN(TRIM(V17))=0</formula>
    </cfRule>
  </conditionalFormatting>
  <conditionalFormatting sqref="V17">
    <cfRule type="containsBlanks" priority="387" stopIfTrue="1">
      <formula>LEN(TRIM(V17))=0</formula>
    </cfRule>
  </conditionalFormatting>
  <conditionalFormatting sqref="D21:E21">
    <cfRule type="containsBlanks" priority="385" stopIfTrue="1">
      <formula>LEN(TRIM(D21))=0</formula>
    </cfRule>
  </conditionalFormatting>
  <conditionalFormatting sqref="D22:E22">
    <cfRule type="containsBlanks" priority="384" stopIfTrue="1">
      <formula>LEN(TRIM(D22))=0</formula>
    </cfRule>
  </conditionalFormatting>
  <conditionalFormatting sqref="D26:E26">
    <cfRule type="containsBlanks" priority="382" stopIfTrue="1">
      <formula>LEN(TRIM(D26))=0</formula>
    </cfRule>
  </conditionalFormatting>
  <conditionalFormatting sqref="Q42 S42:T42 V42 AA42:AF42">
    <cfRule type="containsBlanks" dxfId="152" priority="380" stopIfTrue="1">
      <formula>LEN(TRIM(Q42))=0</formula>
    </cfRule>
  </conditionalFormatting>
  <conditionalFormatting sqref="Q42 S42:T42 V42 AA42:AF42">
    <cfRule type="containsBlanks" priority="379" stopIfTrue="1">
      <formula>LEN(TRIM(Q42))=0</formula>
    </cfRule>
  </conditionalFormatting>
  <conditionalFormatting sqref="U42">
    <cfRule type="containsBlanks" dxfId="151" priority="376" stopIfTrue="1">
      <formula>LEN(TRIM(U42))=0</formula>
    </cfRule>
  </conditionalFormatting>
  <conditionalFormatting sqref="U42">
    <cfRule type="containsBlanks" priority="375" stopIfTrue="1">
      <formula>LEN(TRIM(U42))=0</formula>
    </cfRule>
  </conditionalFormatting>
  <conditionalFormatting sqref="E47">
    <cfRule type="containsBlanks" priority="370" stopIfTrue="1">
      <formula>LEN(TRIM(E47))=0</formula>
    </cfRule>
  </conditionalFormatting>
  <conditionalFormatting sqref="E49">
    <cfRule type="containsBlanks" priority="369" stopIfTrue="1">
      <formula>LEN(TRIM(E49))=0</formula>
    </cfRule>
  </conditionalFormatting>
  <conditionalFormatting sqref="I49:M49 O49 AA49:AH49 Q49 S49:T49">
    <cfRule type="containsBlanks" dxfId="150" priority="368" stopIfTrue="1">
      <formula>LEN(TRIM(I49))=0</formula>
    </cfRule>
  </conditionalFormatting>
  <conditionalFormatting sqref="I49:M49 O49 AA49:AH49 Q49 S49:T49">
    <cfRule type="containsBlanks" priority="367" stopIfTrue="1">
      <formula>LEN(TRIM(I49))=0</formula>
    </cfRule>
  </conditionalFormatting>
  <conditionalFormatting sqref="E50">
    <cfRule type="containsBlanks" priority="363" stopIfTrue="1">
      <formula>LEN(TRIM(E50))=0</formula>
    </cfRule>
  </conditionalFormatting>
  <conditionalFormatting sqref="I50:M50 O50 AA50:AH50 Q50 S50:T50">
    <cfRule type="containsBlanks" dxfId="149" priority="362" stopIfTrue="1">
      <formula>LEN(TRIM(I50))=0</formula>
    </cfRule>
  </conditionalFormatting>
  <conditionalFormatting sqref="I50:M50 O50 AA50:AH50 Q50 S50:T50">
    <cfRule type="containsBlanks" priority="361" stopIfTrue="1">
      <formula>LEN(TRIM(I50))=0</formula>
    </cfRule>
  </conditionalFormatting>
  <conditionalFormatting sqref="N49">
    <cfRule type="containsBlanks" dxfId="148" priority="351" stopIfTrue="1">
      <formula>LEN(TRIM(N49))=0</formula>
    </cfRule>
  </conditionalFormatting>
  <conditionalFormatting sqref="N49">
    <cfRule type="containsBlanks" priority="350" stopIfTrue="1">
      <formula>LEN(TRIM(N49))=0</formula>
    </cfRule>
  </conditionalFormatting>
  <conditionalFormatting sqref="N50">
    <cfRule type="containsBlanks" dxfId="147" priority="349" stopIfTrue="1">
      <formula>LEN(TRIM(N50))=0</formula>
    </cfRule>
  </conditionalFormatting>
  <conditionalFormatting sqref="N50">
    <cfRule type="containsBlanks" priority="348" stopIfTrue="1">
      <formula>LEN(TRIM(N50))=0</formula>
    </cfRule>
  </conditionalFormatting>
  <conditionalFormatting sqref="U49">
    <cfRule type="containsBlanks" dxfId="146" priority="345" stopIfTrue="1">
      <formula>LEN(TRIM(U49))=0</formula>
    </cfRule>
  </conditionalFormatting>
  <conditionalFormatting sqref="U49">
    <cfRule type="containsBlanks" priority="344" stopIfTrue="1">
      <formula>LEN(TRIM(U49))=0</formula>
    </cfRule>
  </conditionalFormatting>
  <conditionalFormatting sqref="U50">
    <cfRule type="containsBlanks" dxfId="145" priority="343" stopIfTrue="1">
      <formula>LEN(TRIM(U50))=0</formula>
    </cfRule>
  </conditionalFormatting>
  <conditionalFormatting sqref="U50">
    <cfRule type="containsBlanks" priority="342" stopIfTrue="1">
      <formula>LEN(TRIM(U50))=0</formula>
    </cfRule>
  </conditionalFormatting>
  <conditionalFormatting sqref="V49">
    <cfRule type="containsBlanks" dxfId="144" priority="339" stopIfTrue="1">
      <formula>LEN(TRIM(V49))=0</formula>
    </cfRule>
  </conditionalFormatting>
  <conditionalFormatting sqref="V49">
    <cfRule type="containsBlanks" priority="338" stopIfTrue="1">
      <formula>LEN(TRIM(V49))=0</formula>
    </cfRule>
  </conditionalFormatting>
  <conditionalFormatting sqref="V50">
    <cfRule type="containsBlanks" dxfId="143" priority="337" stopIfTrue="1">
      <formula>LEN(TRIM(V50))=0</formula>
    </cfRule>
  </conditionalFormatting>
  <conditionalFormatting sqref="V50">
    <cfRule type="containsBlanks" priority="336" stopIfTrue="1">
      <formula>LEN(TRIM(V50))=0</formula>
    </cfRule>
  </conditionalFormatting>
  <conditionalFormatting sqref="E52">
    <cfRule type="containsBlanks" priority="333" stopIfTrue="1">
      <formula>LEN(TRIM(E52))=0</formula>
    </cfRule>
  </conditionalFormatting>
  <conditionalFormatting sqref="E54">
    <cfRule type="containsBlanks" priority="332" stopIfTrue="1">
      <formula>LEN(TRIM(E54))=0</formula>
    </cfRule>
  </conditionalFormatting>
  <conditionalFormatting sqref="D55:E56">
    <cfRule type="containsBlanks" priority="331" stopIfTrue="1">
      <formula>LEN(TRIM(D55))=0</formula>
    </cfRule>
  </conditionalFormatting>
  <conditionalFormatting sqref="D60:E60">
    <cfRule type="containsBlanks" priority="330" stopIfTrue="1">
      <formula>LEN(TRIM(D60))=0</formula>
    </cfRule>
  </conditionalFormatting>
  <conditionalFormatting sqref="V60 S60:T60 AA60:AH60">
    <cfRule type="containsBlanks" dxfId="142" priority="329" stopIfTrue="1">
      <formula>LEN(TRIM(S60))=0</formula>
    </cfRule>
  </conditionalFormatting>
  <conditionalFormatting sqref="V60 S60:T60 AA60:AH60">
    <cfRule type="containsBlanks" priority="328" stopIfTrue="1">
      <formula>LEN(TRIM(S60))=0</formula>
    </cfRule>
  </conditionalFormatting>
  <conditionalFormatting sqref="D61:E61">
    <cfRule type="containsBlanks" priority="327" stopIfTrue="1">
      <formula>LEN(TRIM(D61))=0</formula>
    </cfRule>
  </conditionalFormatting>
  <conditionalFormatting sqref="I61:M61 V61 O61:Q61 S61:T61 AA61:AH61">
    <cfRule type="containsBlanks" dxfId="141" priority="326" stopIfTrue="1">
      <formula>LEN(TRIM(I61))=0</formula>
    </cfRule>
  </conditionalFormatting>
  <conditionalFormatting sqref="I61:M61 V61 O61:Q61 S61:T61 AA61:AH61">
    <cfRule type="containsBlanks" priority="325" stopIfTrue="1">
      <formula>LEN(TRIM(I61))=0</formula>
    </cfRule>
  </conditionalFormatting>
  <conditionalFormatting sqref="D62:E62">
    <cfRule type="containsBlanks" priority="324" stopIfTrue="1">
      <formula>LEN(TRIM(D62))=0</formula>
    </cfRule>
  </conditionalFormatting>
  <conditionalFormatting sqref="I62:M62 V62 O62:Q62 S62:T62 AA62:AH62">
    <cfRule type="containsBlanks" dxfId="140" priority="323" stopIfTrue="1">
      <formula>LEN(TRIM(I62))=0</formula>
    </cfRule>
  </conditionalFormatting>
  <conditionalFormatting sqref="I62:M62 V62 O62:Q62 S62:T62 AA62:AH62">
    <cfRule type="containsBlanks" priority="322" stopIfTrue="1">
      <formula>LEN(TRIM(I62))=0</formula>
    </cfRule>
  </conditionalFormatting>
  <conditionalFormatting sqref="D63:E63">
    <cfRule type="containsBlanks" priority="321" stopIfTrue="1">
      <formula>LEN(TRIM(D63))=0</formula>
    </cfRule>
  </conditionalFormatting>
  <conditionalFormatting sqref="U60">
    <cfRule type="containsBlanks" dxfId="139" priority="320" stopIfTrue="1">
      <formula>LEN(TRIM(U60))=0</formula>
    </cfRule>
  </conditionalFormatting>
  <conditionalFormatting sqref="U60">
    <cfRule type="containsBlanks" priority="319" stopIfTrue="1">
      <formula>LEN(TRIM(U60))=0</formula>
    </cfRule>
  </conditionalFormatting>
  <conditionalFormatting sqref="U61">
    <cfRule type="containsBlanks" dxfId="138" priority="318" stopIfTrue="1">
      <formula>LEN(TRIM(U61))=0</formula>
    </cfRule>
  </conditionalFormatting>
  <conditionalFormatting sqref="U61">
    <cfRule type="containsBlanks" priority="317" stopIfTrue="1">
      <formula>LEN(TRIM(U61))=0</formula>
    </cfRule>
  </conditionalFormatting>
  <conditionalFormatting sqref="U62">
    <cfRule type="containsBlanks" dxfId="137" priority="316" stopIfTrue="1">
      <formula>LEN(TRIM(U62))=0</formula>
    </cfRule>
  </conditionalFormatting>
  <conditionalFormatting sqref="U62">
    <cfRule type="containsBlanks" priority="315" stopIfTrue="1">
      <formula>LEN(TRIM(U62))=0</formula>
    </cfRule>
  </conditionalFormatting>
  <conditionalFormatting sqref="N61">
    <cfRule type="containsBlanks" dxfId="136" priority="312" stopIfTrue="1">
      <formula>LEN(TRIM(N61))=0</formula>
    </cfRule>
  </conditionalFormatting>
  <conditionalFormatting sqref="N61">
    <cfRule type="containsBlanks" priority="311" stopIfTrue="1">
      <formula>LEN(TRIM(N61))=0</formula>
    </cfRule>
  </conditionalFormatting>
  <conditionalFormatting sqref="N62">
    <cfRule type="containsBlanks" dxfId="135" priority="310" stopIfTrue="1">
      <formula>LEN(TRIM(N62))=0</formula>
    </cfRule>
  </conditionalFormatting>
  <conditionalFormatting sqref="N62">
    <cfRule type="containsBlanks" priority="309" stopIfTrue="1">
      <formula>LEN(TRIM(N62))=0</formula>
    </cfRule>
  </conditionalFormatting>
  <conditionalFormatting sqref="D68:E68">
    <cfRule type="containsBlanks" priority="308" stopIfTrue="1">
      <formula>LEN(TRIM(D68))=0</formula>
    </cfRule>
  </conditionalFormatting>
  <conditionalFormatting sqref="I68:O68 V68 Q68 S68:T68 AA68:AH68">
    <cfRule type="containsBlanks" dxfId="134" priority="307" stopIfTrue="1">
      <formula>LEN(TRIM(I68))=0</formula>
    </cfRule>
  </conditionalFormatting>
  <conditionalFormatting sqref="I68:O68 V68 Q68 S68:T68 AA68:AH68">
    <cfRule type="containsBlanks" priority="306" stopIfTrue="1">
      <formula>LEN(TRIM(I68))=0</formula>
    </cfRule>
  </conditionalFormatting>
  <conditionalFormatting sqref="U68">
    <cfRule type="containsBlanks" dxfId="133" priority="305" stopIfTrue="1">
      <formula>LEN(TRIM(U68))=0</formula>
    </cfRule>
  </conditionalFormatting>
  <conditionalFormatting sqref="U68">
    <cfRule type="containsBlanks" priority="304" stopIfTrue="1">
      <formula>LEN(TRIM(U68))=0</formula>
    </cfRule>
  </conditionalFormatting>
  <conditionalFormatting sqref="I77:Q78 S77:V78 AA77:AH78">
    <cfRule type="containsBlanks" dxfId="132" priority="303" stopIfTrue="1">
      <formula>LEN(TRIM(I77))=0</formula>
    </cfRule>
  </conditionalFormatting>
  <conditionalFormatting sqref="I77:Q78 S77:V78 AA77:AH78">
    <cfRule type="containsBlanks" priority="302" stopIfTrue="1">
      <formula>LEN(TRIM(I77))=0</formula>
    </cfRule>
  </conditionalFormatting>
  <conditionalFormatting sqref="D104:E105">
    <cfRule type="containsBlanks" priority="301" stopIfTrue="1">
      <formula>LEN(TRIM(D104))=0</formula>
    </cfRule>
  </conditionalFormatting>
  <conditionalFormatting sqref="I104:O105 Q104:Q105 S104:V105 AA104:AH105">
    <cfRule type="containsBlanks" dxfId="131" priority="300" stopIfTrue="1">
      <formula>LEN(TRIM(I104))=0</formula>
    </cfRule>
  </conditionalFormatting>
  <conditionalFormatting sqref="I104:O105 Q104:Q105 S104:V105 AA104:AH105">
    <cfRule type="containsBlanks" priority="299" stopIfTrue="1">
      <formula>LEN(TRIM(I104))=0</formula>
    </cfRule>
  </conditionalFormatting>
  <conditionalFormatting sqref="I116:Q116 AA116:AH116 S116:U116">
    <cfRule type="containsBlanks" dxfId="130" priority="296" stopIfTrue="1">
      <formula>LEN(TRIM(I116))=0</formula>
    </cfRule>
  </conditionalFormatting>
  <conditionalFormatting sqref="I116:Q116 AA116:AH116 S116:U116">
    <cfRule type="containsBlanks" priority="295" stopIfTrue="1">
      <formula>LEN(TRIM(I116))=0</formula>
    </cfRule>
  </conditionalFormatting>
  <conditionalFormatting sqref="D117:E117">
    <cfRule type="containsBlanks" priority="294" stopIfTrue="1">
      <formula>LEN(TRIM(D117))=0</formula>
    </cfRule>
  </conditionalFormatting>
  <conditionalFormatting sqref="I117:O117 AA117:AH117 Q117 S117:U117">
    <cfRule type="containsBlanks" dxfId="129" priority="293" stopIfTrue="1">
      <formula>LEN(TRIM(I117))=0</formula>
    </cfRule>
  </conditionalFormatting>
  <conditionalFormatting sqref="I117:O117 AA117:AH117 Q117 S117:U117">
    <cfRule type="containsBlanks" priority="292" stopIfTrue="1">
      <formula>LEN(TRIM(I117))=0</formula>
    </cfRule>
  </conditionalFormatting>
  <conditionalFormatting sqref="V116">
    <cfRule type="containsBlanks" dxfId="128" priority="291" stopIfTrue="1">
      <formula>LEN(TRIM(V116))=0</formula>
    </cfRule>
  </conditionalFormatting>
  <conditionalFormatting sqref="V116">
    <cfRule type="containsBlanks" priority="290" stopIfTrue="1">
      <formula>LEN(TRIM(V116))=0</formula>
    </cfRule>
  </conditionalFormatting>
  <conditionalFormatting sqref="V117">
    <cfRule type="containsBlanks" dxfId="127" priority="289" stopIfTrue="1">
      <formula>LEN(TRIM(V117))=0</formula>
    </cfRule>
  </conditionalFormatting>
  <conditionalFormatting sqref="V117">
    <cfRule type="containsBlanks" priority="288" stopIfTrue="1">
      <formula>LEN(TRIM(V117))=0</formula>
    </cfRule>
  </conditionalFormatting>
  <conditionalFormatting sqref="P117">
    <cfRule type="containsBlanks" dxfId="126" priority="287" stopIfTrue="1">
      <formula>LEN(TRIM(P117))=0</formula>
    </cfRule>
  </conditionalFormatting>
  <conditionalFormatting sqref="P117">
    <cfRule type="containsBlanks" priority="286" stopIfTrue="1">
      <formula>LEN(TRIM(P117))=0</formula>
    </cfRule>
  </conditionalFormatting>
  <conditionalFormatting sqref="I122:O122 AA122:AH122 Q122 S122:U122">
    <cfRule type="containsBlanks" dxfId="125" priority="285" stopIfTrue="1">
      <formula>LEN(TRIM(I122))=0</formula>
    </cfRule>
  </conditionalFormatting>
  <conditionalFormatting sqref="I122:O122 AA122:AH122 Q122 S122:U122">
    <cfRule type="containsBlanks" priority="284" stopIfTrue="1">
      <formula>LEN(TRIM(I122))=0</formula>
    </cfRule>
  </conditionalFormatting>
  <conditionalFormatting sqref="D124:E124">
    <cfRule type="containsBlanks" priority="282" stopIfTrue="1">
      <formula>LEN(TRIM(D124))=0</formula>
    </cfRule>
  </conditionalFormatting>
  <conditionalFormatting sqref="I124:O124 AA124:AH124 Q124 S124:U124">
    <cfRule type="containsBlanks" dxfId="124" priority="281" stopIfTrue="1">
      <formula>LEN(TRIM(I124))=0</formula>
    </cfRule>
  </conditionalFormatting>
  <conditionalFormatting sqref="I124:O124 AA124:AH124 Q124 S124:U124">
    <cfRule type="containsBlanks" priority="280" stopIfTrue="1">
      <formula>LEN(TRIM(I124))=0</formula>
    </cfRule>
  </conditionalFormatting>
  <conditionalFormatting sqref="D123:E123">
    <cfRule type="containsBlanks" priority="279" stopIfTrue="1">
      <formula>LEN(TRIM(D123))=0</formula>
    </cfRule>
  </conditionalFormatting>
  <conditionalFormatting sqref="I123:O123 AA123:AH123 Q123 S123:U123">
    <cfRule type="containsBlanks" dxfId="123" priority="278" stopIfTrue="1">
      <formula>LEN(TRIM(I123))=0</formula>
    </cfRule>
  </conditionalFormatting>
  <conditionalFormatting sqref="I123:O123 AA123:AH123 Q123 S123:U123">
    <cfRule type="containsBlanks" priority="277" stopIfTrue="1">
      <formula>LEN(TRIM(I123))=0</formula>
    </cfRule>
  </conditionalFormatting>
  <conditionalFormatting sqref="D125:E125">
    <cfRule type="containsBlanks" priority="276" stopIfTrue="1">
      <formula>LEN(TRIM(D125))=0</formula>
    </cfRule>
  </conditionalFormatting>
  <conditionalFormatting sqref="I125:O125 AA125:AH125 Q125 S125:U125">
    <cfRule type="containsBlanks" dxfId="122" priority="275" stopIfTrue="1">
      <formula>LEN(TRIM(I125))=0</formula>
    </cfRule>
  </conditionalFormatting>
  <conditionalFormatting sqref="I125:O125 AA125:AH125 Q125 S125:U125">
    <cfRule type="containsBlanks" priority="274" stopIfTrue="1">
      <formula>LEN(TRIM(I125))=0</formula>
    </cfRule>
  </conditionalFormatting>
  <conditionalFormatting sqref="D121:E121">
    <cfRule type="containsBlanks" priority="273" stopIfTrue="1">
      <formula>LEN(TRIM(D121))=0</formula>
    </cfRule>
  </conditionalFormatting>
  <conditionalFormatting sqref="D130:E130">
    <cfRule type="containsBlanks" priority="272" stopIfTrue="1">
      <formula>LEN(TRIM(D130))=0</formula>
    </cfRule>
  </conditionalFormatting>
  <conditionalFormatting sqref="D129:E129">
    <cfRule type="containsBlanks" priority="271" stopIfTrue="1">
      <formula>LEN(TRIM(D129))=0</formula>
    </cfRule>
  </conditionalFormatting>
  <conditionalFormatting sqref="D131:E131">
    <cfRule type="containsBlanks" priority="270" stopIfTrue="1">
      <formula>LEN(TRIM(D131))=0</formula>
    </cfRule>
  </conditionalFormatting>
  <conditionalFormatting sqref="D127:E127">
    <cfRule type="containsBlanks" priority="269" stopIfTrue="1">
      <formula>LEN(TRIM(D127))=0</formula>
    </cfRule>
  </conditionalFormatting>
  <conditionalFormatting sqref="V122">
    <cfRule type="containsBlanks" dxfId="121" priority="268" stopIfTrue="1">
      <formula>LEN(TRIM(V122))=0</formula>
    </cfRule>
  </conditionalFormatting>
  <conditionalFormatting sqref="V122">
    <cfRule type="containsBlanks" priority="267" stopIfTrue="1">
      <formula>LEN(TRIM(V122))=0</formula>
    </cfRule>
  </conditionalFormatting>
  <conditionalFormatting sqref="V124">
    <cfRule type="containsBlanks" dxfId="120" priority="266" stopIfTrue="1">
      <formula>LEN(TRIM(V124))=0</formula>
    </cfRule>
  </conditionalFormatting>
  <conditionalFormatting sqref="V124">
    <cfRule type="containsBlanks" priority="265" stopIfTrue="1">
      <formula>LEN(TRIM(V124))=0</formula>
    </cfRule>
  </conditionalFormatting>
  <conditionalFormatting sqref="V123">
    <cfRule type="containsBlanks" dxfId="119" priority="264" stopIfTrue="1">
      <formula>LEN(TRIM(V123))=0</formula>
    </cfRule>
  </conditionalFormatting>
  <conditionalFormatting sqref="V123">
    <cfRule type="containsBlanks" priority="263" stopIfTrue="1">
      <formula>LEN(TRIM(V123))=0</formula>
    </cfRule>
  </conditionalFormatting>
  <conditionalFormatting sqref="V125">
    <cfRule type="containsBlanks" dxfId="118" priority="262" stopIfTrue="1">
      <formula>LEN(TRIM(V125))=0</formula>
    </cfRule>
  </conditionalFormatting>
  <conditionalFormatting sqref="V125">
    <cfRule type="containsBlanks" priority="261" stopIfTrue="1">
      <formula>LEN(TRIM(V125))=0</formula>
    </cfRule>
  </conditionalFormatting>
  <conditionalFormatting sqref="D135:E135">
    <cfRule type="containsBlanks" priority="260" stopIfTrue="1">
      <formula>LEN(TRIM(D135))=0</formula>
    </cfRule>
  </conditionalFormatting>
  <conditionalFormatting sqref="P176:P178">
    <cfRule type="containsBlanks" priority="174" stopIfTrue="1">
      <formula>LEN(TRIM(P176))=0</formula>
    </cfRule>
  </conditionalFormatting>
  <conditionalFormatting sqref="D136:E136">
    <cfRule type="containsBlanks" priority="258" stopIfTrue="1">
      <formula>LEN(TRIM(D136))=0</formula>
    </cfRule>
  </conditionalFormatting>
  <conditionalFormatting sqref="D137:E137">
    <cfRule type="containsBlanks" priority="257" stopIfTrue="1">
      <formula>LEN(TRIM(D137))=0</formula>
    </cfRule>
  </conditionalFormatting>
  <conditionalFormatting sqref="I137:O137 AA137:AH137 Q137 S137:U137">
    <cfRule type="containsBlanks" dxfId="117" priority="256" stopIfTrue="1">
      <formula>LEN(TRIM(I137))=0</formula>
    </cfRule>
  </conditionalFormatting>
  <conditionalFormatting sqref="I137:O137 AA137:AH137 Q137 S137:U137">
    <cfRule type="containsBlanks" priority="255" stopIfTrue="1">
      <formula>LEN(TRIM(I137))=0</formula>
    </cfRule>
  </conditionalFormatting>
  <conditionalFormatting sqref="D138:E138">
    <cfRule type="containsBlanks" priority="254" stopIfTrue="1">
      <formula>LEN(TRIM(D138))=0</formula>
    </cfRule>
  </conditionalFormatting>
  <conditionalFormatting sqref="I138:O138 AA138:AH138 Q138 S138:U138">
    <cfRule type="containsBlanks" dxfId="116" priority="253" stopIfTrue="1">
      <formula>LEN(TRIM(I138))=0</formula>
    </cfRule>
  </conditionalFormatting>
  <conditionalFormatting sqref="I138:O138 AA138:AH138 Q138 S138:U138">
    <cfRule type="containsBlanks" priority="252" stopIfTrue="1">
      <formula>LEN(TRIM(I138))=0</formula>
    </cfRule>
  </conditionalFormatting>
  <conditionalFormatting sqref="D139:E139">
    <cfRule type="containsBlanks" priority="251" stopIfTrue="1">
      <formula>LEN(TRIM(D139))=0</formula>
    </cfRule>
  </conditionalFormatting>
  <conditionalFormatting sqref="I139:O139 AA139:AH139 Q139 S139:U139">
    <cfRule type="containsBlanks" dxfId="115" priority="250" stopIfTrue="1">
      <formula>LEN(TRIM(I139))=0</formula>
    </cfRule>
  </conditionalFormatting>
  <conditionalFormatting sqref="I139:O139 AA139:AH139 Q139 S139:U139">
    <cfRule type="containsBlanks" priority="249" stopIfTrue="1">
      <formula>LEN(TRIM(I139))=0</formula>
    </cfRule>
  </conditionalFormatting>
  <conditionalFormatting sqref="V137">
    <cfRule type="containsBlanks" dxfId="114" priority="248" stopIfTrue="1">
      <formula>LEN(TRIM(V137))=0</formula>
    </cfRule>
  </conditionalFormatting>
  <conditionalFormatting sqref="V137">
    <cfRule type="containsBlanks" priority="247" stopIfTrue="1">
      <formula>LEN(TRIM(V137))=0</formula>
    </cfRule>
  </conditionalFormatting>
  <conditionalFormatting sqref="V138">
    <cfRule type="containsBlanks" dxfId="113" priority="246" stopIfTrue="1">
      <formula>LEN(TRIM(V138))=0</formula>
    </cfRule>
  </conditionalFormatting>
  <conditionalFormatting sqref="V138">
    <cfRule type="containsBlanks" priority="245" stopIfTrue="1">
      <formula>LEN(TRIM(V138))=0</formula>
    </cfRule>
  </conditionalFormatting>
  <conditionalFormatting sqref="V139">
    <cfRule type="containsBlanks" dxfId="112" priority="244" stopIfTrue="1">
      <formula>LEN(TRIM(V139))=0</formula>
    </cfRule>
  </conditionalFormatting>
  <conditionalFormatting sqref="V139">
    <cfRule type="containsBlanks" priority="243" stopIfTrue="1">
      <formula>LEN(TRIM(V139))=0</formula>
    </cfRule>
  </conditionalFormatting>
  <conditionalFormatting sqref="P135:P139">
    <cfRule type="containsBlanks" dxfId="111" priority="240" stopIfTrue="1">
      <formula>LEN(TRIM(P135))=0</formula>
    </cfRule>
  </conditionalFormatting>
  <conditionalFormatting sqref="P135:P139">
    <cfRule type="containsBlanks" priority="239" stopIfTrue="1">
      <formula>LEN(TRIM(P135))=0</formula>
    </cfRule>
  </conditionalFormatting>
  <conditionalFormatting sqref="D143:E143">
    <cfRule type="containsBlanks" priority="238" stopIfTrue="1">
      <formula>LEN(TRIM(D143))=0</formula>
    </cfRule>
  </conditionalFormatting>
  <conditionalFormatting sqref="D144:E144">
    <cfRule type="containsBlanks" priority="237" stopIfTrue="1">
      <formula>LEN(TRIM(D144))=0</formula>
    </cfRule>
  </conditionalFormatting>
  <conditionalFormatting sqref="I144:O144 AA144:AH144 Q144 S144:U144">
    <cfRule type="containsBlanks" dxfId="110" priority="236" stopIfTrue="1">
      <formula>LEN(TRIM(I144))=0</formula>
    </cfRule>
  </conditionalFormatting>
  <conditionalFormatting sqref="I144:O144 AA144:AH144 Q144 S144:U144">
    <cfRule type="containsBlanks" priority="235" stopIfTrue="1">
      <formula>LEN(TRIM(I144))=0</formula>
    </cfRule>
  </conditionalFormatting>
  <conditionalFormatting sqref="D145:E145">
    <cfRule type="containsBlanks" priority="234" stopIfTrue="1">
      <formula>LEN(TRIM(D145))=0</formula>
    </cfRule>
  </conditionalFormatting>
  <conditionalFormatting sqref="I145:O145 AA145:AH145 Q145 S145:U145">
    <cfRule type="containsBlanks" dxfId="109" priority="233" stopIfTrue="1">
      <formula>LEN(TRIM(I145))=0</formula>
    </cfRule>
  </conditionalFormatting>
  <conditionalFormatting sqref="I145:O145 AA145:AH145 Q145 S145:U145">
    <cfRule type="containsBlanks" priority="232" stopIfTrue="1">
      <formula>LEN(TRIM(I145))=0</formula>
    </cfRule>
  </conditionalFormatting>
  <conditionalFormatting sqref="D146:E146">
    <cfRule type="containsBlanks" priority="231" stopIfTrue="1">
      <formula>LEN(TRIM(D146))=0</formula>
    </cfRule>
  </conditionalFormatting>
  <conditionalFormatting sqref="I146:O146 AA146:AH146 Q146 S146:U146">
    <cfRule type="containsBlanks" dxfId="108" priority="230" stopIfTrue="1">
      <formula>LEN(TRIM(I146))=0</formula>
    </cfRule>
  </conditionalFormatting>
  <conditionalFormatting sqref="I146:O146 AA146:AH146 Q146 S146:U146">
    <cfRule type="containsBlanks" priority="229" stopIfTrue="1">
      <formula>LEN(TRIM(I146))=0</formula>
    </cfRule>
  </conditionalFormatting>
  <conditionalFormatting sqref="D147:E147">
    <cfRule type="containsBlanks" priority="228" stopIfTrue="1">
      <formula>LEN(TRIM(D147))=0</formula>
    </cfRule>
  </conditionalFormatting>
  <conditionalFormatting sqref="I147:O147 AA147:AH147 Q147 S147:U147">
    <cfRule type="containsBlanks" dxfId="107" priority="227" stopIfTrue="1">
      <formula>LEN(TRIM(I147))=0</formula>
    </cfRule>
  </conditionalFormatting>
  <conditionalFormatting sqref="I147:O147 AA147:AH147 Q147 S147:U147">
    <cfRule type="containsBlanks" priority="226" stopIfTrue="1">
      <formula>LEN(TRIM(I147))=0</formula>
    </cfRule>
  </conditionalFormatting>
  <conditionalFormatting sqref="D148:E148">
    <cfRule type="containsBlanks" priority="225" stopIfTrue="1">
      <formula>LEN(TRIM(D148))=0</formula>
    </cfRule>
  </conditionalFormatting>
  <conditionalFormatting sqref="I148:O148 AA148:AH148 Q148 S148:U148">
    <cfRule type="containsBlanks" dxfId="106" priority="224" stopIfTrue="1">
      <formula>LEN(TRIM(I148))=0</formula>
    </cfRule>
  </conditionalFormatting>
  <conditionalFormatting sqref="I148:O148 AA148:AH148 Q148 S148:U148">
    <cfRule type="containsBlanks" priority="223" stopIfTrue="1">
      <formula>LEN(TRIM(I148))=0</formula>
    </cfRule>
  </conditionalFormatting>
  <conditionalFormatting sqref="D149:E149">
    <cfRule type="containsBlanks" priority="222" stopIfTrue="1">
      <formula>LEN(TRIM(D149))=0</formula>
    </cfRule>
  </conditionalFormatting>
  <conditionalFormatting sqref="I149:O149 AA149:AH149 Q149 S149:U149">
    <cfRule type="containsBlanks" dxfId="105" priority="221" stopIfTrue="1">
      <formula>LEN(TRIM(I149))=0</formula>
    </cfRule>
  </conditionalFormatting>
  <conditionalFormatting sqref="I149:O149 AA149:AH149 Q149 S149:U149">
    <cfRule type="containsBlanks" priority="220" stopIfTrue="1">
      <formula>LEN(TRIM(I149))=0</formula>
    </cfRule>
  </conditionalFormatting>
  <conditionalFormatting sqref="V144">
    <cfRule type="containsBlanks" dxfId="104" priority="219" stopIfTrue="1">
      <formula>LEN(TRIM(V144))=0</formula>
    </cfRule>
  </conditionalFormatting>
  <conditionalFormatting sqref="V144">
    <cfRule type="containsBlanks" priority="218" stopIfTrue="1">
      <formula>LEN(TRIM(V144))=0</formula>
    </cfRule>
  </conditionalFormatting>
  <conditionalFormatting sqref="V145">
    <cfRule type="containsBlanks" dxfId="103" priority="217" stopIfTrue="1">
      <formula>LEN(TRIM(V145))=0</formula>
    </cfRule>
  </conditionalFormatting>
  <conditionalFormatting sqref="V145">
    <cfRule type="containsBlanks" priority="216" stopIfTrue="1">
      <formula>LEN(TRIM(V145))=0</formula>
    </cfRule>
  </conditionalFormatting>
  <conditionalFormatting sqref="V146">
    <cfRule type="containsBlanks" dxfId="102" priority="215" stopIfTrue="1">
      <formula>LEN(TRIM(V146))=0</formula>
    </cfRule>
  </conditionalFormatting>
  <conditionalFormatting sqref="V146">
    <cfRule type="containsBlanks" priority="214" stopIfTrue="1">
      <formula>LEN(TRIM(V146))=0</formula>
    </cfRule>
  </conditionalFormatting>
  <conditionalFormatting sqref="V147">
    <cfRule type="containsBlanks" dxfId="101" priority="213" stopIfTrue="1">
      <formula>LEN(TRIM(V147))=0</formula>
    </cfRule>
  </conditionalFormatting>
  <conditionalFormatting sqref="V147">
    <cfRule type="containsBlanks" priority="212" stopIfTrue="1">
      <formula>LEN(TRIM(V147))=0</formula>
    </cfRule>
  </conditionalFormatting>
  <conditionalFormatting sqref="V148">
    <cfRule type="containsBlanks" dxfId="100" priority="211" stopIfTrue="1">
      <formula>LEN(TRIM(V148))=0</formula>
    </cfRule>
  </conditionalFormatting>
  <conditionalFormatting sqref="V148">
    <cfRule type="containsBlanks" priority="210" stopIfTrue="1">
      <formula>LEN(TRIM(V148))=0</formula>
    </cfRule>
  </conditionalFormatting>
  <conditionalFormatting sqref="V149">
    <cfRule type="containsBlanks" dxfId="99" priority="209" stopIfTrue="1">
      <formula>LEN(TRIM(V149))=0</formula>
    </cfRule>
  </conditionalFormatting>
  <conditionalFormatting sqref="V149">
    <cfRule type="containsBlanks" priority="208" stopIfTrue="1">
      <formula>LEN(TRIM(V149))=0</formula>
    </cfRule>
  </conditionalFormatting>
  <conditionalFormatting sqref="P143:P149">
    <cfRule type="containsBlanks" dxfId="98" priority="207" stopIfTrue="1">
      <formula>LEN(TRIM(P143))=0</formula>
    </cfRule>
  </conditionalFormatting>
  <conditionalFormatting sqref="P143:P149">
    <cfRule type="containsBlanks" priority="206" stopIfTrue="1">
      <formula>LEN(TRIM(P143))=0</formula>
    </cfRule>
  </conditionalFormatting>
  <conditionalFormatting sqref="D153:E153">
    <cfRule type="containsBlanks" priority="205" stopIfTrue="1">
      <formula>LEN(TRIM(D153))=0</formula>
    </cfRule>
  </conditionalFormatting>
  <conditionalFormatting sqref="I153:O153 AA153:AH153 Q153 S153:U153">
    <cfRule type="containsBlanks" dxfId="97" priority="204" stopIfTrue="1">
      <formula>LEN(TRIM(I153))=0</formula>
    </cfRule>
  </conditionalFormatting>
  <conditionalFormatting sqref="I153:O153 AA153:AH153 Q153 S153:U153">
    <cfRule type="containsBlanks" priority="203" stopIfTrue="1">
      <formula>LEN(TRIM(I153))=0</formula>
    </cfRule>
  </conditionalFormatting>
  <conditionalFormatting sqref="D154:E155">
    <cfRule type="containsBlanks" priority="202" stopIfTrue="1">
      <formula>LEN(TRIM(D154))=0</formula>
    </cfRule>
  </conditionalFormatting>
  <conditionalFormatting sqref="I154:O155 AA154:AH155 Q154:Q155 S154:U155">
    <cfRule type="containsBlanks" dxfId="96" priority="201" stopIfTrue="1">
      <formula>LEN(TRIM(I154))=0</formula>
    </cfRule>
  </conditionalFormatting>
  <conditionalFormatting sqref="I154:O155 AA154:AH155 Q154:Q155 S154:U155">
    <cfRule type="containsBlanks" priority="200" stopIfTrue="1">
      <formula>LEN(TRIM(I154))=0</formula>
    </cfRule>
  </conditionalFormatting>
  <conditionalFormatting sqref="V153">
    <cfRule type="containsBlanks" dxfId="95" priority="199" stopIfTrue="1">
      <formula>LEN(TRIM(V153))=0</formula>
    </cfRule>
  </conditionalFormatting>
  <conditionalFormatting sqref="V153">
    <cfRule type="containsBlanks" priority="198" stopIfTrue="1">
      <formula>LEN(TRIM(V153))=0</formula>
    </cfRule>
  </conditionalFormatting>
  <conditionalFormatting sqref="V154:V155">
    <cfRule type="containsBlanks" dxfId="94" priority="197" stopIfTrue="1">
      <formula>LEN(TRIM(V154))=0</formula>
    </cfRule>
  </conditionalFormatting>
  <conditionalFormatting sqref="V154:V155">
    <cfRule type="containsBlanks" priority="196" stopIfTrue="1">
      <formula>LEN(TRIM(V154))=0</formula>
    </cfRule>
  </conditionalFormatting>
  <conditionalFormatting sqref="P153:P155">
    <cfRule type="containsBlanks" dxfId="93" priority="195" stopIfTrue="1">
      <formula>LEN(TRIM(P153))=0</formula>
    </cfRule>
  </conditionalFormatting>
  <conditionalFormatting sqref="P153:P155">
    <cfRule type="containsBlanks" priority="194" stopIfTrue="1">
      <formula>LEN(TRIM(P153))=0</formula>
    </cfRule>
  </conditionalFormatting>
  <conditionalFormatting sqref="D159:E159">
    <cfRule type="containsBlanks" priority="193" stopIfTrue="1">
      <formula>LEN(TRIM(D159))=0</formula>
    </cfRule>
  </conditionalFormatting>
  <conditionalFormatting sqref="D160:E160">
    <cfRule type="containsBlanks" priority="192" stopIfTrue="1">
      <formula>LEN(TRIM(D160))=0</formula>
    </cfRule>
  </conditionalFormatting>
  <conditionalFormatting sqref="I160:O160 AA160:AH160 Q160 S160:U160">
    <cfRule type="containsBlanks" dxfId="92" priority="191" stopIfTrue="1">
      <formula>LEN(TRIM(I160))=0</formula>
    </cfRule>
  </conditionalFormatting>
  <conditionalFormatting sqref="I160:O160 AA160:AH160 Q160 S160:U160">
    <cfRule type="containsBlanks" priority="190" stopIfTrue="1">
      <formula>LEN(TRIM(I160))=0</formula>
    </cfRule>
  </conditionalFormatting>
  <conditionalFormatting sqref="V160">
    <cfRule type="containsBlanks" dxfId="91" priority="189" stopIfTrue="1">
      <formula>LEN(TRIM(V160))=0</formula>
    </cfRule>
  </conditionalFormatting>
  <conditionalFormatting sqref="V160">
    <cfRule type="containsBlanks" priority="188" stopIfTrue="1">
      <formula>LEN(TRIM(V160))=0</formula>
    </cfRule>
  </conditionalFormatting>
  <conditionalFormatting sqref="P159:P160">
    <cfRule type="containsBlanks" dxfId="90" priority="187" stopIfTrue="1">
      <formula>LEN(TRIM(P159))=0</formula>
    </cfRule>
  </conditionalFormatting>
  <conditionalFormatting sqref="P159:P160">
    <cfRule type="containsBlanks" priority="186" stopIfTrue="1">
      <formula>LEN(TRIM(P159))=0</formula>
    </cfRule>
  </conditionalFormatting>
  <conditionalFormatting sqref="D164:E165">
    <cfRule type="containsBlanks" priority="185" stopIfTrue="1">
      <formula>LEN(TRIM(D164))=0</formula>
    </cfRule>
  </conditionalFormatting>
  <conditionalFormatting sqref="P164:P165">
    <cfRule type="containsBlanks" dxfId="89" priority="184" stopIfTrue="1">
      <formula>LEN(TRIM(P164))=0</formula>
    </cfRule>
  </conditionalFormatting>
  <conditionalFormatting sqref="P164:P165">
    <cfRule type="containsBlanks" priority="183" stopIfTrue="1">
      <formula>LEN(TRIM(P164))=0</formula>
    </cfRule>
  </conditionalFormatting>
  <conditionalFormatting sqref="Q170:Q172 S170:V172 AA170:AF172">
    <cfRule type="containsBlanks" dxfId="88" priority="182" stopIfTrue="1">
      <formula>LEN(TRIM(Q170))=0</formula>
    </cfRule>
  </conditionalFormatting>
  <conditionalFormatting sqref="Q170:Q172 S170:V172 AA170:AF172">
    <cfRule type="containsBlanks" priority="181" stopIfTrue="1">
      <formula>LEN(TRIM(Q170))=0</formula>
    </cfRule>
  </conditionalFormatting>
  <conditionalFormatting sqref="P170:P172">
    <cfRule type="containsBlanks" dxfId="87" priority="180" stopIfTrue="1">
      <formula>LEN(TRIM(P170))=0</formula>
    </cfRule>
  </conditionalFormatting>
  <conditionalFormatting sqref="P170:P172">
    <cfRule type="containsBlanks" priority="179" stopIfTrue="1">
      <formula>LEN(TRIM(P170))=0</formula>
    </cfRule>
  </conditionalFormatting>
  <conditionalFormatting sqref="D176:E178">
    <cfRule type="containsBlanks" priority="178" stopIfTrue="1">
      <formula>LEN(TRIM(D176))=0</formula>
    </cfRule>
  </conditionalFormatting>
  <conditionalFormatting sqref="I176:O178 Q176:Q178 S176:V178 AA176:AH178">
    <cfRule type="containsBlanks" dxfId="86" priority="177" stopIfTrue="1">
      <formula>LEN(TRIM(I176))=0</formula>
    </cfRule>
  </conditionalFormatting>
  <conditionalFormatting sqref="I176:O178 Q176:Q178 S176:V178 AA176:AH178">
    <cfRule type="containsBlanks" priority="176" stopIfTrue="1">
      <formula>LEN(TRIM(I176))=0</formula>
    </cfRule>
  </conditionalFormatting>
  <conditionalFormatting sqref="P176:P178">
    <cfRule type="containsBlanks" dxfId="85" priority="175" stopIfTrue="1">
      <formula>LEN(TRIM(P176))=0</formula>
    </cfRule>
  </conditionalFormatting>
  <conditionalFormatting sqref="W109:X111">
    <cfRule type="containsBlanks" priority="167" stopIfTrue="1">
      <formula>LEN(TRIM(W109))=0</formula>
    </cfRule>
  </conditionalFormatting>
  <conditionalFormatting sqref="W15:X15 W109:X111">
    <cfRule type="containsBlanks" dxfId="84" priority="173" stopIfTrue="1">
      <formula>LEN(TRIM(W15))=0</formula>
    </cfRule>
  </conditionalFormatting>
  <conditionalFormatting sqref="W15:X15">
    <cfRule type="containsBlanks" priority="172" stopIfTrue="1">
      <formula>LEN(TRIM(W15))=0</formula>
    </cfRule>
  </conditionalFormatting>
  <conditionalFormatting sqref="W16:X16">
    <cfRule type="containsBlanks" dxfId="83" priority="171" stopIfTrue="1">
      <formula>LEN(TRIM(W16))=0</formula>
    </cfRule>
  </conditionalFormatting>
  <conditionalFormatting sqref="W16:X16">
    <cfRule type="containsBlanks" priority="170" stopIfTrue="1">
      <formula>LEN(TRIM(W16))=0</formula>
    </cfRule>
  </conditionalFormatting>
  <conditionalFormatting sqref="W17:X17">
    <cfRule type="containsBlanks" dxfId="82" priority="169" stopIfTrue="1">
      <formula>LEN(TRIM(W17))=0</formula>
    </cfRule>
  </conditionalFormatting>
  <conditionalFormatting sqref="W17:X17">
    <cfRule type="containsBlanks" priority="168" stopIfTrue="1">
      <formula>LEN(TRIM(W17))=0</formula>
    </cfRule>
  </conditionalFormatting>
  <conditionalFormatting sqref="W61:X61">
    <cfRule type="containsBlanks" dxfId="81" priority="166" stopIfTrue="1">
      <formula>LEN(TRIM(W61))=0</formula>
    </cfRule>
  </conditionalFormatting>
  <conditionalFormatting sqref="W61:X61">
    <cfRule type="containsBlanks" priority="165" stopIfTrue="1">
      <formula>LEN(TRIM(W61))=0</formula>
    </cfRule>
  </conditionalFormatting>
  <conditionalFormatting sqref="W62:X62">
    <cfRule type="containsBlanks" dxfId="80" priority="164" stopIfTrue="1">
      <formula>LEN(TRIM(W62))=0</formula>
    </cfRule>
  </conditionalFormatting>
  <conditionalFormatting sqref="W62:X62">
    <cfRule type="containsBlanks" priority="163" stopIfTrue="1">
      <formula>LEN(TRIM(W62))=0</formula>
    </cfRule>
  </conditionalFormatting>
  <conditionalFormatting sqref="W68:X68">
    <cfRule type="containsBlanks" dxfId="79" priority="162" stopIfTrue="1">
      <formula>LEN(TRIM(W68))=0</formula>
    </cfRule>
  </conditionalFormatting>
  <conditionalFormatting sqref="W68:X68">
    <cfRule type="containsBlanks" priority="161" stopIfTrue="1">
      <formula>LEN(TRIM(W68))=0</formula>
    </cfRule>
  </conditionalFormatting>
  <conditionalFormatting sqref="W77:X78">
    <cfRule type="containsBlanks" dxfId="78" priority="160" stopIfTrue="1">
      <formula>LEN(TRIM(W77))=0</formula>
    </cfRule>
  </conditionalFormatting>
  <conditionalFormatting sqref="W77:X78">
    <cfRule type="containsBlanks" priority="159" stopIfTrue="1">
      <formula>LEN(TRIM(W77))=0</formula>
    </cfRule>
  </conditionalFormatting>
  <conditionalFormatting sqref="W104:X105">
    <cfRule type="containsBlanks" dxfId="77" priority="158" stopIfTrue="1">
      <formula>LEN(TRIM(W104))=0</formula>
    </cfRule>
  </conditionalFormatting>
  <conditionalFormatting sqref="W104:X105">
    <cfRule type="containsBlanks" priority="157" stopIfTrue="1">
      <formula>LEN(TRIM(W104))=0</formula>
    </cfRule>
  </conditionalFormatting>
  <conditionalFormatting sqref="W116:X116">
    <cfRule type="containsBlanks" dxfId="76" priority="156" stopIfTrue="1">
      <formula>LEN(TRIM(W116))=0</formula>
    </cfRule>
  </conditionalFormatting>
  <conditionalFormatting sqref="W116:X116">
    <cfRule type="containsBlanks" priority="155" stopIfTrue="1">
      <formula>LEN(TRIM(W116))=0</formula>
    </cfRule>
  </conditionalFormatting>
  <conditionalFormatting sqref="W117:X117">
    <cfRule type="containsBlanks" dxfId="75" priority="154" stopIfTrue="1">
      <formula>LEN(TRIM(W117))=0</formula>
    </cfRule>
  </conditionalFormatting>
  <conditionalFormatting sqref="W117:X117">
    <cfRule type="containsBlanks" priority="153" stopIfTrue="1">
      <formula>LEN(TRIM(W117))=0</formula>
    </cfRule>
  </conditionalFormatting>
  <conditionalFormatting sqref="W122:X122">
    <cfRule type="containsBlanks" dxfId="74" priority="152" stopIfTrue="1">
      <formula>LEN(TRIM(W122))=0</formula>
    </cfRule>
  </conditionalFormatting>
  <conditionalFormatting sqref="W122:X122">
    <cfRule type="containsBlanks" priority="151" stopIfTrue="1">
      <formula>LEN(TRIM(W122))=0</formula>
    </cfRule>
  </conditionalFormatting>
  <conditionalFormatting sqref="W124:X124">
    <cfRule type="containsBlanks" dxfId="73" priority="150" stopIfTrue="1">
      <formula>LEN(TRIM(W124))=0</formula>
    </cfRule>
  </conditionalFormatting>
  <conditionalFormatting sqref="W124:X124">
    <cfRule type="containsBlanks" priority="149" stopIfTrue="1">
      <formula>LEN(TRIM(W124))=0</formula>
    </cfRule>
  </conditionalFormatting>
  <conditionalFormatting sqref="W123:X123">
    <cfRule type="containsBlanks" dxfId="72" priority="148" stopIfTrue="1">
      <formula>LEN(TRIM(W123))=0</formula>
    </cfRule>
  </conditionalFormatting>
  <conditionalFormatting sqref="W123:X123">
    <cfRule type="containsBlanks" priority="147" stopIfTrue="1">
      <formula>LEN(TRIM(W123))=0</formula>
    </cfRule>
  </conditionalFormatting>
  <conditionalFormatting sqref="W125:X125">
    <cfRule type="containsBlanks" dxfId="71" priority="146" stopIfTrue="1">
      <formula>LEN(TRIM(W125))=0</formula>
    </cfRule>
  </conditionalFormatting>
  <conditionalFormatting sqref="W125:X125">
    <cfRule type="containsBlanks" priority="145" stopIfTrue="1">
      <formula>LEN(TRIM(W125))=0</formula>
    </cfRule>
  </conditionalFormatting>
  <conditionalFormatting sqref="W137:X137">
    <cfRule type="containsBlanks" dxfId="70" priority="144" stopIfTrue="1">
      <formula>LEN(TRIM(W137))=0</formula>
    </cfRule>
  </conditionalFormatting>
  <conditionalFormatting sqref="W137:X137">
    <cfRule type="containsBlanks" priority="143" stopIfTrue="1">
      <formula>LEN(TRIM(W137))=0</formula>
    </cfRule>
  </conditionalFormatting>
  <conditionalFormatting sqref="W138:X138">
    <cfRule type="containsBlanks" dxfId="69" priority="142" stopIfTrue="1">
      <formula>LEN(TRIM(W138))=0</formula>
    </cfRule>
  </conditionalFormatting>
  <conditionalFormatting sqref="W138:X138">
    <cfRule type="containsBlanks" priority="141" stopIfTrue="1">
      <formula>LEN(TRIM(W138))=0</formula>
    </cfRule>
  </conditionalFormatting>
  <conditionalFormatting sqref="W139:X139">
    <cfRule type="containsBlanks" dxfId="68" priority="140" stopIfTrue="1">
      <formula>LEN(TRIM(W139))=0</formula>
    </cfRule>
  </conditionalFormatting>
  <conditionalFormatting sqref="W139:X139">
    <cfRule type="containsBlanks" priority="139" stopIfTrue="1">
      <formula>LEN(TRIM(W139))=0</formula>
    </cfRule>
  </conditionalFormatting>
  <conditionalFormatting sqref="W144:X144">
    <cfRule type="containsBlanks" dxfId="67" priority="138" stopIfTrue="1">
      <formula>LEN(TRIM(W144))=0</formula>
    </cfRule>
  </conditionalFormatting>
  <conditionalFormatting sqref="W144:X144">
    <cfRule type="containsBlanks" priority="137" stopIfTrue="1">
      <formula>LEN(TRIM(W144))=0</formula>
    </cfRule>
  </conditionalFormatting>
  <conditionalFormatting sqref="W145:X145">
    <cfRule type="containsBlanks" dxfId="66" priority="136" stopIfTrue="1">
      <formula>LEN(TRIM(W145))=0</formula>
    </cfRule>
  </conditionalFormatting>
  <conditionalFormatting sqref="W145:X145">
    <cfRule type="containsBlanks" priority="135" stopIfTrue="1">
      <formula>LEN(TRIM(W145))=0</formula>
    </cfRule>
  </conditionalFormatting>
  <conditionalFormatting sqref="W146:X146">
    <cfRule type="containsBlanks" dxfId="65" priority="134" stopIfTrue="1">
      <formula>LEN(TRIM(W146))=0</formula>
    </cfRule>
  </conditionalFormatting>
  <conditionalFormatting sqref="W146:X146">
    <cfRule type="containsBlanks" priority="133" stopIfTrue="1">
      <formula>LEN(TRIM(W146))=0</formula>
    </cfRule>
  </conditionalFormatting>
  <conditionalFormatting sqref="W147:X147">
    <cfRule type="containsBlanks" dxfId="64" priority="132" stopIfTrue="1">
      <formula>LEN(TRIM(W147))=0</formula>
    </cfRule>
  </conditionalFormatting>
  <conditionalFormatting sqref="W147:X147">
    <cfRule type="containsBlanks" priority="131" stopIfTrue="1">
      <formula>LEN(TRIM(W147))=0</formula>
    </cfRule>
  </conditionalFormatting>
  <conditionalFormatting sqref="W148:X148">
    <cfRule type="containsBlanks" dxfId="63" priority="130" stopIfTrue="1">
      <formula>LEN(TRIM(W148))=0</formula>
    </cfRule>
  </conditionalFormatting>
  <conditionalFormatting sqref="W148:X148">
    <cfRule type="containsBlanks" priority="129" stopIfTrue="1">
      <formula>LEN(TRIM(W148))=0</formula>
    </cfRule>
  </conditionalFormatting>
  <conditionalFormatting sqref="W149:X149">
    <cfRule type="containsBlanks" dxfId="62" priority="128" stopIfTrue="1">
      <formula>LEN(TRIM(W149))=0</formula>
    </cfRule>
  </conditionalFormatting>
  <conditionalFormatting sqref="W149:X149">
    <cfRule type="containsBlanks" priority="127" stopIfTrue="1">
      <formula>LEN(TRIM(W149))=0</formula>
    </cfRule>
  </conditionalFormatting>
  <conditionalFormatting sqref="W153:X153">
    <cfRule type="containsBlanks" dxfId="61" priority="126" stopIfTrue="1">
      <formula>LEN(TRIM(W153))=0</formula>
    </cfRule>
  </conditionalFormatting>
  <conditionalFormatting sqref="W153:X153">
    <cfRule type="containsBlanks" priority="125" stopIfTrue="1">
      <formula>LEN(TRIM(W153))=0</formula>
    </cfRule>
  </conditionalFormatting>
  <conditionalFormatting sqref="W154:X155">
    <cfRule type="containsBlanks" dxfId="60" priority="124" stopIfTrue="1">
      <formula>LEN(TRIM(W154))=0</formula>
    </cfRule>
  </conditionalFormatting>
  <conditionalFormatting sqref="W154:X155">
    <cfRule type="containsBlanks" priority="123" stopIfTrue="1">
      <formula>LEN(TRIM(W154))=0</formula>
    </cfRule>
  </conditionalFormatting>
  <conditionalFormatting sqref="W160:X160">
    <cfRule type="containsBlanks" dxfId="59" priority="122" stopIfTrue="1">
      <formula>LEN(TRIM(W160))=0</formula>
    </cfRule>
  </conditionalFormatting>
  <conditionalFormatting sqref="W160:X160">
    <cfRule type="containsBlanks" priority="121" stopIfTrue="1">
      <formula>LEN(TRIM(W160))=0</formula>
    </cfRule>
  </conditionalFormatting>
  <conditionalFormatting sqref="W176:X178">
    <cfRule type="containsBlanks" dxfId="58" priority="120" stopIfTrue="1">
      <formula>LEN(TRIM(W176))=0</formula>
    </cfRule>
  </conditionalFormatting>
  <conditionalFormatting sqref="W176:X178">
    <cfRule type="containsBlanks" priority="119" stopIfTrue="1">
      <formula>LEN(TRIM(W176))=0</formula>
    </cfRule>
  </conditionalFormatting>
  <conditionalFormatting sqref="Y109:Y111">
    <cfRule type="containsBlanks" priority="112" stopIfTrue="1">
      <formula>LEN(TRIM(Y109))=0</formula>
    </cfRule>
  </conditionalFormatting>
  <conditionalFormatting sqref="Y15 Y109:Y111">
    <cfRule type="containsBlanks" dxfId="57" priority="118" stopIfTrue="1">
      <formula>LEN(TRIM(Y15))=0</formula>
    </cfRule>
  </conditionalFormatting>
  <conditionalFormatting sqref="Y15">
    <cfRule type="containsBlanks" priority="117" stopIfTrue="1">
      <formula>LEN(TRIM(Y15))=0</formula>
    </cfRule>
  </conditionalFormatting>
  <conditionalFormatting sqref="Y16">
    <cfRule type="containsBlanks" dxfId="56" priority="116" stopIfTrue="1">
      <formula>LEN(TRIM(Y16))=0</formula>
    </cfRule>
  </conditionalFormatting>
  <conditionalFormatting sqref="Y16">
    <cfRule type="containsBlanks" priority="115" stopIfTrue="1">
      <formula>LEN(TRIM(Y16))=0</formula>
    </cfRule>
  </conditionalFormatting>
  <conditionalFormatting sqref="Y17">
    <cfRule type="containsBlanks" dxfId="55" priority="114" stopIfTrue="1">
      <formula>LEN(TRIM(Y17))=0</formula>
    </cfRule>
  </conditionalFormatting>
  <conditionalFormatting sqref="Y17">
    <cfRule type="containsBlanks" priority="113" stopIfTrue="1">
      <formula>LEN(TRIM(Y17))=0</formula>
    </cfRule>
  </conditionalFormatting>
  <conditionalFormatting sqref="Y49">
    <cfRule type="containsBlanks" dxfId="54" priority="111" stopIfTrue="1">
      <formula>LEN(TRIM(Y49))=0</formula>
    </cfRule>
  </conditionalFormatting>
  <conditionalFormatting sqref="Y49">
    <cfRule type="containsBlanks" priority="110" stopIfTrue="1">
      <formula>LEN(TRIM(Y49))=0</formula>
    </cfRule>
  </conditionalFormatting>
  <conditionalFormatting sqref="Y50">
    <cfRule type="containsBlanks" dxfId="53" priority="109" stopIfTrue="1">
      <formula>LEN(TRIM(Y50))=0</formula>
    </cfRule>
  </conditionalFormatting>
  <conditionalFormatting sqref="Y50">
    <cfRule type="containsBlanks" priority="108" stopIfTrue="1">
      <formula>LEN(TRIM(Y50))=0</formula>
    </cfRule>
  </conditionalFormatting>
  <conditionalFormatting sqref="Y60">
    <cfRule type="containsBlanks" dxfId="52" priority="107" stopIfTrue="1">
      <formula>LEN(TRIM(Y60))=0</formula>
    </cfRule>
  </conditionalFormatting>
  <conditionalFormatting sqref="Y60">
    <cfRule type="containsBlanks" priority="106" stopIfTrue="1">
      <formula>LEN(TRIM(Y60))=0</formula>
    </cfRule>
  </conditionalFormatting>
  <conditionalFormatting sqref="Y61">
    <cfRule type="containsBlanks" dxfId="51" priority="105" stopIfTrue="1">
      <formula>LEN(TRIM(Y61))=0</formula>
    </cfRule>
  </conditionalFormatting>
  <conditionalFormatting sqref="Y61">
    <cfRule type="containsBlanks" priority="104" stopIfTrue="1">
      <formula>LEN(TRIM(Y61))=0</formula>
    </cfRule>
  </conditionalFormatting>
  <conditionalFormatting sqref="Y62">
    <cfRule type="containsBlanks" dxfId="50" priority="103" stopIfTrue="1">
      <formula>LEN(TRIM(Y62))=0</formula>
    </cfRule>
  </conditionalFormatting>
  <conditionalFormatting sqref="Y62">
    <cfRule type="containsBlanks" priority="102" stopIfTrue="1">
      <formula>LEN(TRIM(Y62))=0</formula>
    </cfRule>
  </conditionalFormatting>
  <conditionalFormatting sqref="Y68">
    <cfRule type="containsBlanks" dxfId="49" priority="101" stopIfTrue="1">
      <formula>LEN(TRIM(Y68))=0</formula>
    </cfRule>
  </conditionalFormatting>
  <conditionalFormatting sqref="Y68">
    <cfRule type="containsBlanks" priority="100" stopIfTrue="1">
      <formula>LEN(TRIM(Y68))=0</formula>
    </cfRule>
  </conditionalFormatting>
  <conditionalFormatting sqref="Y77:Y78">
    <cfRule type="containsBlanks" dxfId="48" priority="99" stopIfTrue="1">
      <formula>LEN(TRIM(Y77))=0</formula>
    </cfRule>
  </conditionalFormatting>
  <conditionalFormatting sqref="Y77:Y78">
    <cfRule type="containsBlanks" priority="98" stopIfTrue="1">
      <formula>LEN(TRIM(Y77))=0</formula>
    </cfRule>
  </conditionalFormatting>
  <conditionalFormatting sqref="Y104:Y105">
    <cfRule type="containsBlanks" dxfId="47" priority="97" stopIfTrue="1">
      <formula>LEN(TRIM(Y104))=0</formula>
    </cfRule>
  </conditionalFormatting>
  <conditionalFormatting sqref="Y104:Y105">
    <cfRule type="containsBlanks" priority="96" stopIfTrue="1">
      <formula>LEN(TRIM(Y104))=0</formula>
    </cfRule>
  </conditionalFormatting>
  <conditionalFormatting sqref="Y116">
    <cfRule type="containsBlanks" dxfId="46" priority="95" stopIfTrue="1">
      <formula>LEN(TRIM(Y116))=0</formula>
    </cfRule>
  </conditionalFormatting>
  <conditionalFormatting sqref="Y116">
    <cfRule type="containsBlanks" priority="94" stopIfTrue="1">
      <formula>LEN(TRIM(Y116))=0</formula>
    </cfRule>
  </conditionalFormatting>
  <conditionalFormatting sqref="Y117">
    <cfRule type="containsBlanks" dxfId="45" priority="93" stopIfTrue="1">
      <formula>LEN(TRIM(Y117))=0</formula>
    </cfRule>
  </conditionalFormatting>
  <conditionalFormatting sqref="Y117">
    <cfRule type="containsBlanks" priority="92" stopIfTrue="1">
      <formula>LEN(TRIM(Y117))=0</formula>
    </cfRule>
  </conditionalFormatting>
  <conditionalFormatting sqref="Y122">
    <cfRule type="containsBlanks" dxfId="44" priority="91" stopIfTrue="1">
      <formula>LEN(TRIM(Y122))=0</formula>
    </cfRule>
  </conditionalFormatting>
  <conditionalFormatting sqref="Y122">
    <cfRule type="containsBlanks" priority="90" stopIfTrue="1">
      <formula>LEN(TRIM(Y122))=0</formula>
    </cfRule>
  </conditionalFormatting>
  <conditionalFormatting sqref="Y124">
    <cfRule type="containsBlanks" dxfId="43" priority="89" stopIfTrue="1">
      <formula>LEN(TRIM(Y124))=0</formula>
    </cfRule>
  </conditionalFormatting>
  <conditionalFormatting sqref="Y124">
    <cfRule type="containsBlanks" priority="88" stopIfTrue="1">
      <formula>LEN(TRIM(Y124))=0</formula>
    </cfRule>
  </conditionalFormatting>
  <conditionalFormatting sqref="Y123">
    <cfRule type="containsBlanks" dxfId="42" priority="87" stopIfTrue="1">
      <formula>LEN(TRIM(Y123))=0</formula>
    </cfRule>
  </conditionalFormatting>
  <conditionalFormatting sqref="Y123">
    <cfRule type="containsBlanks" priority="86" stopIfTrue="1">
      <formula>LEN(TRIM(Y123))=0</formula>
    </cfRule>
  </conditionalFormatting>
  <conditionalFormatting sqref="Y125">
    <cfRule type="containsBlanks" dxfId="41" priority="85" stopIfTrue="1">
      <formula>LEN(TRIM(Y125))=0</formula>
    </cfRule>
  </conditionalFormatting>
  <conditionalFormatting sqref="Y125">
    <cfRule type="containsBlanks" priority="84" stopIfTrue="1">
      <formula>LEN(TRIM(Y125))=0</formula>
    </cfRule>
  </conditionalFormatting>
  <conditionalFormatting sqref="Y137">
    <cfRule type="containsBlanks" dxfId="40" priority="83" stopIfTrue="1">
      <formula>LEN(TRIM(Y137))=0</formula>
    </cfRule>
  </conditionalFormatting>
  <conditionalFormatting sqref="Y137">
    <cfRule type="containsBlanks" priority="82" stopIfTrue="1">
      <formula>LEN(TRIM(Y137))=0</formula>
    </cfRule>
  </conditionalFormatting>
  <conditionalFormatting sqref="Y138">
    <cfRule type="containsBlanks" dxfId="39" priority="81" stopIfTrue="1">
      <formula>LEN(TRIM(Y138))=0</formula>
    </cfRule>
  </conditionalFormatting>
  <conditionalFormatting sqref="Y138">
    <cfRule type="containsBlanks" priority="80" stopIfTrue="1">
      <formula>LEN(TRIM(Y138))=0</formula>
    </cfRule>
  </conditionalFormatting>
  <conditionalFormatting sqref="Y139">
    <cfRule type="containsBlanks" dxfId="38" priority="79" stopIfTrue="1">
      <formula>LEN(TRIM(Y139))=0</formula>
    </cfRule>
  </conditionalFormatting>
  <conditionalFormatting sqref="Y139">
    <cfRule type="containsBlanks" priority="78" stopIfTrue="1">
      <formula>LEN(TRIM(Y139))=0</formula>
    </cfRule>
  </conditionalFormatting>
  <conditionalFormatting sqref="Y144">
    <cfRule type="containsBlanks" dxfId="37" priority="77" stopIfTrue="1">
      <formula>LEN(TRIM(Y144))=0</formula>
    </cfRule>
  </conditionalFormatting>
  <conditionalFormatting sqref="Y144">
    <cfRule type="containsBlanks" priority="76" stopIfTrue="1">
      <formula>LEN(TRIM(Y144))=0</formula>
    </cfRule>
  </conditionalFormatting>
  <conditionalFormatting sqref="Y145">
    <cfRule type="containsBlanks" dxfId="36" priority="75" stopIfTrue="1">
      <formula>LEN(TRIM(Y145))=0</formula>
    </cfRule>
  </conditionalFormatting>
  <conditionalFormatting sqref="Y145">
    <cfRule type="containsBlanks" priority="74" stopIfTrue="1">
      <formula>LEN(TRIM(Y145))=0</formula>
    </cfRule>
  </conditionalFormatting>
  <conditionalFormatting sqref="Y146">
    <cfRule type="containsBlanks" dxfId="35" priority="73" stopIfTrue="1">
      <formula>LEN(TRIM(Y146))=0</formula>
    </cfRule>
  </conditionalFormatting>
  <conditionalFormatting sqref="Y146">
    <cfRule type="containsBlanks" priority="72" stopIfTrue="1">
      <formula>LEN(TRIM(Y146))=0</formula>
    </cfRule>
  </conditionalFormatting>
  <conditionalFormatting sqref="Y147">
    <cfRule type="containsBlanks" dxfId="34" priority="71" stopIfTrue="1">
      <formula>LEN(TRIM(Y147))=0</formula>
    </cfRule>
  </conditionalFormatting>
  <conditionalFormatting sqref="Y147">
    <cfRule type="containsBlanks" priority="70" stopIfTrue="1">
      <formula>LEN(TRIM(Y147))=0</formula>
    </cfRule>
  </conditionalFormatting>
  <conditionalFormatting sqref="Y148">
    <cfRule type="containsBlanks" dxfId="33" priority="69" stopIfTrue="1">
      <formula>LEN(TRIM(Y148))=0</formula>
    </cfRule>
  </conditionalFormatting>
  <conditionalFormatting sqref="Y148">
    <cfRule type="containsBlanks" priority="68" stopIfTrue="1">
      <formula>LEN(TRIM(Y148))=0</formula>
    </cfRule>
  </conditionalFormatting>
  <conditionalFormatting sqref="Y149">
    <cfRule type="containsBlanks" dxfId="32" priority="67" stopIfTrue="1">
      <formula>LEN(TRIM(Y149))=0</formula>
    </cfRule>
  </conditionalFormatting>
  <conditionalFormatting sqref="Y149">
    <cfRule type="containsBlanks" priority="66" stopIfTrue="1">
      <formula>LEN(TRIM(Y149))=0</formula>
    </cfRule>
  </conditionalFormatting>
  <conditionalFormatting sqref="Y153">
    <cfRule type="containsBlanks" dxfId="31" priority="65" stopIfTrue="1">
      <formula>LEN(TRIM(Y153))=0</formula>
    </cfRule>
  </conditionalFormatting>
  <conditionalFormatting sqref="Y153">
    <cfRule type="containsBlanks" priority="64" stopIfTrue="1">
      <formula>LEN(TRIM(Y153))=0</formula>
    </cfRule>
  </conditionalFormatting>
  <conditionalFormatting sqref="Y154:Y155">
    <cfRule type="containsBlanks" dxfId="30" priority="63" stopIfTrue="1">
      <formula>LEN(TRIM(Y154))=0</formula>
    </cfRule>
  </conditionalFormatting>
  <conditionalFormatting sqref="Y154:Y155">
    <cfRule type="containsBlanks" priority="62" stopIfTrue="1">
      <formula>LEN(TRIM(Y154))=0</formula>
    </cfRule>
  </conditionalFormatting>
  <conditionalFormatting sqref="Y160">
    <cfRule type="containsBlanks" dxfId="29" priority="61" stopIfTrue="1">
      <formula>LEN(TRIM(Y160))=0</formula>
    </cfRule>
  </conditionalFormatting>
  <conditionalFormatting sqref="Y160">
    <cfRule type="containsBlanks" priority="60" stopIfTrue="1">
      <formula>LEN(TRIM(Y160))=0</formula>
    </cfRule>
  </conditionalFormatting>
  <conditionalFormatting sqref="Y176:Y178">
    <cfRule type="containsBlanks" dxfId="28" priority="59" stopIfTrue="1">
      <formula>LEN(TRIM(Y176))=0</formula>
    </cfRule>
  </conditionalFormatting>
  <conditionalFormatting sqref="Y176:Y178">
    <cfRule type="containsBlanks" priority="58" stopIfTrue="1">
      <formula>LEN(TRIM(Y176))=0</formula>
    </cfRule>
  </conditionalFormatting>
  <conditionalFormatting sqref="Z109:Z111">
    <cfRule type="containsBlanks" priority="51" stopIfTrue="1">
      <formula>LEN(TRIM(Z109))=0</formula>
    </cfRule>
  </conditionalFormatting>
  <conditionalFormatting sqref="Z15 Z109:Z111">
    <cfRule type="containsBlanks" dxfId="27" priority="57" stopIfTrue="1">
      <formula>LEN(TRIM(Z15))=0</formula>
    </cfRule>
  </conditionalFormatting>
  <conditionalFormatting sqref="Z15">
    <cfRule type="containsBlanks" priority="56" stopIfTrue="1">
      <formula>LEN(TRIM(Z15))=0</formula>
    </cfRule>
  </conditionalFormatting>
  <conditionalFormatting sqref="Z16">
    <cfRule type="containsBlanks" dxfId="26" priority="55" stopIfTrue="1">
      <formula>LEN(TRIM(Z16))=0</formula>
    </cfRule>
  </conditionalFormatting>
  <conditionalFormatting sqref="Z16">
    <cfRule type="containsBlanks" priority="54" stopIfTrue="1">
      <formula>LEN(TRIM(Z16))=0</formula>
    </cfRule>
  </conditionalFormatting>
  <conditionalFormatting sqref="Z17">
    <cfRule type="containsBlanks" dxfId="25" priority="53" stopIfTrue="1">
      <formula>LEN(TRIM(Z17))=0</formula>
    </cfRule>
  </conditionalFormatting>
  <conditionalFormatting sqref="Z17">
    <cfRule type="containsBlanks" priority="52" stopIfTrue="1">
      <formula>LEN(TRIM(Z17))=0</formula>
    </cfRule>
  </conditionalFormatting>
  <conditionalFormatting sqref="Z61">
    <cfRule type="containsBlanks" dxfId="24" priority="50" stopIfTrue="1">
      <formula>LEN(TRIM(Z61))=0</formula>
    </cfRule>
  </conditionalFormatting>
  <conditionalFormatting sqref="Z61">
    <cfRule type="containsBlanks" priority="49" stopIfTrue="1">
      <formula>LEN(TRIM(Z61))=0</formula>
    </cfRule>
  </conditionalFormatting>
  <conditionalFormatting sqref="Z62">
    <cfRule type="containsBlanks" dxfId="23" priority="48" stopIfTrue="1">
      <formula>LEN(TRIM(Z62))=0</formula>
    </cfRule>
  </conditionalFormatting>
  <conditionalFormatting sqref="Z62">
    <cfRule type="containsBlanks" priority="47" stopIfTrue="1">
      <formula>LEN(TRIM(Z62))=0</formula>
    </cfRule>
  </conditionalFormatting>
  <conditionalFormatting sqref="Z68">
    <cfRule type="containsBlanks" dxfId="22" priority="46" stopIfTrue="1">
      <formula>LEN(TRIM(Z68))=0</formula>
    </cfRule>
  </conditionalFormatting>
  <conditionalFormatting sqref="Z68">
    <cfRule type="containsBlanks" priority="45" stopIfTrue="1">
      <formula>LEN(TRIM(Z68))=0</formula>
    </cfRule>
  </conditionalFormatting>
  <conditionalFormatting sqref="Z77:Z78">
    <cfRule type="containsBlanks" dxfId="21" priority="44" stopIfTrue="1">
      <formula>LEN(TRIM(Z77))=0</formula>
    </cfRule>
  </conditionalFormatting>
  <conditionalFormatting sqref="Z77:Z78">
    <cfRule type="containsBlanks" priority="43" stopIfTrue="1">
      <formula>LEN(TRIM(Z77))=0</formula>
    </cfRule>
  </conditionalFormatting>
  <conditionalFormatting sqref="Z104:Z105">
    <cfRule type="containsBlanks" dxfId="20" priority="42" stopIfTrue="1">
      <formula>LEN(TRIM(Z104))=0</formula>
    </cfRule>
  </conditionalFormatting>
  <conditionalFormatting sqref="Z104:Z105">
    <cfRule type="containsBlanks" priority="41" stopIfTrue="1">
      <formula>LEN(TRIM(Z104))=0</formula>
    </cfRule>
  </conditionalFormatting>
  <conditionalFormatting sqref="Z116">
    <cfRule type="containsBlanks" dxfId="19" priority="40" stopIfTrue="1">
      <formula>LEN(TRIM(Z116))=0</formula>
    </cfRule>
  </conditionalFormatting>
  <conditionalFormatting sqref="Z116">
    <cfRule type="containsBlanks" priority="39" stopIfTrue="1">
      <formula>LEN(TRIM(Z116))=0</formula>
    </cfRule>
  </conditionalFormatting>
  <conditionalFormatting sqref="Z117">
    <cfRule type="containsBlanks" dxfId="18" priority="38" stopIfTrue="1">
      <formula>LEN(TRIM(Z117))=0</formula>
    </cfRule>
  </conditionalFormatting>
  <conditionalFormatting sqref="Z117">
    <cfRule type="containsBlanks" priority="37" stopIfTrue="1">
      <formula>LEN(TRIM(Z117))=0</formula>
    </cfRule>
  </conditionalFormatting>
  <conditionalFormatting sqref="Z122">
    <cfRule type="containsBlanks" dxfId="17" priority="36" stopIfTrue="1">
      <formula>LEN(TRIM(Z122))=0</formula>
    </cfRule>
  </conditionalFormatting>
  <conditionalFormatting sqref="Z122">
    <cfRule type="containsBlanks" priority="35" stopIfTrue="1">
      <formula>LEN(TRIM(Z122))=0</formula>
    </cfRule>
  </conditionalFormatting>
  <conditionalFormatting sqref="Z124">
    <cfRule type="containsBlanks" dxfId="16" priority="34" stopIfTrue="1">
      <formula>LEN(TRIM(Z124))=0</formula>
    </cfRule>
  </conditionalFormatting>
  <conditionalFormatting sqref="Z124">
    <cfRule type="containsBlanks" priority="33" stopIfTrue="1">
      <formula>LEN(TRIM(Z124))=0</formula>
    </cfRule>
  </conditionalFormatting>
  <conditionalFormatting sqref="Z123">
    <cfRule type="containsBlanks" dxfId="15" priority="32" stopIfTrue="1">
      <formula>LEN(TRIM(Z123))=0</formula>
    </cfRule>
  </conditionalFormatting>
  <conditionalFormatting sqref="Z123">
    <cfRule type="containsBlanks" priority="31" stopIfTrue="1">
      <formula>LEN(TRIM(Z123))=0</formula>
    </cfRule>
  </conditionalFormatting>
  <conditionalFormatting sqref="Z125">
    <cfRule type="containsBlanks" dxfId="14" priority="30" stopIfTrue="1">
      <formula>LEN(TRIM(Z125))=0</formula>
    </cfRule>
  </conditionalFormatting>
  <conditionalFormatting sqref="Z125">
    <cfRule type="containsBlanks" priority="29" stopIfTrue="1">
      <formula>LEN(TRIM(Z125))=0</formula>
    </cfRule>
  </conditionalFormatting>
  <conditionalFormatting sqref="Z137">
    <cfRule type="containsBlanks" dxfId="13" priority="28" stopIfTrue="1">
      <formula>LEN(TRIM(Z137))=0</formula>
    </cfRule>
  </conditionalFormatting>
  <conditionalFormatting sqref="Z137">
    <cfRule type="containsBlanks" priority="27" stopIfTrue="1">
      <formula>LEN(TRIM(Z137))=0</formula>
    </cfRule>
  </conditionalFormatting>
  <conditionalFormatting sqref="Z138">
    <cfRule type="containsBlanks" dxfId="12" priority="26" stopIfTrue="1">
      <formula>LEN(TRIM(Z138))=0</formula>
    </cfRule>
  </conditionalFormatting>
  <conditionalFormatting sqref="Z138">
    <cfRule type="containsBlanks" priority="25" stopIfTrue="1">
      <formula>LEN(TRIM(Z138))=0</formula>
    </cfRule>
  </conditionalFormatting>
  <conditionalFormatting sqref="Z139">
    <cfRule type="containsBlanks" dxfId="11" priority="24" stopIfTrue="1">
      <formula>LEN(TRIM(Z139))=0</formula>
    </cfRule>
  </conditionalFormatting>
  <conditionalFormatting sqref="Z139">
    <cfRule type="containsBlanks" priority="23" stopIfTrue="1">
      <formula>LEN(TRIM(Z139))=0</formula>
    </cfRule>
  </conditionalFormatting>
  <conditionalFormatting sqref="Z144">
    <cfRule type="containsBlanks" dxfId="10" priority="22" stopIfTrue="1">
      <formula>LEN(TRIM(Z144))=0</formula>
    </cfRule>
  </conditionalFormatting>
  <conditionalFormatting sqref="Z144">
    <cfRule type="containsBlanks" priority="21" stopIfTrue="1">
      <formula>LEN(TRIM(Z144))=0</formula>
    </cfRule>
  </conditionalFormatting>
  <conditionalFormatting sqref="Z145">
    <cfRule type="containsBlanks" dxfId="9" priority="20" stopIfTrue="1">
      <formula>LEN(TRIM(Z145))=0</formula>
    </cfRule>
  </conditionalFormatting>
  <conditionalFormatting sqref="Z145">
    <cfRule type="containsBlanks" priority="19" stopIfTrue="1">
      <formula>LEN(TRIM(Z145))=0</formula>
    </cfRule>
  </conditionalFormatting>
  <conditionalFormatting sqref="Z146">
    <cfRule type="containsBlanks" dxfId="8" priority="18" stopIfTrue="1">
      <formula>LEN(TRIM(Z146))=0</formula>
    </cfRule>
  </conditionalFormatting>
  <conditionalFormatting sqref="Z146">
    <cfRule type="containsBlanks" priority="17" stopIfTrue="1">
      <formula>LEN(TRIM(Z146))=0</formula>
    </cfRule>
  </conditionalFormatting>
  <conditionalFormatting sqref="Z147">
    <cfRule type="containsBlanks" dxfId="7" priority="16" stopIfTrue="1">
      <formula>LEN(TRIM(Z147))=0</formula>
    </cfRule>
  </conditionalFormatting>
  <conditionalFormatting sqref="Z147">
    <cfRule type="containsBlanks" priority="15" stopIfTrue="1">
      <formula>LEN(TRIM(Z147))=0</formula>
    </cfRule>
  </conditionalFormatting>
  <conditionalFormatting sqref="Z148">
    <cfRule type="containsBlanks" dxfId="6" priority="14" stopIfTrue="1">
      <formula>LEN(TRIM(Z148))=0</formula>
    </cfRule>
  </conditionalFormatting>
  <conditionalFormatting sqref="Z148">
    <cfRule type="containsBlanks" priority="13" stopIfTrue="1">
      <formula>LEN(TRIM(Z148))=0</formula>
    </cfRule>
  </conditionalFormatting>
  <conditionalFormatting sqref="Z149">
    <cfRule type="containsBlanks" dxfId="5" priority="12" stopIfTrue="1">
      <formula>LEN(TRIM(Z149))=0</formula>
    </cfRule>
  </conditionalFormatting>
  <conditionalFormatting sqref="Z149">
    <cfRule type="containsBlanks" priority="11" stopIfTrue="1">
      <formula>LEN(TRIM(Z149))=0</formula>
    </cfRule>
  </conditionalFormatting>
  <conditionalFormatting sqref="Z153">
    <cfRule type="containsBlanks" dxfId="4" priority="10" stopIfTrue="1">
      <formula>LEN(TRIM(Z153))=0</formula>
    </cfRule>
  </conditionalFormatting>
  <conditionalFormatting sqref="Z153">
    <cfRule type="containsBlanks" priority="9" stopIfTrue="1">
      <formula>LEN(TRIM(Z153))=0</formula>
    </cfRule>
  </conditionalFormatting>
  <conditionalFormatting sqref="Z154:Z155">
    <cfRule type="containsBlanks" dxfId="3" priority="8" stopIfTrue="1">
      <formula>LEN(TRIM(Z154))=0</formula>
    </cfRule>
  </conditionalFormatting>
  <conditionalFormatting sqref="Z154:Z155">
    <cfRule type="containsBlanks" priority="7" stopIfTrue="1">
      <formula>LEN(TRIM(Z154))=0</formula>
    </cfRule>
  </conditionalFormatting>
  <conditionalFormatting sqref="Z160">
    <cfRule type="containsBlanks" dxfId="2" priority="6" stopIfTrue="1">
      <formula>LEN(TRIM(Z160))=0</formula>
    </cfRule>
  </conditionalFormatting>
  <conditionalFormatting sqref="Z160">
    <cfRule type="containsBlanks" priority="5" stopIfTrue="1">
      <formula>LEN(TRIM(Z160))=0</formula>
    </cfRule>
  </conditionalFormatting>
  <conditionalFormatting sqref="Z176:Z178">
    <cfRule type="containsBlanks" dxfId="1" priority="4" stopIfTrue="1">
      <formula>LEN(TRIM(Z176))=0</formula>
    </cfRule>
  </conditionalFormatting>
  <conditionalFormatting sqref="Z176:Z178">
    <cfRule type="containsBlanks" priority="3" stopIfTrue="1">
      <formula>LEN(TRIM(Z176))=0</formula>
    </cfRule>
  </conditionalFormatting>
  <conditionalFormatting sqref="I24:M24 O24 Q24">
    <cfRule type="containsBlanks" dxfId="0" priority="2" stopIfTrue="1">
      <formula>LEN(TRIM(I24))=0</formula>
    </cfRule>
  </conditionalFormatting>
  <conditionalFormatting sqref="I24:M24 O24 Q24">
    <cfRule type="containsBlanks" priority="1" stopIfTrue="1">
      <formula>LEN(TRIM(I24))=0</formula>
    </cfRule>
  </conditionalFormatting>
  <pageMargins left="0.7" right="0.7" top="0.75" bottom="0.75" header="0.3" footer="0.3"/>
  <pageSetup orientation="portrait"/>
  <legacyDrawing r:id="rId1"/>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How to fill Archival</vt:lpstr>
      <vt:lpstr>How to fill Reference</vt:lpstr>
      <vt:lpstr>Example Averages</vt:lpstr>
      <vt:lpstr>Archival</vt:lpstr>
      <vt:lpstr>Reference</vt:lpstr>
      <vt:lpstr>Upload</vt:lpstr>
      <vt:lpstr>ADePT_upload</vt:lpstr>
      <vt:lpstr>Averages</vt:lpstr>
    </vt:vector>
  </TitlesOfParts>
  <Company>FAO of the UN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moltedo</dc:creator>
  <cp:lastModifiedBy>Talent K Manyani</cp:lastModifiedBy>
  <dcterms:created xsi:type="dcterms:W3CDTF">2010-03-30T13:50:29Z</dcterms:created>
  <dcterms:modified xsi:type="dcterms:W3CDTF">2020-08-12T13:28:48Z</dcterms:modified>
</cp:coreProperties>
</file>