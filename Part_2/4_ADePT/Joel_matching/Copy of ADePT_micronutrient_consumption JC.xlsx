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nkle\OneDrive - UNICEF\00. CURRENT\"/>
    </mc:Choice>
  </mc:AlternateContent>
  <xr:revisionPtr revIDLastSave="43" documentId="14_{67E86F07-D5E8-4D09-9A74-6AC9322F8E57}" xr6:coauthVersionLast="44" xr6:coauthVersionMax="44" xr10:uidLastSave="{6CECE1C1-701F-490A-9908-7017D0356DF3}"/>
  <bookViews>
    <workbookView xWindow="8" yWindow="8" windowWidth="14385" windowHeight="8084" xr2:uid="{B2930730-81FC-4D84-AC7B-8D3BE4D5EBE5}"/>
  </bookViews>
  <sheets>
    <sheet name="Reference" sheetId="1" r:id="rId1"/>
    <sheet name="Table 3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8" i="1" l="1"/>
  <c r="B2" i="1"/>
  <c r="B92" i="1"/>
  <c r="B81" i="1"/>
  <c r="B39" i="1"/>
  <c r="B34" i="1"/>
  <c r="B11" i="1"/>
  <c r="B56" i="1"/>
  <c r="B105" i="1"/>
  <c r="B16" i="1"/>
  <c r="B101" i="1"/>
  <c r="B48" i="1"/>
  <c r="B3" i="1"/>
  <c r="B6" i="1"/>
  <c r="B77" i="1"/>
  <c r="B156" i="1"/>
  <c r="B52" i="1"/>
  <c r="B5" i="1"/>
  <c r="B29" i="1"/>
  <c r="B18" i="1"/>
  <c r="B26" i="1"/>
  <c r="B115" i="1"/>
  <c r="B108" i="1"/>
  <c r="B125" i="1"/>
  <c r="B107" i="1"/>
  <c r="B94" i="1"/>
  <c r="B63" i="1"/>
  <c r="B37" i="1"/>
  <c r="B43" i="1"/>
  <c r="B73" i="1"/>
  <c r="B46" i="1"/>
  <c r="B84" i="1"/>
  <c r="B32" i="1"/>
  <c r="B85" i="1"/>
  <c r="B65" i="1"/>
  <c r="B173" i="1"/>
  <c r="B119" i="1"/>
  <c r="B49" i="1"/>
  <c r="B17" i="1"/>
  <c r="B20" i="1"/>
  <c r="B145" i="1"/>
  <c r="B169" i="1"/>
  <c r="B124" i="1"/>
  <c r="B54" i="1"/>
  <c r="B147" i="1"/>
  <c r="B44" i="1"/>
  <c r="B42" i="1"/>
  <c r="B106" i="1"/>
  <c r="B14" i="1"/>
  <c r="B83" i="1"/>
  <c r="B67" i="1"/>
  <c r="B164" i="1"/>
  <c r="B151" i="1"/>
  <c r="B153" i="1"/>
  <c r="B126" i="1"/>
  <c r="B133" i="1"/>
  <c r="B68" i="1"/>
  <c r="B38" i="1"/>
  <c r="B71" i="1"/>
  <c r="B10" i="1"/>
  <c r="B66" i="1"/>
  <c r="B159" i="1"/>
  <c r="B35" i="1"/>
  <c r="B78" i="1"/>
  <c r="B134" i="1"/>
  <c r="B136" i="1"/>
  <c r="B22" i="1"/>
  <c r="B158" i="1"/>
  <c r="B137" i="1"/>
  <c r="B165" i="1"/>
  <c r="B167" i="1"/>
  <c r="B130" i="1"/>
  <c r="B53" i="1"/>
  <c r="B57" i="1"/>
  <c r="B51" i="1"/>
  <c r="B127" i="1"/>
  <c r="B142" i="1"/>
  <c r="B150" i="1"/>
  <c r="B177" i="1"/>
  <c r="B91" i="1"/>
  <c r="B146" i="1"/>
  <c r="B114" i="1"/>
  <c r="B148" i="1"/>
  <c r="B176" i="1"/>
  <c r="B143" i="1"/>
  <c r="B100" i="1"/>
  <c r="B111" i="1"/>
  <c r="B155" i="1"/>
  <c r="B178" i="1"/>
  <c r="B79" i="1"/>
  <c r="B24" i="1"/>
  <c r="B140" i="1"/>
  <c r="B172" i="1"/>
  <c r="B89" i="1"/>
  <c r="B122" i="1"/>
  <c r="B139" i="1"/>
  <c r="B97" i="1"/>
  <c r="B179" i="1"/>
  <c r="B64" i="1"/>
  <c r="B103" i="1"/>
  <c r="B132" i="1"/>
  <c r="B141" i="1"/>
  <c r="B88" i="1"/>
  <c r="B180" i="1"/>
  <c r="B174" i="1"/>
  <c r="B160" i="1"/>
  <c r="B181" i="1"/>
  <c r="B182" i="1"/>
  <c r="B135" i="1"/>
  <c r="B170" i="1"/>
  <c r="B154" i="1"/>
  <c r="B183" i="1"/>
  <c r="B93" i="1"/>
  <c r="B36" i="1"/>
  <c r="B113" i="1"/>
  <c r="B15" i="1"/>
  <c r="B184" i="1"/>
  <c r="B112" i="1"/>
  <c r="B149" i="1"/>
  <c r="B31" i="1"/>
  <c r="B152" i="1"/>
  <c r="B185" i="1"/>
  <c r="B41" i="1"/>
  <c r="B86" i="1"/>
  <c r="B90" i="1"/>
  <c r="B102" i="1"/>
  <c r="B69" i="1"/>
  <c r="B129" i="1"/>
  <c r="B27" i="1"/>
  <c r="B23" i="1"/>
  <c r="B186" i="1"/>
  <c r="B80" i="1"/>
  <c r="B50" i="1"/>
  <c r="B187" i="1"/>
  <c r="B25" i="1"/>
  <c r="B175" i="1"/>
  <c r="B123" i="1"/>
  <c r="B40" i="1"/>
  <c r="B157" i="1"/>
  <c r="B162" i="1"/>
  <c r="B116" i="1"/>
  <c r="B72" i="1"/>
  <c r="B12" i="1"/>
  <c r="B55" i="1"/>
  <c r="B47" i="1"/>
  <c r="B118" i="1"/>
  <c r="B121" i="1"/>
  <c r="B62" i="1"/>
  <c r="B59" i="1"/>
  <c r="B19" i="1"/>
  <c r="B144" i="1"/>
  <c r="B168" i="1"/>
  <c r="B188" i="1"/>
  <c r="B171" i="1"/>
  <c r="B128" i="1"/>
  <c r="B76" i="1"/>
  <c r="B95" i="1"/>
  <c r="B61" i="1"/>
  <c r="B117" i="1"/>
  <c r="B98" i="1"/>
  <c r="B87" i="1"/>
  <c r="B161" i="1"/>
  <c r="B99" i="1"/>
  <c r="B58" i="1"/>
  <c r="B110" i="1"/>
  <c r="B163" i="1"/>
  <c r="B166" i="1"/>
  <c r="B131" i="1"/>
  <c r="B109" i="1"/>
  <c r="B60" i="1"/>
  <c r="B21" i="1"/>
  <c r="B75" i="1"/>
  <c r="B8" i="1"/>
  <c r="B120" i="1"/>
  <c r="B74" i="1"/>
  <c r="B45" i="1"/>
  <c r="B9" i="1"/>
  <c r="B33" i="1"/>
  <c r="B13" i="1"/>
  <c r="B4" i="1"/>
  <c r="B96" i="1"/>
  <c r="B104" i="1"/>
  <c r="B82" i="1"/>
  <c r="B70" i="1"/>
  <c r="B28" i="1"/>
  <c r="B30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I1" authorId="0" shapeId="0" xr:uid="{AFB369B2-2992-46B3-9DDB-18C815B1577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T1" authorId="0" shapeId="0" xr:uid="{F6008192-D0C2-45B2-95B9-83CD55EDD01B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V1" authorId="0" shapeId="0" xr:uid="{E667D018-B7DE-4694-891E-BE70EA3C843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sharedStrings.xml><?xml version="1.0" encoding="utf-8"?>
<sst xmlns="http://schemas.openxmlformats.org/spreadsheetml/2006/main" count="957" uniqueCount="512">
  <si>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</si>
  <si>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</si>
  <si>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t>Reference Food Composition Table (FCT)</t>
  </si>
  <si>
    <t>Food code in FCT</t>
  </si>
  <si>
    <t>Food description in FCT</t>
  </si>
  <si>
    <t xml:space="preserve">Food Item Index Matching (Read the text in the comment of this cell)
</t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</si>
  <si>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</si>
  <si>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</si>
  <si>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</si>
  <si>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Water (grams)</t>
  </si>
  <si>
    <t>Ash (grams)</t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</si>
  <si>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</si>
  <si>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</si>
  <si>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</si>
  <si>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</si>
  <si>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t>Carbohydrates including fiber (Total) (grams)</t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</si>
  <si>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</si>
  <si>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t>Calories (Kcal)</t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</si>
  <si>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</si>
  <si>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</si>
  <si>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</si>
  <si>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</si>
  <si>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</si>
  <si>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</si>
  <si>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</si>
  <si>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</si>
  <si>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</si>
  <si>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</si>
  <si>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</si>
  <si>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</si>
  <si>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</si>
  <si>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</si>
  <si>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</si>
  <si>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</si>
  <si>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</si>
  <si>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</si>
  <si>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</si>
  <si>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</si>
  <si>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</si>
  <si>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</si>
  <si>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</si>
  <si>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</si>
  <si>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</si>
  <si>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</si>
  <si>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</si>
  <si>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</si>
  <si>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</si>
  <si>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</si>
  <si>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</si>
  <si>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</si>
  <si>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</si>
  <si>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</si>
  <si>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</si>
  <si>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</si>
  <si>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01_046</t>
  </si>
  <si>
    <t>Bread, wheat, white</t>
  </si>
  <si>
    <t>Brotchen</t>
  </si>
  <si>
    <t>01_045</t>
  </si>
  <si>
    <t>Bread/rolls, white</t>
  </si>
  <si>
    <t>Biscuits, rusks</t>
  </si>
  <si>
    <t>Vetkoek</t>
  </si>
  <si>
    <t>Traditional bread, ash bread, oshikwiila, oshima, omungome</t>
  </si>
  <si>
    <t>Macaroni, spaghetti, noodles</t>
  </si>
  <si>
    <t>01_053</t>
  </si>
  <si>
    <t>Macaroni, boiled* (without salt)</t>
  </si>
  <si>
    <t>Cakes (all types)</t>
  </si>
  <si>
    <t>CAKE,FRUITCAKE,COMMLY PREP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</si>
  <si>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</si>
  <si>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</si>
  <si>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</si>
  <si>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</si>
  <si>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</si>
  <si>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</si>
  <si>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</si>
  <si>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</si>
  <si>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01_044</t>
  </si>
  <si>
    <t>Bread, maize flour, yellow, with milk and egg</t>
  </si>
  <si>
    <t>Maize meal/ grain/ samp</t>
  </si>
  <si>
    <t>01_014</t>
  </si>
  <si>
    <t>Maize, combined varieties, whole kernel, dried, raw (Benin)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</si>
  <si>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</si>
  <si>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</si>
  <si>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</si>
  <si>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</si>
  <si>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</si>
  <si>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</si>
  <si>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</si>
  <si>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</si>
  <si>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</si>
  <si>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CERLS,QUKR,INST OTML,DNSR EGS W/ "DNSR BNS",BRN SGR CINN,DRY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</si>
  <si>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</si>
  <si>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</si>
  <si>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</si>
  <si>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</si>
  <si>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</si>
  <si>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</si>
  <si>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</si>
  <si>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</si>
  <si>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</si>
  <si>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</si>
  <si>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</si>
  <si>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</si>
  <si>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</si>
  <si>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</si>
  <si>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</si>
  <si>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</si>
  <si>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</si>
  <si>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</si>
  <si>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</si>
  <si>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</si>
  <si>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</si>
  <si>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</si>
  <si>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</si>
  <si>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</si>
  <si>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</si>
  <si>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</si>
  <si>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</si>
  <si>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</si>
  <si>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</si>
  <si>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</si>
  <si>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</si>
  <si>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</si>
  <si>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</si>
  <si>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</si>
  <si>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</si>
  <si>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</si>
  <si>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</si>
  <si>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</si>
  <si>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</si>
  <si>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</si>
  <si>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</si>
  <si>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</si>
  <si>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</si>
  <si>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</si>
  <si>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</si>
  <si>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</si>
  <si>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</si>
  <si>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</si>
  <si>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</si>
  <si>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</si>
  <si>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</si>
  <si>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</si>
  <si>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</si>
  <si>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</si>
  <si>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</si>
  <si>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</si>
  <si>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</si>
  <si>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</si>
  <si>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</si>
  <si>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</si>
  <si>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</si>
  <si>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</si>
  <si>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</si>
  <si>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</si>
  <si>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</si>
  <si>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</si>
  <si>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</si>
  <si>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</si>
  <si>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</si>
  <si>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</si>
  <si>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</si>
  <si>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</si>
  <si>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</si>
  <si>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</si>
  <si>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</si>
  <si>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</si>
  <si>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</si>
  <si>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</si>
  <si>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</si>
  <si>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</si>
  <si>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</si>
  <si>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</si>
  <si>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</si>
  <si>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</si>
  <si>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</si>
  <si>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</si>
  <si>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</si>
  <si>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</si>
  <si>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</si>
  <si>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</si>
  <si>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A2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</si>
  <si>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</si>
  <si>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</si>
  <si>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</si>
  <si>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</si>
  <si>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</si>
  <si>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</si>
  <si>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</si>
  <si>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</si>
  <si>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</si>
  <si>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</si>
  <si>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</si>
  <si>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A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</si>
  <si>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</si>
  <si>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</si>
  <si>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</si>
  <si>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</si>
  <si>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</si>
  <si>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</si>
  <si>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</si>
  <si>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</si>
  <si>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</si>
  <si>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</si>
  <si>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</si>
  <si>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</si>
  <si>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</si>
  <si>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</si>
  <si>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</si>
  <si>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</si>
  <si>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</si>
  <si>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</si>
  <si>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</si>
  <si>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</si>
  <si>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</si>
  <si>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11_010</t>
  </si>
  <si>
    <t>Vegetable oil</t>
  </si>
  <si>
    <t>Olive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</si>
  <si>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</si>
  <si>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</si>
  <si>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</si>
  <si>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</si>
  <si>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</si>
  <si>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</si>
  <si>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</si>
  <si>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</si>
  <si>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</si>
  <si>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</si>
  <si>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</si>
  <si>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</si>
  <si>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</si>
  <si>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</si>
  <si>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</si>
  <si>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</si>
  <si>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</si>
  <si>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</si>
  <si>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</si>
  <si>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</si>
  <si>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</si>
  <si>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</si>
  <si>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</si>
  <si>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</si>
  <si>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</si>
  <si>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</si>
  <si>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</si>
  <si>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</si>
  <si>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</si>
  <si>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</si>
  <si>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</si>
  <si>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</si>
  <si>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</si>
  <si>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</si>
  <si>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</si>
  <si>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</si>
  <si>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</si>
  <si>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</si>
  <si>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</si>
  <si>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</si>
  <si>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</si>
  <si>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</si>
  <si>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</si>
  <si>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</si>
  <si>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</si>
  <si>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</si>
  <si>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</si>
  <si>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</si>
  <si>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</si>
  <si>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</si>
  <si>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</si>
  <si>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</si>
  <si>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</si>
  <si>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</si>
  <si>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</si>
  <si>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</si>
  <si>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</si>
  <si>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</si>
  <si>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</si>
  <si>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</si>
  <si>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</si>
  <si>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</si>
  <si>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</si>
  <si>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</si>
  <si>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</si>
  <si>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</si>
  <si>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</si>
  <si>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</si>
  <si>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</si>
  <si>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</si>
  <si>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</si>
  <si>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</si>
  <si>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</si>
  <si>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</si>
  <si>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</si>
  <si>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</si>
  <si>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</si>
  <si>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</si>
  <si>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</si>
  <si>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</si>
  <si>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</si>
  <si>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</si>
  <si>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</si>
  <si>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</si>
  <si>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</si>
  <si>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</si>
  <si>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</si>
  <si>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</si>
  <si>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</si>
  <si>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</si>
  <si>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</si>
  <si>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</si>
  <si>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</si>
  <si>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</si>
  <si>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</si>
  <si>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</si>
  <si>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</si>
  <si>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</si>
  <si>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</si>
  <si>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</si>
  <si>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</si>
  <si>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</si>
  <si>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</si>
  <si>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</si>
  <si>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</si>
  <si>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</si>
  <si>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</si>
  <si>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</si>
  <si>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</si>
  <si>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</si>
  <si>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</si>
  <si>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</si>
  <si>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</si>
  <si>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</si>
  <si>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</si>
  <si>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</si>
  <si>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</si>
  <si>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</si>
  <si>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</si>
  <si>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</si>
  <si>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</si>
  <si>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</si>
  <si>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</si>
  <si>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</si>
  <si>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</si>
  <si>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</si>
  <si>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</si>
  <si>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</si>
  <si>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</si>
  <si>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</si>
  <si>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</si>
  <si>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</si>
  <si>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</si>
  <si>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</si>
  <si>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</si>
  <si>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</si>
  <si>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</si>
  <si>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</si>
  <si>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</si>
  <si>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</si>
  <si>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</si>
  <si>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</si>
  <si>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</si>
  <si>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</si>
  <si>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</si>
  <si>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</si>
  <si>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</si>
  <si>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</si>
  <si>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</si>
  <si>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</si>
  <si>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</si>
  <si>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</si>
  <si>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</si>
  <si>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</si>
  <si>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</si>
  <si>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</si>
  <si>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</si>
  <si>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</si>
  <si>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</si>
  <si>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</si>
  <si>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</si>
  <si>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</si>
  <si>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</si>
  <si>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</si>
  <si>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</si>
  <si>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</si>
  <si>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</si>
  <si>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</si>
  <si>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</si>
  <si>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</si>
  <si>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</si>
  <si>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</si>
  <si>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</si>
  <si>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</si>
  <si>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</si>
  <si>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</si>
  <si>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</si>
  <si>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</si>
  <si>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</si>
  <si>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</si>
  <si>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</si>
  <si>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</si>
  <si>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</si>
  <si>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</si>
  <si>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</si>
  <si>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</si>
  <si>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</si>
  <si>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</si>
  <si>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</si>
  <si>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</si>
  <si>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</si>
  <si>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</si>
  <si>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</si>
  <si>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</si>
  <si>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</si>
  <si>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</si>
  <si>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</si>
  <si>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</si>
  <si>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</si>
  <si>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</si>
  <si>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</si>
  <si>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</si>
  <si>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</si>
  <si>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</si>
  <si>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</si>
  <si>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</si>
  <si>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</si>
  <si>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</si>
  <si>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</si>
  <si>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</si>
  <si>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</si>
  <si>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13_015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</si>
  <si>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</si>
  <si>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</si>
  <si>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</si>
  <si>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</si>
  <si>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</si>
  <si>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</si>
  <si>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</si>
  <si>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</si>
  <si>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</si>
  <si>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</si>
  <si>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</si>
  <si>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</si>
  <si>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</si>
  <si>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</si>
  <si>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</si>
  <si>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</si>
  <si>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</si>
  <si>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</si>
  <si>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</si>
  <si>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</si>
  <si>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</si>
  <si>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</si>
  <si>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</si>
  <si>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</si>
  <si>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</si>
  <si>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</si>
  <si>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</si>
  <si>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</si>
  <si>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</si>
  <si>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</si>
  <si>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</si>
  <si>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</si>
  <si>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01_061</t>
  </si>
  <si>
    <t>Maize, white, soft porridge* (without salt)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</si>
  <si>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</si>
  <si>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</si>
  <si>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</si>
  <si>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</si>
  <si>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</si>
  <si>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</si>
  <si>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</si>
  <si>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</si>
  <si>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</si>
  <si>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</si>
  <si>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</si>
  <si>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</si>
  <si>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</si>
  <si>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</si>
  <si>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t>3.1 Consumption statistics for each food item at national level</t>
  </si>
  <si>
    <t>Average quantity as purchased (g/capita/day)</t>
  </si>
  <si>
    <t>Average edible quantity (g/capita/day)</t>
  </si>
  <si>
    <t>Average food consumption in monetary value (LCU/capita/day)</t>
  </si>
  <si>
    <t>Average dietary energy consumption (kcal/capita/day)</t>
  </si>
  <si>
    <t>Median dietary energy unit value (LCU/1000 kcal)</t>
  </si>
  <si>
    <t>COICOP Code</t>
  </si>
  <si>
    <t>Back to the table of contents</t>
  </si>
  <si>
    <t>Chicken</t>
  </si>
  <si>
    <t>Worms (omaungu, omanghandja, omaenghowa, murere,</t>
  </si>
  <si>
    <t>Spreads, other (specify)</t>
  </si>
  <si>
    <t>Oombe</t>
  </si>
  <si>
    <t>Cocoanuts</t>
  </si>
  <si>
    <t>Chilli</t>
  </si>
  <si>
    <t>Ginger</t>
  </si>
  <si>
    <t>Cake essences</t>
  </si>
  <si>
    <t>Ready-made frozen food</t>
  </si>
  <si>
    <t>Whiskies</t>
  </si>
  <si>
    <t>Sparkling wines/ Champagnes</t>
  </si>
  <si>
    <t>Marunga (palm wine made traditional way)</t>
  </si>
  <si>
    <t>Descriptions</t>
  </si>
  <si>
    <t>SA Table Code</t>
  </si>
  <si>
    <t>SA Table Name</t>
  </si>
  <si>
    <t>Bread/Rolls, white (fortified)</t>
  </si>
  <si>
    <t>Maize meal, sifted, raw (white, fortified)</t>
  </si>
  <si>
    <t>Maize meal, super, porridge, soft (white, fortified)</t>
  </si>
  <si>
    <t>Macaroni/Spaghetti, cooked</t>
  </si>
  <si>
    <t>Vegetable oil (50% sunflower,30% maize, 20% peanut)</t>
  </si>
  <si>
    <t>Bread/Rolls, white, high protein</t>
  </si>
  <si>
    <t>Vetkoek, home-made (cake flour, water)</t>
  </si>
  <si>
    <t>Wheat flour, cake flour</t>
  </si>
  <si>
    <t>Cake, butter, plain, home-made (WM, HM)</t>
  </si>
  <si>
    <t>Salt, table, iodised</t>
  </si>
  <si>
    <t>Oats, rolled or oatmeal, cooked</t>
  </si>
  <si>
    <t>Average, other vegetables, boiled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</si>
</sst>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15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scheme val="minor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u/>
      <sz val="11"/>
      <color theme="10"/>
      <name val="Calibri"/>
      <scheme val="minor"/>
    </font>
    <font>
      <u/>
      <sz val="10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0" borderId="0" xfId="1"/>
    <xf numFmtId="0" fontId="11" fillId="0" borderId="3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9" fillId="0" borderId="0" xfId="1" applyAlignment="1">
      <alignment wrapText="1"/>
    </xf>
    <xf numFmtId="0" fontId="12" fillId="0" borderId="0" xfId="1" applyFont="1" applyAlignment="1">
      <alignment horizontal="left" vertical="center" wrapText="1"/>
    </xf>
    <xf numFmtId="16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2" fillId="0" borderId="4" xfId="1" applyFont="1" applyBorder="1" applyAlignment="1">
      <alignment horizontal="right" vertical="center" wrapText="1"/>
    </xf>
    <xf numFmtId="0" fontId="12" fillId="0" borderId="0" xfId="1" applyFont="1" applyAlignment="1">
      <alignment horizontal="right" vertical="center" wrapText="1"/>
    </xf>
    <xf numFmtId="2" fontId="0" fillId="0" borderId="0" xfId="0" applyNumberFormat="1"/>
    <xf numFmtId="0" fontId="11" fillId="5" borderId="3" xfId="1" applyFont="1" applyFill="1" applyBorder="1" applyAlignment="1">
      <alignment horizontal="center" vertical="center" wrapText="1"/>
    </xf>
    <xf numFmtId="0" fontId="0" fillId="5" borderId="0" xfId="0" applyFill="1"/>
    <xf numFmtId="2" fontId="0" fillId="5" borderId="0" xfId="0" applyNumberFormat="1" applyFill="1"/>
    <xf numFmtId="0" fontId="1" fillId="5" borderId="0" xfId="0" applyFont="1" applyFill="1"/>
    <xf numFmtId="0" fontId="10" fillId="0" borderId="0" xfId="1" applyFont="1" applyAlignment="1">
      <alignment horizontal="center" vertical="center" wrapText="1"/>
    </xf>
    <xf numFmtId="0" fontId="14" fillId="0" borderId="0" xfId="2" applyFont="1" applyFill="1" applyAlignment="1">
      <alignment horizontal="left" vertical="center" wrapText="1"/>
    </xf>
    <xf numFmtId="0" fontId="0" fillId="6" borderId="0" xfId="0" applyFill="1"/>
    <xf numFmtId="2" fontId="0" fillId="6" borderId="0" xfId="0" applyNumberFormat="1" applyFill="1"/>
    <xf numFmtId="0" fontId="1" fillId="6" borderId="0" xfId="0" applyFont="1" applyFill="1"/>
  </cellXfs>
  <cellStyles count="3">
    <cellStyle name="Hyperlink 2" xfId="2" xr:uid="{FC63C393-14EB-4C83-867A-0D42B22EC6F0}"/>
    <cellStyle name="Normal" xfId="0" builtinId="0"/>
    <cellStyle name="Normal 2" xfId="1" xr:uid="{C486E440-3853-418A-9EBE-21D9F3C83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0002-6EC1-49B1-BAE0-E3CEFCBF24EA}">
  <sheetPr>
    <tabColor rgb="FF00B050"/>
  </sheetPr>
  <dimension ref="A1:AW188"/>
  <sheetViews>
    <sheetView tabSelected="1" zoomScale="110" zoomScaleNormal="110" workbookViewId="0">
      <pane ySplit="1" topLeftCell="A2" activePane="bottomLeft" state="frozen"/>
      <selection pane="bottomLeft" activeCell="A2" sqref="A2"/>
    </sheetView>
  </sheetViews>
  <sheetFormatPr defaultColWidth="16" defaultRowHeight="14.25" x14ac:dyDescent="0.45"/>
  <cols>
    <col min="1" max="2" width="16" style="1"/>
    <col min="3" max="3" width="57.06640625" style="1" customWidth="1"/>
    <col min="4" max="4" width="7.86328125" style="1" customWidth="1"/>
    <col min="5" max="5" width="18.796875" style="1" customWidth="1"/>
    <col min="6" max="10" width="16" style="1"/>
    <col min="11" max="22" width="0" style="1" hidden="1" customWidth="1"/>
    <col min="23" max="16384" width="16" style="1"/>
  </cols>
  <sheetData>
    <row r="1" spans="1:49" ht="116.25" customHeight="1" x14ac:dyDescent="0.45">
      <c r="A1" s="2" t="s">
        <v>0</v>
      </c>
      <c r="B1" s="16" t="s">
        <v>479</v>
      </c>
      <c r="C1" s="2" t="s">
        <v>1</v>
      </c>
      <c r="D1" s="2" t="s">
        <v>498</v>
      </c>
      <c r="E1" s="2" t="s">
        <v>499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4" t="s">
        <v>16</v>
      </c>
      <c r="U1" s="2" t="s">
        <v>17</v>
      </c>
      <c r="V1" s="4" t="s">
        <v>18</v>
      </c>
      <c r="W1" s="2" t="s">
        <v>19</v>
      </c>
      <c r="X1" s="2" t="s">
        <v>20</v>
      </c>
      <c r="Y1" s="4" t="s">
        <v>21</v>
      </c>
      <c r="Z1" s="4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</row>
    <row r="2" spans="1:49" s="19" customFormat="1" x14ac:dyDescent="0.45">
      <c r="A2" s="17">
        <v>1112.01</v>
      </c>
      <c r="B2" s="18">
        <f>VLOOKUP(A2,'Table 3.1'!$A$4:$D$186,4,FALSE)</f>
        <v>168.44418014146595</v>
      </c>
      <c r="C2" s="17" t="s">
        <v>53</v>
      </c>
      <c r="D2" s="17">
        <v>3210</v>
      </c>
      <c r="E2" s="17" t="s">
        <v>500</v>
      </c>
      <c r="F2" s="17" t="s">
        <v>47</v>
      </c>
      <c r="G2" s="17" t="s">
        <v>54</v>
      </c>
      <c r="H2" s="17" t="s">
        <v>55</v>
      </c>
      <c r="I2" s="17"/>
      <c r="J2" s="17">
        <v>0</v>
      </c>
      <c r="K2" s="17"/>
      <c r="W2" s="17">
        <v>28</v>
      </c>
      <c r="X2" s="17">
        <v>1.2</v>
      </c>
      <c r="Y2" s="19">
        <v>0</v>
      </c>
      <c r="Z2" s="19">
        <v>1.2</v>
      </c>
      <c r="AC2" s="17">
        <v>0.6</v>
      </c>
      <c r="AD2" s="17">
        <v>29</v>
      </c>
      <c r="AE2" s="17">
        <v>0</v>
      </c>
      <c r="AF2" s="17">
        <v>0.16</v>
      </c>
      <c r="AG2" s="17">
        <v>0.05</v>
      </c>
      <c r="AH2" s="17">
        <v>0</v>
      </c>
      <c r="AI2" s="17">
        <v>0</v>
      </c>
      <c r="AJ2" s="17">
        <v>0</v>
      </c>
      <c r="AK2" s="17">
        <v>0.06</v>
      </c>
      <c r="AL2" s="17">
        <v>0</v>
      </c>
    </row>
    <row r="3" spans="1:49" s="19" customFormat="1" x14ac:dyDescent="0.45">
      <c r="A3" s="17">
        <v>1115.04</v>
      </c>
      <c r="B3" s="18">
        <f>VLOOKUP(A3,'Table 3.1'!$A$4:$D$186,4,FALSE)</f>
        <v>131.59490859640073</v>
      </c>
      <c r="C3" s="17" t="s">
        <v>77</v>
      </c>
      <c r="D3" s="17">
        <v>4409</v>
      </c>
      <c r="E3" s="17" t="s">
        <v>501</v>
      </c>
      <c r="F3" s="17" t="s">
        <v>47</v>
      </c>
      <c r="G3" s="17" t="s">
        <v>78</v>
      </c>
      <c r="H3" s="17" t="s">
        <v>79</v>
      </c>
      <c r="I3" s="17"/>
      <c r="J3" s="17">
        <v>0</v>
      </c>
      <c r="K3" s="17"/>
      <c r="W3" s="17">
        <v>18</v>
      </c>
      <c r="X3" s="17">
        <v>3</v>
      </c>
      <c r="Y3" s="19">
        <v>0</v>
      </c>
      <c r="Z3" s="19">
        <v>3</v>
      </c>
      <c r="AC3" s="17">
        <v>1.51</v>
      </c>
      <c r="AD3" s="17">
        <v>25</v>
      </c>
      <c r="AE3" s="17">
        <v>0</v>
      </c>
      <c r="AF3" s="17">
        <v>0.34</v>
      </c>
      <c r="AG3" s="17">
        <v>0.1</v>
      </c>
      <c r="AH3" s="17">
        <v>0</v>
      </c>
      <c r="AI3" s="17">
        <v>0</v>
      </c>
      <c r="AJ3" s="17">
        <v>0</v>
      </c>
      <c r="AK3" s="17">
        <v>0.2</v>
      </c>
      <c r="AL3" s="17">
        <v>0</v>
      </c>
    </row>
    <row r="4" spans="1:49" s="19" customFormat="1" x14ac:dyDescent="0.45">
      <c r="A4" s="17">
        <v>1223.02</v>
      </c>
      <c r="B4" s="18">
        <f>VLOOKUP(A4,'Table 3.1'!$A$4:$D$186,4,FALSE)</f>
        <v>112.25229195245079</v>
      </c>
      <c r="C4" s="17" t="s">
        <v>460</v>
      </c>
      <c r="D4" s="17">
        <v>4410</v>
      </c>
      <c r="E4" s="17" t="s">
        <v>502</v>
      </c>
      <c r="F4" s="17" t="s">
        <v>47</v>
      </c>
      <c r="G4" s="17" t="s">
        <v>461</v>
      </c>
      <c r="H4" s="17" t="s">
        <v>462</v>
      </c>
      <c r="I4" s="17" t="s">
        <v>182</v>
      </c>
      <c r="J4" s="17">
        <v>0</v>
      </c>
      <c r="K4" s="17"/>
      <c r="W4" s="17">
        <v>1</v>
      </c>
      <c r="X4" s="17">
        <v>0.04</v>
      </c>
      <c r="Y4" s="19">
        <v>0</v>
      </c>
      <c r="Z4" s="19">
        <v>0.04</v>
      </c>
      <c r="AC4" s="17">
        <v>0.06</v>
      </c>
      <c r="AD4" s="17">
        <v>1</v>
      </c>
      <c r="AE4" s="17">
        <v>0</v>
      </c>
      <c r="AF4" s="17">
        <v>0.01</v>
      </c>
      <c r="AG4" s="17">
        <v>0.02</v>
      </c>
      <c r="AH4" s="17">
        <v>0</v>
      </c>
      <c r="AI4" s="17">
        <v>0</v>
      </c>
      <c r="AJ4" s="17">
        <v>0</v>
      </c>
      <c r="AK4" s="17">
        <v>0.01</v>
      </c>
      <c r="AL4" s="17">
        <v>0</v>
      </c>
    </row>
    <row r="5" spans="1:49" x14ac:dyDescent="0.45">
      <c r="A5">
        <v>1121.01</v>
      </c>
      <c r="B5" s="15">
        <f>VLOOKUP(A5,'Table 3.1'!$A$4:$D$186,4,FALSE)</f>
        <v>93.17728714031557</v>
      </c>
      <c r="C5" t="s">
        <v>90</v>
      </c>
      <c r="D5"/>
      <c r="E5"/>
      <c r="F5" t="s">
        <v>47</v>
      </c>
      <c r="G5" t="s">
        <v>91</v>
      </c>
      <c r="H5" t="s">
        <v>92</v>
      </c>
      <c r="I5"/>
      <c r="J5">
        <v>0</v>
      </c>
      <c r="K5"/>
      <c r="W5">
        <v>11</v>
      </c>
      <c r="X5">
        <v>1.8</v>
      </c>
      <c r="Y5" s="1">
        <v>1.8</v>
      </c>
      <c r="Z5" s="1">
        <v>0</v>
      </c>
      <c r="AC5">
        <v>3.6</v>
      </c>
      <c r="AD5">
        <v>3</v>
      </c>
      <c r="AE5">
        <v>0</v>
      </c>
      <c r="AF5">
        <v>0.6</v>
      </c>
      <c r="AG5">
        <v>0.17</v>
      </c>
      <c r="AH5">
        <v>0</v>
      </c>
      <c r="AI5">
        <v>0</v>
      </c>
      <c r="AJ5">
        <v>0</v>
      </c>
      <c r="AK5">
        <v>0.38</v>
      </c>
      <c r="AL5">
        <v>0.7</v>
      </c>
    </row>
    <row r="6" spans="1:49" x14ac:dyDescent="0.45">
      <c r="A6">
        <v>1115.05</v>
      </c>
      <c r="B6" s="15">
        <f>VLOOKUP(A6,'Table 3.1'!$A$4:$D$186,4,FALSE)</f>
        <v>77.931403638426261</v>
      </c>
      <c r="C6" t="s">
        <v>80</v>
      </c>
      <c r="D6"/>
      <c r="E6"/>
      <c r="F6" t="s">
        <v>47</v>
      </c>
      <c r="G6" t="s">
        <v>81</v>
      </c>
      <c r="H6" t="s">
        <v>82</v>
      </c>
      <c r="I6"/>
      <c r="J6">
        <v>0</v>
      </c>
      <c r="K6"/>
      <c r="W6">
        <v>14</v>
      </c>
      <c r="X6">
        <v>7.6</v>
      </c>
      <c r="Y6" s="1">
        <v>0</v>
      </c>
      <c r="Z6" s="1">
        <v>7.6</v>
      </c>
      <c r="AC6">
        <v>2.83</v>
      </c>
      <c r="AD6">
        <v>30</v>
      </c>
      <c r="AE6">
        <v>0</v>
      </c>
      <c r="AF6">
        <v>0.32</v>
      </c>
      <c r="AG6">
        <v>0.27</v>
      </c>
      <c r="AH6">
        <v>0</v>
      </c>
      <c r="AI6">
        <v>3</v>
      </c>
      <c r="AJ6">
        <v>0</v>
      </c>
      <c r="AK6">
        <v>0.74</v>
      </c>
      <c r="AL6">
        <v>0</v>
      </c>
    </row>
    <row r="7" spans="1:49" x14ac:dyDescent="0.45">
      <c r="A7">
        <v>1111.01</v>
      </c>
      <c r="B7" s="15">
        <f>VLOOKUP(A7,'Table 3.1'!$A$4:$D$186,4,FALSE)</f>
        <v>22.321716053173432</v>
      </c>
      <c r="C7" t="s">
        <v>46</v>
      </c>
      <c r="D7"/>
      <c r="E7"/>
      <c r="F7" t="s">
        <v>47</v>
      </c>
      <c r="G7" t="s">
        <v>48</v>
      </c>
      <c r="H7" t="s">
        <v>49</v>
      </c>
      <c r="I7"/>
      <c r="J7">
        <v>0</v>
      </c>
      <c r="K7"/>
      <c r="W7">
        <v>12</v>
      </c>
      <c r="X7">
        <v>1.4</v>
      </c>
      <c r="Y7" s="1">
        <v>0</v>
      </c>
      <c r="Z7" s="1">
        <v>1.4</v>
      </c>
      <c r="AC7">
        <v>1.1599999999999999</v>
      </c>
      <c r="AD7">
        <v>20</v>
      </c>
      <c r="AE7">
        <v>0</v>
      </c>
      <c r="AF7">
        <v>7.0000000000000007E-2</v>
      </c>
      <c r="AG7">
        <v>0.04</v>
      </c>
      <c r="AH7">
        <v>0</v>
      </c>
      <c r="AI7">
        <v>0</v>
      </c>
      <c r="AJ7">
        <v>0</v>
      </c>
      <c r="AK7">
        <v>0.2</v>
      </c>
      <c r="AL7">
        <v>0</v>
      </c>
    </row>
    <row r="8" spans="1:49" x14ac:dyDescent="0.45">
      <c r="A8">
        <v>1212.01</v>
      </c>
      <c r="B8" s="15">
        <f>VLOOKUP(A8,'Table 3.1'!$A$4:$D$186,4,FALSE)</f>
        <v>20.632186278693887</v>
      </c>
      <c r="C8" t="s">
        <v>447</v>
      </c>
      <c r="D8"/>
      <c r="E8"/>
      <c r="F8" t="s">
        <v>47</v>
      </c>
      <c r="G8" t="s">
        <v>448</v>
      </c>
      <c r="H8" t="s">
        <v>449</v>
      </c>
      <c r="I8" t="s">
        <v>192</v>
      </c>
      <c r="J8">
        <v>0</v>
      </c>
      <c r="K8"/>
      <c r="W8">
        <v>7</v>
      </c>
      <c r="X8">
        <v>0.2</v>
      </c>
      <c r="Y8" s="1">
        <v>0</v>
      </c>
      <c r="Z8" s="1">
        <v>0.2</v>
      </c>
      <c r="AC8">
        <v>0.08</v>
      </c>
      <c r="AD8">
        <v>14</v>
      </c>
      <c r="AE8">
        <v>40.6</v>
      </c>
      <c r="AF8">
        <v>0.03</v>
      </c>
      <c r="AG8">
        <v>0.01</v>
      </c>
      <c r="AH8">
        <v>0</v>
      </c>
      <c r="AI8">
        <v>7</v>
      </c>
      <c r="AJ8">
        <v>1</v>
      </c>
      <c r="AK8">
        <v>0.05</v>
      </c>
      <c r="AL8">
        <v>0</v>
      </c>
    </row>
    <row r="9" spans="1:49" x14ac:dyDescent="0.45">
      <c r="A9">
        <v>1222.01</v>
      </c>
      <c r="B9" s="15">
        <f>VLOOKUP(A9,'Table 3.1'!$A$4:$D$186,4,FALSE)</f>
        <v>20.18357059347143</v>
      </c>
      <c r="C9" t="s">
        <v>455</v>
      </c>
      <c r="D9"/>
      <c r="E9"/>
      <c r="F9" t="s">
        <v>47</v>
      </c>
      <c r="G9" t="s">
        <v>456</v>
      </c>
      <c r="H9" t="s">
        <v>457</v>
      </c>
      <c r="I9" t="s">
        <v>192</v>
      </c>
      <c r="J9">
        <v>0</v>
      </c>
      <c r="K9"/>
      <c r="W9">
        <v>12</v>
      </c>
      <c r="X9">
        <v>0.3</v>
      </c>
      <c r="Y9" s="1">
        <v>0</v>
      </c>
      <c r="Z9" s="1">
        <v>0.3</v>
      </c>
      <c r="AC9">
        <v>0.05</v>
      </c>
      <c r="AD9">
        <v>34</v>
      </c>
      <c r="AE9">
        <v>42.7</v>
      </c>
      <c r="AF9">
        <v>0.08</v>
      </c>
      <c r="AG9">
        <v>0.03</v>
      </c>
      <c r="AH9">
        <v>0</v>
      </c>
      <c r="AI9">
        <v>100</v>
      </c>
      <c r="AJ9">
        <v>8</v>
      </c>
      <c r="AK9">
        <v>0.06</v>
      </c>
      <c r="AL9">
        <v>0</v>
      </c>
    </row>
    <row r="10" spans="1:49" x14ac:dyDescent="0.45">
      <c r="A10">
        <v>1144.03</v>
      </c>
      <c r="B10" s="15">
        <f>VLOOKUP(A10,'Table 3.1'!$A$4:$D$186,4,FALSE)</f>
        <v>18.175391962348975</v>
      </c>
      <c r="C10" t="s">
        <v>193</v>
      </c>
      <c r="D10"/>
      <c r="E10"/>
      <c r="F10" t="s">
        <v>47</v>
      </c>
      <c r="G10" t="s">
        <v>169</v>
      </c>
      <c r="H10" t="s">
        <v>163</v>
      </c>
      <c r="I10" t="s">
        <v>180</v>
      </c>
      <c r="J10">
        <v>0</v>
      </c>
      <c r="K10"/>
      <c r="W10">
        <v>122</v>
      </c>
      <c r="X10">
        <v>0.03</v>
      </c>
      <c r="Y10" s="1">
        <v>0.03</v>
      </c>
      <c r="Z10" s="1">
        <v>0</v>
      </c>
      <c r="AC10">
        <v>0.41</v>
      </c>
      <c r="AD10">
        <v>12</v>
      </c>
      <c r="AE10">
        <v>1.3</v>
      </c>
      <c r="AF10">
        <v>0.05</v>
      </c>
      <c r="AG10">
        <v>0.18</v>
      </c>
      <c r="AH10">
        <v>13</v>
      </c>
      <c r="AI10">
        <v>7</v>
      </c>
      <c r="AJ10">
        <v>14</v>
      </c>
      <c r="AK10">
        <v>0.05</v>
      </c>
      <c r="AL10">
        <v>0.5</v>
      </c>
    </row>
    <row r="11" spans="1:49" s="19" customFormat="1" x14ac:dyDescent="0.45">
      <c r="A11" s="17">
        <v>1113.01</v>
      </c>
      <c r="B11" s="18">
        <f>VLOOKUP(A11,'Table 3.1'!$A$4:$D$186,4,FALSE)</f>
        <v>15.19822304168677</v>
      </c>
      <c r="C11" s="17" t="s">
        <v>62</v>
      </c>
      <c r="D11" s="17">
        <v>3262</v>
      </c>
      <c r="E11" s="17" t="s">
        <v>503</v>
      </c>
      <c r="F11" s="17" t="s">
        <v>47</v>
      </c>
      <c r="G11" s="17" t="s">
        <v>63</v>
      </c>
      <c r="H11" s="17" t="s">
        <v>64</v>
      </c>
      <c r="I11" s="17"/>
      <c r="J11" s="17">
        <v>0</v>
      </c>
      <c r="K11" s="17"/>
      <c r="W11" s="17">
        <v>10</v>
      </c>
      <c r="X11" s="17">
        <v>0.5</v>
      </c>
      <c r="Y11" s="19">
        <v>0</v>
      </c>
      <c r="Z11" s="19">
        <v>0.5</v>
      </c>
      <c r="AC11" s="17">
        <v>0.59</v>
      </c>
      <c r="AD11" s="17">
        <v>5</v>
      </c>
      <c r="AE11" s="17">
        <v>0</v>
      </c>
      <c r="AF11" s="17">
        <v>0.05</v>
      </c>
      <c r="AG11" s="17">
        <v>0.01</v>
      </c>
      <c r="AH11" s="17">
        <v>0</v>
      </c>
      <c r="AI11" s="17">
        <v>0</v>
      </c>
      <c r="AJ11" s="17">
        <v>0</v>
      </c>
      <c r="AK11" s="17">
        <v>0.03</v>
      </c>
      <c r="AL11" s="17">
        <v>0</v>
      </c>
    </row>
    <row r="12" spans="1:49" x14ac:dyDescent="0.45">
      <c r="A12">
        <v>1177.01</v>
      </c>
      <c r="B12" s="15">
        <f>VLOOKUP(A12,'Table 3.1'!$A$4:$D$186,4,FALSE)</f>
        <v>14.014302845094177</v>
      </c>
      <c r="C12" t="s">
        <v>386</v>
      </c>
      <c r="D12"/>
      <c r="E12"/>
      <c r="F12" t="s">
        <v>47</v>
      </c>
      <c r="G12" t="s">
        <v>387</v>
      </c>
      <c r="H12" t="s">
        <v>388</v>
      </c>
      <c r="I12"/>
      <c r="J12">
        <v>0.16</v>
      </c>
      <c r="K12"/>
      <c r="W12">
        <v>11</v>
      </c>
      <c r="X12">
        <v>0.9</v>
      </c>
      <c r="Y12" s="1">
        <v>0</v>
      </c>
      <c r="Z12" s="1">
        <v>0.9</v>
      </c>
      <c r="AC12">
        <v>0.35</v>
      </c>
      <c r="AD12">
        <v>18</v>
      </c>
      <c r="AE12">
        <v>17.3</v>
      </c>
      <c r="AF12">
        <v>0.08</v>
      </c>
      <c r="AG12">
        <v>0.12</v>
      </c>
      <c r="AH12">
        <v>0</v>
      </c>
      <c r="AI12">
        <v>14</v>
      </c>
      <c r="AJ12">
        <v>1</v>
      </c>
      <c r="AK12">
        <v>0.27</v>
      </c>
      <c r="AL12">
        <v>0</v>
      </c>
    </row>
    <row r="13" spans="1:49" x14ac:dyDescent="0.45">
      <c r="A13">
        <v>1223.01</v>
      </c>
      <c r="B13" s="15">
        <f>VLOOKUP(A13,'Table 3.1'!$A$4:$D$186,4,FALSE)</f>
        <v>13.384257989417339</v>
      </c>
      <c r="C13" t="s">
        <v>459</v>
      </c>
      <c r="D13"/>
      <c r="E13"/>
      <c r="F13" t="s">
        <v>47</v>
      </c>
      <c r="G13" t="s">
        <v>456</v>
      </c>
      <c r="H13" t="s">
        <v>457</v>
      </c>
      <c r="I13" t="s">
        <v>192</v>
      </c>
      <c r="J13">
        <v>0</v>
      </c>
      <c r="K13"/>
      <c r="W13">
        <v>12</v>
      </c>
      <c r="X13">
        <v>0.3</v>
      </c>
      <c r="Y13" s="1">
        <v>0</v>
      </c>
      <c r="Z13" s="1">
        <v>0.3</v>
      </c>
      <c r="AC13">
        <v>0.05</v>
      </c>
      <c r="AD13">
        <v>34</v>
      </c>
      <c r="AE13">
        <v>42.7</v>
      </c>
      <c r="AF13">
        <v>0.08</v>
      </c>
      <c r="AG13">
        <v>0.03</v>
      </c>
      <c r="AH13">
        <v>0</v>
      </c>
      <c r="AI13">
        <v>100</v>
      </c>
      <c r="AJ13">
        <v>8</v>
      </c>
      <c r="AK13">
        <v>0.06</v>
      </c>
      <c r="AL13">
        <v>0</v>
      </c>
    </row>
    <row r="14" spans="1:49" x14ac:dyDescent="0.45">
      <c r="A14">
        <v>1141.01</v>
      </c>
      <c r="B14" s="15">
        <f>VLOOKUP(A14,'Table 3.1'!$A$4:$D$186,4,FALSE)</f>
        <v>13.116385264535403</v>
      </c>
      <c r="C14" t="s">
        <v>161</v>
      </c>
      <c r="D14"/>
      <c r="E14"/>
      <c r="F14" t="s">
        <v>47</v>
      </c>
      <c r="G14" t="s">
        <v>162</v>
      </c>
      <c r="H14" t="s">
        <v>163</v>
      </c>
      <c r="I14"/>
      <c r="J14">
        <v>0</v>
      </c>
      <c r="K14"/>
      <c r="W14">
        <v>120</v>
      </c>
      <c r="X14">
        <v>0.05</v>
      </c>
      <c r="Y14" s="1">
        <v>0.05</v>
      </c>
      <c r="Z14" s="1">
        <v>0</v>
      </c>
      <c r="AC14">
        <v>0.39</v>
      </c>
      <c r="AD14">
        <v>10</v>
      </c>
      <c r="AE14">
        <v>1.5</v>
      </c>
      <c r="AF14">
        <v>0.04</v>
      </c>
      <c r="AG14">
        <v>0.18</v>
      </c>
      <c r="AH14">
        <v>31</v>
      </c>
      <c r="AI14">
        <v>18</v>
      </c>
      <c r="AJ14">
        <v>33</v>
      </c>
      <c r="AK14">
        <v>0.05</v>
      </c>
      <c r="AL14">
        <v>0.6</v>
      </c>
    </row>
    <row r="15" spans="1:49" x14ac:dyDescent="0.45">
      <c r="A15">
        <v>1171.02</v>
      </c>
      <c r="B15" s="15">
        <f>VLOOKUP(A15,'Table 3.1'!$A$4:$D$186,4,FALSE)</f>
        <v>12.963092424468128</v>
      </c>
      <c r="C15" t="s">
        <v>319</v>
      </c>
      <c r="D15"/>
      <c r="E15"/>
      <c r="F15" t="s">
        <v>47</v>
      </c>
      <c r="G15" t="s">
        <v>320</v>
      </c>
      <c r="H15" t="s">
        <v>321</v>
      </c>
      <c r="I15"/>
      <c r="J15">
        <v>0.28000000000000003</v>
      </c>
      <c r="K15"/>
      <c r="W15">
        <v>133</v>
      </c>
      <c r="X15">
        <v>3.1</v>
      </c>
      <c r="Y15" s="1">
        <v>0</v>
      </c>
      <c r="Z15" s="1">
        <v>3.1</v>
      </c>
      <c r="AC15">
        <v>0.8</v>
      </c>
      <c r="AD15">
        <v>176</v>
      </c>
      <c r="AE15">
        <v>36</v>
      </c>
      <c r="AF15">
        <v>0.08</v>
      </c>
      <c r="AG15">
        <v>0.17</v>
      </c>
      <c r="AH15">
        <v>0</v>
      </c>
      <c r="AI15">
        <v>6040</v>
      </c>
      <c r="AJ15">
        <v>409</v>
      </c>
      <c r="AK15">
        <v>0.19</v>
      </c>
      <c r="AL15">
        <v>0</v>
      </c>
    </row>
    <row r="16" spans="1:49" x14ac:dyDescent="0.45">
      <c r="A16">
        <v>1115.01</v>
      </c>
      <c r="B16" s="15">
        <f>VLOOKUP(A16,'Table 3.1'!$A$4:$D$186,4,FALSE)</f>
        <v>10.421325073857647</v>
      </c>
      <c r="C16" t="s">
        <v>69</v>
      </c>
      <c r="D16"/>
      <c r="E16"/>
      <c r="F16" t="s">
        <v>51</v>
      </c>
      <c r="G16">
        <v>8023</v>
      </c>
      <c r="H16" t="s">
        <v>70</v>
      </c>
      <c r="I16"/>
      <c r="J16">
        <v>0</v>
      </c>
      <c r="K16"/>
      <c r="W16">
        <v>60</v>
      </c>
      <c r="X16">
        <v>3.7</v>
      </c>
      <c r="Y16" s="1">
        <v>0</v>
      </c>
      <c r="Z16" s="1">
        <v>3.7</v>
      </c>
      <c r="AC16">
        <v>3.1</v>
      </c>
      <c r="AD16">
        <v>204</v>
      </c>
      <c r="AE16">
        <v>31</v>
      </c>
      <c r="AF16">
        <v>0.8</v>
      </c>
      <c r="AG16">
        <v>0.9</v>
      </c>
      <c r="AH16">
        <v>459</v>
      </c>
      <c r="AI16">
        <v>0</v>
      </c>
      <c r="AJ16">
        <v>459</v>
      </c>
      <c r="AK16">
        <v>1</v>
      </c>
      <c r="AL16">
        <v>3.1</v>
      </c>
    </row>
    <row r="17" spans="1:38" x14ac:dyDescent="0.45">
      <c r="A17">
        <v>1131.01</v>
      </c>
      <c r="B17" s="15">
        <f>VLOOKUP(A17,'Table 3.1'!$A$4:$D$186,4,FALSE)</f>
        <v>9.8993105141652329</v>
      </c>
      <c r="C17" t="s">
        <v>139</v>
      </c>
      <c r="D17"/>
      <c r="E17"/>
      <c r="F17" t="s">
        <v>47</v>
      </c>
      <c r="G17" t="s">
        <v>140</v>
      </c>
      <c r="H17" t="s">
        <v>141</v>
      </c>
      <c r="I17"/>
      <c r="J17">
        <v>0.45</v>
      </c>
      <c r="K17"/>
      <c r="W17">
        <v>17</v>
      </c>
      <c r="X17">
        <v>1.3</v>
      </c>
      <c r="Y17" s="1">
        <v>1.3</v>
      </c>
      <c r="Z17" s="1">
        <v>0</v>
      </c>
      <c r="AC17">
        <v>0.83</v>
      </c>
      <c r="AD17">
        <v>24</v>
      </c>
      <c r="AE17">
        <v>0</v>
      </c>
      <c r="AF17">
        <v>0.04</v>
      </c>
      <c r="AG17">
        <v>0.06</v>
      </c>
      <c r="AH17">
        <v>26</v>
      </c>
      <c r="AI17">
        <v>0</v>
      </c>
      <c r="AJ17">
        <v>26</v>
      </c>
      <c r="AK17">
        <v>0.24</v>
      </c>
      <c r="AL17">
        <v>1.6</v>
      </c>
    </row>
    <row r="18" spans="1:38" x14ac:dyDescent="0.45">
      <c r="A18">
        <v>1123.01</v>
      </c>
      <c r="B18" s="15">
        <f>VLOOKUP(A18,'Table 3.1'!$A$4:$D$186,4,FALSE)</f>
        <v>9.0875713413721257</v>
      </c>
      <c r="C18" t="s">
        <v>95</v>
      </c>
      <c r="D18"/>
      <c r="E18"/>
      <c r="F18" t="s">
        <v>47</v>
      </c>
      <c r="G18" t="s">
        <v>96</v>
      </c>
      <c r="H18" t="s">
        <v>97</v>
      </c>
      <c r="I18"/>
      <c r="J18">
        <v>0.26</v>
      </c>
      <c r="K18"/>
      <c r="W18">
        <v>11</v>
      </c>
      <c r="X18">
        <v>2.4</v>
      </c>
      <c r="Y18" s="1">
        <v>2.4</v>
      </c>
      <c r="Z18" s="1">
        <v>0</v>
      </c>
      <c r="AC18">
        <v>3.45</v>
      </c>
      <c r="AD18">
        <v>5</v>
      </c>
      <c r="AE18">
        <v>0</v>
      </c>
      <c r="AF18">
        <v>0.18</v>
      </c>
      <c r="AG18">
        <v>0.28999999999999998</v>
      </c>
      <c r="AH18">
        <v>0</v>
      </c>
      <c r="AI18">
        <v>0</v>
      </c>
      <c r="AJ18">
        <v>0</v>
      </c>
      <c r="AK18">
        <v>0.4</v>
      </c>
      <c r="AL18">
        <v>1.1000000000000001</v>
      </c>
    </row>
    <row r="19" spans="1:38" x14ac:dyDescent="0.45">
      <c r="A19">
        <v>1181.01</v>
      </c>
      <c r="B19" s="15">
        <f>VLOOKUP(A19,'Table 3.1'!$A$4:$D$186,4,FALSE)</f>
        <v>9.0340986934939611</v>
      </c>
      <c r="C19" t="s">
        <v>401</v>
      </c>
      <c r="D19"/>
      <c r="E19"/>
      <c r="F19" t="s">
        <v>47</v>
      </c>
      <c r="G19" t="s">
        <v>402</v>
      </c>
      <c r="H19" t="s">
        <v>401</v>
      </c>
      <c r="I19"/>
      <c r="J19">
        <v>0</v>
      </c>
      <c r="K19"/>
      <c r="W19">
        <v>1</v>
      </c>
      <c r="X19">
        <v>0.1</v>
      </c>
      <c r="Y19" s="1">
        <v>0</v>
      </c>
      <c r="Z19" s="1">
        <v>0.1</v>
      </c>
      <c r="AC19">
        <v>0.01</v>
      </c>
      <c r="AD19">
        <v>0</v>
      </c>
      <c r="AE19">
        <v>0</v>
      </c>
      <c r="AF19">
        <v>0</v>
      </c>
      <c r="AG19">
        <v>0.02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>
        <v>1131.02</v>
      </c>
      <c r="B20" s="15">
        <f>VLOOKUP(A20,'Table 3.1'!$A$4:$D$186,4,FALSE)</f>
        <v>8.9867299283664384</v>
      </c>
      <c r="C20" t="s">
        <v>142</v>
      </c>
      <c r="D20"/>
      <c r="E20"/>
      <c r="F20" t="s">
        <v>47</v>
      </c>
      <c r="G20" t="s">
        <v>143</v>
      </c>
      <c r="H20" t="s">
        <v>144</v>
      </c>
      <c r="I20"/>
      <c r="J20">
        <v>0.28999999999999998</v>
      </c>
      <c r="K20"/>
      <c r="W20">
        <v>28</v>
      </c>
      <c r="X20">
        <v>0.8</v>
      </c>
      <c r="Y20" s="1">
        <v>0.8</v>
      </c>
      <c r="Z20" s="1">
        <v>0</v>
      </c>
      <c r="AC20">
        <v>0.49</v>
      </c>
      <c r="AD20">
        <v>1</v>
      </c>
      <c r="AE20">
        <v>0</v>
      </c>
      <c r="AF20">
        <v>0.14000000000000001</v>
      </c>
      <c r="AG20">
        <v>0.14000000000000001</v>
      </c>
      <c r="AH20">
        <v>39</v>
      </c>
      <c r="AI20">
        <v>0</v>
      </c>
      <c r="AJ20">
        <v>39</v>
      </c>
      <c r="AK20">
        <v>0.4</v>
      </c>
      <c r="AL20">
        <v>2.4</v>
      </c>
    </row>
    <row r="21" spans="1:38" x14ac:dyDescent="0.45">
      <c r="A21">
        <v>1195.99</v>
      </c>
      <c r="B21" s="15">
        <f>VLOOKUP(A21,'Table 3.1'!$A$4:$D$186,4,FALSE)</f>
        <v>8.9556330593559199</v>
      </c>
      <c r="C21" t="s">
        <v>443</v>
      </c>
      <c r="D21"/>
      <c r="E21"/>
      <c r="F21" t="s">
        <v>51</v>
      </c>
      <c r="G21">
        <v>6147</v>
      </c>
      <c r="H21" t="s">
        <v>441</v>
      </c>
      <c r="I21"/>
      <c r="J21">
        <v>0</v>
      </c>
      <c r="K21"/>
      <c r="W21">
        <v>4</v>
      </c>
      <c r="X21">
        <v>0.7</v>
      </c>
      <c r="Y21" s="1">
        <v>0</v>
      </c>
      <c r="Z21" s="1">
        <v>0.7</v>
      </c>
      <c r="AC21">
        <v>1.1000000000000001</v>
      </c>
      <c r="AD21">
        <v>7</v>
      </c>
      <c r="AE21">
        <v>0</v>
      </c>
      <c r="AF21">
        <v>0.02</v>
      </c>
      <c r="AG21">
        <v>0.06</v>
      </c>
      <c r="AH21">
        <v>0</v>
      </c>
      <c r="AI21">
        <v>0</v>
      </c>
      <c r="AJ21">
        <v>0</v>
      </c>
      <c r="AK21">
        <v>0.04</v>
      </c>
      <c r="AL21">
        <v>0.16</v>
      </c>
    </row>
    <row r="22" spans="1:38" s="19" customFormat="1" x14ac:dyDescent="0.45">
      <c r="A22" s="17">
        <v>1154.01</v>
      </c>
      <c r="B22" s="18">
        <f>VLOOKUP(A22,'Table 3.1'!$A$4:$D$186,4,FALSE)</f>
        <v>7.2011584534340836</v>
      </c>
      <c r="C22" s="17" t="s">
        <v>213</v>
      </c>
      <c r="D22" s="17">
        <v>3486</v>
      </c>
      <c r="E22" s="17" t="s">
        <v>504</v>
      </c>
      <c r="F22" s="17" t="s">
        <v>47</v>
      </c>
      <c r="G22" s="17" t="s">
        <v>214</v>
      </c>
      <c r="H22" s="17" t="s">
        <v>215</v>
      </c>
      <c r="I22" s="17"/>
      <c r="J22" s="17">
        <v>0</v>
      </c>
      <c r="K22" s="17"/>
      <c r="W22" s="17">
        <v>0</v>
      </c>
      <c r="X22" s="17">
        <v>0</v>
      </c>
      <c r="Y22" s="19">
        <v>0</v>
      </c>
      <c r="Z22" s="19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</row>
    <row r="23" spans="1:38" x14ac:dyDescent="0.45">
      <c r="A23">
        <v>1173.0899999999999</v>
      </c>
      <c r="B23" s="15">
        <f>VLOOKUP(A23,'Table 3.1'!$A$4:$D$186,4,FALSE)</f>
        <v>7.0995243486244659</v>
      </c>
      <c r="C23" t="s">
        <v>354</v>
      </c>
      <c r="D23"/>
      <c r="E23"/>
      <c r="F23" t="s">
        <v>47</v>
      </c>
      <c r="G23" t="s">
        <v>355</v>
      </c>
      <c r="H23" t="s">
        <v>356</v>
      </c>
      <c r="I23"/>
      <c r="J23">
        <v>0.09</v>
      </c>
      <c r="K23"/>
      <c r="W23">
        <v>13</v>
      </c>
      <c r="X23">
        <v>0.6</v>
      </c>
      <c r="Y23" s="1">
        <v>0</v>
      </c>
      <c r="Z23" s="1">
        <v>0.6</v>
      </c>
      <c r="AC23">
        <v>0.7</v>
      </c>
      <c r="AD23">
        <v>21</v>
      </c>
      <c r="AE23">
        <v>29.6</v>
      </c>
      <c r="AF23">
        <v>0.06</v>
      </c>
      <c r="AG23">
        <v>0.04</v>
      </c>
      <c r="AH23">
        <v>0</v>
      </c>
      <c r="AI23">
        <v>624</v>
      </c>
      <c r="AJ23">
        <v>52</v>
      </c>
      <c r="AK23">
        <v>0.09</v>
      </c>
      <c r="AL23">
        <v>0</v>
      </c>
    </row>
    <row r="24" spans="1:38" x14ac:dyDescent="0.45">
      <c r="A24">
        <v>1167.02</v>
      </c>
      <c r="B24" s="15">
        <f>VLOOKUP(A24,'Table 3.1'!$A$4:$D$186,4,FALSE)</f>
        <v>6.9083259718116601</v>
      </c>
      <c r="C24" t="s">
        <v>267</v>
      </c>
      <c r="D24"/>
      <c r="E24"/>
      <c r="F24" t="s">
        <v>47</v>
      </c>
      <c r="G24" t="s">
        <v>265</v>
      </c>
      <c r="H24" t="s">
        <v>266</v>
      </c>
      <c r="I24"/>
      <c r="J24">
        <v>0.54</v>
      </c>
      <c r="K24"/>
      <c r="W24">
        <v>7</v>
      </c>
      <c r="X24">
        <v>0.3</v>
      </c>
      <c r="Y24" s="1">
        <v>0</v>
      </c>
      <c r="Z24" s="1">
        <v>0.3</v>
      </c>
      <c r="AC24">
        <v>0.09</v>
      </c>
      <c r="AD24">
        <v>12</v>
      </c>
      <c r="AE24">
        <v>14.2</v>
      </c>
      <c r="AF24">
        <v>0.03</v>
      </c>
      <c r="AG24">
        <v>0.01</v>
      </c>
      <c r="AH24">
        <v>0</v>
      </c>
      <c r="AI24">
        <v>31</v>
      </c>
      <c r="AJ24">
        <v>3</v>
      </c>
      <c r="AK24">
        <v>7.0000000000000007E-2</v>
      </c>
      <c r="AL24">
        <v>0</v>
      </c>
    </row>
    <row r="25" spans="1:38" x14ac:dyDescent="0.45">
      <c r="A25">
        <v>1174.06</v>
      </c>
      <c r="B25" s="15">
        <f>VLOOKUP(A25,'Table 3.1'!$A$4:$D$186,4,FALSE)</f>
        <v>6.8998956376362743</v>
      </c>
      <c r="C25" t="s">
        <v>366</v>
      </c>
      <c r="D25"/>
      <c r="E25"/>
      <c r="F25" t="s">
        <v>47</v>
      </c>
      <c r="G25" t="s">
        <v>367</v>
      </c>
      <c r="H25" t="s">
        <v>368</v>
      </c>
      <c r="I25"/>
      <c r="J25">
        <v>0.09</v>
      </c>
      <c r="K25"/>
      <c r="W25">
        <v>25</v>
      </c>
      <c r="X25">
        <v>0.3</v>
      </c>
      <c r="Y25" s="1">
        <v>0</v>
      </c>
      <c r="Z25" s="1">
        <v>0.3</v>
      </c>
      <c r="AC25">
        <v>0.26</v>
      </c>
      <c r="AD25">
        <v>16</v>
      </c>
      <c r="AE25">
        <v>10.3</v>
      </c>
      <c r="AF25">
        <v>0.05</v>
      </c>
      <c r="AG25">
        <v>0.04</v>
      </c>
      <c r="AH25">
        <v>0</v>
      </c>
      <c r="AI25">
        <v>1</v>
      </c>
      <c r="AJ25">
        <v>0</v>
      </c>
      <c r="AK25">
        <v>0.1</v>
      </c>
      <c r="AL25">
        <v>0</v>
      </c>
    </row>
    <row r="26" spans="1:38" x14ac:dyDescent="0.45">
      <c r="A26">
        <v>1123.02</v>
      </c>
      <c r="B26" s="15">
        <f>VLOOKUP(A26,'Table 3.1'!$A$4:$D$186,4,FALSE)</f>
        <v>6.1624194872903857</v>
      </c>
      <c r="C26" t="s">
        <v>98</v>
      </c>
      <c r="D26"/>
      <c r="E26"/>
      <c r="F26" t="s">
        <v>47</v>
      </c>
      <c r="G26" t="s">
        <v>99</v>
      </c>
      <c r="H26" t="s">
        <v>100</v>
      </c>
      <c r="I26"/>
      <c r="J26">
        <v>0.25</v>
      </c>
      <c r="K26"/>
      <c r="W26">
        <v>12</v>
      </c>
      <c r="X26">
        <v>3.1</v>
      </c>
      <c r="Y26" s="1">
        <v>3.1</v>
      </c>
      <c r="Z26" s="1">
        <v>0</v>
      </c>
      <c r="AC26">
        <v>4.97</v>
      </c>
      <c r="AD26">
        <v>2</v>
      </c>
      <c r="AE26">
        <v>0</v>
      </c>
      <c r="AF26">
        <v>0.08</v>
      </c>
      <c r="AG26">
        <v>0.15</v>
      </c>
      <c r="AH26">
        <v>12</v>
      </c>
      <c r="AI26">
        <v>0</v>
      </c>
      <c r="AJ26">
        <v>12</v>
      </c>
      <c r="AK26">
        <v>0.24</v>
      </c>
      <c r="AL26">
        <v>2.6</v>
      </c>
    </row>
    <row r="27" spans="1:38" x14ac:dyDescent="0.45">
      <c r="A27">
        <v>1173.08</v>
      </c>
      <c r="B27" s="15">
        <f>VLOOKUP(A27,'Table 3.1'!$A$4:$D$186,4,FALSE)</f>
        <v>5.9821318275852464</v>
      </c>
      <c r="C27" t="s">
        <v>351</v>
      </c>
      <c r="D27"/>
      <c r="E27"/>
      <c r="F27" t="s">
        <v>47</v>
      </c>
      <c r="G27" t="s">
        <v>352</v>
      </c>
      <c r="H27" t="s">
        <v>353</v>
      </c>
      <c r="I27"/>
      <c r="J27">
        <v>0.7</v>
      </c>
      <c r="K27"/>
      <c r="W27">
        <v>19</v>
      </c>
      <c r="X27">
        <v>1.2</v>
      </c>
      <c r="Y27" s="1">
        <v>0</v>
      </c>
      <c r="Z27" s="1">
        <v>1.2</v>
      </c>
      <c r="AC27">
        <v>0.32</v>
      </c>
      <c r="AD27">
        <v>8</v>
      </c>
      <c r="AE27">
        <v>8</v>
      </c>
      <c r="AF27">
        <v>0.05</v>
      </c>
      <c r="AG27">
        <v>0.02</v>
      </c>
      <c r="AH27">
        <v>0</v>
      </c>
      <c r="AI27">
        <v>1200</v>
      </c>
      <c r="AJ27">
        <v>100</v>
      </c>
      <c r="AK27">
        <v>0.1</v>
      </c>
      <c r="AL27">
        <v>0</v>
      </c>
    </row>
    <row r="28" spans="1:38" x14ac:dyDescent="0.45">
      <c r="A28">
        <v>2131.0100000000002</v>
      </c>
      <c r="B28" s="15">
        <f>VLOOKUP(A28,'Table 3.1'!$A$4:$D$186,4,FALSE)</f>
        <v>5.6051936103866185</v>
      </c>
      <c r="C28" t="s">
        <v>473</v>
      </c>
      <c r="D28"/>
      <c r="E28"/>
      <c r="F28" t="s">
        <v>47</v>
      </c>
      <c r="G28" t="s">
        <v>474</v>
      </c>
      <c r="H28" t="s">
        <v>475</v>
      </c>
      <c r="I28"/>
      <c r="J28">
        <v>0</v>
      </c>
      <c r="K28"/>
      <c r="W28">
        <v>8</v>
      </c>
      <c r="X28">
        <v>0.1</v>
      </c>
      <c r="Y28" s="1">
        <v>0</v>
      </c>
      <c r="Z28" s="1">
        <v>0.1</v>
      </c>
      <c r="AC28">
        <v>0.01</v>
      </c>
      <c r="AD28">
        <v>5</v>
      </c>
      <c r="AE28">
        <v>0</v>
      </c>
      <c r="AF28">
        <v>0</v>
      </c>
      <c r="AG28">
        <v>0.03</v>
      </c>
      <c r="AH28">
        <v>0</v>
      </c>
      <c r="AI28">
        <v>0</v>
      </c>
      <c r="AJ28">
        <v>0</v>
      </c>
      <c r="AK28">
        <v>7.0000000000000007E-2</v>
      </c>
      <c r="AL28">
        <v>0</v>
      </c>
    </row>
    <row r="29" spans="1:38" x14ac:dyDescent="0.45">
      <c r="A29">
        <v>1122.01</v>
      </c>
      <c r="B29" s="15">
        <f>VLOOKUP(A29,'Table 3.1'!$A$4:$D$186,4,FALSE)</f>
        <v>5.5779113399930598</v>
      </c>
      <c r="C29" t="s">
        <v>93</v>
      </c>
      <c r="D29"/>
      <c r="E29"/>
      <c r="F29" t="s">
        <v>47</v>
      </c>
      <c r="G29" t="s">
        <v>91</v>
      </c>
      <c r="H29" t="s">
        <v>94</v>
      </c>
      <c r="I29"/>
      <c r="J29">
        <v>0</v>
      </c>
      <c r="K29"/>
      <c r="W29">
        <v>11</v>
      </c>
      <c r="X29">
        <v>1.8</v>
      </c>
      <c r="Y29" s="1">
        <v>1.8</v>
      </c>
      <c r="Z29" s="1">
        <v>0</v>
      </c>
      <c r="AC29">
        <v>3.6</v>
      </c>
      <c r="AD29">
        <v>3</v>
      </c>
      <c r="AE29">
        <v>0</v>
      </c>
      <c r="AF29">
        <v>0.6</v>
      </c>
      <c r="AG29">
        <v>0.17</v>
      </c>
      <c r="AH29">
        <v>0</v>
      </c>
      <c r="AI29">
        <v>0</v>
      </c>
      <c r="AJ29">
        <v>0</v>
      </c>
      <c r="AK29">
        <v>0.38</v>
      </c>
      <c r="AL29">
        <v>0.7</v>
      </c>
    </row>
    <row r="30" spans="1:38" x14ac:dyDescent="0.45">
      <c r="A30">
        <v>2131.9899999999998</v>
      </c>
      <c r="B30" s="15">
        <f>VLOOKUP(A30,'Table 3.1'!$A$4:$D$186,4,FALSE)</f>
        <v>4.9464178955243723</v>
      </c>
      <c r="C30" t="s">
        <v>476</v>
      </c>
      <c r="D30"/>
      <c r="E30"/>
      <c r="F30" t="s">
        <v>47</v>
      </c>
      <c r="G30" t="s">
        <v>465</v>
      </c>
      <c r="H30" t="s">
        <v>466</v>
      </c>
      <c r="I30"/>
      <c r="J30">
        <v>0</v>
      </c>
      <c r="K30"/>
      <c r="W30">
        <v>8</v>
      </c>
      <c r="X30">
        <v>0.2</v>
      </c>
      <c r="Y30" s="1">
        <v>0</v>
      </c>
      <c r="Z30" s="1">
        <v>0.2</v>
      </c>
      <c r="AC30">
        <v>0.14000000000000001</v>
      </c>
      <c r="AD30">
        <v>0</v>
      </c>
      <c r="AE30">
        <v>0</v>
      </c>
      <c r="AF30">
        <v>0.02</v>
      </c>
      <c r="AG30">
        <v>0.04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>
        <v>1172.02</v>
      </c>
      <c r="B31" s="15">
        <f>VLOOKUP(A31,'Table 3.1'!$A$4:$D$186,4,FALSE)</f>
        <v>4.571878691915221</v>
      </c>
      <c r="C31" t="s">
        <v>328</v>
      </c>
      <c r="D31"/>
      <c r="E31"/>
      <c r="F31" t="s">
        <v>47</v>
      </c>
      <c r="G31" t="s">
        <v>329</v>
      </c>
      <c r="H31" t="s">
        <v>330</v>
      </c>
      <c r="I31"/>
      <c r="J31">
        <v>0.2</v>
      </c>
      <c r="K31"/>
      <c r="W31">
        <v>41</v>
      </c>
      <c r="X31">
        <v>0.6</v>
      </c>
      <c r="Y31" s="1">
        <v>0</v>
      </c>
      <c r="Z31" s="1">
        <v>0.6</v>
      </c>
      <c r="AC31">
        <v>0.2</v>
      </c>
      <c r="AD31">
        <v>48</v>
      </c>
      <c r="AE31">
        <v>54</v>
      </c>
      <c r="AF31">
        <v>0.05</v>
      </c>
      <c r="AG31">
        <v>0.04</v>
      </c>
      <c r="AH31">
        <v>0</v>
      </c>
      <c r="AI31">
        <v>100</v>
      </c>
      <c r="AJ31">
        <v>8</v>
      </c>
      <c r="AK31">
        <v>0.1</v>
      </c>
      <c r="AL31">
        <v>0</v>
      </c>
    </row>
    <row r="32" spans="1:38" x14ac:dyDescent="0.45">
      <c r="A32">
        <v>1127.01</v>
      </c>
      <c r="B32" s="15">
        <f>VLOOKUP(A32,'Table 3.1'!$A$4:$D$186,4,FALSE)</f>
        <v>4.2834915442390153</v>
      </c>
      <c r="C32" t="s">
        <v>126</v>
      </c>
      <c r="D32"/>
      <c r="E32"/>
      <c r="F32" t="s">
        <v>51</v>
      </c>
      <c r="G32">
        <v>17164</v>
      </c>
      <c r="H32" t="s">
        <v>127</v>
      </c>
      <c r="I32"/>
      <c r="J32">
        <v>0</v>
      </c>
      <c r="K32"/>
      <c r="W32">
        <v>5</v>
      </c>
      <c r="X32">
        <v>3.4</v>
      </c>
      <c r="Y32" s="1">
        <v>3.4</v>
      </c>
      <c r="Z32" s="1">
        <v>0</v>
      </c>
      <c r="AC32">
        <v>2.09</v>
      </c>
      <c r="AD32">
        <v>4</v>
      </c>
      <c r="AE32">
        <v>0</v>
      </c>
      <c r="AF32">
        <v>0.22</v>
      </c>
      <c r="AG32">
        <v>0.48</v>
      </c>
      <c r="AH32">
        <v>0</v>
      </c>
      <c r="AI32">
        <v>0</v>
      </c>
      <c r="AJ32">
        <v>0</v>
      </c>
      <c r="AK32">
        <v>0.37</v>
      </c>
      <c r="AL32">
        <v>6.31</v>
      </c>
    </row>
    <row r="33" spans="1:38" x14ac:dyDescent="0.45">
      <c r="A33">
        <v>1222.99</v>
      </c>
      <c r="B33" s="15">
        <f>VLOOKUP(A33,'Table 3.1'!$A$4:$D$186,4,FALSE)</f>
        <v>4.1601920172589884</v>
      </c>
      <c r="C33" t="s">
        <v>458</v>
      </c>
      <c r="D33"/>
      <c r="E33"/>
      <c r="F33" t="s">
        <v>47</v>
      </c>
      <c r="G33" t="s">
        <v>456</v>
      </c>
      <c r="H33" t="s">
        <v>457</v>
      </c>
      <c r="I33" t="s">
        <v>192</v>
      </c>
      <c r="J33">
        <v>0</v>
      </c>
      <c r="K33"/>
      <c r="W33">
        <v>12</v>
      </c>
      <c r="X33">
        <v>0.3</v>
      </c>
      <c r="Y33" s="1">
        <v>0</v>
      </c>
      <c r="Z33" s="1">
        <v>0.3</v>
      </c>
      <c r="AC33">
        <v>0.05</v>
      </c>
      <c r="AD33">
        <v>34</v>
      </c>
      <c r="AE33">
        <v>42.7</v>
      </c>
      <c r="AF33">
        <v>0.08</v>
      </c>
      <c r="AG33">
        <v>0.03</v>
      </c>
      <c r="AH33">
        <v>0</v>
      </c>
      <c r="AI33">
        <v>100</v>
      </c>
      <c r="AJ33">
        <v>8</v>
      </c>
      <c r="AK33">
        <v>0.06</v>
      </c>
      <c r="AL33">
        <v>0</v>
      </c>
    </row>
    <row r="34" spans="1:38" s="19" customFormat="1" x14ac:dyDescent="0.45">
      <c r="A34" s="17">
        <v>1112.0899999999999</v>
      </c>
      <c r="B34" s="18">
        <f>VLOOKUP(A34,'Table 3.1'!$A$4:$D$186,4,FALSE)</f>
        <v>3.900785300354237</v>
      </c>
      <c r="C34" s="17" t="s">
        <v>61</v>
      </c>
      <c r="D34" s="17">
        <v>3285</v>
      </c>
      <c r="E34" s="17" t="s">
        <v>505</v>
      </c>
      <c r="F34" s="17" t="s">
        <v>47</v>
      </c>
      <c r="G34" s="17" t="s">
        <v>57</v>
      </c>
      <c r="H34" s="17" t="s">
        <v>58</v>
      </c>
      <c r="I34" s="17"/>
      <c r="J34" s="17">
        <v>0</v>
      </c>
      <c r="K34" s="17"/>
      <c r="W34" s="17">
        <v>26</v>
      </c>
      <c r="X34" s="17">
        <v>1.2</v>
      </c>
      <c r="Y34" s="19">
        <v>0</v>
      </c>
      <c r="Z34" s="19">
        <v>1.2</v>
      </c>
      <c r="AC34" s="17">
        <v>0.8</v>
      </c>
      <c r="AD34" s="17">
        <v>28</v>
      </c>
      <c r="AE34" s="17">
        <v>0</v>
      </c>
      <c r="AF34" s="17">
        <v>0.18</v>
      </c>
      <c r="AG34" s="17">
        <v>0.06</v>
      </c>
      <c r="AH34" s="17">
        <v>0</v>
      </c>
      <c r="AI34" s="17">
        <v>0</v>
      </c>
      <c r="AJ34" s="17">
        <v>0</v>
      </c>
      <c r="AK34" s="17">
        <v>0.04</v>
      </c>
      <c r="AL34" s="17">
        <v>0</v>
      </c>
    </row>
    <row r="35" spans="1:38" x14ac:dyDescent="0.45">
      <c r="A35">
        <v>1147.01</v>
      </c>
      <c r="B35" s="15">
        <f>VLOOKUP(A35,'Table 3.1'!$A$4:$D$186,4,FALSE)</f>
        <v>3.8624752435394378</v>
      </c>
      <c r="C35" t="s">
        <v>200</v>
      </c>
      <c r="D35"/>
      <c r="E35"/>
      <c r="F35" t="s">
        <v>47</v>
      </c>
      <c r="G35" t="s">
        <v>201</v>
      </c>
      <c r="H35" t="s">
        <v>202</v>
      </c>
      <c r="I35" t="s">
        <v>180</v>
      </c>
      <c r="J35">
        <v>0</v>
      </c>
      <c r="K35"/>
      <c r="W35">
        <v>56</v>
      </c>
      <c r="X35">
        <v>1.8</v>
      </c>
      <c r="Y35" s="1">
        <v>1.8</v>
      </c>
      <c r="Z35" s="1">
        <v>0</v>
      </c>
      <c r="AC35">
        <v>1.29</v>
      </c>
      <c r="AD35">
        <v>47</v>
      </c>
      <c r="AE35">
        <v>0</v>
      </c>
      <c r="AF35">
        <v>0.04</v>
      </c>
      <c r="AG35">
        <v>0.46</v>
      </c>
      <c r="AH35">
        <v>160</v>
      </c>
      <c r="AI35">
        <v>5</v>
      </c>
      <c r="AJ35">
        <v>160</v>
      </c>
      <c r="AK35">
        <v>0.17</v>
      </c>
      <c r="AL35">
        <v>0.9</v>
      </c>
    </row>
    <row r="36" spans="1:38" x14ac:dyDescent="0.45">
      <c r="A36">
        <v>1169.99</v>
      </c>
      <c r="B36" s="15">
        <f>VLOOKUP(A36,'Table 3.1'!$A$4:$D$186,4,FALSE)</f>
        <v>3.7753670865333362</v>
      </c>
      <c r="C36" t="s">
        <v>314</v>
      </c>
      <c r="D36"/>
      <c r="E36"/>
      <c r="F36" t="s">
        <v>51</v>
      </c>
      <c r="G36">
        <v>12635</v>
      </c>
      <c r="H36" t="s">
        <v>315</v>
      </c>
      <c r="I36"/>
      <c r="J36">
        <v>0</v>
      </c>
      <c r="K36"/>
      <c r="W36">
        <v>70</v>
      </c>
      <c r="X36">
        <v>3.7</v>
      </c>
      <c r="Y36" s="1">
        <v>0</v>
      </c>
      <c r="Z36" s="1">
        <v>3.7</v>
      </c>
      <c r="AC36">
        <v>3.8</v>
      </c>
      <c r="AD36">
        <v>50</v>
      </c>
      <c r="AE36">
        <v>0.4</v>
      </c>
      <c r="AF36">
        <v>0.2</v>
      </c>
      <c r="AG36">
        <v>0.2</v>
      </c>
      <c r="AH36">
        <v>0</v>
      </c>
      <c r="AI36">
        <v>3</v>
      </c>
      <c r="AJ36">
        <v>0</v>
      </c>
      <c r="AK36">
        <v>0.29599999999999999</v>
      </c>
      <c r="AL36">
        <v>0</v>
      </c>
    </row>
    <row r="37" spans="1:38" x14ac:dyDescent="0.45">
      <c r="A37">
        <v>1125.06</v>
      </c>
      <c r="B37" s="15">
        <f>VLOOKUP(A37,'Table 3.1'!$A$4:$D$186,4,FALSE)</f>
        <v>3.7568520989183534</v>
      </c>
      <c r="C37" t="s">
        <v>113</v>
      </c>
      <c r="D37"/>
      <c r="E37"/>
      <c r="F37" t="s">
        <v>47</v>
      </c>
      <c r="G37" t="s">
        <v>110</v>
      </c>
      <c r="H37" t="s">
        <v>111</v>
      </c>
      <c r="I37"/>
      <c r="J37">
        <v>0</v>
      </c>
      <c r="K37"/>
      <c r="W37">
        <v>10</v>
      </c>
      <c r="X37">
        <v>0.88</v>
      </c>
      <c r="Y37" s="1">
        <v>0.88</v>
      </c>
      <c r="Z37" s="1">
        <v>0</v>
      </c>
      <c r="AC37">
        <v>1.6</v>
      </c>
      <c r="AD37">
        <v>4</v>
      </c>
      <c r="AE37">
        <v>0</v>
      </c>
      <c r="AF37">
        <v>0.09</v>
      </c>
      <c r="AG37">
        <v>0.11</v>
      </c>
      <c r="AH37">
        <v>0</v>
      </c>
      <c r="AI37">
        <v>0</v>
      </c>
      <c r="AJ37">
        <v>0</v>
      </c>
      <c r="AK37">
        <v>0.12</v>
      </c>
      <c r="AL37">
        <v>1</v>
      </c>
    </row>
    <row r="38" spans="1:38" x14ac:dyDescent="0.45">
      <c r="A38">
        <v>1144.01</v>
      </c>
      <c r="B38" s="15">
        <f>VLOOKUP(A38,'Table 3.1'!$A$4:$D$186,4,FALSE)</f>
        <v>3.7517320021912806</v>
      </c>
      <c r="C38" t="s">
        <v>186</v>
      </c>
      <c r="D38"/>
      <c r="E38"/>
      <c r="F38" t="s">
        <v>47</v>
      </c>
      <c r="G38" t="s">
        <v>187</v>
      </c>
      <c r="H38" t="s">
        <v>188</v>
      </c>
      <c r="I38" t="s">
        <v>182</v>
      </c>
      <c r="J38">
        <v>0</v>
      </c>
      <c r="K38"/>
      <c r="W38">
        <v>142</v>
      </c>
      <c r="X38">
        <v>0.1</v>
      </c>
      <c r="Y38" s="1">
        <v>0.1</v>
      </c>
      <c r="Z38" s="1">
        <v>0</v>
      </c>
      <c r="AC38">
        <v>0.3</v>
      </c>
      <c r="AD38">
        <v>1</v>
      </c>
      <c r="AE38">
        <v>1.5</v>
      </c>
      <c r="AF38">
        <v>0.06</v>
      </c>
      <c r="AG38">
        <v>0.17</v>
      </c>
      <c r="AH38">
        <v>33</v>
      </c>
      <c r="AI38">
        <v>0</v>
      </c>
      <c r="AJ38">
        <v>33</v>
      </c>
      <c r="AK38">
        <v>0.04</v>
      </c>
      <c r="AL38">
        <v>0.1</v>
      </c>
    </row>
    <row r="39" spans="1:38" s="19" customFormat="1" x14ac:dyDescent="0.45">
      <c r="A39" s="17">
        <v>1112.04</v>
      </c>
      <c r="B39" s="18">
        <f>VLOOKUP(A39,'Table 3.1'!$A$4:$D$186,4,FALSE)</f>
        <v>3.7198099108168723</v>
      </c>
      <c r="C39" s="17" t="s">
        <v>60</v>
      </c>
      <c r="D39" s="17">
        <v>3257</v>
      </c>
      <c r="E39" s="17" t="s">
        <v>506</v>
      </c>
      <c r="F39" s="17" t="s">
        <v>47</v>
      </c>
      <c r="G39" s="17" t="s">
        <v>57</v>
      </c>
      <c r="H39" s="17" t="s">
        <v>58</v>
      </c>
      <c r="I39" s="17"/>
      <c r="J39" s="17">
        <v>0</v>
      </c>
      <c r="K39" s="17"/>
      <c r="W39" s="17">
        <v>26</v>
      </c>
      <c r="X39" s="17">
        <v>1.2</v>
      </c>
      <c r="Y39" s="19">
        <v>0</v>
      </c>
      <c r="Z39" s="19">
        <v>1.2</v>
      </c>
      <c r="AC39" s="17">
        <v>0.8</v>
      </c>
      <c r="AD39" s="17">
        <v>28</v>
      </c>
      <c r="AE39" s="17">
        <v>0</v>
      </c>
      <c r="AF39" s="17">
        <v>0.18</v>
      </c>
      <c r="AG39" s="17">
        <v>0.06</v>
      </c>
      <c r="AH39" s="17">
        <v>0</v>
      </c>
      <c r="AI39" s="17">
        <v>0</v>
      </c>
      <c r="AJ39" s="17">
        <v>0</v>
      </c>
      <c r="AK39" s="17">
        <v>0.04</v>
      </c>
      <c r="AL39" s="17">
        <v>0</v>
      </c>
    </row>
    <row r="40" spans="1:38" x14ac:dyDescent="0.45">
      <c r="A40">
        <v>1175.01</v>
      </c>
      <c r="B40" s="15">
        <f>VLOOKUP(A40,'Table 3.1'!$A$4:$D$186,4,FALSE)</f>
        <v>3.4039268687098536</v>
      </c>
      <c r="C40" t="s">
        <v>374</v>
      </c>
      <c r="D40"/>
      <c r="E40"/>
      <c r="F40" t="s">
        <v>47</v>
      </c>
      <c r="G40" t="s">
        <v>375</v>
      </c>
      <c r="H40" t="s">
        <v>376</v>
      </c>
      <c r="I40"/>
      <c r="J40">
        <v>0</v>
      </c>
      <c r="K40"/>
      <c r="W40">
        <v>74</v>
      </c>
      <c r="X40">
        <v>5.7</v>
      </c>
      <c r="Y40" s="1">
        <v>0</v>
      </c>
      <c r="Z40" s="1">
        <v>5.7</v>
      </c>
      <c r="AC40">
        <v>3.77</v>
      </c>
      <c r="AD40">
        <v>395</v>
      </c>
      <c r="AE40">
        <v>0</v>
      </c>
      <c r="AF40">
        <v>0.89</v>
      </c>
      <c r="AG40">
        <v>0.11</v>
      </c>
      <c r="AH40">
        <v>0</v>
      </c>
      <c r="AI40">
        <v>179</v>
      </c>
      <c r="AJ40">
        <v>15</v>
      </c>
      <c r="AK40">
        <v>0.51</v>
      </c>
      <c r="AL40">
        <v>0</v>
      </c>
    </row>
    <row r="41" spans="1:38" x14ac:dyDescent="0.45">
      <c r="A41">
        <v>1173.02</v>
      </c>
      <c r="B41" s="15">
        <f>VLOOKUP(A41,'Table 3.1'!$A$4:$D$186,4,FALSE)</f>
        <v>3.2436041558211599</v>
      </c>
      <c r="C41" t="s">
        <v>335</v>
      </c>
      <c r="D41"/>
      <c r="E41"/>
      <c r="F41" t="s">
        <v>47</v>
      </c>
      <c r="G41" t="s">
        <v>336</v>
      </c>
      <c r="H41" t="s">
        <v>337</v>
      </c>
      <c r="I41"/>
      <c r="J41">
        <v>0.17</v>
      </c>
      <c r="K41"/>
      <c r="W41">
        <v>47</v>
      </c>
      <c r="X41">
        <v>1.1000000000000001</v>
      </c>
      <c r="Y41" s="1">
        <v>0</v>
      </c>
      <c r="Z41" s="1">
        <v>1.1000000000000001</v>
      </c>
      <c r="AC41">
        <v>0.27</v>
      </c>
      <c r="AD41">
        <v>62</v>
      </c>
      <c r="AE41">
        <v>17.5</v>
      </c>
      <c r="AF41">
        <v>0.1</v>
      </c>
      <c r="AG41">
        <v>0.1</v>
      </c>
      <c r="AH41">
        <v>0</v>
      </c>
      <c r="AI41">
        <v>286</v>
      </c>
      <c r="AJ41">
        <v>24</v>
      </c>
      <c r="AK41">
        <v>0.2</v>
      </c>
      <c r="AL41">
        <v>0</v>
      </c>
    </row>
    <row r="42" spans="1:38" x14ac:dyDescent="0.45">
      <c r="A42">
        <v>1134.01</v>
      </c>
      <c r="B42" s="15">
        <f>VLOOKUP(A42,'Table 3.1'!$A$4:$D$186,4,FALSE)</f>
        <v>2.8893046188443865</v>
      </c>
      <c r="C42" t="s">
        <v>157</v>
      </c>
      <c r="D42"/>
      <c r="E42"/>
      <c r="F42" t="s">
        <v>47</v>
      </c>
      <c r="G42" t="s">
        <v>158</v>
      </c>
      <c r="H42" t="s">
        <v>159</v>
      </c>
      <c r="I42"/>
      <c r="J42">
        <v>0</v>
      </c>
      <c r="K42"/>
      <c r="W42">
        <v>382</v>
      </c>
      <c r="X42">
        <v>2.9</v>
      </c>
      <c r="Y42" s="1">
        <v>2.9</v>
      </c>
      <c r="Z42" s="1">
        <v>0</v>
      </c>
      <c r="AC42">
        <v>1.31</v>
      </c>
      <c r="AD42">
        <v>10</v>
      </c>
      <c r="AE42">
        <v>0</v>
      </c>
      <c r="AF42">
        <v>0.08</v>
      </c>
      <c r="AG42">
        <v>0.23</v>
      </c>
      <c r="AH42">
        <v>32</v>
      </c>
      <c r="AI42">
        <v>0</v>
      </c>
      <c r="AJ42">
        <v>32</v>
      </c>
      <c r="AK42">
        <v>0.17</v>
      </c>
      <c r="AL42">
        <v>8.9</v>
      </c>
    </row>
    <row r="43" spans="1:38" x14ac:dyDescent="0.45">
      <c r="A43">
        <v>1125.07</v>
      </c>
      <c r="B43" s="15">
        <f>VLOOKUP(A43,'Table 3.1'!$A$4:$D$186,4,FALSE)</f>
        <v>2.7376573175115477</v>
      </c>
      <c r="C43" t="s">
        <v>114</v>
      </c>
      <c r="D43"/>
      <c r="E43"/>
      <c r="F43" t="s">
        <v>47</v>
      </c>
      <c r="G43" t="s">
        <v>115</v>
      </c>
      <c r="H43" t="s">
        <v>116</v>
      </c>
      <c r="I43"/>
      <c r="J43">
        <v>0</v>
      </c>
      <c r="K43"/>
      <c r="W43">
        <v>69</v>
      </c>
      <c r="X43">
        <v>0.6</v>
      </c>
      <c r="Y43" s="1">
        <v>0.6</v>
      </c>
      <c r="Z43" s="1">
        <v>0</v>
      </c>
      <c r="AC43">
        <v>1.42</v>
      </c>
      <c r="AD43">
        <v>5</v>
      </c>
      <c r="AE43">
        <v>0</v>
      </c>
      <c r="AF43">
        <v>0</v>
      </c>
      <c r="AG43">
        <v>0.06</v>
      </c>
      <c r="AH43">
        <v>0</v>
      </c>
      <c r="AI43">
        <v>0</v>
      </c>
      <c r="AJ43">
        <v>0</v>
      </c>
      <c r="AK43">
        <v>0.01</v>
      </c>
      <c r="AL43">
        <v>1.4</v>
      </c>
    </row>
    <row r="44" spans="1:38" x14ac:dyDescent="0.45">
      <c r="A44">
        <v>1133.03</v>
      </c>
      <c r="B44" s="15">
        <f>VLOOKUP(A44,'Table 3.1'!$A$4:$D$186,4,FALSE)</f>
        <v>2.7296458680740767</v>
      </c>
      <c r="C44" t="s">
        <v>155</v>
      </c>
      <c r="D44"/>
      <c r="E44"/>
      <c r="F44" t="s">
        <v>51</v>
      </c>
      <c r="G44">
        <v>35165</v>
      </c>
      <c r="H44" t="s">
        <v>156</v>
      </c>
      <c r="I44"/>
      <c r="J44">
        <v>0</v>
      </c>
      <c r="K44"/>
      <c r="W44">
        <v>810</v>
      </c>
      <c r="X44">
        <v>4.0999999999999996</v>
      </c>
      <c r="Y44" s="1">
        <v>4.0999999999999996</v>
      </c>
      <c r="Z44" s="1">
        <v>0</v>
      </c>
      <c r="AC44">
        <v>5</v>
      </c>
      <c r="AD44">
        <v>11</v>
      </c>
      <c r="AE44">
        <v>0</v>
      </c>
      <c r="AF44">
        <v>5.2999999999999999E-2</v>
      </c>
      <c r="AG44">
        <v>0.437999999999999</v>
      </c>
      <c r="AH44">
        <v>39</v>
      </c>
      <c r="AI44">
        <v>0</v>
      </c>
      <c r="AJ44">
        <v>39</v>
      </c>
      <c r="AK44">
        <v>0.36499999999999999</v>
      </c>
      <c r="AL44">
        <v>18.399999999999999</v>
      </c>
    </row>
    <row r="45" spans="1:38" x14ac:dyDescent="0.45">
      <c r="A45">
        <v>1221.01</v>
      </c>
      <c r="B45" s="15">
        <f>VLOOKUP(A45,'Table 3.1'!$A$4:$D$186,4,FALSE)</f>
        <v>2.3823973877958893</v>
      </c>
      <c r="C45" t="s">
        <v>452</v>
      </c>
      <c r="D45"/>
      <c r="E45"/>
      <c r="F45" t="s">
        <v>47</v>
      </c>
      <c r="G45" t="s">
        <v>453</v>
      </c>
      <c r="H45" t="s">
        <v>454</v>
      </c>
      <c r="I45" t="s">
        <v>192</v>
      </c>
      <c r="J45">
        <v>0</v>
      </c>
      <c r="K45"/>
      <c r="W45">
        <v>1</v>
      </c>
      <c r="X45">
        <v>0</v>
      </c>
      <c r="Y45" s="1">
        <v>0</v>
      </c>
      <c r="Z45" s="1">
        <v>0</v>
      </c>
      <c r="AC45">
        <v>0.01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>
        <v>1126.01</v>
      </c>
      <c r="B46" s="15">
        <f>VLOOKUP(A46,'Table 3.1'!$A$4:$D$186,4,FALSE)</f>
        <v>2.3717215461210257</v>
      </c>
      <c r="C46" t="s">
        <v>120</v>
      </c>
      <c r="D46"/>
      <c r="E46"/>
      <c r="F46" t="s">
        <v>47</v>
      </c>
      <c r="G46" t="s">
        <v>121</v>
      </c>
      <c r="H46" t="s">
        <v>122</v>
      </c>
      <c r="I46"/>
      <c r="J46">
        <v>0</v>
      </c>
      <c r="K46"/>
      <c r="W46">
        <v>12</v>
      </c>
      <c r="X46">
        <v>2.2000000000000002</v>
      </c>
      <c r="Y46" s="1">
        <v>2.2000000000000002</v>
      </c>
      <c r="Z46" s="1">
        <v>0</v>
      </c>
      <c r="AC46">
        <v>4.79</v>
      </c>
      <c r="AD46">
        <v>6</v>
      </c>
      <c r="AE46">
        <v>0</v>
      </c>
      <c r="AF46">
        <v>0.04</v>
      </c>
      <c r="AG46">
        <v>0.16</v>
      </c>
      <c r="AH46">
        <v>0</v>
      </c>
      <c r="AI46">
        <v>0</v>
      </c>
      <c r="AJ46">
        <v>0</v>
      </c>
      <c r="AK46">
        <v>0.37</v>
      </c>
      <c r="AL46">
        <v>2.2000000000000002</v>
      </c>
    </row>
    <row r="47" spans="1:38" x14ac:dyDescent="0.45">
      <c r="A47">
        <v>1178.02</v>
      </c>
      <c r="B47" s="15">
        <f>VLOOKUP(A47,'Table 3.1'!$A$4:$D$186,4,FALSE)</f>
        <v>2.3565618149858896</v>
      </c>
      <c r="C47" t="s">
        <v>392</v>
      </c>
      <c r="D47"/>
      <c r="E47"/>
      <c r="F47" t="s">
        <v>237</v>
      </c>
      <c r="G47">
        <v>15110</v>
      </c>
      <c r="H47" t="s">
        <v>393</v>
      </c>
      <c r="I47"/>
      <c r="J47">
        <v>0</v>
      </c>
      <c r="K47"/>
      <c r="W47">
        <v>17</v>
      </c>
      <c r="X47">
        <v>2.7</v>
      </c>
      <c r="Y47" s="1">
        <v>0</v>
      </c>
      <c r="Z47" s="1">
        <v>2.7</v>
      </c>
      <c r="AC47">
        <v>0.63</v>
      </c>
      <c r="AD47">
        <v>82</v>
      </c>
      <c r="AE47">
        <v>12</v>
      </c>
      <c r="AF47">
        <v>0.11</v>
      </c>
      <c r="AG47">
        <v>7.0000000000000007E-2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s="19" customFormat="1" x14ac:dyDescent="0.45">
      <c r="A48" s="17">
        <v>1115.03</v>
      </c>
      <c r="B48" s="18">
        <f>VLOOKUP(A48,'Table 3.1'!$A$4:$D$186,4,FALSE)</f>
        <v>2.2587661493212332</v>
      </c>
      <c r="C48" s="17" t="s">
        <v>74</v>
      </c>
      <c r="D48" s="17">
        <v>3273</v>
      </c>
      <c r="E48" s="17" t="s">
        <v>507</v>
      </c>
      <c r="F48" s="17" t="s">
        <v>47</v>
      </c>
      <c r="G48" s="17" t="s">
        <v>75</v>
      </c>
      <c r="H48" s="17" t="s">
        <v>76</v>
      </c>
      <c r="I48" s="17"/>
      <c r="J48" s="17">
        <v>0</v>
      </c>
      <c r="K48" s="17"/>
      <c r="W48" s="17">
        <v>70</v>
      </c>
      <c r="X48" s="17">
        <v>0.7</v>
      </c>
      <c r="Y48" s="19">
        <v>0</v>
      </c>
      <c r="Z48" s="19">
        <v>0.7</v>
      </c>
      <c r="AC48" s="17">
        <v>0.76</v>
      </c>
      <c r="AD48" s="17">
        <v>17</v>
      </c>
      <c r="AE48" s="17">
        <v>0</v>
      </c>
      <c r="AF48" s="17">
        <v>0.16</v>
      </c>
      <c r="AG48" s="17">
        <v>0.18</v>
      </c>
      <c r="AH48" s="17">
        <v>0</v>
      </c>
      <c r="AI48" s="17">
        <v>534</v>
      </c>
      <c r="AJ48" s="17">
        <v>45</v>
      </c>
      <c r="AK48" s="17">
        <v>0.05</v>
      </c>
      <c r="AL48" s="17">
        <v>0.6</v>
      </c>
    </row>
    <row r="49" spans="1:38" x14ac:dyDescent="0.45">
      <c r="A49">
        <v>1129.99</v>
      </c>
      <c r="B49" s="15">
        <f>VLOOKUP(A49,'Table 3.1'!$A$4:$D$186,4,FALSE)</f>
        <v>2.2347742636115298</v>
      </c>
      <c r="C49" t="s">
        <v>136</v>
      </c>
      <c r="D49"/>
      <c r="E49"/>
      <c r="F49" t="s">
        <v>47</v>
      </c>
      <c r="G49" t="s">
        <v>137</v>
      </c>
      <c r="H49" t="s">
        <v>138</v>
      </c>
      <c r="I49"/>
      <c r="J49">
        <v>0</v>
      </c>
      <c r="K49"/>
      <c r="W49">
        <v>15</v>
      </c>
      <c r="X49">
        <v>9.9</v>
      </c>
      <c r="Y49" s="1">
        <v>9.9</v>
      </c>
      <c r="Z49" s="1">
        <v>0</v>
      </c>
      <c r="AC49">
        <v>6.06</v>
      </c>
      <c r="AD49">
        <v>12</v>
      </c>
      <c r="AE49">
        <v>0</v>
      </c>
      <c r="AF49">
        <v>0.64</v>
      </c>
      <c r="AG49">
        <v>1.39</v>
      </c>
      <c r="AH49">
        <v>0</v>
      </c>
      <c r="AI49">
        <v>0</v>
      </c>
      <c r="AJ49">
        <v>0</v>
      </c>
      <c r="AK49">
        <v>1.07</v>
      </c>
      <c r="AL49">
        <v>18.3</v>
      </c>
    </row>
    <row r="50" spans="1:38" x14ac:dyDescent="0.45">
      <c r="A50">
        <v>1174.03</v>
      </c>
      <c r="B50" s="15">
        <f>VLOOKUP(A50,'Table 3.1'!$A$4:$D$186,4,FALSE)</f>
        <v>2.2324762903579614</v>
      </c>
      <c r="C50" t="s">
        <v>361</v>
      </c>
      <c r="D50"/>
      <c r="E50"/>
      <c r="F50" t="s">
        <v>47</v>
      </c>
      <c r="G50" t="s">
        <v>362</v>
      </c>
      <c r="H50" t="s">
        <v>363</v>
      </c>
      <c r="I50"/>
      <c r="J50">
        <v>0.11</v>
      </c>
      <c r="K50"/>
      <c r="W50">
        <v>35</v>
      </c>
      <c r="X50">
        <v>0.7</v>
      </c>
      <c r="Y50" s="1">
        <v>0</v>
      </c>
      <c r="Z50" s="1">
        <v>0.7</v>
      </c>
      <c r="AC50">
        <v>0.26</v>
      </c>
      <c r="AD50">
        <v>31</v>
      </c>
      <c r="AE50">
        <v>7</v>
      </c>
      <c r="AF50">
        <v>0.06</v>
      </c>
      <c r="AG50">
        <v>0.05</v>
      </c>
      <c r="AH50">
        <v>0</v>
      </c>
      <c r="AI50">
        <v>8560</v>
      </c>
      <c r="AJ50">
        <v>713</v>
      </c>
      <c r="AK50">
        <v>0.23</v>
      </c>
      <c r="AL50">
        <v>0</v>
      </c>
    </row>
    <row r="51" spans="1:38" x14ac:dyDescent="0.45">
      <c r="A51">
        <v>1163.01</v>
      </c>
      <c r="B51" s="15">
        <f>VLOOKUP(A51,'Table 3.1'!$A$4:$D$186,4,FALSE)</f>
        <v>2.098787381394839</v>
      </c>
      <c r="C51" t="s">
        <v>229</v>
      </c>
      <c r="D51"/>
      <c r="E51"/>
      <c r="F51" t="s">
        <v>47</v>
      </c>
      <c r="G51" t="s">
        <v>230</v>
      </c>
      <c r="H51" t="s">
        <v>231</v>
      </c>
      <c r="I51"/>
      <c r="J51">
        <v>0.1</v>
      </c>
      <c r="K51"/>
      <c r="W51">
        <v>6</v>
      </c>
      <c r="X51">
        <v>0.1</v>
      </c>
      <c r="Y51" s="1">
        <v>0</v>
      </c>
      <c r="Z51" s="1">
        <v>0.1</v>
      </c>
      <c r="AC51">
        <v>0.04</v>
      </c>
      <c r="AD51">
        <v>3</v>
      </c>
      <c r="AE51">
        <v>4.5999999999999996</v>
      </c>
      <c r="AF51">
        <v>0.02</v>
      </c>
      <c r="AG51">
        <v>0.03</v>
      </c>
      <c r="AH51">
        <v>0</v>
      </c>
      <c r="AI51">
        <v>33</v>
      </c>
      <c r="AJ51">
        <v>3</v>
      </c>
      <c r="AK51">
        <v>0.04</v>
      </c>
      <c r="AL51">
        <v>0</v>
      </c>
    </row>
    <row r="52" spans="1:38" s="19" customFormat="1" x14ac:dyDescent="0.45">
      <c r="A52" s="17">
        <v>1119.01</v>
      </c>
      <c r="B52" s="18">
        <f>VLOOKUP(A52,'Table 3.1'!$A$4:$D$186,4,FALSE)</f>
        <v>2.0855709948043324</v>
      </c>
      <c r="C52" s="17" t="s">
        <v>88</v>
      </c>
      <c r="D52" s="17">
        <v>3239</v>
      </c>
      <c r="E52" s="17" t="s">
        <v>510</v>
      </c>
      <c r="F52" s="17" t="s">
        <v>51</v>
      </c>
      <c r="G52" s="17">
        <v>8411</v>
      </c>
      <c r="H52" s="17" t="s">
        <v>89</v>
      </c>
      <c r="I52" s="17"/>
      <c r="J52" s="17">
        <v>0.25</v>
      </c>
      <c r="K52" s="17"/>
      <c r="W52" s="17">
        <v>220</v>
      </c>
      <c r="X52" s="17">
        <v>7.92</v>
      </c>
      <c r="Y52" s="19">
        <v>0</v>
      </c>
      <c r="Z52" s="19">
        <v>7.92</v>
      </c>
      <c r="AC52" s="17">
        <v>1.75</v>
      </c>
      <c r="AD52" s="17">
        <v>176</v>
      </c>
      <c r="AE52" s="17">
        <v>0</v>
      </c>
      <c r="AF52" s="17">
        <v>0.66</v>
      </c>
      <c r="AG52" s="17">
        <v>0.74</v>
      </c>
      <c r="AH52" s="17">
        <v>660</v>
      </c>
      <c r="AI52" s="17">
        <v>0</v>
      </c>
      <c r="AJ52" s="17">
        <v>661</v>
      </c>
      <c r="AK52" s="17">
        <v>0.88</v>
      </c>
      <c r="AL52" s="17">
        <v>0</v>
      </c>
    </row>
    <row r="53" spans="1:38" x14ac:dyDescent="0.45">
      <c r="A53">
        <v>1161.01</v>
      </c>
      <c r="B53" s="15">
        <f>VLOOKUP(A53,'Table 3.1'!$A$4:$D$186,4,FALSE)</f>
        <v>1.8641975874115833</v>
      </c>
      <c r="C53" t="s">
        <v>223</v>
      </c>
      <c r="D53"/>
      <c r="E53"/>
      <c r="F53" t="s">
        <v>47</v>
      </c>
      <c r="G53" t="s">
        <v>224</v>
      </c>
      <c r="H53" t="s">
        <v>225</v>
      </c>
      <c r="I53"/>
      <c r="J53">
        <v>0.27</v>
      </c>
      <c r="K53"/>
      <c r="W53">
        <v>31</v>
      </c>
      <c r="X53">
        <v>0.2</v>
      </c>
      <c r="Y53" s="1">
        <v>0</v>
      </c>
      <c r="Z53" s="1">
        <v>0.2</v>
      </c>
      <c r="AC53">
        <v>0.1</v>
      </c>
      <c r="AD53">
        <v>33</v>
      </c>
      <c r="AE53">
        <v>46.8</v>
      </c>
      <c r="AF53">
        <v>0.04</v>
      </c>
      <c r="AG53">
        <v>0.03</v>
      </c>
      <c r="AH53">
        <v>0</v>
      </c>
      <c r="AI53">
        <v>90</v>
      </c>
      <c r="AJ53">
        <v>8</v>
      </c>
      <c r="AK53">
        <v>7.0000000000000007E-2</v>
      </c>
      <c r="AL53">
        <v>0</v>
      </c>
    </row>
    <row r="54" spans="1:38" x14ac:dyDescent="0.45">
      <c r="A54">
        <v>1133.01</v>
      </c>
      <c r="B54" s="15">
        <f>VLOOKUP(A54,'Table 3.1'!$A$4:$D$186,4,FALSE)</f>
        <v>1.855166890926284</v>
      </c>
      <c r="C54" t="s">
        <v>150</v>
      </c>
      <c r="D54"/>
      <c r="E54"/>
      <c r="F54" t="s">
        <v>51</v>
      </c>
      <c r="G54">
        <v>15035</v>
      </c>
      <c r="H54" t="s">
        <v>151</v>
      </c>
      <c r="I54"/>
      <c r="J54">
        <v>0</v>
      </c>
      <c r="K54"/>
      <c r="W54">
        <v>49</v>
      </c>
      <c r="X54">
        <v>1.4</v>
      </c>
      <c r="Y54" s="1">
        <v>1.4</v>
      </c>
      <c r="Z54" s="1">
        <v>0</v>
      </c>
      <c r="AC54">
        <v>0.5</v>
      </c>
      <c r="AD54">
        <v>15</v>
      </c>
      <c r="AE54">
        <v>0</v>
      </c>
      <c r="AF54">
        <v>4.7E-2</v>
      </c>
      <c r="AG54">
        <v>4.9000000000000002E-2</v>
      </c>
      <c r="AH54">
        <v>24</v>
      </c>
      <c r="AI54">
        <v>0</v>
      </c>
      <c r="AJ54">
        <v>24</v>
      </c>
      <c r="AK54">
        <v>0.4</v>
      </c>
      <c r="AL54">
        <v>1.6</v>
      </c>
    </row>
    <row r="55" spans="1:38" x14ac:dyDescent="0.45">
      <c r="A55">
        <v>1178.01</v>
      </c>
      <c r="B55" s="15">
        <f>VLOOKUP(A55,'Table 3.1'!$A$4:$D$186,4,FALSE)</f>
        <v>1.4867058747478683</v>
      </c>
      <c r="C55" t="s">
        <v>389</v>
      </c>
      <c r="D55"/>
      <c r="E55"/>
      <c r="F55" t="s">
        <v>47</v>
      </c>
      <c r="G55" t="s">
        <v>390</v>
      </c>
      <c r="H55" t="s">
        <v>391</v>
      </c>
      <c r="I55"/>
      <c r="J55">
        <v>0.16</v>
      </c>
      <c r="K55"/>
      <c r="W55">
        <v>27</v>
      </c>
      <c r="X55">
        <v>1.1000000000000001</v>
      </c>
      <c r="Y55" s="1">
        <v>0</v>
      </c>
      <c r="Z55" s="1">
        <v>1.1000000000000001</v>
      </c>
      <c r="AC55">
        <v>0.39</v>
      </c>
      <c r="AD55">
        <v>52</v>
      </c>
      <c r="AE55">
        <v>22.3</v>
      </c>
      <c r="AF55">
        <v>0.09</v>
      </c>
      <c r="AG55">
        <v>0.04</v>
      </c>
      <c r="AH55">
        <v>0</v>
      </c>
      <c r="AI55">
        <v>39</v>
      </c>
      <c r="AJ55">
        <v>3</v>
      </c>
      <c r="AK55">
        <v>0.27</v>
      </c>
      <c r="AL55">
        <v>0</v>
      </c>
    </row>
    <row r="56" spans="1:38" s="19" customFormat="1" x14ac:dyDescent="0.45">
      <c r="A56" s="17">
        <v>1114.01</v>
      </c>
      <c r="B56" s="18">
        <f>VLOOKUP(A56,'Table 3.1'!$A$4:$D$186,4,FALSE)</f>
        <v>1.4542406904531449</v>
      </c>
      <c r="C56" s="17" t="s">
        <v>65</v>
      </c>
      <c r="D56" s="17">
        <v>3288</v>
      </c>
      <c r="E56" s="17" t="s">
        <v>508</v>
      </c>
      <c r="F56" s="17" t="s">
        <v>51</v>
      </c>
      <c r="G56" s="17">
        <v>18110</v>
      </c>
      <c r="H56" s="17" t="s">
        <v>66</v>
      </c>
      <c r="I56" s="17"/>
      <c r="J56" s="17">
        <v>0</v>
      </c>
      <c r="K56" s="17"/>
      <c r="W56" s="17">
        <v>33</v>
      </c>
      <c r="X56" s="17">
        <v>2.0699999999999998</v>
      </c>
      <c r="Y56" s="19">
        <v>0</v>
      </c>
      <c r="Z56" s="19">
        <v>2.0699999999999998</v>
      </c>
      <c r="AC56" s="17">
        <v>0.27</v>
      </c>
      <c r="AD56" s="17">
        <v>20</v>
      </c>
      <c r="AE56" s="17">
        <v>0.5</v>
      </c>
      <c r="AF56" s="17">
        <v>0.05</v>
      </c>
      <c r="AG56" s="17">
        <v>9.9000000000000005E-2</v>
      </c>
      <c r="AH56" s="17">
        <v>7</v>
      </c>
      <c r="AI56" s="17">
        <v>3</v>
      </c>
      <c r="AJ56" s="17">
        <v>7</v>
      </c>
      <c r="AK56" s="17">
        <v>4.5999999999999999E-2</v>
      </c>
      <c r="AL56" s="17">
        <v>0.01</v>
      </c>
    </row>
    <row r="57" spans="1:38" x14ac:dyDescent="0.45">
      <c r="A57">
        <v>1162.01</v>
      </c>
      <c r="B57" s="15">
        <f>VLOOKUP(A57,'Table 3.1'!$A$4:$D$186,4,FALSE)</f>
        <v>1.4131903571032163</v>
      </c>
      <c r="C57" t="s">
        <v>226</v>
      </c>
      <c r="D57"/>
      <c r="E57"/>
      <c r="F57" t="s">
        <v>47</v>
      </c>
      <c r="G57" t="s">
        <v>227</v>
      </c>
      <c r="H57" t="s">
        <v>228</v>
      </c>
      <c r="I57"/>
      <c r="J57">
        <v>0.36</v>
      </c>
      <c r="K57"/>
      <c r="W57">
        <v>7</v>
      </c>
      <c r="X57">
        <v>0.3</v>
      </c>
      <c r="Y57" s="1">
        <v>0</v>
      </c>
      <c r="Z57" s="1">
        <v>0.3</v>
      </c>
      <c r="AC57">
        <v>0.17</v>
      </c>
      <c r="AD57">
        <v>19</v>
      </c>
      <c r="AE57">
        <v>10.4</v>
      </c>
      <c r="AF57">
        <v>0.04</v>
      </c>
      <c r="AG57">
        <v>0.04</v>
      </c>
      <c r="AH57">
        <v>0</v>
      </c>
      <c r="AI57">
        <v>50</v>
      </c>
      <c r="AJ57">
        <v>4</v>
      </c>
      <c r="AK57">
        <v>0.34</v>
      </c>
      <c r="AL57">
        <v>0</v>
      </c>
    </row>
    <row r="58" spans="1:38" s="19" customFormat="1" x14ac:dyDescent="0.45">
      <c r="A58" s="17">
        <v>1192.01</v>
      </c>
      <c r="B58" s="18">
        <f>VLOOKUP(A58,'Table 3.1'!$A$4:$D$186,4,FALSE)</f>
        <v>1.3220154733357239</v>
      </c>
      <c r="C58" s="17" t="s">
        <v>427</v>
      </c>
      <c r="D58" s="17">
        <v>4288</v>
      </c>
      <c r="E58" s="17" t="s">
        <v>509</v>
      </c>
      <c r="F58" s="17" t="s">
        <v>47</v>
      </c>
      <c r="G58" s="17" t="s">
        <v>428</v>
      </c>
      <c r="H58" s="17" t="s">
        <v>427</v>
      </c>
      <c r="I58" s="17"/>
      <c r="J58" s="17">
        <v>0</v>
      </c>
      <c r="K58" s="17"/>
      <c r="W58" s="17">
        <v>216</v>
      </c>
      <c r="X58" s="17">
        <v>1.2</v>
      </c>
      <c r="Y58" s="19">
        <v>0</v>
      </c>
      <c r="Z58" s="19">
        <v>1.2</v>
      </c>
      <c r="AC58" s="17">
        <v>0.1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</row>
    <row r="59" spans="1:38" s="24" customFormat="1" x14ac:dyDescent="0.45">
      <c r="A59" s="22">
        <v>1179.99</v>
      </c>
      <c r="B59" s="23">
        <f>VLOOKUP(A59,'Table 3.1'!$A$4:$D$186,4,FALSE)</f>
        <v>1.2868933739918991</v>
      </c>
      <c r="C59" s="22" t="s">
        <v>400</v>
      </c>
      <c r="D59" s="22">
        <v>3781</v>
      </c>
      <c r="E59" s="22" t="s">
        <v>511</v>
      </c>
      <c r="F59" s="22" t="s">
        <v>47</v>
      </c>
      <c r="G59" s="22" t="s">
        <v>382</v>
      </c>
      <c r="H59" s="22" t="s">
        <v>383</v>
      </c>
      <c r="I59" s="22"/>
      <c r="J59" s="22">
        <v>0</v>
      </c>
      <c r="K59" s="22"/>
      <c r="W59" s="22">
        <v>1060</v>
      </c>
      <c r="X59" s="22">
        <v>34</v>
      </c>
      <c r="Y59" s="24">
        <v>0</v>
      </c>
      <c r="Z59" s="24">
        <v>34</v>
      </c>
      <c r="AC59" s="22">
        <v>3.35</v>
      </c>
      <c r="AD59" s="22">
        <v>673</v>
      </c>
      <c r="AE59" s="22">
        <v>38</v>
      </c>
      <c r="AF59" s="22">
        <v>1.1499999999999999</v>
      </c>
      <c r="AG59" s="22">
        <v>2.35</v>
      </c>
      <c r="AH59" s="22">
        <v>0</v>
      </c>
      <c r="AI59" s="22">
        <v>2407</v>
      </c>
      <c r="AJ59" s="22">
        <v>201</v>
      </c>
      <c r="AK59" s="22">
        <v>1.49</v>
      </c>
      <c r="AL59" s="22">
        <v>0</v>
      </c>
    </row>
    <row r="60" spans="1:38" x14ac:dyDescent="0.45">
      <c r="A60">
        <v>1193.07</v>
      </c>
      <c r="B60" s="15">
        <f>VLOOKUP(A60,'Table 3.1'!$A$4:$D$186,4,FALSE)</f>
        <v>1.1691881157424504</v>
      </c>
      <c r="C60" t="s">
        <v>442</v>
      </c>
      <c r="D60"/>
      <c r="E60"/>
      <c r="F60" t="s">
        <v>51</v>
      </c>
      <c r="G60">
        <v>6147</v>
      </c>
      <c r="H60" t="s">
        <v>441</v>
      </c>
      <c r="I60"/>
      <c r="J60">
        <v>0</v>
      </c>
      <c r="K60"/>
      <c r="W60">
        <v>4</v>
      </c>
      <c r="X60">
        <v>0.7</v>
      </c>
      <c r="Y60" s="1">
        <v>0</v>
      </c>
      <c r="Z60" s="1">
        <v>0.7</v>
      </c>
      <c r="AC60">
        <v>1.1000000000000001</v>
      </c>
      <c r="AD60">
        <v>7</v>
      </c>
      <c r="AE60">
        <v>0</v>
      </c>
      <c r="AF60">
        <v>0.02</v>
      </c>
      <c r="AG60">
        <v>0.06</v>
      </c>
      <c r="AH60">
        <v>0</v>
      </c>
      <c r="AI60">
        <v>0</v>
      </c>
      <c r="AJ60">
        <v>0</v>
      </c>
      <c r="AK60">
        <v>0.04</v>
      </c>
      <c r="AL60">
        <v>0.16</v>
      </c>
    </row>
    <row r="61" spans="1:38" x14ac:dyDescent="0.45">
      <c r="A61">
        <v>1185.01</v>
      </c>
      <c r="B61" s="15">
        <f>VLOOKUP(A61,'Table 3.1'!$A$4:$D$186,4,FALSE)</f>
        <v>1.1579277377345627</v>
      </c>
      <c r="C61" t="s">
        <v>416</v>
      </c>
      <c r="D61"/>
      <c r="E61"/>
      <c r="F61" t="s">
        <v>47</v>
      </c>
      <c r="G61" t="s">
        <v>198</v>
      </c>
      <c r="H61" t="s">
        <v>199</v>
      </c>
      <c r="I61"/>
      <c r="J61">
        <v>0</v>
      </c>
      <c r="K61"/>
      <c r="W61">
        <v>104</v>
      </c>
      <c r="X61">
        <v>0.04</v>
      </c>
      <c r="Y61" s="1">
        <v>0</v>
      </c>
      <c r="Z61" s="1">
        <v>0.04</v>
      </c>
      <c r="AC61">
        <v>0.37</v>
      </c>
      <c r="AD61">
        <v>12</v>
      </c>
      <c r="AE61">
        <v>1</v>
      </c>
      <c r="AF61">
        <v>0.04</v>
      </c>
      <c r="AG61">
        <v>0.19</v>
      </c>
      <c r="AH61">
        <v>115</v>
      </c>
      <c r="AI61">
        <v>59</v>
      </c>
      <c r="AJ61">
        <v>120</v>
      </c>
      <c r="AK61">
        <v>0.05</v>
      </c>
      <c r="AL61">
        <v>0.4</v>
      </c>
    </row>
    <row r="62" spans="1:38" x14ac:dyDescent="0.45">
      <c r="A62">
        <v>1179.08</v>
      </c>
      <c r="B62" s="15">
        <f>VLOOKUP(A62,'Table 3.1'!$A$4:$D$186,4,FALSE)</f>
        <v>1.1530329140885442</v>
      </c>
      <c r="C62" t="s">
        <v>398</v>
      </c>
      <c r="D62"/>
      <c r="E62"/>
      <c r="F62" t="s">
        <v>51</v>
      </c>
      <c r="G62">
        <v>43312</v>
      </c>
      <c r="H62" t="s">
        <v>399</v>
      </c>
      <c r="I62"/>
      <c r="J62">
        <v>0</v>
      </c>
      <c r="K62"/>
      <c r="W62">
        <v>21</v>
      </c>
      <c r="X62">
        <v>0.65</v>
      </c>
      <c r="Y62" s="1">
        <v>0</v>
      </c>
      <c r="Z62" s="1">
        <v>0.65</v>
      </c>
      <c r="AC62">
        <v>0.51</v>
      </c>
      <c r="AD62">
        <v>18</v>
      </c>
      <c r="AE62">
        <v>3.8</v>
      </c>
      <c r="AF62">
        <v>0.03</v>
      </c>
      <c r="AG62">
        <v>0.04</v>
      </c>
      <c r="AH62">
        <v>0</v>
      </c>
      <c r="AI62">
        <v>5670</v>
      </c>
      <c r="AJ62">
        <v>583</v>
      </c>
      <c r="AK62">
        <v>0.08</v>
      </c>
      <c r="AL62">
        <v>0</v>
      </c>
    </row>
    <row r="63" spans="1:38" x14ac:dyDescent="0.45">
      <c r="A63">
        <v>1125.05</v>
      </c>
      <c r="B63" s="15">
        <f>VLOOKUP(A63,'Table 3.1'!$A$4:$D$186,4,FALSE)</f>
        <v>1.1527621881425154</v>
      </c>
      <c r="C63" t="s">
        <v>112</v>
      </c>
      <c r="D63"/>
      <c r="E63"/>
      <c r="F63" t="s">
        <v>51</v>
      </c>
      <c r="G63">
        <v>7027</v>
      </c>
      <c r="H63" t="s">
        <v>105</v>
      </c>
      <c r="I63"/>
      <c r="J63">
        <v>0</v>
      </c>
      <c r="K63"/>
      <c r="W63">
        <v>7</v>
      </c>
      <c r="X63">
        <v>0.83</v>
      </c>
      <c r="Y63" s="1">
        <v>0.83</v>
      </c>
      <c r="Z63" s="1">
        <v>0</v>
      </c>
      <c r="AC63">
        <v>1.94</v>
      </c>
      <c r="AD63">
        <v>1</v>
      </c>
      <c r="AE63">
        <v>0</v>
      </c>
      <c r="AF63">
        <v>0.63200000000000001</v>
      </c>
      <c r="AG63">
        <v>0.20399999999999999</v>
      </c>
      <c r="AH63">
        <v>0</v>
      </c>
      <c r="AI63">
        <v>0</v>
      </c>
      <c r="AJ63">
        <v>0</v>
      </c>
      <c r="AK63">
        <v>0.35</v>
      </c>
      <c r="AL63">
        <v>0.92</v>
      </c>
    </row>
    <row r="64" spans="1:38" x14ac:dyDescent="0.45">
      <c r="A64">
        <v>1168.08</v>
      </c>
      <c r="B64" s="15">
        <f>VLOOKUP(A64,'Table 3.1'!$A$4:$D$186,4,FALSE)</f>
        <v>1.1131355237439635</v>
      </c>
      <c r="C64" t="s">
        <v>282</v>
      </c>
      <c r="D64"/>
      <c r="E64"/>
      <c r="F64" t="s">
        <v>47</v>
      </c>
      <c r="G64" t="s">
        <v>283</v>
      </c>
      <c r="H64" t="s">
        <v>284</v>
      </c>
      <c r="I64"/>
      <c r="J64">
        <v>0</v>
      </c>
      <c r="K64"/>
      <c r="W64">
        <v>65</v>
      </c>
      <c r="X64">
        <v>3.3</v>
      </c>
      <c r="Y64" s="1">
        <v>0</v>
      </c>
      <c r="Z64" s="1">
        <v>3.3</v>
      </c>
      <c r="AC64">
        <v>3.38</v>
      </c>
      <c r="AD64">
        <v>0</v>
      </c>
      <c r="AE64">
        <v>0</v>
      </c>
      <c r="AF64">
        <v>0.38</v>
      </c>
      <c r="AG64">
        <v>0.12</v>
      </c>
      <c r="AH64">
        <v>0</v>
      </c>
      <c r="AI64">
        <v>20</v>
      </c>
      <c r="AJ64">
        <v>2</v>
      </c>
      <c r="AK64">
        <v>0</v>
      </c>
      <c r="AL64">
        <v>0</v>
      </c>
    </row>
    <row r="65" spans="1:38" x14ac:dyDescent="0.45">
      <c r="A65">
        <v>1127.03</v>
      </c>
      <c r="B65" s="15">
        <f>VLOOKUP(A65,'Table 3.1'!$A$4:$D$186,4,FALSE)</f>
        <v>1.0738158419156902</v>
      </c>
      <c r="C65" t="s">
        <v>129</v>
      </c>
      <c r="D65"/>
      <c r="E65"/>
      <c r="F65" t="s">
        <v>51</v>
      </c>
      <c r="G65">
        <v>17170</v>
      </c>
      <c r="H65" t="s">
        <v>130</v>
      </c>
      <c r="I65"/>
      <c r="J65">
        <v>0</v>
      </c>
      <c r="K65"/>
      <c r="W65">
        <v>6</v>
      </c>
      <c r="X65">
        <v>3.82</v>
      </c>
      <c r="Y65" s="1">
        <v>3.82</v>
      </c>
      <c r="Z65" s="1">
        <v>0</v>
      </c>
      <c r="AC65">
        <v>2.9</v>
      </c>
      <c r="AD65">
        <v>0</v>
      </c>
      <c r="AE65">
        <v>1</v>
      </c>
      <c r="AF65">
        <v>0.13</v>
      </c>
      <c r="AG65">
        <v>0.1</v>
      </c>
      <c r="AH65">
        <v>0</v>
      </c>
      <c r="AI65">
        <v>0</v>
      </c>
      <c r="AJ65">
        <v>0</v>
      </c>
      <c r="AK65">
        <v>0.38</v>
      </c>
      <c r="AL65">
        <v>3</v>
      </c>
    </row>
    <row r="66" spans="1:38" x14ac:dyDescent="0.45">
      <c r="A66">
        <v>1145.01</v>
      </c>
      <c r="B66" s="15">
        <f>VLOOKUP(A66,'Table 3.1'!$A$4:$D$186,4,FALSE)</f>
        <v>1.0501349466035976</v>
      </c>
      <c r="C66" t="s">
        <v>194</v>
      </c>
      <c r="D66"/>
      <c r="E66"/>
      <c r="F66" t="s">
        <v>47</v>
      </c>
      <c r="G66" t="s">
        <v>195</v>
      </c>
      <c r="H66" t="s">
        <v>196</v>
      </c>
      <c r="I66" t="s">
        <v>180</v>
      </c>
      <c r="J66">
        <v>0</v>
      </c>
      <c r="K66"/>
      <c r="W66">
        <v>753</v>
      </c>
      <c r="X66">
        <v>0.5</v>
      </c>
      <c r="Y66" s="1">
        <v>0.5</v>
      </c>
      <c r="Z66" s="1">
        <v>0</v>
      </c>
      <c r="AC66">
        <v>3.82</v>
      </c>
      <c r="AD66">
        <v>21</v>
      </c>
      <c r="AE66">
        <v>0</v>
      </c>
      <c r="AF66">
        <v>0.04</v>
      </c>
      <c r="AG66">
        <v>0.33</v>
      </c>
      <c r="AH66">
        <v>164</v>
      </c>
      <c r="AI66">
        <v>0</v>
      </c>
      <c r="AJ66">
        <v>165</v>
      </c>
      <c r="AK66">
        <v>0.08</v>
      </c>
      <c r="AL66">
        <v>1.5</v>
      </c>
    </row>
    <row r="67" spans="1:38" x14ac:dyDescent="0.45">
      <c r="A67">
        <v>1141.99</v>
      </c>
      <c r="B67" s="15">
        <f>VLOOKUP(A67,'Table 3.1'!$A$4:$D$186,4,FALSE)</f>
        <v>1.0476170942984222</v>
      </c>
      <c r="C67" t="s">
        <v>165</v>
      </c>
      <c r="D67"/>
      <c r="E67"/>
      <c r="F67" t="s">
        <v>47</v>
      </c>
      <c r="G67" t="s">
        <v>166</v>
      </c>
      <c r="H67" t="s">
        <v>167</v>
      </c>
      <c r="I67"/>
      <c r="J67">
        <v>0</v>
      </c>
      <c r="K67"/>
      <c r="W67">
        <v>118</v>
      </c>
      <c r="X67">
        <v>0.1</v>
      </c>
      <c r="Y67" s="1">
        <v>0.1</v>
      </c>
      <c r="Z67" s="1">
        <v>0</v>
      </c>
      <c r="AC67">
        <v>0.47</v>
      </c>
      <c r="AD67">
        <v>23</v>
      </c>
      <c r="AE67">
        <v>0.7</v>
      </c>
      <c r="AF67">
        <v>0.04</v>
      </c>
      <c r="AG67">
        <v>0.16</v>
      </c>
      <c r="AH67">
        <v>27</v>
      </c>
      <c r="AI67">
        <v>14</v>
      </c>
      <c r="AJ67">
        <v>28</v>
      </c>
      <c r="AK67">
        <v>0.04</v>
      </c>
      <c r="AL67">
        <v>0.2</v>
      </c>
    </row>
    <row r="68" spans="1:38" x14ac:dyDescent="0.45">
      <c r="A68">
        <v>1143.04</v>
      </c>
      <c r="B68" s="15">
        <f>VLOOKUP(A68,'Table 3.1'!$A$4:$D$186,4,FALSE)</f>
        <v>0.87935007194252057</v>
      </c>
      <c r="C68" t="s">
        <v>183</v>
      </c>
      <c r="D68"/>
      <c r="E68"/>
      <c r="F68" t="s">
        <v>47</v>
      </c>
      <c r="G68" t="s">
        <v>184</v>
      </c>
      <c r="H68" t="s">
        <v>185</v>
      </c>
      <c r="I68" t="s">
        <v>182</v>
      </c>
      <c r="J68">
        <v>0</v>
      </c>
      <c r="K68"/>
      <c r="W68">
        <v>358</v>
      </c>
      <c r="X68">
        <v>9.3000000000000007</v>
      </c>
      <c r="Y68" s="1">
        <v>9.3000000000000007</v>
      </c>
      <c r="Z68" s="1">
        <v>0</v>
      </c>
      <c r="AC68">
        <v>3.9</v>
      </c>
      <c r="AD68">
        <v>39</v>
      </c>
      <c r="AE68">
        <v>43</v>
      </c>
      <c r="AF68">
        <v>0.52</v>
      </c>
      <c r="AG68">
        <v>0.78</v>
      </c>
      <c r="AH68">
        <v>467</v>
      </c>
      <c r="AI68">
        <v>0</v>
      </c>
      <c r="AJ68">
        <v>467</v>
      </c>
      <c r="AK68">
        <v>0.33</v>
      </c>
      <c r="AL68">
        <v>1</v>
      </c>
    </row>
    <row r="69" spans="1:38" x14ac:dyDescent="0.45">
      <c r="A69">
        <v>1173.06</v>
      </c>
      <c r="B69" s="15">
        <f>VLOOKUP(A69,'Table 3.1'!$A$4:$D$186,4,FALSE)</f>
        <v>0.85041337162881858</v>
      </c>
      <c r="C69" t="s">
        <v>347</v>
      </c>
      <c r="D69"/>
      <c r="E69"/>
      <c r="F69" t="s">
        <v>51</v>
      </c>
      <c r="G69">
        <v>11900</v>
      </c>
      <c r="H69" t="s">
        <v>348</v>
      </c>
      <c r="I69"/>
      <c r="J69">
        <v>0</v>
      </c>
      <c r="K69"/>
      <c r="W69">
        <v>2</v>
      </c>
      <c r="X69">
        <v>0.52</v>
      </c>
      <c r="Y69" s="1">
        <v>0</v>
      </c>
      <c r="Z69" s="1">
        <v>0.52</v>
      </c>
      <c r="AC69">
        <v>0.45</v>
      </c>
      <c r="AD69">
        <v>46</v>
      </c>
      <c r="AE69">
        <v>6.8</v>
      </c>
      <c r="AF69">
        <v>0.2</v>
      </c>
      <c r="AG69">
        <v>0.06</v>
      </c>
      <c r="AH69">
        <v>0</v>
      </c>
      <c r="AI69">
        <v>1</v>
      </c>
      <c r="AJ69">
        <v>0</v>
      </c>
      <c r="AK69">
        <v>5.5E-2</v>
      </c>
      <c r="AL69">
        <v>0</v>
      </c>
    </row>
    <row r="70" spans="1:38" x14ac:dyDescent="0.45">
      <c r="A70">
        <v>2129.9899999999998</v>
      </c>
      <c r="B70" s="15">
        <f>VLOOKUP(A70,'Table 3.1'!$A$4:$D$186,4,FALSE)</f>
        <v>0.84675843281711272</v>
      </c>
      <c r="C70" t="s">
        <v>470</v>
      </c>
      <c r="D70"/>
      <c r="E70"/>
      <c r="F70" t="s">
        <v>47</v>
      </c>
      <c r="G70" t="s">
        <v>471</v>
      </c>
      <c r="H70" t="s">
        <v>472</v>
      </c>
      <c r="I70"/>
      <c r="J70">
        <v>0</v>
      </c>
      <c r="K70"/>
      <c r="W70">
        <v>8</v>
      </c>
      <c r="X70">
        <v>0.2</v>
      </c>
      <c r="Y70" s="1">
        <v>0</v>
      </c>
      <c r="Z70" s="1">
        <v>0.2</v>
      </c>
      <c r="AC70">
        <v>0.14000000000000001</v>
      </c>
      <c r="AD70">
        <v>0</v>
      </c>
      <c r="AE70">
        <v>0</v>
      </c>
      <c r="AF70">
        <v>0.02</v>
      </c>
      <c r="AG70">
        <v>0.04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45">
      <c r="A71">
        <v>1144.02</v>
      </c>
      <c r="B71" s="15">
        <f>VLOOKUP(A71,'Table 3.1'!$A$4:$D$186,4,FALSE)</f>
        <v>0.83018134575788394</v>
      </c>
      <c r="C71" t="s">
        <v>189</v>
      </c>
      <c r="D71"/>
      <c r="E71"/>
      <c r="F71" t="s">
        <v>47</v>
      </c>
      <c r="G71" t="s">
        <v>190</v>
      </c>
      <c r="H71" t="s">
        <v>191</v>
      </c>
      <c r="I71" t="s">
        <v>192</v>
      </c>
      <c r="J71">
        <v>0</v>
      </c>
      <c r="K71"/>
      <c r="W71">
        <v>152</v>
      </c>
      <c r="X71">
        <v>0.1</v>
      </c>
      <c r="Y71" s="1">
        <v>0.1</v>
      </c>
      <c r="Z71" s="1">
        <v>0</v>
      </c>
      <c r="AC71">
        <v>0.57999999999999996</v>
      </c>
      <c r="AD71">
        <v>12</v>
      </c>
      <c r="AE71">
        <v>0.7</v>
      </c>
      <c r="AF71">
        <v>0.04</v>
      </c>
      <c r="AG71">
        <v>0.2</v>
      </c>
      <c r="AH71">
        <v>29</v>
      </c>
      <c r="AI71">
        <v>16</v>
      </c>
      <c r="AJ71">
        <v>30</v>
      </c>
      <c r="AK71">
        <v>0.04</v>
      </c>
      <c r="AL71">
        <v>0.3</v>
      </c>
    </row>
    <row r="72" spans="1:38" x14ac:dyDescent="0.45">
      <c r="A72">
        <v>1176.01</v>
      </c>
      <c r="B72" s="15">
        <f>VLOOKUP(A72,'Table 3.1'!$A$4:$D$186,4,FALSE)</f>
        <v>0.82964607512024136</v>
      </c>
      <c r="C72" t="s">
        <v>384</v>
      </c>
      <c r="D72"/>
      <c r="E72"/>
      <c r="F72" t="s">
        <v>51</v>
      </c>
      <c r="G72">
        <v>11941</v>
      </c>
      <c r="H72" t="s">
        <v>385</v>
      </c>
      <c r="I72"/>
      <c r="J72">
        <v>0</v>
      </c>
      <c r="K72"/>
      <c r="W72">
        <v>0</v>
      </c>
      <c r="X72">
        <v>0.4</v>
      </c>
      <c r="Y72" s="1">
        <v>0</v>
      </c>
      <c r="Z72" s="1">
        <v>0.4</v>
      </c>
      <c r="AC72">
        <v>0.02</v>
      </c>
      <c r="AD72">
        <v>1</v>
      </c>
      <c r="AE72">
        <v>1</v>
      </c>
      <c r="AF72">
        <v>0</v>
      </c>
      <c r="AG72">
        <v>0.01</v>
      </c>
      <c r="AH72">
        <v>0</v>
      </c>
      <c r="AI72">
        <v>81</v>
      </c>
      <c r="AJ72">
        <v>10</v>
      </c>
      <c r="AK72">
        <v>8.9999999999999993E-3</v>
      </c>
      <c r="AL72">
        <v>0</v>
      </c>
    </row>
    <row r="73" spans="1:38" x14ac:dyDescent="0.45">
      <c r="A73">
        <v>1125.08</v>
      </c>
      <c r="B73" s="15">
        <f>VLOOKUP(A73,'Table 3.1'!$A$4:$D$186,4,FALSE)</f>
        <v>0.81994386918342255</v>
      </c>
      <c r="C73" t="s">
        <v>117</v>
      </c>
      <c r="D73"/>
      <c r="E73"/>
      <c r="F73" t="s">
        <v>47</v>
      </c>
      <c r="G73" t="s">
        <v>118</v>
      </c>
      <c r="H73" t="s">
        <v>119</v>
      </c>
      <c r="I73"/>
      <c r="J73">
        <v>0</v>
      </c>
      <c r="K73"/>
      <c r="W73">
        <v>7</v>
      </c>
      <c r="X73">
        <v>8.8000000000000007</v>
      </c>
      <c r="Y73" s="1">
        <v>8.8000000000000007</v>
      </c>
      <c r="Z73" s="1">
        <v>0</v>
      </c>
      <c r="AC73">
        <v>3.5</v>
      </c>
      <c r="AD73">
        <v>290</v>
      </c>
      <c r="AE73">
        <v>1.3</v>
      </c>
      <c r="AF73">
        <v>0.19</v>
      </c>
      <c r="AG73">
        <v>1.56</v>
      </c>
      <c r="AH73">
        <v>4950</v>
      </c>
      <c r="AI73">
        <v>245</v>
      </c>
      <c r="AJ73">
        <v>4970</v>
      </c>
      <c r="AK73">
        <v>1.08</v>
      </c>
      <c r="AL73">
        <v>59.3</v>
      </c>
    </row>
    <row r="74" spans="1:38" x14ac:dyDescent="0.45">
      <c r="A74">
        <v>1219.99</v>
      </c>
      <c r="B74" s="15">
        <f>VLOOKUP(A74,'Table 3.1'!$A$4:$D$186,4,FALSE)</f>
        <v>0.77838910034030928</v>
      </c>
      <c r="C74" t="s">
        <v>451</v>
      </c>
      <c r="D74"/>
      <c r="E74"/>
      <c r="F74" t="s">
        <v>47</v>
      </c>
      <c r="G74" t="s">
        <v>448</v>
      </c>
      <c r="H74" t="s">
        <v>449</v>
      </c>
      <c r="I74" t="s">
        <v>192</v>
      </c>
      <c r="J74">
        <v>0</v>
      </c>
      <c r="K74"/>
      <c r="W74">
        <v>7</v>
      </c>
      <c r="X74">
        <v>0.2</v>
      </c>
      <c r="Y74" s="1">
        <v>0</v>
      </c>
      <c r="Z74" s="1">
        <v>0.2</v>
      </c>
      <c r="AC74">
        <v>0.08</v>
      </c>
      <c r="AD74">
        <v>14</v>
      </c>
      <c r="AE74">
        <v>40.6</v>
      </c>
      <c r="AF74">
        <v>0.03</v>
      </c>
      <c r="AG74">
        <v>0.01</v>
      </c>
      <c r="AH74">
        <v>0</v>
      </c>
      <c r="AI74">
        <v>7</v>
      </c>
      <c r="AJ74">
        <v>1</v>
      </c>
      <c r="AK74">
        <v>0.05</v>
      </c>
      <c r="AL74">
        <v>0</v>
      </c>
    </row>
    <row r="75" spans="1:38" x14ac:dyDescent="0.45">
      <c r="A75">
        <v>1211.01</v>
      </c>
      <c r="B75" s="15">
        <f>VLOOKUP(A75,'Table 3.1'!$A$4:$D$186,4,FALSE)</f>
        <v>0.77437576348486059</v>
      </c>
      <c r="C75" t="s">
        <v>444</v>
      </c>
      <c r="D75"/>
      <c r="E75"/>
      <c r="F75" t="s">
        <v>47</v>
      </c>
      <c r="G75" t="s">
        <v>445</v>
      </c>
      <c r="H75" t="s">
        <v>446</v>
      </c>
      <c r="I75" t="s">
        <v>192</v>
      </c>
      <c r="J75">
        <v>0</v>
      </c>
      <c r="K75"/>
      <c r="W75">
        <v>146</v>
      </c>
      <c r="X75">
        <v>4.4000000000000004</v>
      </c>
      <c r="Y75" s="1">
        <v>0</v>
      </c>
      <c r="Z75" s="1">
        <v>4.4000000000000004</v>
      </c>
      <c r="AC75">
        <v>0.73</v>
      </c>
      <c r="AD75">
        <v>2</v>
      </c>
      <c r="AE75">
        <v>0</v>
      </c>
      <c r="AF75">
        <v>0.02</v>
      </c>
      <c r="AG75">
        <v>0.08</v>
      </c>
      <c r="AH75">
        <v>0</v>
      </c>
      <c r="AI75">
        <v>0</v>
      </c>
      <c r="AJ75">
        <v>0</v>
      </c>
      <c r="AK75">
        <v>0.03</v>
      </c>
      <c r="AL75">
        <v>0</v>
      </c>
    </row>
    <row r="76" spans="1:38" x14ac:dyDescent="0.45">
      <c r="A76">
        <v>1183.01</v>
      </c>
      <c r="B76" s="15">
        <f>VLOOKUP(A76,'Table 3.1'!$A$4:$D$186,4,FALSE)</f>
        <v>0.76679859055017219</v>
      </c>
      <c r="C76" t="s">
        <v>412</v>
      </c>
      <c r="D76"/>
      <c r="E76"/>
      <c r="F76" t="s">
        <v>51</v>
      </c>
      <c r="G76">
        <v>19081</v>
      </c>
      <c r="H76" t="s">
        <v>413</v>
      </c>
      <c r="I76"/>
      <c r="J76">
        <v>0</v>
      </c>
      <c r="K76"/>
      <c r="W76">
        <v>24</v>
      </c>
      <c r="X76">
        <v>2.76</v>
      </c>
      <c r="Y76" s="1">
        <v>0</v>
      </c>
      <c r="Z76" s="1">
        <v>2.76</v>
      </c>
      <c r="AC76">
        <v>1.5</v>
      </c>
      <c r="AD76">
        <v>3</v>
      </c>
      <c r="AE76">
        <v>0</v>
      </c>
      <c r="AF76">
        <v>0.02</v>
      </c>
      <c r="AG76">
        <v>0.24</v>
      </c>
      <c r="AH76">
        <v>0</v>
      </c>
      <c r="AI76">
        <v>0</v>
      </c>
      <c r="AJ76">
        <v>0</v>
      </c>
      <c r="AK76">
        <v>4.2999999999999997E-2</v>
      </c>
      <c r="AL76">
        <v>0</v>
      </c>
    </row>
    <row r="77" spans="1:38" x14ac:dyDescent="0.45">
      <c r="A77">
        <v>1115.06</v>
      </c>
      <c r="B77" s="15">
        <f>VLOOKUP(A77,'Table 3.1'!$A$4:$D$186,4,FALSE)</f>
        <v>0.76610687221912421</v>
      </c>
      <c r="C77" t="s">
        <v>83</v>
      </c>
      <c r="D77"/>
      <c r="E77"/>
      <c r="F77" t="s">
        <v>47</v>
      </c>
      <c r="G77" t="s">
        <v>84</v>
      </c>
      <c r="H77" t="s">
        <v>85</v>
      </c>
      <c r="I77"/>
      <c r="J77">
        <v>0</v>
      </c>
      <c r="K77"/>
      <c r="W77">
        <v>24</v>
      </c>
      <c r="X77">
        <v>3.7</v>
      </c>
      <c r="Y77" s="1">
        <v>0</v>
      </c>
      <c r="Z77" s="1">
        <v>3.7</v>
      </c>
      <c r="AC77">
        <v>1.79</v>
      </c>
      <c r="AD77">
        <v>29</v>
      </c>
      <c r="AE77">
        <v>0</v>
      </c>
      <c r="AF77">
        <v>0.36</v>
      </c>
      <c r="AG77">
        <v>0.16</v>
      </c>
      <c r="AH77">
        <v>0</v>
      </c>
      <c r="AI77">
        <v>17</v>
      </c>
      <c r="AJ77">
        <v>1</v>
      </c>
      <c r="AK77">
        <v>0.25</v>
      </c>
      <c r="AL77">
        <v>0</v>
      </c>
    </row>
    <row r="78" spans="1:38" x14ac:dyDescent="0.45">
      <c r="A78">
        <v>1151.01</v>
      </c>
      <c r="B78" s="15">
        <f>VLOOKUP(A78,'Table 3.1'!$A$4:$D$186,4,FALSE)</f>
        <v>0.6872015578665851</v>
      </c>
      <c r="C78" t="s">
        <v>203</v>
      </c>
      <c r="D78"/>
      <c r="E78"/>
      <c r="F78" t="s">
        <v>47</v>
      </c>
      <c r="G78" t="s">
        <v>204</v>
      </c>
      <c r="H78" t="s">
        <v>205</v>
      </c>
      <c r="I78" t="s">
        <v>182</v>
      </c>
      <c r="J78">
        <v>0</v>
      </c>
      <c r="K78"/>
      <c r="W78">
        <v>17</v>
      </c>
      <c r="X78">
        <v>0.03</v>
      </c>
      <c r="Y78" s="1">
        <v>0.03</v>
      </c>
      <c r="Z78" s="1">
        <v>0</v>
      </c>
      <c r="AC78">
        <v>0.12</v>
      </c>
      <c r="AD78">
        <v>3</v>
      </c>
      <c r="AE78">
        <v>0</v>
      </c>
      <c r="AF78">
        <v>0.01</v>
      </c>
      <c r="AG78">
        <v>0.03</v>
      </c>
      <c r="AH78">
        <v>675</v>
      </c>
      <c r="AI78">
        <v>262</v>
      </c>
      <c r="AJ78">
        <v>696</v>
      </c>
      <c r="AK78">
        <v>0</v>
      </c>
      <c r="AL78">
        <v>0.1</v>
      </c>
    </row>
    <row r="79" spans="1:38" x14ac:dyDescent="0.45">
      <c r="A79">
        <v>1167.01</v>
      </c>
      <c r="B79" s="15">
        <f>VLOOKUP(A79,'Table 3.1'!$A$4:$D$186,4,FALSE)</f>
        <v>0.68245655220035983</v>
      </c>
      <c r="C79" t="s">
        <v>264</v>
      </c>
      <c r="D79"/>
      <c r="E79"/>
      <c r="F79" t="s">
        <v>47</v>
      </c>
      <c r="G79" t="s">
        <v>265</v>
      </c>
      <c r="H79" t="s">
        <v>266</v>
      </c>
      <c r="I79"/>
      <c r="J79">
        <v>0.54</v>
      </c>
      <c r="K79"/>
      <c r="W79">
        <v>7</v>
      </c>
      <c r="X79">
        <v>0.3</v>
      </c>
      <c r="Y79" s="1">
        <v>0</v>
      </c>
      <c r="Z79" s="1">
        <v>0.3</v>
      </c>
      <c r="AC79">
        <v>0.09</v>
      </c>
      <c r="AD79">
        <v>12</v>
      </c>
      <c r="AE79">
        <v>14.2</v>
      </c>
      <c r="AF79">
        <v>0.03</v>
      </c>
      <c r="AG79">
        <v>0.01</v>
      </c>
      <c r="AH79">
        <v>0</v>
      </c>
      <c r="AI79">
        <v>31</v>
      </c>
      <c r="AJ79">
        <v>3</v>
      </c>
      <c r="AK79">
        <v>7.0000000000000007E-2</v>
      </c>
      <c r="AL79">
        <v>0</v>
      </c>
    </row>
    <row r="80" spans="1:38" x14ac:dyDescent="0.45">
      <c r="A80">
        <v>1174.02</v>
      </c>
      <c r="B80" s="15">
        <f>VLOOKUP(A80,'Table 3.1'!$A$4:$D$186,4,FALSE)</f>
        <v>0.68125630959837669</v>
      </c>
      <c r="C80" t="s">
        <v>359</v>
      </c>
      <c r="D80"/>
      <c r="E80"/>
      <c r="F80" t="s">
        <v>237</v>
      </c>
      <c r="G80">
        <v>2005</v>
      </c>
      <c r="H80" t="s">
        <v>360</v>
      </c>
      <c r="I80"/>
      <c r="J80">
        <v>0.15</v>
      </c>
      <c r="K80"/>
      <c r="W80">
        <v>13</v>
      </c>
      <c r="X80">
        <v>0.8</v>
      </c>
      <c r="Y80" s="1">
        <v>0</v>
      </c>
      <c r="Z80" s="1">
        <v>0.8</v>
      </c>
      <c r="AC80">
        <v>0.55000000000000004</v>
      </c>
      <c r="AD80">
        <v>110</v>
      </c>
      <c r="AE80">
        <v>5.3</v>
      </c>
      <c r="AF80">
        <v>0.01</v>
      </c>
      <c r="AG80">
        <v>0.02</v>
      </c>
      <c r="AH80">
        <v>0</v>
      </c>
      <c r="AI80">
        <v>10</v>
      </c>
      <c r="AJ80">
        <v>1</v>
      </c>
      <c r="AK80">
        <v>0</v>
      </c>
      <c r="AL80">
        <v>0</v>
      </c>
    </row>
    <row r="81" spans="1:38" x14ac:dyDescent="0.45">
      <c r="A81">
        <v>1112.03</v>
      </c>
      <c r="B81" s="15">
        <f>VLOOKUP(A81,'Table 3.1'!$A$4:$D$186,4,FALSE)</f>
        <v>0.65390380541018467</v>
      </c>
      <c r="C81" t="s">
        <v>59</v>
      </c>
      <c r="D81"/>
      <c r="E81"/>
      <c r="F81" t="s">
        <v>47</v>
      </c>
      <c r="G81" t="s">
        <v>57</v>
      </c>
      <c r="H81" t="s">
        <v>58</v>
      </c>
      <c r="I81"/>
      <c r="J81">
        <v>0</v>
      </c>
      <c r="K81"/>
      <c r="W81">
        <v>26</v>
      </c>
      <c r="X81">
        <v>1.2</v>
      </c>
      <c r="Y81" s="1">
        <v>0</v>
      </c>
      <c r="Z81" s="1">
        <v>1.2</v>
      </c>
      <c r="AC81">
        <v>0.8</v>
      </c>
      <c r="AD81">
        <v>28</v>
      </c>
      <c r="AE81">
        <v>0</v>
      </c>
      <c r="AF81">
        <v>0.18</v>
      </c>
      <c r="AG81">
        <v>0.06</v>
      </c>
      <c r="AH81">
        <v>0</v>
      </c>
      <c r="AI81">
        <v>0</v>
      </c>
      <c r="AJ81">
        <v>0</v>
      </c>
      <c r="AK81">
        <v>0.04</v>
      </c>
      <c r="AL81">
        <v>0</v>
      </c>
    </row>
    <row r="82" spans="1:38" x14ac:dyDescent="0.45">
      <c r="A82">
        <v>2121.0100000000002</v>
      </c>
      <c r="B82" s="15">
        <f>VLOOKUP(A82,'Table 3.1'!$A$4:$D$186,4,FALSE)</f>
        <v>0.59995743606548213</v>
      </c>
      <c r="C82" t="s">
        <v>467</v>
      </c>
      <c r="D82"/>
      <c r="E82"/>
      <c r="F82" t="s">
        <v>47</v>
      </c>
      <c r="G82" t="s">
        <v>468</v>
      </c>
      <c r="H82" t="s">
        <v>469</v>
      </c>
      <c r="I82"/>
      <c r="J82">
        <v>0</v>
      </c>
      <c r="K82"/>
      <c r="W82">
        <v>2</v>
      </c>
      <c r="X82">
        <v>0.5</v>
      </c>
      <c r="Y82" s="1">
        <v>0</v>
      </c>
      <c r="Z82" s="1">
        <v>0.5</v>
      </c>
      <c r="AC82">
        <v>0</v>
      </c>
      <c r="AD82">
        <v>0</v>
      </c>
      <c r="AE82">
        <v>4</v>
      </c>
      <c r="AF82">
        <v>0.03</v>
      </c>
      <c r="AG82">
        <v>0.01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45">
      <c r="A83">
        <v>1141.02</v>
      </c>
      <c r="B83" s="15">
        <f>VLOOKUP(A83,'Table 3.1'!$A$4:$D$186,4,FALSE)</f>
        <v>0.59509715414700193</v>
      </c>
      <c r="C83" t="s">
        <v>164</v>
      </c>
      <c r="D83"/>
      <c r="E83"/>
      <c r="F83" t="s">
        <v>47</v>
      </c>
      <c r="G83" t="s">
        <v>162</v>
      </c>
      <c r="H83" t="s">
        <v>163</v>
      </c>
      <c r="I83"/>
      <c r="J83">
        <v>0</v>
      </c>
      <c r="K83"/>
      <c r="W83">
        <v>120</v>
      </c>
      <c r="X83">
        <v>0.05</v>
      </c>
      <c r="Y83" s="1">
        <v>0.05</v>
      </c>
      <c r="Z83" s="1">
        <v>0</v>
      </c>
      <c r="AC83">
        <v>0.39</v>
      </c>
      <c r="AD83">
        <v>10</v>
      </c>
      <c r="AE83">
        <v>1.5</v>
      </c>
      <c r="AF83">
        <v>0.04</v>
      </c>
      <c r="AG83">
        <v>0.18</v>
      </c>
      <c r="AH83">
        <v>31</v>
      </c>
      <c r="AI83">
        <v>18</v>
      </c>
      <c r="AJ83">
        <v>33</v>
      </c>
      <c r="AK83">
        <v>0.05</v>
      </c>
      <c r="AL83">
        <v>0.6</v>
      </c>
    </row>
    <row r="84" spans="1:38" x14ac:dyDescent="0.45">
      <c r="A84">
        <v>1126.02</v>
      </c>
      <c r="B84" s="15">
        <f>VLOOKUP(A84,'Table 3.1'!$A$4:$D$186,4,FALSE)</f>
        <v>0.5930860839830554</v>
      </c>
      <c r="C84" t="s">
        <v>123</v>
      </c>
      <c r="D84"/>
      <c r="E84"/>
      <c r="F84" t="s">
        <v>47</v>
      </c>
      <c r="G84" t="s">
        <v>124</v>
      </c>
      <c r="H84" t="s">
        <v>125</v>
      </c>
      <c r="I84"/>
      <c r="J84">
        <v>0</v>
      </c>
      <c r="K84"/>
      <c r="W84">
        <v>12</v>
      </c>
      <c r="X84">
        <v>2.1</v>
      </c>
      <c r="Y84" s="1">
        <v>2.1</v>
      </c>
      <c r="Z84" s="1">
        <v>0</v>
      </c>
      <c r="AC84">
        <v>3.57</v>
      </c>
      <c r="AD84">
        <v>9</v>
      </c>
      <c r="AE84">
        <v>0</v>
      </c>
      <c r="AF84">
        <v>0.02</v>
      </c>
      <c r="AG84">
        <v>0.15</v>
      </c>
      <c r="AH84">
        <v>0</v>
      </c>
      <c r="AI84">
        <v>0</v>
      </c>
      <c r="AJ84">
        <v>0</v>
      </c>
      <c r="AK84">
        <v>0.13</v>
      </c>
      <c r="AL84">
        <v>1.6</v>
      </c>
    </row>
    <row r="85" spans="1:38" x14ac:dyDescent="0.45">
      <c r="A85">
        <v>1127.02</v>
      </c>
      <c r="B85" s="15">
        <f>VLOOKUP(A85,'Table 3.1'!$A$4:$D$186,4,FALSE)</f>
        <v>0.58747629363838816</v>
      </c>
      <c r="C85" t="s">
        <v>128</v>
      </c>
      <c r="D85"/>
      <c r="E85"/>
      <c r="F85" t="s">
        <v>47</v>
      </c>
      <c r="G85" t="s">
        <v>91</v>
      </c>
      <c r="H85" t="s">
        <v>94</v>
      </c>
      <c r="I85"/>
      <c r="J85">
        <v>0</v>
      </c>
      <c r="K85"/>
      <c r="W85">
        <v>11</v>
      </c>
      <c r="X85">
        <v>1.8</v>
      </c>
      <c r="Y85" s="1">
        <v>1.8</v>
      </c>
      <c r="Z85" s="1">
        <v>0</v>
      </c>
      <c r="AC85">
        <v>3.6</v>
      </c>
      <c r="AD85">
        <v>3</v>
      </c>
      <c r="AE85">
        <v>0</v>
      </c>
      <c r="AF85">
        <v>0.6</v>
      </c>
      <c r="AG85">
        <v>0.17</v>
      </c>
      <c r="AH85">
        <v>0</v>
      </c>
      <c r="AI85">
        <v>0</v>
      </c>
      <c r="AJ85">
        <v>0</v>
      </c>
      <c r="AK85">
        <v>0.38</v>
      </c>
      <c r="AL85">
        <v>0.7</v>
      </c>
    </row>
    <row r="86" spans="1:38" x14ac:dyDescent="0.45">
      <c r="A86">
        <v>1173.03</v>
      </c>
      <c r="B86" s="15">
        <f>VLOOKUP(A86,'Table 3.1'!$A$4:$D$186,4,FALSE)</f>
        <v>0.55861409541981843</v>
      </c>
      <c r="C86" t="s">
        <v>338</v>
      </c>
      <c r="D86"/>
      <c r="E86"/>
      <c r="F86" t="s">
        <v>47</v>
      </c>
      <c r="G86" t="s">
        <v>339</v>
      </c>
      <c r="H86" t="s">
        <v>340</v>
      </c>
      <c r="I86"/>
      <c r="J86">
        <v>0.19</v>
      </c>
      <c r="K86"/>
      <c r="W86">
        <v>13</v>
      </c>
      <c r="X86">
        <v>0.5</v>
      </c>
      <c r="Y86" s="1">
        <v>0</v>
      </c>
      <c r="Z86" s="1">
        <v>0.5</v>
      </c>
      <c r="AC86">
        <v>0.17</v>
      </c>
      <c r="AD86">
        <v>6</v>
      </c>
      <c r="AE86">
        <v>14</v>
      </c>
      <c r="AF86">
        <v>0.02</v>
      </c>
      <c r="AG86">
        <v>0.01</v>
      </c>
      <c r="AH86">
        <v>0</v>
      </c>
      <c r="AI86">
        <v>35</v>
      </c>
      <c r="AJ86">
        <v>3</v>
      </c>
      <c r="AK86">
        <v>0.04</v>
      </c>
      <c r="AL86">
        <v>0</v>
      </c>
    </row>
    <row r="87" spans="1:38" x14ac:dyDescent="0.45">
      <c r="A87">
        <v>1191.02</v>
      </c>
      <c r="B87" s="15">
        <f>VLOOKUP(A87,'Table 3.1'!$A$4:$D$186,4,FALSE)</f>
        <v>0.55108460605576381</v>
      </c>
      <c r="C87" t="s">
        <v>421</v>
      </c>
      <c r="D87"/>
      <c r="E87"/>
      <c r="F87" t="s">
        <v>51</v>
      </c>
      <c r="G87">
        <v>6973</v>
      </c>
      <c r="H87" t="s">
        <v>422</v>
      </c>
      <c r="I87"/>
      <c r="J87">
        <v>0</v>
      </c>
      <c r="K87"/>
      <c r="W87">
        <v>20</v>
      </c>
      <c r="X87">
        <v>0.8</v>
      </c>
      <c r="Y87" s="1">
        <v>0</v>
      </c>
      <c r="Z87" s="1">
        <v>0.8</v>
      </c>
      <c r="AC87">
        <v>0.16</v>
      </c>
      <c r="AD87">
        <v>10</v>
      </c>
      <c r="AE87">
        <v>16</v>
      </c>
      <c r="AF87">
        <v>0.09</v>
      </c>
      <c r="AG87">
        <v>7.0000000000000007E-2</v>
      </c>
      <c r="AH87">
        <v>0</v>
      </c>
      <c r="AI87">
        <v>119</v>
      </c>
      <c r="AJ87">
        <v>10</v>
      </c>
      <c r="AK87">
        <v>0.16</v>
      </c>
      <c r="AL87">
        <v>0</v>
      </c>
    </row>
    <row r="88" spans="1:38" x14ac:dyDescent="0.45">
      <c r="A88">
        <v>1168.1400000000001</v>
      </c>
      <c r="B88" s="15">
        <f>VLOOKUP(A88,'Table 3.1'!$A$4:$D$186,4,FALSE)</f>
        <v>0.53867797421800112</v>
      </c>
      <c r="C88" t="s">
        <v>292</v>
      </c>
      <c r="D88"/>
      <c r="E88"/>
      <c r="F88" t="s">
        <v>47</v>
      </c>
      <c r="G88" t="s">
        <v>277</v>
      </c>
      <c r="H88" t="s">
        <v>293</v>
      </c>
      <c r="I88"/>
      <c r="J88">
        <v>0.43</v>
      </c>
      <c r="K88"/>
      <c r="W88">
        <v>23</v>
      </c>
      <c r="X88">
        <v>3</v>
      </c>
      <c r="Y88" s="1">
        <v>0</v>
      </c>
      <c r="Z88" s="1">
        <v>3</v>
      </c>
      <c r="AC88">
        <v>0</v>
      </c>
      <c r="AD88">
        <v>0</v>
      </c>
      <c r="AE88">
        <v>51.5</v>
      </c>
      <c r="AF88">
        <v>0.03</v>
      </c>
      <c r="AG88">
        <v>0.04</v>
      </c>
      <c r="AH88">
        <v>0</v>
      </c>
      <c r="AI88">
        <v>360</v>
      </c>
      <c r="AJ88">
        <v>30</v>
      </c>
      <c r="AK88">
        <v>0</v>
      </c>
      <c r="AL88">
        <v>0</v>
      </c>
    </row>
    <row r="89" spans="1:38" x14ac:dyDescent="0.45">
      <c r="A89">
        <v>1168.01</v>
      </c>
      <c r="B89" s="15">
        <f>VLOOKUP(A89,'Table 3.1'!$A$4:$D$186,4,FALSE)</f>
        <v>0.51659747855759608</v>
      </c>
      <c r="C89" t="s">
        <v>273</v>
      </c>
      <c r="D89"/>
      <c r="E89"/>
      <c r="F89" t="s">
        <v>47</v>
      </c>
      <c r="G89" t="s">
        <v>274</v>
      </c>
      <c r="H89" t="s">
        <v>275</v>
      </c>
      <c r="I89" t="s">
        <v>212</v>
      </c>
      <c r="J89">
        <v>0</v>
      </c>
      <c r="K89"/>
      <c r="W89">
        <v>91</v>
      </c>
      <c r="X89">
        <v>9</v>
      </c>
      <c r="Y89" s="1">
        <v>0</v>
      </c>
      <c r="Z89" s="1">
        <v>9</v>
      </c>
      <c r="AC89">
        <v>2.37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45">
      <c r="A90">
        <v>1173.04</v>
      </c>
      <c r="B90" s="15">
        <f>VLOOKUP(A90,'Table 3.1'!$A$4:$D$186,4,FALSE)</f>
        <v>0.49242403826635672</v>
      </c>
      <c r="C90" t="s">
        <v>341</v>
      </c>
      <c r="D90"/>
      <c r="E90"/>
      <c r="F90" t="s">
        <v>47</v>
      </c>
      <c r="G90" t="s">
        <v>342</v>
      </c>
      <c r="H90" t="s">
        <v>343</v>
      </c>
      <c r="I90"/>
      <c r="J90">
        <v>0.17</v>
      </c>
      <c r="K90"/>
      <c r="W90">
        <v>17</v>
      </c>
      <c r="X90">
        <v>0.3</v>
      </c>
      <c r="Y90" s="1">
        <v>0</v>
      </c>
      <c r="Z90" s="1">
        <v>0.3</v>
      </c>
      <c r="AC90">
        <v>0.12</v>
      </c>
      <c r="AD90">
        <v>26</v>
      </c>
      <c r="AE90">
        <v>112.9</v>
      </c>
      <c r="AF90">
        <v>0.08</v>
      </c>
      <c r="AG90">
        <v>0.09</v>
      </c>
      <c r="AH90">
        <v>0</v>
      </c>
      <c r="AI90">
        <v>353</v>
      </c>
      <c r="AJ90">
        <v>29</v>
      </c>
      <c r="AK90">
        <v>0.28000000000000003</v>
      </c>
      <c r="AL90">
        <v>0</v>
      </c>
    </row>
    <row r="91" spans="1:38" x14ac:dyDescent="0.45">
      <c r="A91">
        <v>1165.04</v>
      </c>
      <c r="B91" s="15">
        <f>VLOOKUP(A91,'Table 3.1'!$A$4:$D$186,4,FALSE)</f>
        <v>0.48677543122134331</v>
      </c>
      <c r="C91" t="s">
        <v>241</v>
      </c>
      <c r="D91"/>
      <c r="E91"/>
      <c r="F91" t="s">
        <v>47</v>
      </c>
      <c r="G91" t="s">
        <v>242</v>
      </c>
      <c r="H91" t="s">
        <v>243</v>
      </c>
      <c r="I91" t="s">
        <v>192</v>
      </c>
      <c r="J91">
        <v>0.28999999999999998</v>
      </c>
      <c r="K91"/>
      <c r="W91">
        <v>12</v>
      </c>
      <c r="X91">
        <v>0.7</v>
      </c>
      <c r="Y91" s="1">
        <v>0</v>
      </c>
      <c r="Z91" s="1">
        <v>0.7</v>
      </c>
      <c r="AC91">
        <v>0.1</v>
      </c>
      <c r="AD91">
        <v>29</v>
      </c>
      <c r="AE91">
        <v>65.5</v>
      </c>
      <c r="AF91">
        <v>0.09</v>
      </c>
      <c r="AG91">
        <v>0.03</v>
      </c>
      <c r="AH91">
        <v>0</v>
      </c>
      <c r="AI91">
        <v>4720</v>
      </c>
      <c r="AJ91">
        <v>393</v>
      </c>
      <c r="AK91">
        <v>0.13</v>
      </c>
      <c r="AL91">
        <v>0</v>
      </c>
    </row>
    <row r="92" spans="1:38" x14ac:dyDescent="0.45">
      <c r="A92">
        <v>1112.02</v>
      </c>
      <c r="B92" s="15">
        <f>VLOOKUP(A92,'Table 3.1'!$A$4:$D$186,4,FALSE)</f>
        <v>0.44808199204954358</v>
      </c>
      <c r="C92" t="s">
        <v>56</v>
      </c>
      <c r="D92"/>
      <c r="E92"/>
      <c r="F92" t="s">
        <v>47</v>
      </c>
      <c r="G92" t="s">
        <v>57</v>
      </c>
      <c r="H92" t="s">
        <v>58</v>
      </c>
      <c r="I92"/>
      <c r="J92">
        <v>0</v>
      </c>
      <c r="K92"/>
      <c r="W92">
        <v>26</v>
      </c>
      <c r="X92">
        <v>1.2</v>
      </c>
      <c r="Y92" s="1">
        <v>0</v>
      </c>
      <c r="Z92" s="1">
        <v>1.2</v>
      </c>
      <c r="AC92">
        <v>0.8</v>
      </c>
      <c r="AD92">
        <v>28</v>
      </c>
      <c r="AE92">
        <v>0</v>
      </c>
      <c r="AF92">
        <v>0.18</v>
      </c>
      <c r="AG92">
        <v>0.06</v>
      </c>
      <c r="AH92">
        <v>0</v>
      </c>
      <c r="AI92">
        <v>0</v>
      </c>
      <c r="AJ92">
        <v>0</v>
      </c>
      <c r="AK92">
        <v>0.04</v>
      </c>
      <c r="AL92">
        <v>0</v>
      </c>
    </row>
    <row r="93" spans="1:38" x14ac:dyDescent="0.45">
      <c r="A93">
        <v>1169.08</v>
      </c>
      <c r="B93" s="15">
        <f>VLOOKUP(A93,'Table 3.1'!$A$4:$D$186,4,FALSE)</f>
        <v>0.41703355759951127</v>
      </c>
      <c r="C93" t="s">
        <v>313</v>
      </c>
      <c r="D93"/>
      <c r="E93"/>
      <c r="F93" t="s">
        <v>51</v>
      </c>
      <c r="G93">
        <v>9187</v>
      </c>
      <c r="H93" t="s">
        <v>310</v>
      </c>
      <c r="I93"/>
      <c r="J93">
        <v>0</v>
      </c>
      <c r="K93"/>
      <c r="W93">
        <v>1</v>
      </c>
      <c r="X93">
        <v>0.36</v>
      </c>
      <c r="Y93" s="1">
        <v>0</v>
      </c>
      <c r="Z93" s="1">
        <v>0.36</v>
      </c>
      <c r="AC93">
        <v>7.0000000000000007E-2</v>
      </c>
      <c r="AD93">
        <v>3</v>
      </c>
      <c r="AE93">
        <v>69</v>
      </c>
      <c r="AF93">
        <v>1.4999999999999999E-2</v>
      </c>
      <c r="AG93">
        <v>0.04</v>
      </c>
      <c r="AH93">
        <v>0</v>
      </c>
      <c r="AI93">
        <v>0</v>
      </c>
      <c r="AJ93">
        <v>10</v>
      </c>
      <c r="AK93">
        <v>3.5999999999999997E-2</v>
      </c>
      <c r="AL93">
        <v>0</v>
      </c>
    </row>
    <row r="94" spans="1:38" x14ac:dyDescent="0.45">
      <c r="A94">
        <v>1125.04</v>
      </c>
      <c r="B94" s="15">
        <f>VLOOKUP(A94,'Table 3.1'!$A$4:$D$186,4,FALSE)</f>
        <v>0.4128796599891093</v>
      </c>
      <c r="C94" t="s">
        <v>109</v>
      </c>
      <c r="D94"/>
      <c r="E94"/>
      <c r="F94" t="s">
        <v>47</v>
      </c>
      <c r="G94" t="s">
        <v>110</v>
      </c>
      <c r="H94" t="s">
        <v>111</v>
      </c>
      <c r="I94"/>
      <c r="J94">
        <v>0</v>
      </c>
      <c r="K94"/>
      <c r="W94">
        <v>10</v>
      </c>
      <c r="X94">
        <v>0.88</v>
      </c>
      <c r="Y94" s="1">
        <v>0.88</v>
      </c>
      <c r="Z94" s="1">
        <v>0</v>
      </c>
      <c r="AC94">
        <v>1.6</v>
      </c>
      <c r="AD94">
        <v>4</v>
      </c>
      <c r="AE94">
        <v>0</v>
      </c>
      <c r="AF94">
        <v>0.09</v>
      </c>
      <c r="AG94">
        <v>0.11</v>
      </c>
      <c r="AH94">
        <v>0</v>
      </c>
      <c r="AI94">
        <v>0</v>
      </c>
      <c r="AJ94">
        <v>0</v>
      </c>
      <c r="AK94">
        <v>0.12</v>
      </c>
      <c r="AL94">
        <v>1</v>
      </c>
    </row>
    <row r="95" spans="1:38" x14ac:dyDescent="0.45">
      <c r="A95">
        <v>1184.01</v>
      </c>
      <c r="B95" s="15">
        <f>VLOOKUP(A95,'Table 3.1'!$A$4:$D$186,4,FALSE)</f>
        <v>0.38769213830420851</v>
      </c>
      <c r="C95" t="s">
        <v>414</v>
      </c>
      <c r="D95"/>
      <c r="E95"/>
      <c r="F95" t="s">
        <v>51</v>
      </c>
      <c r="G95">
        <v>19074</v>
      </c>
      <c r="H95" t="s">
        <v>415</v>
      </c>
      <c r="I95"/>
      <c r="J95">
        <v>0</v>
      </c>
      <c r="K95"/>
      <c r="W95">
        <v>138</v>
      </c>
      <c r="X95">
        <v>0.14000000000000001</v>
      </c>
      <c r="Y95" s="1">
        <v>0</v>
      </c>
      <c r="Z95" s="1">
        <v>0.14000000000000001</v>
      </c>
      <c r="AC95">
        <v>0.44</v>
      </c>
      <c r="AD95">
        <v>4</v>
      </c>
      <c r="AE95">
        <v>0.4</v>
      </c>
      <c r="AF95">
        <v>0.10299999999999999</v>
      </c>
      <c r="AG95">
        <v>0.25600000000000001</v>
      </c>
      <c r="AH95">
        <v>11</v>
      </c>
      <c r="AI95">
        <v>2</v>
      </c>
      <c r="AJ95">
        <v>12</v>
      </c>
      <c r="AK95">
        <v>5.5999999999999897E-2</v>
      </c>
      <c r="AL95">
        <v>0.3</v>
      </c>
    </row>
    <row r="96" spans="1:38" x14ac:dyDescent="0.45">
      <c r="A96">
        <v>1223.99</v>
      </c>
      <c r="B96" s="15">
        <f>VLOOKUP(A96,'Table 3.1'!$A$4:$D$186,4,FALSE)</f>
        <v>0.37318929308640181</v>
      </c>
      <c r="C96" t="s">
        <v>463</v>
      </c>
      <c r="D96"/>
      <c r="E96"/>
      <c r="F96" t="s">
        <v>47</v>
      </c>
      <c r="G96" t="s">
        <v>456</v>
      </c>
      <c r="H96" t="s">
        <v>457</v>
      </c>
      <c r="I96" t="s">
        <v>192</v>
      </c>
      <c r="J96">
        <v>0</v>
      </c>
      <c r="K96"/>
      <c r="W96">
        <v>12</v>
      </c>
      <c r="X96">
        <v>0.3</v>
      </c>
      <c r="Y96" s="1">
        <v>0</v>
      </c>
      <c r="Z96" s="1">
        <v>0.3</v>
      </c>
      <c r="AC96">
        <v>0.05</v>
      </c>
      <c r="AD96">
        <v>34</v>
      </c>
      <c r="AE96">
        <v>42.7</v>
      </c>
      <c r="AF96">
        <v>0.08</v>
      </c>
      <c r="AG96">
        <v>0.03</v>
      </c>
      <c r="AH96">
        <v>0</v>
      </c>
      <c r="AI96">
        <v>100</v>
      </c>
      <c r="AJ96">
        <v>8</v>
      </c>
      <c r="AK96">
        <v>0.06</v>
      </c>
      <c r="AL96">
        <v>0</v>
      </c>
    </row>
    <row r="97" spans="1:38" x14ac:dyDescent="0.45">
      <c r="A97">
        <v>1168.04</v>
      </c>
      <c r="B97" s="15">
        <f>VLOOKUP(A97,'Table 3.1'!$A$4:$D$186,4,FALSE)</f>
        <v>0.35936815403257638</v>
      </c>
      <c r="C97" t="s">
        <v>280</v>
      </c>
      <c r="D97"/>
      <c r="E97"/>
      <c r="F97" t="s">
        <v>47</v>
      </c>
      <c r="G97" t="s">
        <v>224</v>
      </c>
      <c r="H97" t="s">
        <v>225</v>
      </c>
      <c r="I97"/>
      <c r="J97">
        <v>0.27</v>
      </c>
      <c r="K97"/>
      <c r="W97">
        <v>31</v>
      </c>
      <c r="X97">
        <v>0.2</v>
      </c>
      <c r="Y97" s="1">
        <v>0</v>
      </c>
      <c r="Z97" s="1">
        <v>0.2</v>
      </c>
      <c r="AC97">
        <v>0.1</v>
      </c>
      <c r="AD97">
        <v>33</v>
      </c>
      <c r="AE97">
        <v>46.8</v>
      </c>
      <c r="AF97">
        <v>0.04</v>
      </c>
      <c r="AG97">
        <v>0.03</v>
      </c>
      <c r="AH97">
        <v>0</v>
      </c>
      <c r="AI97">
        <v>90</v>
      </c>
      <c r="AJ97">
        <v>8</v>
      </c>
      <c r="AK97">
        <v>7.0000000000000007E-2</v>
      </c>
      <c r="AL97">
        <v>0</v>
      </c>
    </row>
    <row r="98" spans="1:38" x14ac:dyDescent="0.45">
      <c r="A98">
        <v>1191.01</v>
      </c>
      <c r="B98" s="15">
        <f>VLOOKUP(A98,'Table 3.1'!$A$4:$D$186,4,FALSE)</f>
        <v>0.35780065870538991</v>
      </c>
      <c r="C98" t="s">
        <v>419</v>
      </c>
      <c r="D98"/>
      <c r="E98"/>
      <c r="F98" t="s">
        <v>51</v>
      </c>
      <c r="G98">
        <v>43598</v>
      </c>
      <c r="H98" t="s">
        <v>420</v>
      </c>
      <c r="I98"/>
      <c r="J98">
        <v>0</v>
      </c>
      <c r="K98"/>
      <c r="W98">
        <v>7</v>
      </c>
      <c r="X98">
        <v>0.23</v>
      </c>
      <c r="Y98" s="1">
        <v>0</v>
      </c>
      <c r="Z98" s="1">
        <v>0.23</v>
      </c>
      <c r="AC98">
        <v>0.13</v>
      </c>
      <c r="AD98">
        <v>0</v>
      </c>
      <c r="AE98">
        <v>0</v>
      </c>
      <c r="AF98">
        <v>0.01</v>
      </c>
      <c r="AG98">
        <v>0.06</v>
      </c>
      <c r="AH98">
        <v>0</v>
      </c>
      <c r="AI98">
        <v>0</v>
      </c>
      <c r="AJ98">
        <v>0</v>
      </c>
      <c r="AK98">
        <v>0.01</v>
      </c>
      <c r="AL98">
        <v>0</v>
      </c>
    </row>
    <row r="99" spans="1:38" x14ac:dyDescent="0.45">
      <c r="A99">
        <v>1191.08</v>
      </c>
      <c r="B99" s="15">
        <f>VLOOKUP(A99,'Table 3.1'!$A$4:$D$186,4,FALSE)</f>
        <v>0.35499795928608702</v>
      </c>
      <c r="C99" t="s">
        <v>425</v>
      </c>
      <c r="D99"/>
      <c r="E99"/>
      <c r="F99" t="s">
        <v>51</v>
      </c>
      <c r="G99">
        <v>43599</v>
      </c>
      <c r="H99" t="s">
        <v>426</v>
      </c>
      <c r="I99"/>
      <c r="J99">
        <v>0</v>
      </c>
      <c r="K99"/>
      <c r="W99">
        <v>14</v>
      </c>
      <c r="X99">
        <v>0.2</v>
      </c>
      <c r="Y99" s="1">
        <v>0</v>
      </c>
      <c r="Z99" s="1">
        <v>0.2</v>
      </c>
      <c r="AC99">
        <v>0.18</v>
      </c>
      <c r="AD99">
        <v>0</v>
      </c>
      <c r="AE99">
        <v>0</v>
      </c>
      <c r="AF99">
        <v>1.2999999999999999E-2</v>
      </c>
      <c r="AG99">
        <v>2.4E-2</v>
      </c>
      <c r="AH99">
        <v>12</v>
      </c>
      <c r="AI99">
        <v>94</v>
      </c>
      <c r="AJ99">
        <v>21</v>
      </c>
      <c r="AK99">
        <v>1.7000000000000001E-2</v>
      </c>
      <c r="AL99">
        <v>0.21</v>
      </c>
    </row>
    <row r="100" spans="1:38" x14ac:dyDescent="0.45">
      <c r="A100">
        <v>1166.04</v>
      </c>
      <c r="B100" s="15">
        <f>VLOOKUP(A100,'Table 3.1'!$A$4:$D$186,4,FALSE)</f>
        <v>0.34236801155569901</v>
      </c>
      <c r="C100" t="s">
        <v>254</v>
      </c>
      <c r="D100"/>
      <c r="E100"/>
      <c r="F100" t="s">
        <v>47</v>
      </c>
      <c r="G100" t="s">
        <v>255</v>
      </c>
      <c r="H100" t="s">
        <v>256</v>
      </c>
      <c r="I100"/>
      <c r="J100">
        <v>0</v>
      </c>
      <c r="K100"/>
      <c r="W100">
        <v>20</v>
      </c>
      <c r="X100">
        <v>0.3</v>
      </c>
      <c r="Y100" s="1">
        <v>0</v>
      </c>
      <c r="Z100" s="1">
        <v>0.3</v>
      </c>
      <c r="AC100">
        <v>7.0000000000000007E-2</v>
      </c>
      <c r="AD100">
        <v>12</v>
      </c>
      <c r="AE100">
        <v>36.1</v>
      </c>
      <c r="AF100">
        <v>0.05</v>
      </c>
      <c r="AG100">
        <v>0.02</v>
      </c>
      <c r="AH100">
        <v>0</v>
      </c>
      <c r="AI100">
        <v>18</v>
      </c>
      <c r="AJ100">
        <v>1</v>
      </c>
      <c r="AK100">
        <v>0.04</v>
      </c>
      <c r="AL100">
        <v>0</v>
      </c>
    </row>
    <row r="101" spans="1:38" x14ac:dyDescent="0.45">
      <c r="A101">
        <v>1115.02</v>
      </c>
      <c r="B101" s="15">
        <f>VLOOKUP(A101,'Table 3.1'!$A$4:$D$186,4,FALSE)</f>
        <v>0.30590962206568928</v>
      </c>
      <c r="C101" t="s">
        <v>71</v>
      </c>
      <c r="D101"/>
      <c r="E101"/>
      <c r="F101" t="s">
        <v>47</v>
      </c>
      <c r="G101" t="s">
        <v>72</v>
      </c>
      <c r="H101" t="s">
        <v>73</v>
      </c>
      <c r="I101"/>
      <c r="J101">
        <v>0</v>
      </c>
      <c r="K101"/>
      <c r="W101">
        <v>810</v>
      </c>
      <c r="X101">
        <v>8.5</v>
      </c>
      <c r="Y101" s="1">
        <v>8.5</v>
      </c>
      <c r="Z101" s="1">
        <v>0</v>
      </c>
      <c r="AC101">
        <v>3.5</v>
      </c>
      <c r="AD101">
        <v>42</v>
      </c>
      <c r="AE101">
        <v>46</v>
      </c>
      <c r="AF101">
        <v>0.56999999999999995</v>
      </c>
      <c r="AG101">
        <v>0.85</v>
      </c>
      <c r="AH101">
        <v>488</v>
      </c>
      <c r="AI101">
        <v>0</v>
      </c>
      <c r="AJ101">
        <v>488</v>
      </c>
      <c r="AK101">
        <v>0.34</v>
      </c>
      <c r="AL101">
        <v>0.9</v>
      </c>
    </row>
    <row r="102" spans="1:38" x14ac:dyDescent="0.45">
      <c r="A102">
        <v>1173.05</v>
      </c>
      <c r="B102" s="15">
        <f>VLOOKUP(A102,'Table 3.1'!$A$4:$D$186,4,FALSE)</f>
        <v>0.28898568043233441</v>
      </c>
      <c r="C102" t="s">
        <v>344</v>
      </c>
      <c r="D102"/>
      <c r="E102"/>
      <c r="F102" t="s">
        <v>47</v>
      </c>
      <c r="G102" t="s">
        <v>345</v>
      </c>
      <c r="H102" t="s">
        <v>346</v>
      </c>
      <c r="I102"/>
      <c r="J102">
        <v>0.73</v>
      </c>
      <c r="K102"/>
      <c r="W102">
        <v>16</v>
      </c>
      <c r="X102">
        <v>1.1000000000000001</v>
      </c>
      <c r="Y102" s="1">
        <v>0</v>
      </c>
      <c r="Z102" s="1">
        <v>1.1000000000000001</v>
      </c>
      <c r="AC102">
        <v>0.28999999999999998</v>
      </c>
      <c r="AD102">
        <v>23</v>
      </c>
      <c r="AE102">
        <v>193.1</v>
      </c>
      <c r="AF102">
        <v>0.08</v>
      </c>
      <c r="AG102">
        <v>0.09</v>
      </c>
      <c r="AH102">
        <v>0</v>
      </c>
      <c r="AI102">
        <v>640</v>
      </c>
      <c r="AJ102">
        <v>53</v>
      </c>
      <c r="AK102">
        <v>0.39</v>
      </c>
      <c r="AL102">
        <v>0</v>
      </c>
    </row>
    <row r="103" spans="1:38" x14ac:dyDescent="0.45">
      <c r="A103">
        <v>1168.0899999999999</v>
      </c>
      <c r="B103" s="15">
        <f>VLOOKUP(A103,'Table 3.1'!$A$4:$D$186,4,FALSE)</f>
        <v>0.28711702451577747</v>
      </c>
      <c r="C103" t="s">
        <v>285</v>
      </c>
      <c r="D103"/>
      <c r="E103"/>
      <c r="F103" t="s">
        <v>47</v>
      </c>
      <c r="G103" t="s">
        <v>286</v>
      </c>
      <c r="H103" t="s">
        <v>287</v>
      </c>
      <c r="I103"/>
      <c r="J103">
        <v>0</v>
      </c>
      <c r="K103"/>
      <c r="W103">
        <v>47</v>
      </c>
      <c r="X103">
        <v>3.9</v>
      </c>
      <c r="Y103" s="1">
        <v>0</v>
      </c>
      <c r="Z103" s="1">
        <v>3.9</v>
      </c>
      <c r="AC103">
        <v>2.5</v>
      </c>
      <c r="AD103">
        <v>110</v>
      </c>
      <c r="AE103">
        <v>0</v>
      </c>
      <c r="AF103">
        <v>0.87</v>
      </c>
      <c r="AG103">
        <v>0.14000000000000001</v>
      </c>
      <c r="AH103">
        <v>0</v>
      </c>
      <c r="AI103">
        <v>0</v>
      </c>
      <c r="AJ103">
        <v>0</v>
      </c>
      <c r="AK103">
        <v>0.59</v>
      </c>
      <c r="AL103">
        <v>0</v>
      </c>
    </row>
    <row r="104" spans="1:38" x14ac:dyDescent="0.45">
      <c r="A104">
        <v>2111.04</v>
      </c>
      <c r="B104" s="15">
        <f>VLOOKUP(A104,'Table 3.1'!$A$4:$D$186,4,FALSE)</f>
        <v>0.28624203045689839</v>
      </c>
      <c r="C104" t="s">
        <v>464</v>
      </c>
      <c r="D104"/>
      <c r="E104"/>
      <c r="F104" t="s">
        <v>47</v>
      </c>
      <c r="G104" t="s">
        <v>465</v>
      </c>
      <c r="H104" t="s">
        <v>466</v>
      </c>
      <c r="I104"/>
      <c r="J104">
        <v>0</v>
      </c>
      <c r="K104"/>
      <c r="W104">
        <v>8</v>
      </c>
      <c r="X104">
        <v>0.2</v>
      </c>
      <c r="Y104" s="1">
        <v>0</v>
      </c>
      <c r="Z104" s="1">
        <v>0.2</v>
      </c>
      <c r="AC104">
        <v>0.14000000000000001</v>
      </c>
      <c r="AD104">
        <v>0</v>
      </c>
      <c r="AE104">
        <v>0</v>
      </c>
      <c r="AF104">
        <v>0.02</v>
      </c>
      <c r="AG104">
        <v>0.04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45">
      <c r="A105">
        <v>1114.02</v>
      </c>
      <c r="B105" s="15">
        <f>VLOOKUP(A105,'Table 3.1'!$A$4:$D$186,4,FALSE)</f>
        <v>0.27176900547191069</v>
      </c>
      <c r="C105" t="s">
        <v>67</v>
      </c>
      <c r="D105"/>
      <c r="E105"/>
      <c r="F105" t="s">
        <v>51</v>
      </c>
      <c r="G105">
        <v>18946</v>
      </c>
      <c r="H105" t="s">
        <v>68</v>
      </c>
      <c r="I105"/>
      <c r="J105">
        <v>0</v>
      </c>
      <c r="K105"/>
      <c r="W105">
        <v>12</v>
      </c>
      <c r="X105">
        <v>1.1499999999999999</v>
      </c>
      <c r="Y105" s="1">
        <v>0</v>
      </c>
      <c r="Z105" s="1">
        <v>1.1499999999999999</v>
      </c>
      <c r="AC105">
        <v>0.22</v>
      </c>
      <c r="AD105">
        <v>32</v>
      </c>
      <c r="AE105">
        <v>0</v>
      </c>
      <c r="AF105">
        <v>0.14000000000000001</v>
      </c>
      <c r="AG105">
        <v>3.6999999999999998E-2</v>
      </c>
      <c r="AH105">
        <v>0</v>
      </c>
      <c r="AI105">
        <v>0</v>
      </c>
      <c r="AJ105">
        <v>0</v>
      </c>
      <c r="AK105">
        <v>0.02</v>
      </c>
      <c r="AL105">
        <v>0</v>
      </c>
    </row>
    <row r="106" spans="1:38" x14ac:dyDescent="0.45">
      <c r="A106">
        <v>1139.99</v>
      </c>
      <c r="B106" s="15">
        <f>VLOOKUP(A106,'Table 3.1'!$A$4:$D$186,4,FALSE)</f>
        <v>0.25168864628010701</v>
      </c>
      <c r="C106" t="s">
        <v>160</v>
      </c>
      <c r="D106"/>
      <c r="E106"/>
      <c r="F106" t="s">
        <v>51</v>
      </c>
      <c r="G106">
        <v>80200</v>
      </c>
      <c r="H106" t="s">
        <v>132</v>
      </c>
      <c r="I106"/>
      <c r="J106">
        <v>0</v>
      </c>
      <c r="K106"/>
      <c r="W106">
        <v>18</v>
      </c>
      <c r="X106">
        <v>1.5</v>
      </c>
      <c r="Y106" s="1">
        <v>1.5</v>
      </c>
      <c r="Z106" s="1">
        <v>0</v>
      </c>
      <c r="AC106">
        <v>1</v>
      </c>
      <c r="AD106">
        <v>15</v>
      </c>
      <c r="AE106">
        <v>0</v>
      </c>
      <c r="AF106">
        <v>0.14000000000000001</v>
      </c>
      <c r="AG106">
        <v>0.25</v>
      </c>
      <c r="AH106">
        <v>15</v>
      </c>
      <c r="AI106">
        <v>0</v>
      </c>
      <c r="AJ106">
        <v>15</v>
      </c>
      <c r="AK106">
        <v>0.12</v>
      </c>
      <c r="AL106">
        <v>0.4</v>
      </c>
    </row>
    <row r="107" spans="1:38" x14ac:dyDescent="0.45">
      <c r="A107">
        <v>1125.03</v>
      </c>
      <c r="B107" s="15">
        <f>VLOOKUP(A107,'Table 3.1'!$A$4:$D$186,4,FALSE)</f>
        <v>0.2450369436846894</v>
      </c>
      <c r="C107" t="s">
        <v>106</v>
      </c>
      <c r="D107"/>
      <c r="E107"/>
      <c r="F107" t="s">
        <v>47</v>
      </c>
      <c r="G107" t="s">
        <v>107</v>
      </c>
      <c r="H107" t="s">
        <v>108</v>
      </c>
      <c r="I107"/>
      <c r="J107">
        <v>0</v>
      </c>
      <c r="K107"/>
      <c r="W107">
        <v>5</v>
      </c>
      <c r="X107">
        <v>2.1</v>
      </c>
      <c r="Y107" s="1">
        <v>2.1</v>
      </c>
      <c r="Z107" s="1">
        <v>0</v>
      </c>
      <c r="AC107">
        <v>3.6</v>
      </c>
      <c r="AD107">
        <v>7</v>
      </c>
      <c r="AE107">
        <v>0</v>
      </c>
      <c r="AF107">
        <v>0.06</v>
      </c>
      <c r="AG107">
        <v>0.19</v>
      </c>
      <c r="AH107">
        <v>0</v>
      </c>
      <c r="AI107">
        <v>0</v>
      </c>
      <c r="AJ107">
        <v>0</v>
      </c>
      <c r="AK107">
        <v>0.23</v>
      </c>
      <c r="AL107">
        <v>1.4</v>
      </c>
    </row>
    <row r="108" spans="1:38" x14ac:dyDescent="0.45">
      <c r="A108">
        <v>1125.01</v>
      </c>
      <c r="B108" s="15">
        <f>VLOOKUP(A108,'Table 3.1'!$A$4:$D$186,4,FALSE)</f>
        <v>0.2404007899689892</v>
      </c>
      <c r="C108" t="s">
        <v>103</v>
      </c>
      <c r="D108"/>
      <c r="E108"/>
      <c r="F108" t="s">
        <v>47</v>
      </c>
      <c r="G108" t="s">
        <v>91</v>
      </c>
      <c r="H108" t="s">
        <v>94</v>
      </c>
      <c r="I108"/>
      <c r="J108">
        <v>1</v>
      </c>
      <c r="K108"/>
      <c r="W108">
        <v>11</v>
      </c>
      <c r="X108">
        <v>1.8</v>
      </c>
      <c r="Y108" s="1">
        <v>1.8</v>
      </c>
      <c r="Z108" s="1">
        <v>0</v>
      </c>
      <c r="AC108">
        <v>3.6</v>
      </c>
      <c r="AD108">
        <v>3</v>
      </c>
      <c r="AE108">
        <v>0</v>
      </c>
      <c r="AF108">
        <v>0.6</v>
      </c>
      <c r="AG108">
        <v>0.17</v>
      </c>
      <c r="AH108">
        <v>0</v>
      </c>
      <c r="AI108">
        <v>0</v>
      </c>
      <c r="AJ108">
        <v>0</v>
      </c>
      <c r="AK108">
        <v>0.38</v>
      </c>
      <c r="AL108">
        <v>0.7</v>
      </c>
    </row>
    <row r="109" spans="1:38" x14ac:dyDescent="0.45">
      <c r="A109">
        <v>1193.06</v>
      </c>
      <c r="B109" s="15">
        <f>VLOOKUP(A109,'Table 3.1'!$A$4:$D$186,4,FALSE)</f>
        <v>0.2191864132581744</v>
      </c>
      <c r="C109" t="s">
        <v>440</v>
      </c>
      <c r="D109"/>
      <c r="E109"/>
      <c r="F109" t="s">
        <v>51</v>
      </c>
      <c r="G109">
        <v>6147</v>
      </c>
      <c r="H109" t="s">
        <v>441</v>
      </c>
      <c r="I109"/>
      <c r="J109">
        <v>0</v>
      </c>
      <c r="K109"/>
      <c r="W109">
        <v>4</v>
      </c>
      <c r="X109">
        <v>0.7</v>
      </c>
      <c r="Y109" s="1">
        <v>0</v>
      </c>
      <c r="Z109" s="1">
        <v>0.7</v>
      </c>
      <c r="AC109">
        <v>1.1000000000000001</v>
      </c>
      <c r="AD109">
        <v>7</v>
      </c>
      <c r="AE109">
        <v>0</v>
      </c>
      <c r="AF109">
        <v>0.02</v>
      </c>
      <c r="AG109">
        <v>0.06</v>
      </c>
      <c r="AH109">
        <v>0</v>
      </c>
      <c r="AI109">
        <v>0</v>
      </c>
      <c r="AJ109">
        <v>0</v>
      </c>
      <c r="AK109">
        <v>0.04</v>
      </c>
      <c r="AL109">
        <v>0.16</v>
      </c>
    </row>
    <row r="110" spans="1:38" x14ac:dyDescent="0.45">
      <c r="A110">
        <v>1192.02</v>
      </c>
      <c r="B110" s="15">
        <f>VLOOKUP(A110,'Table 3.1'!$A$4:$D$186,4,FALSE)</f>
        <v>0.20638098397468749</v>
      </c>
      <c r="C110" t="s">
        <v>429</v>
      </c>
      <c r="D110"/>
      <c r="E110"/>
      <c r="F110" t="s">
        <v>47</v>
      </c>
      <c r="G110" t="s">
        <v>430</v>
      </c>
      <c r="H110" t="s">
        <v>431</v>
      </c>
      <c r="I110"/>
      <c r="J110">
        <v>0</v>
      </c>
      <c r="K110"/>
      <c r="W110">
        <v>661</v>
      </c>
      <c r="X110">
        <v>7.1</v>
      </c>
      <c r="Y110" s="1">
        <v>0</v>
      </c>
      <c r="Z110" s="1">
        <v>7.1</v>
      </c>
      <c r="AC110">
        <v>1.01</v>
      </c>
      <c r="AD110">
        <v>36</v>
      </c>
      <c r="AE110">
        <v>39.200000000000003</v>
      </c>
      <c r="AF110">
        <v>0.1</v>
      </c>
      <c r="AG110">
        <v>0.06</v>
      </c>
      <c r="AH110">
        <v>0</v>
      </c>
      <c r="AI110">
        <v>324</v>
      </c>
      <c r="AJ110">
        <v>27</v>
      </c>
      <c r="AK110">
        <v>0.21</v>
      </c>
      <c r="AL110">
        <v>0</v>
      </c>
    </row>
    <row r="111" spans="1:38" x14ac:dyDescent="0.45">
      <c r="A111">
        <v>1166.05</v>
      </c>
      <c r="B111" s="15">
        <f>VLOOKUP(A111,'Table 3.1'!$A$4:$D$186,4,FALSE)</f>
        <v>0.203879886909273</v>
      </c>
      <c r="C111" t="s">
        <v>257</v>
      </c>
      <c r="D111"/>
      <c r="E111"/>
      <c r="F111" t="s">
        <v>47</v>
      </c>
      <c r="G111" t="s">
        <v>258</v>
      </c>
      <c r="H111" t="s">
        <v>259</v>
      </c>
      <c r="I111"/>
      <c r="J111">
        <v>0.22</v>
      </c>
      <c r="K111"/>
      <c r="W111">
        <v>23</v>
      </c>
      <c r="X111">
        <v>0.7</v>
      </c>
      <c r="Y111" s="1">
        <v>0</v>
      </c>
      <c r="Z111" s="1">
        <v>0.7</v>
      </c>
      <c r="AC111">
        <v>0.32</v>
      </c>
      <c r="AD111">
        <v>7</v>
      </c>
      <c r="AE111">
        <v>261</v>
      </c>
      <c r="AF111">
        <v>0.05</v>
      </c>
      <c r="AG111">
        <v>0.04</v>
      </c>
      <c r="AH111">
        <v>0</v>
      </c>
      <c r="AI111">
        <v>419</v>
      </c>
      <c r="AJ111">
        <v>35</v>
      </c>
      <c r="AK111">
        <v>0.14000000000000001</v>
      </c>
      <c r="AL111">
        <v>0</v>
      </c>
    </row>
    <row r="112" spans="1:38" x14ac:dyDescent="0.45">
      <c r="A112">
        <v>1171.99</v>
      </c>
      <c r="B112" s="15">
        <f>VLOOKUP(A112,'Table 3.1'!$A$4:$D$186,4,FALSE)</f>
        <v>0.2025239474865311</v>
      </c>
      <c r="C112" t="s">
        <v>324</v>
      </c>
      <c r="D112"/>
      <c r="E112"/>
      <c r="F112" t="s">
        <v>51</v>
      </c>
      <c r="G112">
        <v>11291</v>
      </c>
      <c r="H112" t="s">
        <v>325</v>
      </c>
      <c r="I112"/>
      <c r="J112">
        <v>0</v>
      </c>
      <c r="K112"/>
      <c r="W112">
        <v>72</v>
      </c>
      <c r="X112">
        <v>1.48</v>
      </c>
      <c r="Y112" s="1">
        <v>0</v>
      </c>
      <c r="Z112" s="1">
        <v>1.48</v>
      </c>
      <c r="AC112">
        <v>0.39</v>
      </c>
      <c r="AD112">
        <v>64</v>
      </c>
      <c r="AE112">
        <v>18.8</v>
      </c>
      <c r="AF112">
        <v>5.5E-2</v>
      </c>
      <c r="AG112">
        <v>0.08</v>
      </c>
      <c r="AH112">
        <v>0</v>
      </c>
      <c r="AI112">
        <v>598</v>
      </c>
      <c r="AJ112">
        <v>50</v>
      </c>
      <c r="AK112">
        <v>6.0999999999999999E-2</v>
      </c>
      <c r="AL112">
        <v>0</v>
      </c>
    </row>
    <row r="113" spans="1:38" x14ac:dyDescent="0.45">
      <c r="A113">
        <v>1171.01</v>
      </c>
      <c r="B113" s="15">
        <f>VLOOKUP(A113,'Table 3.1'!$A$4:$D$186,4,FALSE)</f>
        <v>0.1998983629240155</v>
      </c>
      <c r="C113" t="s">
        <v>316</v>
      </c>
      <c r="D113"/>
      <c r="E113"/>
      <c r="F113" t="s">
        <v>47</v>
      </c>
      <c r="G113" t="s">
        <v>317</v>
      </c>
      <c r="H113" t="s">
        <v>318</v>
      </c>
      <c r="I113"/>
      <c r="J113">
        <v>0.3</v>
      </c>
      <c r="K113"/>
      <c r="W113">
        <v>27</v>
      </c>
      <c r="X113">
        <v>0.8</v>
      </c>
      <c r="Y113" s="1">
        <v>0</v>
      </c>
      <c r="Z113" s="1">
        <v>0.8</v>
      </c>
      <c r="AC113">
        <v>0.28999999999999998</v>
      </c>
      <c r="AD113">
        <v>89</v>
      </c>
      <c r="AE113">
        <v>5.3</v>
      </c>
      <c r="AF113">
        <v>0.06</v>
      </c>
      <c r="AG113">
        <v>0.15</v>
      </c>
      <c r="AH113">
        <v>0</v>
      </c>
      <c r="AI113">
        <v>1120</v>
      </c>
      <c r="AJ113">
        <v>93</v>
      </c>
      <c r="AK113">
        <v>0.2</v>
      </c>
      <c r="AL113">
        <v>0</v>
      </c>
    </row>
    <row r="114" spans="1:38" x14ac:dyDescent="0.45">
      <c r="A114">
        <v>1165.06</v>
      </c>
      <c r="B114" s="15">
        <f>VLOOKUP(A114,'Table 3.1'!$A$4:$D$186,4,FALSE)</f>
        <v>0.19610334495132131</v>
      </c>
      <c r="C114" t="s">
        <v>246</v>
      </c>
      <c r="D114"/>
      <c r="E114"/>
      <c r="F114" t="s">
        <v>237</v>
      </c>
      <c r="G114">
        <v>5027</v>
      </c>
      <c r="H114" t="s">
        <v>247</v>
      </c>
      <c r="I114"/>
      <c r="J114">
        <v>0.12</v>
      </c>
      <c r="K114"/>
      <c r="W114">
        <v>5</v>
      </c>
      <c r="X114">
        <v>0.3</v>
      </c>
      <c r="Y114" s="1">
        <v>0</v>
      </c>
      <c r="Z114" s="1">
        <v>0.3</v>
      </c>
      <c r="AC114">
        <v>0.11</v>
      </c>
      <c r="AD114">
        <v>0</v>
      </c>
      <c r="AE114">
        <v>8</v>
      </c>
      <c r="AF114">
        <v>0.01</v>
      </c>
      <c r="AG114">
        <v>0.03</v>
      </c>
      <c r="AH114">
        <v>0</v>
      </c>
      <c r="AI114">
        <v>157</v>
      </c>
      <c r="AJ114">
        <v>13</v>
      </c>
      <c r="AK114">
        <v>0</v>
      </c>
      <c r="AL114">
        <v>0</v>
      </c>
    </row>
    <row r="115" spans="1:38" x14ac:dyDescent="0.45">
      <c r="A115">
        <v>1124.02</v>
      </c>
      <c r="B115" s="15">
        <f>VLOOKUP(A115,'Table 3.1'!$A$4:$D$186,4,FALSE)</f>
        <v>0.1960609823213639</v>
      </c>
      <c r="C115" t="s">
        <v>101</v>
      </c>
      <c r="D115"/>
      <c r="E115"/>
      <c r="F115" t="s">
        <v>51</v>
      </c>
      <c r="G115">
        <v>5306</v>
      </c>
      <c r="H115" t="s">
        <v>102</v>
      </c>
      <c r="I115"/>
      <c r="J115">
        <v>0</v>
      </c>
      <c r="K115"/>
      <c r="W115">
        <v>28</v>
      </c>
      <c r="X115">
        <v>1.52</v>
      </c>
      <c r="Y115" s="1">
        <v>1.52</v>
      </c>
      <c r="Z115" s="1">
        <v>0</v>
      </c>
      <c r="AC115">
        <v>3.11</v>
      </c>
      <c r="AD115">
        <v>7</v>
      </c>
      <c r="AE115">
        <v>0</v>
      </c>
      <c r="AF115">
        <v>7.6999999999999999E-2</v>
      </c>
      <c r="AG115">
        <v>0.21099999999999999</v>
      </c>
      <c r="AH115">
        <v>24</v>
      </c>
      <c r="AI115">
        <v>0</v>
      </c>
      <c r="AJ115">
        <v>24</v>
      </c>
      <c r="AK115">
        <v>0.63300000000000001</v>
      </c>
      <c r="AL115">
        <v>1.34</v>
      </c>
    </row>
    <row r="116" spans="1:38" x14ac:dyDescent="0.45">
      <c r="A116">
        <v>1175.0899999999999</v>
      </c>
      <c r="B116" s="15">
        <f>VLOOKUP(A116,'Table 3.1'!$A$4:$D$186,4,FALSE)</f>
        <v>0.18238239891086641</v>
      </c>
      <c r="C116" t="s">
        <v>381</v>
      </c>
      <c r="D116"/>
      <c r="E116"/>
      <c r="F116" t="s">
        <v>47</v>
      </c>
      <c r="G116" t="s">
        <v>382</v>
      </c>
      <c r="H116" t="s">
        <v>383</v>
      </c>
      <c r="I116"/>
      <c r="J116">
        <v>0</v>
      </c>
      <c r="K116"/>
      <c r="W116">
        <v>1060</v>
      </c>
      <c r="X116">
        <v>34</v>
      </c>
      <c r="Y116" s="1">
        <v>0</v>
      </c>
      <c r="Z116" s="1">
        <v>34</v>
      </c>
      <c r="AC116">
        <v>3.35</v>
      </c>
      <c r="AD116">
        <v>673</v>
      </c>
      <c r="AE116">
        <v>38</v>
      </c>
      <c r="AF116">
        <v>1.1499999999999999</v>
      </c>
      <c r="AG116">
        <v>2.35</v>
      </c>
      <c r="AH116">
        <v>0</v>
      </c>
      <c r="AI116">
        <v>2407</v>
      </c>
      <c r="AJ116">
        <v>201</v>
      </c>
      <c r="AK116">
        <v>1.49</v>
      </c>
      <c r="AL116">
        <v>0</v>
      </c>
    </row>
    <row r="117" spans="1:38" x14ac:dyDescent="0.45">
      <c r="A117">
        <v>1186.99</v>
      </c>
      <c r="B117" s="15">
        <f>VLOOKUP(A117,'Table 3.1'!$A$4:$D$186,4,FALSE)</f>
        <v>0.17049613451029039</v>
      </c>
      <c r="C117" t="s">
        <v>417</v>
      </c>
      <c r="D117"/>
      <c r="E117"/>
      <c r="F117" t="s">
        <v>51</v>
      </c>
      <c r="G117">
        <v>19906</v>
      </c>
      <c r="H117" t="s">
        <v>418</v>
      </c>
      <c r="I117"/>
      <c r="J117">
        <v>0</v>
      </c>
      <c r="K117"/>
      <c r="W117">
        <v>63</v>
      </c>
      <c r="X117">
        <v>1.64</v>
      </c>
      <c r="Y117" s="1">
        <v>0</v>
      </c>
      <c r="Z117" s="1">
        <v>1.64</v>
      </c>
      <c r="AC117">
        <v>0.08</v>
      </c>
      <c r="AD117">
        <v>0</v>
      </c>
      <c r="AE117">
        <v>0</v>
      </c>
      <c r="AF117">
        <v>1.4999999999999999E-2</v>
      </c>
      <c r="AG117">
        <v>1.4999999999999999E-2</v>
      </c>
      <c r="AH117">
        <v>0</v>
      </c>
      <c r="AI117">
        <v>0</v>
      </c>
      <c r="AJ117">
        <v>0</v>
      </c>
      <c r="AK117">
        <v>0.04</v>
      </c>
      <c r="AL117">
        <v>0</v>
      </c>
    </row>
    <row r="118" spans="1:38" x14ac:dyDescent="0.45">
      <c r="A118">
        <v>1178.03</v>
      </c>
      <c r="B118" s="15">
        <f>VLOOKUP(A118,'Table 3.1'!$A$4:$D$186,4,FALSE)</f>
        <v>0.16574587167463531</v>
      </c>
      <c r="C118" t="s">
        <v>394</v>
      </c>
      <c r="D118"/>
      <c r="E118"/>
      <c r="F118" t="s">
        <v>51</v>
      </c>
      <c r="G118">
        <v>11134</v>
      </c>
      <c r="H118" t="s">
        <v>395</v>
      </c>
      <c r="I118"/>
      <c r="J118">
        <v>0</v>
      </c>
      <c r="K118"/>
      <c r="W118">
        <v>16</v>
      </c>
      <c r="X118">
        <v>0.27</v>
      </c>
      <c r="Y118" s="1">
        <v>0</v>
      </c>
      <c r="Z118" s="1">
        <v>0.27</v>
      </c>
      <c r="AC118">
        <v>0.34</v>
      </c>
      <c r="AD118">
        <v>27</v>
      </c>
      <c r="AE118">
        <v>20.6</v>
      </c>
      <c r="AF118">
        <v>8.6999999999999994E-2</v>
      </c>
      <c r="AG118">
        <v>4.8000000000000001E-2</v>
      </c>
      <c r="AH118">
        <v>0</v>
      </c>
      <c r="AI118">
        <v>8</v>
      </c>
      <c r="AJ118">
        <v>1</v>
      </c>
      <c r="AK118">
        <v>8.7999999999999995E-2</v>
      </c>
      <c r="AL118">
        <v>0</v>
      </c>
    </row>
    <row r="119" spans="1:38" x14ac:dyDescent="0.45">
      <c r="A119">
        <v>1128.01</v>
      </c>
      <c r="B119" s="15">
        <f>VLOOKUP(A119,'Table 3.1'!$A$4:$D$186,4,FALSE)</f>
        <v>0.1609177824880835</v>
      </c>
      <c r="C119" t="s">
        <v>133</v>
      </c>
      <c r="D119"/>
      <c r="E119"/>
      <c r="F119" t="s">
        <v>47</v>
      </c>
      <c r="G119" t="s">
        <v>134</v>
      </c>
      <c r="H119" t="s">
        <v>135</v>
      </c>
      <c r="I119"/>
      <c r="J119">
        <v>0</v>
      </c>
      <c r="K119"/>
      <c r="W119">
        <v>39</v>
      </c>
      <c r="X119">
        <v>7</v>
      </c>
      <c r="Y119" s="1">
        <v>7</v>
      </c>
      <c r="Z119" s="1">
        <v>0</v>
      </c>
      <c r="AC119">
        <v>3.18</v>
      </c>
      <c r="AD119">
        <v>0</v>
      </c>
      <c r="AE119">
        <v>0</v>
      </c>
      <c r="AF119">
        <v>0.13</v>
      </c>
      <c r="AG119">
        <v>1.1299999999999999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45">
      <c r="A120">
        <v>1213.01</v>
      </c>
      <c r="B120" s="15">
        <f>VLOOKUP(A120,'Table 3.1'!$A$4:$D$186,4,FALSE)</f>
        <v>0.14262168690653559</v>
      </c>
      <c r="C120" t="s">
        <v>450</v>
      </c>
      <c r="D120"/>
      <c r="E120"/>
      <c r="F120" t="s">
        <v>47</v>
      </c>
      <c r="G120" t="s">
        <v>448</v>
      </c>
      <c r="H120" t="s">
        <v>449</v>
      </c>
      <c r="I120" t="s">
        <v>192</v>
      </c>
      <c r="J120">
        <v>0</v>
      </c>
      <c r="K120"/>
      <c r="W120">
        <v>7</v>
      </c>
      <c r="X120">
        <v>0.2</v>
      </c>
      <c r="Y120" s="1">
        <v>0</v>
      </c>
      <c r="Z120" s="1">
        <v>0.2</v>
      </c>
      <c r="AC120">
        <v>0.08</v>
      </c>
      <c r="AD120">
        <v>14</v>
      </c>
      <c r="AE120">
        <v>40.6</v>
      </c>
      <c r="AF120">
        <v>0.03</v>
      </c>
      <c r="AG120">
        <v>0.01</v>
      </c>
      <c r="AH120">
        <v>0</v>
      </c>
      <c r="AI120">
        <v>7</v>
      </c>
      <c r="AJ120">
        <v>1</v>
      </c>
      <c r="AK120">
        <v>0.05</v>
      </c>
      <c r="AL120">
        <v>0</v>
      </c>
    </row>
    <row r="121" spans="1:38" x14ac:dyDescent="0.45">
      <c r="A121">
        <v>1178.05</v>
      </c>
      <c r="B121" s="15">
        <f>VLOOKUP(A121,'Table 3.1'!$A$4:$D$186,4,FALSE)</f>
        <v>0.13702268625101929</v>
      </c>
      <c r="C121" t="s">
        <v>396</v>
      </c>
      <c r="D121"/>
      <c r="E121"/>
      <c r="F121" t="s">
        <v>51</v>
      </c>
      <c r="G121">
        <v>11584</v>
      </c>
      <c r="H121" t="s">
        <v>397</v>
      </c>
      <c r="I121"/>
      <c r="J121">
        <v>0</v>
      </c>
      <c r="K121"/>
      <c r="W121">
        <v>25</v>
      </c>
      <c r="X121">
        <v>0.82</v>
      </c>
      <c r="Y121" s="1">
        <v>0</v>
      </c>
      <c r="Z121" s="1">
        <v>0.82</v>
      </c>
      <c r="AC121">
        <v>0.49</v>
      </c>
      <c r="AD121">
        <v>19</v>
      </c>
      <c r="AE121">
        <v>3.2</v>
      </c>
      <c r="AF121">
        <v>7.0999999999999994E-2</v>
      </c>
      <c r="AG121">
        <v>0.12</v>
      </c>
      <c r="AH121">
        <v>0</v>
      </c>
      <c r="AI121">
        <v>2082</v>
      </c>
      <c r="AJ121">
        <v>214</v>
      </c>
      <c r="AK121">
        <v>7.3999999999999996E-2</v>
      </c>
      <c r="AL121">
        <v>0</v>
      </c>
    </row>
    <row r="122" spans="1:38" x14ac:dyDescent="0.45">
      <c r="A122">
        <v>1168.02</v>
      </c>
      <c r="B122" s="15">
        <f>VLOOKUP(A122,'Table 3.1'!$A$4:$D$186,4,FALSE)</f>
        <v>0.13527851083798539</v>
      </c>
      <c r="C122" t="s">
        <v>276</v>
      </c>
      <c r="D122"/>
      <c r="E122"/>
      <c r="F122" t="s">
        <v>47</v>
      </c>
      <c r="G122" t="s">
        <v>277</v>
      </c>
      <c r="H122" t="s">
        <v>278</v>
      </c>
      <c r="I122" t="s">
        <v>212</v>
      </c>
      <c r="J122">
        <v>7.0000000000000007E-2</v>
      </c>
      <c r="K122"/>
      <c r="W122">
        <v>23</v>
      </c>
      <c r="X122">
        <v>3</v>
      </c>
      <c r="Y122" s="1">
        <v>0</v>
      </c>
      <c r="Z122" s="1">
        <v>3</v>
      </c>
      <c r="AC122">
        <v>0</v>
      </c>
      <c r="AD122">
        <v>0</v>
      </c>
      <c r="AE122">
        <v>51.5</v>
      </c>
      <c r="AF122">
        <v>0.03</v>
      </c>
      <c r="AG122">
        <v>0.04</v>
      </c>
      <c r="AH122">
        <v>0</v>
      </c>
      <c r="AI122">
        <v>360</v>
      </c>
      <c r="AJ122">
        <v>30</v>
      </c>
      <c r="AK122">
        <v>0</v>
      </c>
      <c r="AL122">
        <v>0</v>
      </c>
    </row>
    <row r="123" spans="1:38" x14ac:dyDescent="0.45">
      <c r="A123">
        <v>1174.0899999999999</v>
      </c>
      <c r="B123" s="15">
        <f>VLOOKUP(A123,'Table 3.1'!$A$4:$D$186,4,FALSE)</f>
        <v>0.1304522184436879</v>
      </c>
      <c r="C123" t="s">
        <v>372</v>
      </c>
      <c r="D123"/>
      <c r="E123"/>
      <c r="F123" t="s">
        <v>51</v>
      </c>
      <c r="G123">
        <v>11238</v>
      </c>
      <c r="H123" t="s">
        <v>373</v>
      </c>
      <c r="I123"/>
      <c r="J123">
        <v>0</v>
      </c>
      <c r="K123"/>
      <c r="W123">
        <v>2</v>
      </c>
      <c r="X123">
        <v>0.41</v>
      </c>
      <c r="Y123" s="1">
        <v>0</v>
      </c>
      <c r="Z123" s="1">
        <v>0.41</v>
      </c>
      <c r="AC123">
        <v>1.03</v>
      </c>
      <c r="AD123">
        <v>13</v>
      </c>
      <c r="AE123">
        <v>0</v>
      </c>
      <c r="AF123">
        <v>1.4999999999999999E-2</v>
      </c>
      <c r="AG123">
        <v>0.217</v>
      </c>
      <c r="AH123">
        <v>0</v>
      </c>
      <c r="AI123">
        <v>0</v>
      </c>
      <c r="AJ123">
        <v>0</v>
      </c>
      <c r="AK123">
        <v>0.29299999999999998</v>
      </c>
      <c r="AL123">
        <v>0</v>
      </c>
    </row>
    <row r="124" spans="1:38" x14ac:dyDescent="0.45">
      <c r="A124">
        <v>1132.03</v>
      </c>
      <c r="B124" s="15">
        <f>VLOOKUP(A124,'Table 3.1'!$A$4:$D$186,4,FALSE)</f>
        <v>0.12382441924707149</v>
      </c>
      <c r="C124" t="s">
        <v>149</v>
      </c>
      <c r="D124"/>
      <c r="E124"/>
      <c r="F124" t="s">
        <v>51</v>
      </c>
      <c r="G124">
        <v>80200</v>
      </c>
      <c r="H124" t="s">
        <v>132</v>
      </c>
      <c r="I124"/>
      <c r="J124">
        <v>0</v>
      </c>
      <c r="K124"/>
      <c r="W124">
        <v>18</v>
      </c>
      <c r="X124">
        <v>1.5</v>
      </c>
      <c r="Y124" s="1">
        <v>1.5</v>
      </c>
      <c r="Z124" s="1">
        <v>0</v>
      </c>
      <c r="AC124">
        <v>1</v>
      </c>
      <c r="AD124">
        <v>15</v>
      </c>
      <c r="AE124">
        <v>0</v>
      </c>
      <c r="AF124">
        <v>0.14000000000000001</v>
      </c>
      <c r="AG124">
        <v>0.25</v>
      </c>
      <c r="AH124">
        <v>15</v>
      </c>
      <c r="AI124">
        <v>0</v>
      </c>
      <c r="AJ124">
        <v>15</v>
      </c>
      <c r="AK124">
        <v>0.12</v>
      </c>
      <c r="AL124">
        <v>0.4</v>
      </c>
    </row>
    <row r="125" spans="1:38" x14ac:dyDescent="0.45">
      <c r="A125">
        <v>1125.02</v>
      </c>
      <c r="B125" s="15">
        <f>VLOOKUP(A125,'Table 3.1'!$A$4:$D$186,4,FALSE)</f>
        <v>0.123042058981887</v>
      </c>
      <c r="C125" t="s">
        <v>104</v>
      </c>
      <c r="D125"/>
      <c r="E125"/>
      <c r="F125" t="s">
        <v>51</v>
      </c>
      <c r="G125">
        <v>7027</v>
      </c>
      <c r="H125" t="s">
        <v>105</v>
      </c>
      <c r="I125"/>
      <c r="J125">
        <v>0</v>
      </c>
      <c r="K125"/>
      <c r="W125">
        <v>7</v>
      </c>
      <c r="X125">
        <v>0.83</v>
      </c>
      <c r="Y125" s="1">
        <v>0.83</v>
      </c>
      <c r="Z125" s="1">
        <v>0</v>
      </c>
      <c r="AC125">
        <v>1.94</v>
      </c>
      <c r="AD125">
        <v>1</v>
      </c>
      <c r="AE125">
        <v>0</v>
      </c>
      <c r="AF125">
        <v>0.63200000000000001</v>
      </c>
      <c r="AG125">
        <v>0.20399999999999999</v>
      </c>
      <c r="AH125">
        <v>0</v>
      </c>
      <c r="AI125">
        <v>0</v>
      </c>
      <c r="AJ125">
        <v>0</v>
      </c>
      <c r="AK125">
        <v>0.35</v>
      </c>
      <c r="AL125">
        <v>0.92</v>
      </c>
    </row>
    <row r="126" spans="1:38" x14ac:dyDescent="0.45">
      <c r="A126">
        <v>1143.02</v>
      </c>
      <c r="B126" s="15">
        <f>VLOOKUP(A126,'Table 3.1'!$A$4:$D$186,4,FALSE)</f>
        <v>0.1137547213485529</v>
      </c>
      <c r="C126" t="s">
        <v>177</v>
      </c>
      <c r="D126"/>
      <c r="E126"/>
      <c r="F126" t="s">
        <v>47</v>
      </c>
      <c r="G126" t="s">
        <v>178</v>
      </c>
      <c r="H126" t="s">
        <v>179</v>
      </c>
      <c r="I126" t="s">
        <v>180</v>
      </c>
      <c r="J126">
        <v>0</v>
      </c>
      <c r="K126"/>
      <c r="W126">
        <v>1260</v>
      </c>
      <c r="X126">
        <v>0.3</v>
      </c>
      <c r="Y126" s="1">
        <v>0.3</v>
      </c>
      <c r="Z126" s="1">
        <v>0</v>
      </c>
      <c r="AC126">
        <v>4.08</v>
      </c>
      <c r="AD126">
        <v>50</v>
      </c>
      <c r="AE126">
        <v>6.8</v>
      </c>
      <c r="AF126">
        <v>0.42</v>
      </c>
      <c r="AG126">
        <v>1.55</v>
      </c>
      <c r="AH126">
        <v>15</v>
      </c>
      <c r="AI126">
        <v>7</v>
      </c>
      <c r="AJ126">
        <v>15</v>
      </c>
      <c r="AK126">
        <v>0.36</v>
      </c>
      <c r="AL126">
        <v>4</v>
      </c>
    </row>
    <row r="127" spans="1:38" x14ac:dyDescent="0.45">
      <c r="A127">
        <v>1164.01</v>
      </c>
      <c r="B127" s="15">
        <f>VLOOKUP(A127,'Table 3.1'!$A$4:$D$186,4,FALSE)</f>
        <v>0.1125325875694182</v>
      </c>
      <c r="C127" t="s">
        <v>232</v>
      </c>
      <c r="D127"/>
      <c r="E127"/>
      <c r="F127" t="s">
        <v>51</v>
      </c>
      <c r="G127">
        <v>9252</v>
      </c>
      <c r="H127" t="s">
        <v>233</v>
      </c>
      <c r="I127"/>
      <c r="J127">
        <v>0</v>
      </c>
      <c r="K127"/>
      <c r="W127">
        <v>9</v>
      </c>
      <c r="X127">
        <v>0.17</v>
      </c>
      <c r="Y127" s="1">
        <v>0</v>
      </c>
      <c r="Z127" s="1">
        <v>0.17</v>
      </c>
      <c r="AC127">
        <v>0.1</v>
      </c>
      <c r="AD127">
        <v>7</v>
      </c>
      <c r="AE127">
        <v>4.2</v>
      </c>
      <c r="AF127">
        <v>1.2E-2</v>
      </c>
      <c r="AG127">
        <v>2.5000000000000001E-2</v>
      </c>
      <c r="AH127">
        <v>0</v>
      </c>
      <c r="AI127">
        <v>13</v>
      </c>
      <c r="AJ127">
        <v>1</v>
      </c>
      <c r="AK127">
        <v>2.79999999999999E-2</v>
      </c>
      <c r="AL127">
        <v>0</v>
      </c>
    </row>
    <row r="128" spans="1:38" x14ac:dyDescent="0.45">
      <c r="A128">
        <v>1182.02</v>
      </c>
      <c r="B128" s="15">
        <f>VLOOKUP(A128,'Table 3.1'!$A$4:$D$186,4,FALSE)</f>
        <v>0.108171354825354</v>
      </c>
      <c r="C128" t="s">
        <v>410</v>
      </c>
      <c r="D128"/>
      <c r="E128"/>
      <c r="F128" t="s">
        <v>51</v>
      </c>
      <c r="G128">
        <v>19297</v>
      </c>
      <c r="H128" t="s">
        <v>411</v>
      </c>
      <c r="I128"/>
      <c r="J128">
        <v>0</v>
      </c>
      <c r="K128"/>
      <c r="W128">
        <v>20</v>
      </c>
      <c r="X128">
        <v>0.49</v>
      </c>
      <c r="Y128" s="1">
        <v>0</v>
      </c>
      <c r="Z128" s="1">
        <v>0.49</v>
      </c>
      <c r="AC128">
        <v>0.06</v>
      </c>
      <c r="AD128">
        <v>11</v>
      </c>
      <c r="AE128">
        <v>8.8000000000000007</v>
      </c>
      <c r="AF128">
        <v>1.6E-2</v>
      </c>
      <c r="AG128">
        <v>7.5999999999999998E-2</v>
      </c>
      <c r="AH128">
        <v>0</v>
      </c>
      <c r="AI128">
        <v>0</v>
      </c>
      <c r="AJ128">
        <v>0</v>
      </c>
      <c r="AK128">
        <v>0.02</v>
      </c>
      <c r="AL128">
        <v>0</v>
      </c>
    </row>
    <row r="129" spans="1:38" x14ac:dyDescent="0.45">
      <c r="A129">
        <v>1173.07</v>
      </c>
      <c r="B129" s="15">
        <f>VLOOKUP(A129,'Table 3.1'!$A$4:$D$186,4,FALSE)</f>
        <v>0.104078644379129</v>
      </c>
      <c r="C129" t="s">
        <v>349</v>
      </c>
      <c r="D129"/>
      <c r="E129"/>
      <c r="F129" t="s">
        <v>51</v>
      </c>
      <c r="G129">
        <v>11304</v>
      </c>
      <c r="H129" t="s">
        <v>350</v>
      </c>
      <c r="I129"/>
      <c r="J129">
        <v>0</v>
      </c>
      <c r="K129"/>
      <c r="W129">
        <v>25</v>
      </c>
      <c r="X129">
        <v>1.47</v>
      </c>
      <c r="Y129" s="1">
        <v>0</v>
      </c>
      <c r="Z129" s="1">
        <v>1.47</v>
      </c>
      <c r="AC129">
        <v>1.24</v>
      </c>
      <c r="AD129">
        <v>65</v>
      </c>
      <c r="AE129">
        <v>40</v>
      </c>
      <c r="AF129">
        <v>0.26600000000000001</v>
      </c>
      <c r="AG129">
        <v>0.13200000000000001</v>
      </c>
      <c r="AH129">
        <v>0</v>
      </c>
      <c r="AI129">
        <v>449</v>
      </c>
      <c r="AJ129">
        <v>38</v>
      </c>
      <c r="AK129">
        <v>0.16899999999999901</v>
      </c>
      <c r="AL129">
        <v>0</v>
      </c>
    </row>
    <row r="130" spans="1:38" x14ac:dyDescent="0.45">
      <c r="A130">
        <v>1159.99</v>
      </c>
      <c r="B130" s="15">
        <f>VLOOKUP(A130,'Table 3.1'!$A$4:$D$186,4,FALSE)</f>
        <v>9.6704397050190002E-2</v>
      </c>
      <c r="C130" t="s">
        <v>222</v>
      </c>
      <c r="D130"/>
      <c r="E130"/>
      <c r="F130" t="s">
        <v>47</v>
      </c>
      <c r="G130" t="s">
        <v>220</v>
      </c>
      <c r="H130" t="s">
        <v>221</v>
      </c>
      <c r="I130"/>
      <c r="J130">
        <v>0</v>
      </c>
      <c r="K130"/>
      <c r="W130">
        <v>0</v>
      </c>
      <c r="X130">
        <v>0.03</v>
      </c>
      <c r="Y130" s="1">
        <v>0</v>
      </c>
      <c r="Z130" s="1">
        <v>0.03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45">
      <c r="A131">
        <v>1193.05</v>
      </c>
      <c r="B131" s="15">
        <f>VLOOKUP(A131,'Table 3.1'!$A$4:$D$186,4,FALSE)</f>
        <v>9.5242871438966398E-2</v>
      </c>
      <c r="C131" t="s">
        <v>438</v>
      </c>
      <c r="D131"/>
      <c r="E131"/>
      <c r="F131" t="s">
        <v>51</v>
      </c>
      <c r="G131">
        <v>18969</v>
      </c>
      <c r="H131" t="s">
        <v>439</v>
      </c>
      <c r="I131"/>
      <c r="J131">
        <v>0</v>
      </c>
      <c r="K131"/>
      <c r="W131">
        <v>35</v>
      </c>
      <c r="X131">
        <v>0.95</v>
      </c>
      <c r="Y131" s="1">
        <v>0</v>
      </c>
      <c r="Z131" s="1">
        <v>0.95</v>
      </c>
      <c r="AC131">
        <v>0.45</v>
      </c>
      <c r="AD131">
        <v>66</v>
      </c>
      <c r="AE131">
        <v>0</v>
      </c>
      <c r="AF131">
        <v>0.26300000000000001</v>
      </c>
      <c r="AG131">
        <v>0.24099999999999999</v>
      </c>
      <c r="AH131">
        <v>22</v>
      </c>
      <c r="AI131">
        <v>1</v>
      </c>
      <c r="AJ131">
        <v>23</v>
      </c>
      <c r="AK131">
        <v>4.0999999999999898E-2</v>
      </c>
      <c r="AL131">
        <v>0.17</v>
      </c>
    </row>
    <row r="132" spans="1:38" x14ac:dyDescent="0.45">
      <c r="A132">
        <v>1168.0999999999999</v>
      </c>
      <c r="B132" s="15">
        <f>VLOOKUP(A132,'Table 3.1'!$A$4:$D$186,4,FALSE)</f>
        <v>9.4489733755664496E-2</v>
      </c>
      <c r="C132" t="s">
        <v>288</v>
      </c>
      <c r="D132"/>
      <c r="E132"/>
      <c r="F132" t="s">
        <v>47</v>
      </c>
      <c r="G132" t="s">
        <v>286</v>
      </c>
      <c r="H132" t="s">
        <v>287</v>
      </c>
      <c r="I132"/>
      <c r="J132">
        <v>0</v>
      </c>
      <c r="K132"/>
      <c r="W132">
        <v>47</v>
      </c>
      <c r="X132">
        <v>3.9</v>
      </c>
      <c r="Y132" s="1">
        <v>0</v>
      </c>
      <c r="Z132" s="1">
        <v>3.9</v>
      </c>
      <c r="AC132">
        <v>2.5</v>
      </c>
      <c r="AD132">
        <v>110</v>
      </c>
      <c r="AE132">
        <v>0</v>
      </c>
      <c r="AF132">
        <v>0.87</v>
      </c>
      <c r="AG132">
        <v>0.14000000000000001</v>
      </c>
      <c r="AH132">
        <v>0</v>
      </c>
      <c r="AI132">
        <v>0</v>
      </c>
      <c r="AJ132">
        <v>0</v>
      </c>
      <c r="AK132">
        <v>0.59</v>
      </c>
      <c r="AL132">
        <v>0</v>
      </c>
    </row>
    <row r="133" spans="1:38" x14ac:dyDescent="0.45">
      <c r="A133">
        <v>1143.03</v>
      </c>
      <c r="B133" s="15">
        <f>VLOOKUP(A133,'Table 3.1'!$A$4:$D$186,4,FALSE)</f>
        <v>8.8351076864675193E-2</v>
      </c>
      <c r="C133" t="s">
        <v>181</v>
      </c>
      <c r="D133"/>
      <c r="E133"/>
      <c r="F133" t="s">
        <v>47</v>
      </c>
      <c r="G133" t="s">
        <v>178</v>
      </c>
      <c r="H133" t="s">
        <v>179</v>
      </c>
      <c r="I133" t="s">
        <v>182</v>
      </c>
      <c r="J133">
        <v>0</v>
      </c>
      <c r="K133"/>
      <c r="W133">
        <v>1260</v>
      </c>
      <c r="X133">
        <v>0.3</v>
      </c>
      <c r="Y133" s="1">
        <v>0.3</v>
      </c>
      <c r="Z133" s="1">
        <v>0</v>
      </c>
      <c r="AC133">
        <v>4.08</v>
      </c>
      <c r="AD133">
        <v>50</v>
      </c>
      <c r="AE133">
        <v>6.8</v>
      </c>
      <c r="AF133">
        <v>0.42</v>
      </c>
      <c r="AG133">
        <v>1.55</v>
      </c>
      <c r="AH133">
        <v>15</v>
      </c>
      <c r="AI133">
        <v>7</v>
      </c>
      <c r="AJ133">
        <v>15</v>
      </c>
      <c r="AK133">
        <v>0.36</v>
      </c>
      <c r="AL133">
        <v>4</v>
      </c>
    </row>
    <row r="134" spans="1:38" x14ac:dyDescent="0.45">
      <c r="A134">
        <v>1152.01</v>
      </c>
      <c r="B134" s="15">
        <f>VLOOKUP(A134,'Table 3.1'!$A$4:$D$186,4,FALSE)</f>
        <v>8.4622289278846893E-2</v>
      </c>
      <c r="C134" t="s">
        <v>206</v>
      </c>
      <c r="D134"/>
      <c r="E134"/>
      <c r="F134" t="s">
        <v>47</v>
      </c>
      <c r="G134" t="s">
        <v>207</v>
      </c>
      <c r="H134" t="s">
        <v>208</v>
      </c>
      <c r="I134" t="s">
        <v>182</v>
      </c>
      <c r="J134">
        <v>0</v>
      </c>
      <c r="K134"/>
      <c r="W134">
        <v>3</v>
      </c>
      <c r="X134">
        <v>0.1</v>
      </c>
      <c r="Y134" s="1">
        <v>0.1</v>
      </c>
      <c r="Z134" s="1">
        <v>0</v>
      </c>
      <c r="AC134">
        <v>0</v>
      </c>
      <c r="AD134">
        <v>1</v>
      </c>
      <c r="AE134">
        <v>0.2</v>
      </c>
      <c r="AF134">
        <v>0.01</v>
      </c>
      <c r="AG134">
        <v>0.04</v>
      </c>
      <c r="AH134">
        <v>768</v>
      </c>
      <c r="AI134">
        <v>610</v>
      </c>
      <c r="AJ134">
        <v>819</v>
      </c>
      <c r="AK134">
        <v>0.01</v>
      </c>
      <c r="AL134">
        <v>0.1</v>
      </c>
    </row>
    <row r="135" spans="1:38" x14ac:dyDescent="0.45">
      <c r="A135">
        <v>1168.22</v>
      </c>
      <c r="B135" s="15">
        <f>VLOOKUP(A135,'Table 3.1'!$A$4:$D$186,4,FALSE)</f>
        <v>8.3977713372662299E-2</v>
      </c>
      <c r="C135" t="s">
        <v>304</v>
      </c>
      <c r="D135"/>
      <c r="E135"/>
      <c r="F135" t="s">
        <v>47</v>
      </c>
      <c r="G135" t="s">
        <v>305</v>
      </c>
      <c r="H135" t="s">
        <v>306</v>
      </c>
      <c r="I135"/>
      <c r="J135">
        <v>0</v>
      </c>
      <c r="K135"/>
      <c r="W135">
        <v>46</v>
      </c>
      <c r="X135">
        <v>1.1000000000000001</v>
      </c>
      <c r="Y135" s="1">
        <v>0</v>
      </c>
      <c r="Z135" s="1">
        <v>1.1000000000000001</v>
      </c>
      <c r="AC135">
        <v>0.36</v>
      </c>
      <c r="AD135">
        <v>36</v>
      </c>
      <c r="AE135">
        <v>3</v>
      </c>
      <c r="AF135">
        <v>0.06</v>
      </c>
      <c r="AG135">
        <v>0.08</v>
      </c>
      <c r="AH135">
        <v>0</v>
      </c>
      <c r="AI135">
        <v>7</v>
      </c>
      <c r="AJ135">
        <v>1</v>
      </c>
      <c r="AK135">
        <v>0.2</v>
      </c>
      <c r="AL135">
        <v>0</v>
      </c>
    </row>
    <row r="136" spans="1:38" x14ac:dyDescent="0.45">
      <c r="A136">
        <v>1152.02</v>
      </c>
      <c r="B136" s="15">
        <f>VLOOKUP(A136,'Table 3.1'!$A$4:$D$186,4,FALSE)</f>
        <v>8.2369877535181393E-2</v>
      </c>
      <c r="C136" t="s">
        <v>209</v>
      </c>
      <c r="D136"/>
      <c r="E136"/>
      <c r="F136" t="s">
        <v>47</v>
      </c>
      <c r="G136" t="s">
        <v>210</v>
      </c>
      <c r="H136" t="s">
        <v>211</v>
      </c>
      <c r="I136" t="s">
        <v>212</v>
      </c>
      <c r="J136">
        <v>0</v>
      </c>
      <c r="K136"/>
      <c r="W136">
        <v>51</v>
      </c>
      <c r="X136">
        <v>6.2</v>
      </c>
      <c r="Y136" s="1">
        <v>0</v>
      </c>
      <c r="Z136" s="1">
        <v>6.2</v>
      </c>
      <c r="AC136">
        <v>2.5</v>
      </c>
      <c r="AD136">
        <v>109</v>
      </c>
      <c r="AE136">
        <v>0</v>
      </c>
      <c r="AF136">
        <v>0.87</v>
      </c>
      <c r="AG136">
        <v>0.13</v>
      </c>
      <c r="AH136">
        <v>0</v>
      </c>
      <c r="AI136">
        <v>0</v>
      </c>
      <c r="AJ136">
        <v>0</v>
      </c>
      <c r="AK136">
        <v>0.57999999999999996</v>
      </c>
      <c r="AL136">
        <v>0</v>
      </c>
    </row>
    <row r="137" spans="1:38" x14ac:dyDescent="0.45">
      <c r="A137">
        <v>1155.01</v>
      </c>
      <c r="B137" s="15">
        <f>VLOOKUP(A137,'Table 3.1'!$A$4:$D$186,4,FALSE)</f>
        <v>6.8872964550777696E-2</v>
      </c>
      <c r="C137" t="s">
        <v>217</v>
      </c>
      <c r="D137"/>
      <c r="E137"/>
      <c r="F137" t="s">
        <v>47</v>
      </c>
      <c r="G137" t="s">
        <v>214</v>
      </c>
      <c r="H137" t="s">
        <v>215</v>
      </c>
      <c r="I137"/>
      <c r="J137">
        <v>0</v>
      </c>
      <c r="K137"/>
      <c r="W137">
        <v>0</v>
      </c>
      <c r="X137">
        <v>0</v>
      </c>
      <c r="Y137" s="1">
        <v>0</v>
      </c>
      <c r="Z137" s="1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45">
      <c r="A138">
        <v>1111.02</v>
      </c>
      <c r="B138" s="15">
        <f>VLOOKUP(A138,'Table 3.1'!$A$4:$D$186,4,FALSE)</f>
        <v>6.6044357867169598E-2</v>
      </c>
      <c r="C138" t="s">
        <v>50</v>
      </c>
      <c r="D138"/>
      <c r="E138"/>
      <c r="F138" t="s">
        <v>51</v>
      </c>
      <c r="G138">
        <v>8083</v>
      </c>
      <c r="H138" t="s">
        <v>52</v>
      </c>
      <c r="I138"/>
      <c r="J138">
        <v>0</v>
      </c>
      <c r="K138"/>
      <c r="W138">
        <v>5</v>
      </c>
      <c r="X138">
        <v>6.56</v>
      </c>
      <c r="Y138" s="1">
        <v>0</v>
      </c>
      <c r="Z138" s="1">
        <v>6.56</v>
      </c>
      <c r="AC138">
        <v>5.7</v>
      </c>
      <c r="AD138">
        <v>443</v>
      </c>
      <c r="AE138">
        <v>60.5</v>
      </c>
      <c r="AF138">
        <v>2.83</v>
      </c>
      <c r="AG138">
        <v>3.06</v>
      </c>
      <c r="AH138">
        <v>865</v>
      </c>
      <c r="AI138">
        <v>60</v>
      </c>
      <c r="AJ138">
        <v>872</v>
      </c>
      <c r="AK138">
        <v>4.7</v>
      </c>
      <c r="AL138">
        <v>5.75</v>
      </c>
    </row>
    <row r="139" spans="1:38" x14ac:dyDescent="0.45">
      <c r="A139">
        <v>1168.03</v>
      </c>
      <c r="B139" s="15">
        <f>VLOOKUP(A139,'Table 3.1'!$A$4:$D$186,4,FALSE)</f>
        <v>6.4304239151801806E-2</v>
      </c>
      <c r="C139" t="s">
        <v>279</v>
      </c>
      <c r="D139"/>
      <c r="E139"/>
      <c r="F139" t="s">
        <v>47</v>
      </c>
      <c r="G139" t="s">
        <v>230</v>
      </c>
      <c r="H139" t="s">
        <v>231</v>
      </c>
      <c r="I139"/>
      <c r="J139">
        <v>0.1</v>
      </c>
      <c r="K139"/>
      <c r="W139">
        <v>6</v>
      </c>
      <c r="X139">
        <v>0.1</v>
      </c>
      <c r="Y139" s="1">
        <v>0</v>
      </c>
      <c r="Z139" s="1">
        <v>0.1</v>
      </c>
      <c r="AC139">
        <v>0.04</v>
      </c>
      <c r="AD139">
        <v>3</v>
      </c>
      <c r="AE139">
        <v>4.5999999999999996</v>
      </c>
      <c r="AF139">
        <v>0.02</v>
      </c>
      <c r="AG139">
        <v>0.03</v>
      </c>
      <c r="AH139">
        <v>0</v>
      </c>
      <c r="AI139">
        <v>33</v>
      </c>
      <c r="AJ139">
        <v>3</v>
      </c>
      <c r="AK139">
        <v>0.04</v>
      </c>
      <c r="AL139">
        <v>0</v>
      </c>
    </row>
    <row r="140" spans="1:38" x14ac:dyDescent="0.45">
      <c r="A140">
        <v>1167.03</v>
      </c>
      <c r="B140" s="15">
        <f>VLOOKUP(A140,'Table 3.1'!$A$4:$D$186,4,FALSE)</f>
        <v>6.3238521479103194E-2</v>
      </c>
      <c r="C140" t="s">
        <v>268</v>
      </c>
      <c r="D140"/>
      <c r="E140"/>
      <c r="F140" t="s">
        <v>47</v>
      </c>
      <c r="G140" t="s">
        <v>269</v>
      </c>
      <c r="H140" t="s">
        <v>270</v>
      </c>
      <c r="I140"/>
      <c r="J140">
        <v>0.49</v>
      </c>
      <c r="K140"/>
      <c r="W140">
        <v>20</v>
      </c>
      <c r="X140">
        <v>0.5</v>
      </c>
      <c r="Y140" s="1">
        <v>0</v>
      </c>
      <c r="Z140" s="1">
        <v>0.5</v>
      </c>
      <c r="AC140">
        <v>0.11</v>
      </c>
      <c r="AD140">
        <v>12</v>
      </c>
      <c r="AE140">
        <v>29.8</v>
      </c>
      <c r="AF140">
        <v>7.0000000000000007E-2</v>
      </c>
      <c r="AG140">
        <v>0.03</v>
      </c>
      <c r="AH140">
        <v>0</v>
      </c>
      <c r="AI140">
        <v>61</v>
      </c>
      <c r="AJ140">
        <v>5</v>
      </c>
      <c r="AK140">
        <v>0.09</v>
      </c>
      <c r="AL140">
        <v>0</v>
      </c>
    </row>
    <row r="141" spans="1:38" x14ac:dyDescent="0.45">
      <c r="A141">
        <v>1168.1099999999999</v>
      </c>
      <c r="B141" s="15">
        <f>VLOOKUP(A141,'Table 3.1'!$A$4:$D$186,4,FALSE)</f>
        <v>6.0218976472165398E-2</v>
      </c>
      <c r="C141" t="s">
        <v>289</v>
      </c>
      <c r="D141"/>
      <c r="E141"/>
      <c r="F141" t="s">
        <v>47</v>
      </c>
      <c r="G141" t="s">
        <v>290</v>
      </c>
      <c r="H141" t="s">
        <v>291</v>
      </c>
      <c r="I141"/>
      <c r="J141">
        <v>0.28000000000000003</v>
      </c>
      <c r="K141"/>
      <c r="W141">
        <v>276</v>
      </c>
      <c r="X141">
        <v>5.5</v>
      </c>
      <c r="Y141" s="1">
        <v>0</v>
      </c>
      <c r="Z141" s="1">
        <v>5.5</v>
      </c>
      <c r="AC141">
        <v>3.6</v>
      </c>
      <c r="AD141">
        <v>0</v>
      </c>
      <c r="AE141">
        <v>247</v>
      </c>
      <c r="AF141">
        <v>0.37</v>
      </c>
      <c r="AG141">
        <v>0.06</v>
      </c>
      <c r="AH141">
        <v>0</v>
      </c>
      <c r="AI141">
        <v>70</v>
      </c>
      <c r="AJ141">
        <v>6</v>
      </c>
      <c r="AK141">
        <v>0.02</v>
      </c>
      <c r="AL141">
        <v>0</v>
      </c>
    </row>
    <row r="142" spans="1:38" x14ac:dyDescent="0.45">
      <c r="A142">
        <v>1165.01</v>
      </c>
      <c r="B142" s="15">
        <f>VLOOKUP(A142,'Table 3.1'!$A$4:$D$186,4,FALSE)</f>
        <v>5.8163921273467097E-2</v>
      </c>
      <c r="C142" t="s">
        <v>234</v>
      </c>
      <c r="D142"/>
      <c r="E142"/>
      <c r="F142" t="s">
        <v>51</v>
      </c>
      <c r="G142">
        <v>9021</v>
      </c>
      <c r="H142" t="s">
        <v>235</v>
      </c>
      <c r="I142"/>
      <c r="J142">
        <v>0</v>
      </c>
      <c r="K142"/>
      <c r="W142">
        <v>13</v>
      </c>
      <c r="X142">
        <v>0.39</v>
      </c>
      <c r="Y142" s="1">
        <v>0</v>
      </c>
      <c r="Z142" s="1">
        <v>0.39</v>
      </c>
      <c r="AC142">
        <v>0.2</v>
      </c>
      <c r="AD142">
        <v>9</v>
      </c>
      <c r="AE142">
        <v>10</v>
      </c>
      <c r="AF142">
        <v>0.03</v>
      </c>
      <c r="AG142">
        <v>0.04</v>
      </c>
      <c r="AH142">
        <v>0</v>
      </c>
      <c r="AI142">
        <v>1094</v>
      </c>
      <c r="AJ142">
        <v>96</v>
      </c>
      <c r="AK142">
        <v>5.3999999999999999E-2</v>
      </c>
      <c r="AL142">
        <v>0</v>
      </c>
    </row>
    <row r="143" spans="1:38" x14ac:dyDescent="0.45">
      <c r="A143">
        <v>1166.03</v>
      </c>
      <c r="B143" s="15">
        <f>VLOOKUP(A143,'Table 3.1'!$A$4:$D$186,4,FALSE)</f>
        <v>5.3005376768511303E-2</v>
      </c>
      <c r="C143" t="s">
        <v>252</v>
      </c>
      <c r="D143"/>
      <c r="E143"/>
      <c r="F143" t="s">
        <v>51</v>
      </c>
      <c r="G143">
        <v>9089</v>
      </c>
      <c r="H143" t="s">
        <v>253</v>
      </c>
      <c r="I143"/>
      <c r="J143">
        <v>0</v>
      </c>
      <c r="K143"/>
      <c r="W143">
        <v>35</v>
      </c>
      <c r="X143">
        <v>0.37</v>
      </c>
      <c r="Y143" s="1">
        <v>0</v>
      </c>
      <c r="Z143" s="1">
        <v>0.37</v>
      </c>
      <c r="AC143">
        <v>0.15</v>
      </c>
      <c r="AD143">
        <v>6</v>
      </c>
      <c r="AE143">
        <v>2</v>
      </c>
      <c r="AF143">
        <v>0.06</v>
      </c>
      <c r="AG143">
        <v>0.05</v>
      </c>
      <c r="AH143">
        <v>0</v>
      </c>
      <c r="AI143">
        <v>85</v>
      </c>
      <c r="AJ143">
        <v>7</v>
      </c>
      <c r="AK143">
        <v>0.113</v>
      </c>
      <c r="AL143">
        <v>0</v>
      </c>
    </row>
    <row r="144" spans="1:38" x14ac:dyDescent="0.45">
      <c r="A144">
        <v>1181.02</v>
      </c>
      <c r="B144" s="15">
        <f>VLOOKUP(A144,'Table 3.1'!$A$4:$D$186,4,FALSE)</f>
        <v>5.1929662899060598E-2</v>
      </c>
      <c r="C144" t="s">
        <v>403</v>
      </c>
      <c r="D144"/>
      <c r="E144"/>
      <c r="F144" t="s">
        <v>237</v>
      </c>
      <c r="G144">
        <v>11002</v>
      </c>
      <c r="H144" t="s">
        <v>404</v>
      </c>
      <c r="I144"/>
      <c r="J144">
        <v>0</v>
      </c>
      <c r="K144"/>
      <c r="W144">
        <v>10</v>
      </c>
      <c r="X144">
        <v>1.1000000000000001</v>
      </c>
      <c r="Y144" s="1">
        <v>0</v>
      </c>
      <c r="Z144" s="1">
        <v>1.1000000000000001</v>
      </c>
      <c r="AC144">
        <v>0.14000000000000001</v>
      </c>
      <c r="AD144">
        <v>45</v>
      </c>
      <c r="AE144">
        <v>6.7</v>
      </c>
      <c r="AF144">
        <v>0.03</v>
      </c>
      <c r="AG144">
        <v>0.04</v>
      </c>
      <c r="AH144">
        <v>0</v>
      </c>
      <c r="AI144">
        <v>10.34</v>
      </c>
      <c r="AJ144">
        <v>1</v>
      </c>
      <c r="AK144">
        <v>0</v>
      </c>
      <c r="AL144">
        <v>0</v>
      </c>
    </row>
    <row r="145" spans="1:38" x14ac:dyDescent="0.45">
      <c r="A145">
        <v>1132.01</v>
      </c>
      <c r="B145" s="15">
        <f>VLOOKUP(A145,'Table 3.1'!$A$4:$D$186,4,FALSE)</f>
        <v>4.7496083015136102E-2</v>
      </c>
      <c r="C145" t="s">
        <v>145</v>
      </c>
      <c r="D145"/>
      <c r="E145"/>
      <c r="F145" t="s">
        <v>51</v>
      </c>
      <c r="G145">
        <v>15145</v>
      </c>
      <c r="H145" t="s">
        <v>146</v>
      </c>
      <c r="I145"/>
      <c r="J145">
        <v>0</v>
      </c>
      <c r="K145"/>
      <c r="W145">
        <v>27</v>
      </c>
      <c r="X145">
        <v>0.84</v>
      </c>
      <c r="Y145" s="1">
        <v>0.84</v>
      </c>
      <c r="Z145" s="1">
        <v>0</v>
      </c>
      <c r="AC145">
        <v>1.3</v>
      </c>
      <c r="AD145">
        <v>37</v>
      </c>
      <c r="AE145">
        <v>1.2</v>
      </c>
      <c r="AF145">
        <v>7.0000000000000007E-2</v>
      </c>
      <c r="AG145">
        <v>3.2000000000000001E-2</v>
      </c>
      <c r="AH145">
        <v>16</v>
      </c>
      <c r="AI145">
        <v>0</v>
      </c>
      <c r="AJ145">
        <v>16</v>
      </c>
      <c r="AK145">
        <v>0.108</v>
      </c>
      <c r="AL145">
        <v>2</v>
      </c>
    </row>
    <row r="146" spans="1:38" x14ac:dyDescent="0.45">
      <c r="A146">
        <v>1165.05</v>
      </c>
      <c r="B146" s="15">
        <f>VLOOKUP(A146,'Table 3.1'!$A$4:$D$186,4,FALSE)</f>
        <v>4.5728195606791998E-2</v>
      </c>
      <c r="C146" t="s">
        <v>244</v>
      </c>
      <c r="D146"/>
      <c r="E146"/>
      <c r="F146" t="s">
        <v>51</v>
      </c>
      <c r="G146">
        <v>9279</v>
      </c>
      <c r="H146" t="s">
        <v>245</v>
      </c>
      <c r="I146"/>
      <c r="J146">
        <v>0</v>
      </c>
      <c r="K146"/>
      <c r="W146">
        <v>6</v>
      </c>
      <c r="X146">
        <v>0.17</v>
      </c>
      <c r="Y146" s="1">
        <v>0</v>
      </c>
      <c r="Z146" s="1">
        <v>0.17</v>
      </c>
      <c r="AC146">
        <v>0.1</v>
      </c>
      <c r="AD146">
        <v>5</v>
      </c>
      <c r="AE146">
        <v>9.5</v>
      </c>
      <c r="AF146">
        <v>2.79999999999999E-2</v>
      </c>
      <c r="AG146">
        <v>2.5999999999999999E-2</v>
      </c>
      <c r="AH146">
        <v>0</v>
      </c>
      <c r="AI146">
        <v>190</v>
      </c>
      <c r="AJ146">
        <v>17</v>
      </c>
      <c r="AK146">
        <v>2.8999999999999901E-2</v>
      </c>
      <c r="AL146">
        <v>0</v>
      </c>
    </row>
    <row r="147" spans="1:38" x14ac:dyDescent="0.45">
      <c r="A147">
        <v>1133.02</v>
      </c>
      <c r="B147" s="15">
        <f>VLOOKUP(A147,'Table 3.1'!$A$4:$D$186,4,FALSE)</f>
        <v>4.1488525298049798E-2</v>
      </c>
      <c r="C147" t="s">
        <v>152</v>
      </c>
      <c r="D147"/>
      <c r="E147"/>
      <c r="F147" t="s">
        <v>47</v>
      </c>
      <c r="G147" t="s">
        <v>153</v>
      </c>
      <c r="H147" t="s">
        <v>154</v>
      </c>
      <c r="I147"/>
      <c r="J147">
        <v>0.48</v>
      </c>
      <c r="K147"/>
      <c r="W147">
        <v>71</v>
      </c>
      <c r="X147">
        <v>1.8</v>
      </c>
      <c r="Y147" s="1">
        <v>1.8</v>
      </c>
      <c r="Z147" s="1">
        <v>0</v>
      </c>
      <c r="AC147">
        <v>1.57</v>
      </c>
      <c r="AD147">
        <v>4</v>
      </c>
      <c r="AE147">
        <v>0</v>
      </c>
      <c r="AF147">
        <v>0.02</v>
      </c>
      <c r="AG147">
        <v>0.21</v>
      </c>
      <c r="AH147">
        <v>18</v>
      </c>
      <c r="AI147">
        <v>6</v>
      </c>
      <c r="AJ147">
        <v>19</v>
      </c>
      <c r="AK147">
        <v>0.96</v>
      </c>
      <c r="AL147">
        <v>11</v>
      </c>
    </row>
    <row r="148" spans="1:38" x14ac:dyDescent="0.45">
      <c r="A148">
        <v>1166.01</v>
      </c>
      <c r="B148" s="15">
        <f>VLOOKUP(A148,'Table 3.1'!$A$4:$D$186,4,FALSE)</f>
        <v>4.0847832232951499E-2</v>
      </c>
      <c r="C148" t="s">
        <v>248</v>
      </c>
      <c r="D148"/>
      <c r="E148"/>
      <c r="F148" t="s">
        <v>237</v>
      </c>
      <c r="G148">
        <v>5034</v>
      </c>
      <c r="H148" t="s">
        <v>249</v>
      </c>
      <c r="I148"/>
      <c r="J148">
        <v>0.04</v>
      </c>
      <c r="K148"/>
      <c r="W148">
        <v>19</v>
      </c>
      <c r="X148">
        <v>0.6</v>
      </c>
      <c r="Y148" s="1">
        <v>0</v>
      </c>
      <c r="Z148" s="1">
        <v>0.6</v>
      </c>
      <c r="AC148">
        <v>0.18</v>
      </c>
      <c r="AD148">
        <v>39</v>
      </c>
      <c r="AE148">
        <v>49</v>
      </c>
      <c r="AF148">
        <v>0.03</v>
      </c>
      <c r="AG148">
        <v>0.02</v>
      </c>
      <c r="AH148">
        <v>0</v>
      </c>
      <c r="AI148">
        <v>1</v>
      </c>
      <c r="AJ148">
        <v>0</v>
      </c>
      <c r="AK148">
        <v>0</v>
      </c>
      <c r="AL148">
        <v>0</v>
      </c>
    </row>
    <row r="149" spans="1:38" x14ac:dyDescent="0.45">
      <c r="A149">
        <v>1172.01</v>
      </c>
      <c r="B149" s="15">
        <f>VLOOKUP(A149,'Table 3.1'!$A$4:$D$186,4,FALSE)</f>
        <v>3.9730008453625003E-2</v>
      </c>
      <c r="C149" t="s">
        <v>326</v>
      </c>
      <c r="D149"/>
      <c r="E149"/>
      <c r="F149" t="s">
        <v>51</v>
      </c>
      <c r="G149">
        <v>11090</v>
      </c>
      <c r="H149" t="s">
        <v>327</v>
      </c>
      <c r="I149"/>
      <c r="J149">
        <v>0</v>
      </c>
      <c r="K149"/>
      <c r="W149">
        <v>47</v>
      </c>
      <c r="X149">
        <v>0.73</v>
      </c>
      <c r="Y149" s="1">
        <v>0</v>
      </c>
      <c r="Z149" s="1">
        <v>0.73</v>
      </c>
      <c r="AC149">
        <v>0.41</v>
      </c>
      <c r="AD149">
        <v>63</v>
      </c>
      <c r="AE149">
        <v>89.2</v>
      </c>
      <c r="AF149">
        <v>7.0999999999999994E-2</v>
      </c>
      <c r="AG149">
        <v>0.11699999999999899</v>
      </c>
      <c r="AH149">
        <v>0</v>
      </c>
      <c r="AI149">
        <v>361</v>
      </c>
      <c r="AJ149">
        <v>31</v>
      </c>
      <c r="AK149">
        <v>0.17499999999999999</v>
      </c>
      <c r="AL149">
        <v>0</v>
      </c>
    </row>
    <row r="150" spans="1:38" x14ac:dyDescent="0.45">
      <c r="A150">
        <v>1165.02</v>
      </c>
      <c r="B150" s="15">
        <f>VLOOKUP(A150,'Table 3.1'!$A$4:$D$186,4,FALSE)</f>
        <v>3.7201238021861802E-2</v>
      </c>
      <c r="C150" t="s">
        <v>236</v>
      </c>
      <c r="D150"/>
      <c r="E150"/>
      <c r="F150" t="s">
        <v>237</v>
      </c>
      <c r="G150">
        <v>5003</v>
      </c>
      <c r="H150" t="s">
        <v>238</v>
      </c>
      <c r="I150"/>
      <c r="J150">
        <v>0.28999999999999998</v>
      </c>
      <c r="K150"/>
      <c r="W150">
        <v>19</v>
      </c>
      <c r="X150">
        <v>1</v>
      </c>
      <c r="Y150" s="1">
        <v>0</v>
      </c>
      <c r="Z150" s="1">
        <v>1</v>
      </c>
      <c r="AC150">
        <v>0.39</v>
      </c>
      <c r="AD150">
        <v>67</v>
      </c>
      <c r="AE150">
        <v>14</v>
      </c>
      <c r="AF150">
        <v>7.0000000000000007E-2</v>
      </c>
      <c r="AG150">
        <v>0.15</v>
      </c>
      <c r="AH150">
        <v>0</v>
      </c>
      <c r="AI150">
        <v>27</v>
      </c>
      <c r="AJ150">
        <v>2</v>
      </c>
      <c r="AK150">
        <v>0</v>
      </c>
      <c r="AL150">
        <v>0</v>
      </c>
    </row>
    <row r="151" spans="1:38" x14ac:dyDescent="0.45">
      <c r="A151">
        <v>1142.02</v>
      </c>
      <c r="B151" s="15">
        <f>VLOOKUP(A151,'Table 3.1'!$A$4:$D$186,4,FALSE)</f>
        <v>3.4191322746412803E-2</v>
      </c>
      <c r="C151" t="s">
        <v>171</v>
      </c>
      <c r="D151"/>
      <c r="E151"/>
      <c r="F151" t="s">
        <v>47</v>
      </c>
      <c r="G151" t="s">
        <v>172</v>
      </c>
      <c r="H151" t="s">
        <v>173</v>
      </c>
      <c r="I151"/>
      <c r="J151">
        <v>0</v>
      </c>
      <c r="K151"/>
      <c r="W151">
        <v>124</v>
      </c>
      <c r="X151">
        <v>0.03</v>
      </c>
      <c r="Y151" s="1">
        <v>0.03</v>
      </c>
      <c r="Z151" s="1">
        <v>0</v>
      </c>
      <c r="AC151">
        <v>0.41</v>
      </c>
      <c r="AD151">
        <v>6</v>
      </c>
      <c r="AE151">
        <v>1.3</v>
      </c>
      <c r="AF151">
        <v>0.04</v>
      </c>
      <c r="AG151">
        <v>0.17</v>
      </c>
      <c r="AH151">
        <v>4</v>
      </c>
      <c r="AI151">
        <v>2</v>
      </c>
      <c r="AJ151">
        <v>4</v>
      </c>
      <c r="AK151">
        <v>0.05</v>
      </c>
      <c r="AL151">
        <v>0.5</v>
      </c>
    </row>
    <row r="152" spans="1:38" x14ac:dyDescent="0.45">
      <c r="A152">
        <v>1172.03</v>
      </c>
      <c r="B152" s="15">
        <f>VLOOKUP(A152,'Table 3.1'!$A$4:$D$186,4,FALSE)</f>
        <v>3.2753152739885598E-2</v>
      </c>
      <c r="C152" t="s">
        <v>331</v>
      </c>
      <c r="D152"/>
      <c r="E152"/>
      <c r="F152" t="s">
        <v>51</v>
      </c>
      <c r="G152">
        <v>1135</v>
      </c>
      <c r="H152" t="s">
        <v>332</v>
      </c>
      <c r="I152"/>
      <c r="J152">
        <v>0</v>
      </c>
      <c r="K152"/>
      <c r="W152">
        <v>83</v>
      </c>
      <c r="X152">
        <v>0.23</v>
      </c>
      <c r="Y152" s="1">
        <v>0</v>
      </c>
      <c r="Z152" s="1">
        <v>0.23</v>
      </c>
      <c r="AC152">
        <v>0.15</v>
      </c>
      <c r="AD152">
        <v>89</v>
      </c>
      <c r="AE152">
        <v>0</v>
      </c>
      <c r="AF152">
        <v>3.5000000000000003E-2</v>
      </c>
      <c r="AG152">
        <v>2.1619999999999999</v>
      </c>
      <c r="AH152">
        <v>0</v>
      </c>
      <c r="AI152">
        <v>0</v>
      </c>
      <c r="AJ152">
        <v>0</v>
      </c>
      <c r="AK152">
        <v>2.3E-2</v>
      </c>
      <c r="AL152">
        <v>0.49</v>
      </c>
    </row>
    <row r="153" spans="1:38" x14ac:dyDescent="0.45">
      <c r="A153">
        <v>1143.01</v>
      </c>
      <c r="B153" s="15">
        <f>VLOOKUP(A153,'Table 3.1'!$A$4:$D$186,4,FALSE)</f>
        <v>2.94815569108773E-2</v>
      </c>
      <c r="C153" t="s">
        <v>174</v>
      </c>
      <c r="D153"/>
      <c r="E153"/>
      <c r="F153" t="s">
        <v>47</v>
      </c>
      <c r="G153" t="s">
        <v>175</v>
      </c>
      <c r="H153" t="s">
        <v>176</v>
      </c>
      <c r="I153"/>
      <c r="J153">
        <v>0</v>
      </c>
      <c r="K153"/>
      <c r="W153">
        <v>284</v>
      </c>
      <c r="X153">
        <v>0.2</v>
      </c>
      <c r="Y153" s="1">
        <v>0.2</v>
      </c>
      <c r="Z153" s="1">
        <v>0</v>
      </c>
      <c r="AC153">
        <v>0.94</v>
      </c>
      <c r="AD153">
        <v>11</v>
      </c>
      <c r="AE153">
        <v>2.6</v>
      </c>
      <c r="AF153">
        <v>0.09</v>
      </c>
      <c r="AG153">
        <v>0.42</v>
      </c>
      <c r="AH153">
        <v>73</v>
      </c>
      <c r="AI153">
        <v>14</v>
      </c>
      <c r="AJ153">
        <v>74</v>
      </c>
      <c r="AK153">
        <v>0.05</v>
      </c>
      <c r="AL153">
        <v>0.4</v>
      </c>
    </row>
    <row r="154" spans="1:38" x14ac:dyDescent="0.45">
      <c r="A154">
        <v>1169.01</v>
      </c>
      <c r="B154" s="15">
        <f>VLOOKUP(A154,'Table 3.1'!$A$4:$D$186,4,FALSE)</f>
        <v>2.62723749222353E-2</v>
      </c>
      <c r="C154" t="s">
        <v>309</v>
      </c>
      <c r="D154"/>
      <c r="E154"/>
      <c r="F154" t="s">
        <v>51</v>
      </c>
      <c r="G154">
        <v>9187</v>
      </c>
      <c r="H154" t="s">
        <v>310</v>
      </c>
      <c r="I154"/>
      <c r="J154">
        <v>0</v>
      </c>
      <c r="K154"/>
      <c r="W154">
        <v>1</v>
      </c>
      <c r="X154">
        <v>0.36</v>
      </c>
      <c r="Y154" s="1">
        <v>0</v>
      </c>
      <c r="Z154" s="1">
        <v>0.36</v>
      </c>
      <c r="AC154">
        <v>7.0000000000000007E-2</v>
      </c>
      <c r="AD154">
        <v>3</v>
      </c>
      <c r="AE154">
        <v>69</v>
      </c>
      <c r="AF154">
        <v>1.4999999999999999E-2</v>
      </c>
      <c r="AG154">
        <v>0.04</v>
      </c>
      <c r="AH154">
        <v>0</v>
      </c>
      <c r="AI154">
        <v>0</v>
      </c>
      <c r="AJ154">
        <v>10</v>
      </c>
      <c r="AK154">
        <v>3.5999999999999997E-2</v>
      </c>
      <c r="AL154">
        <v>0</v>
      </c>
    </row>
    <row r="155" spans="1:38" x14ac:dyDescent="0.45">
      <c r="A155">
        <v>1166.06</v>
      </c>
      <c r="B155" s="15">
        <f>VLOOKUP(A155,'Table 3.1'!$A$4:$D$186,4,FALSE)</f>
        <v>2.5601529077809201E-2</v>
      </c>
      <c r="C155" t="s">
        <v>260</v>
      </c>
      <c r="D155"/>
      <c r="E155"/>
      <c r="F155" t="s">
        <v>51</v>
      </c>
      <c r="G155">
        <v>9195</v>
      </c>
      <c r="H155" t="s">
        <v>261</v>
      </c>
      <c r="I155"/>
      <c r="J155">
        <v>0</v>
      </c>
      <c r="K155"/>
      <c r="W155">
        <v>52</v>
      </c>
      <c r="X155">
        <v>0.49</v>
      </c>
      <c r="Y155" s="1">
        <v>0</v>
      </c>
      <c r="Z155" s="1">
        <v>0.49</v>
      </c>
      <c r="AC155">
        <v>0.04</v>
      </c>
      <c r="AD155">
        <v>3</v>
      </c>
      <c r="AE155">
        <v>0</v>
      </c>
      <c r="AF155">
        <v>2.1000000000000001E-2</v>
      </c>
      <c r="AG155">
        <v>6.9999999999999897E-3</v>
      </c>
      <c r="AH155">
        <v>0</v>
      </c>
      <c r="AI155">
        <v>231</v>
      </c>
      <c r="AJ155">
        <v>20</v>
      </c>
      <c r="AK155">
        <v>3.1E-2</v>
      </c>
      <c r="AL155">
        <v>0</v>
      </c>
    </row>
    <row r="156" spans="1:38" x14ac:dyDescent="0.45">
      <c r="A156">
        <v>1115.07</v>
      </c>
      <c r="B156" s="15">
        <f>VLOOKUP(A156,'Table 3.1'!$A$4:$D$186,4,FALSE)</f>
        <v>2.44224214919989E-2</v>
      </c>
      <c r="C156" t="s">
        <v>86</v>
      </c>
      <c r="D156"/>
      <c r="E156"/>
      <c r="F156" t="s">
        <v>47</v>
      </c>
      <c r="G156" t="s">
        <v>87</v>
      </c>
      <c r="H156" t="s">
        <v>86</v>
      </c>
      <c r="I156"/>
      <c r="J156">
        <v>0</v>
      </c>
      <c r="K156"/>
      <c r="W156">
        <v>138</v>
      </c>
      <c r="X156">
        <v>1.5</v>
      </c>
      <c r="Y156" s="1">
        <v>0</v>
      </c>
      <c r="Z156" s="1">
        <v>1.5</v>
      </c>
      <c r="AC156">
        <v>0.74</v>
      </c>
      <c r="AD156">
        <v>47</v>
      </c>
      <c r="AE156">
        <v>4</v>
      </c>
      <c r="AF156">
        <v>7.0000000000000007E-2</v>
      </c>
      <c r="AG156">
        <v>0.11</v>
      </c>
      <c r="AH156">
        <v>0</v>
      </c>
      <c r="AI156">
        <v>0</v>
      </c>
      <c r="AJ156">
        <v>0</v>
      </c>
      <c r="AK156">
        <v>0.17</v>
      </c>
      <c r="AL156">
        <v>0</v>
      </c>
    </row>
    <row r="157" spans="1:38" x14ac:dyDescent="0.45">
      <c r="A157">
        <v>1175.02</v>
      </c>
      <c r="B157" s="15">
        <f>VLOOKUP(A157,'Table 3.1'!$A$4:$D$186,4,FALSE)</f>
        <v>2.34607097322409E-2</v>
      </c>
      <c r="C157" t="s">
        <v>377</v>
      </c>
      <c r="D157"/>
      <c r="E157"/>
      <c r="F157" t="s">
        <v>237</v>
      </c>
      <c r="G157">
        <v>3010</v>
      </c>
      <c r="H157" t="s">
        <v>378</v>
      </c>
      <c r="I157"/>
      <c r="J157">
        <v>0</v>
      </c>
      <c r="K157"/>
      <c r="W157">
        <v>235</v>
      </c>
      <c r="X157">
        <v>6.8</v>
      </c>
      <c r="Y157" s="1">
        <v>0</v>
      </c>
      <c r="Z157" s="1">
        <v>6.8</v>
      </c>
      <c r="AC157">
        <v>3.37</v>
      </c>
      <c r="AD157">
        <v>400</v>
      </c>
      <c r="AE157">
        <v>8</v>
      </c>
      <c r="AF157">
        <v>0.48</v>
      </c>
      <c r="AG157">
        <v>0.16</v>
      </c>
      <c r="AH157">
        <v>0</v>
      </c>
      <c r="AI157">
        <v>175</v>
      </c>
      <c r="AJ157">
        <v>15</v>
      </c>
      <c r="AK157">
        <v>0</v>
      </c>
      <c r="AL157">
        <v>0</v>
      </c>
    </row>
    <row r="158" spans="1:38" x14ac:dyDescent="0.45">
      <c r="A158">
        <v>1154.02</v>
      </c>
      <c r="B158" s="15">
        <f>VLOOKUP(A158,'Table 3.1'!$A$4:$D$186,4,FALSE)</f>
        <v>2.1636575933553299E-2</v>
      </c>
      <c r="C158" t="s">
        <v>216</v>
      </c>
      <c r="D158"/>
      <c r="E158"/>
      <c r="F158" t="s">
        <v>47</v>
      </c>
      <c r="G158" t="s">
        <v>214</v>
      </c>
      <c r="H158" t="s">
        <v>215</v>
      </c>
      <c r="I158" t="s">
        <v>192</v>
      </c>
      <c r="J158">
        <v>0</v>
      </c>
      <c r="K158"/>
      <c r="W158">
        <v>0</v>
      </c>
      <c r="X158">
        <v>0</v>
      </c>
      <c r="Y158" s="1">
        <v>0</v>
      </c>
      <c r="Z158" s="1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45">
      <c r="A159">
        <v>1146.01</v>
      </c>
      <c r="B159" s="15">
        <f>VLOOKUP(A159,'Table 3.1'!$A$4:$D$186,4,FALSE)</f>
        <v>2.1165633083139099E-2</v>
      </c>
      <c r="C159" t="s">
        <v>197</v>
      </c>
      <c r="D159"/>
      <c r="E159"/>
      <c r="F159" t="s">
        <v>47</v>
      </c>
      <c r="G159" t="s">
        <v>198</v>
      </c>
      <c r="H159" t="s">
        <v>199</v>
      </c>
      <c r="I159" t="s">
        <v>180</v>
      </c>
      <c r="J159">
        <v>0</v>
      </c>
      <c r="K159"/>
      <c r="W159">
        <v>104</v>
      </c>
      <c r="X159">
        <v>0.04</v>
      </c>
      <c r="Y159" s="1">
        <v>0.04</v>
      </c>
      <c r="Z159" s="1">
        <v>0</v>
      </c>
      <c r="AC159">
        <v>0.37</v>
      </c>
      <c r="AD159">
        <v>12</v>
      </c>
      <c r="AE159">
        <v>1</v>
      </c>
      <c r="AF159">
        <v>0.04</v>
      </c>
      <c r="AG159">
        <v>0.19</v>
      </c>
      <c r="AH159">
        <v>115</v>
      </c>
      <c r="AI159">
        <v>59</v>
      </c>
      <c r="AJ159">
        <v>120</v>
      </c>
      <c r="AK159">
        <v>0.05</v>
      </c>
      <c r="AL159">
        <v>0.4</v>
      </c>
    </row>
    <row r="160" spans="1:38" x14ac:dyDescent="0.45">
      <c r="A160">
        <v>1168.17</v>
      </c>
      <c r="B160" s="15">
        <f>VLOOKUP(A160,'Table 3.1'!$A$4:$D$186,4,FALSE)</f>
        <v>2.08013211312571E-2</v>
      </c>
      <c r="C160" t="s">
        <v>298</v>
      </c>
      <c r="D160"/>
      <c r="E160"/>
      <c r="F160" t="s">
        <v>51</v>
      </c>
      <c r="G160">
        <v>12135</v>
      </c>
      <c r="H160" t="s">
        <v>299</v>
      </c>
      <c r="I160"/>
      <c r="J160">
        <v>0</v>
      </c>
      <c r="K160"/>
      <c r="W160">
        <v>70</v>
      </c>
      <c r="X160">
        <v>3.7</v>
      </c>
      <c r="Y160" s="1">
        <v>0</v>
      </c>
      <c r="Z160" s="1">
        <v>3.7</v>
      </c>
      <c r="AC160">
        <v>3.8</v>
      </c>
      <c r="AD160">
        <v>50</v>
      </c>
      <c r="AE160">
        <v>0.4</v>
      </c>
      <c r="AF160">
        <v>0.2</v>
      </c>
      <c r="AG160">
        <v>0.2</v>
      </c>
      <c r="AH160">
        <v>0</v>
      </c>
      <c r="AI160">
        <v>0</v>
      </c>
      <c r="AJ160">
        <v>1</v>
      </c>
      <c r="AK160">
        <v>0.29599999999999999</v>
      </c>
      <c r="AL160">
        <v>0</v>
      </c>
    </row>
    <row r="161" spans="1:38" x14ac:dyDescent="0.45">
      <c r="A161">
        <v>1191.03</v>
      </c>
      <c r="B161" s="15">
        <f>VLOOKUP(A161,'Table 3.1'!$A$4:$D$186,4,FALSE)</f>
        <v>1.7661982648407699E-2</v>
      </c>
      <c r="C161" t="s">
        <v>423</v>
      </c>
      <c r="D161"/>
      <c r="E161"/>
      <c r="F161" t="s">
        <v>47</v>
      </c>
      <c r="G161" t="s">
        <v>424</v>
      </c>
      <c r="H161" t="s">
        <v>423</v>
      </c>
      <c r="I161"/>
      <c r="J161">
        <v>0</v>
      </c>
      <c r="K161"/>
      <c r="W161">
        <v>12</v>
      </c>
      <c r="X161">
        <v>0.5</v>
      </c>
      <c r="Y161" s="1">
        <v>0</v>
      </c>
      <c r="Z161" s="1">
        <v>0.5</v>
      </c>
      <c r="AC161">
        <v>0.01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45">
      <c r="A162">
        <v>1175.03</v>
      </c>
      <c r="B162" s="15">
        <f>VLOOKUP(A162,'Table 3.1'!$A$4:$D$186,4,FALSE)</f>
        <v>1.76108647181164E-2</v>
      </c>
      <c r="C162" t="s">
        <v>379</v>
      </c>
      <c r="D162"/>
      <c r="E162"/>
      <c r="F162" t="s">
        <v>47</v>
      </c>
      <c r="G162" t="s">
        <v>380</v>
      </c>
      <c r="H162" t="s">
        <v>379</v>
      </c>
      <c r="I162"/>
      <c r="J162">
        <v>0.19</v>
      </c>
      <c r="K162"/>
      <c r="W162">
        <v>61</v>
      </c>
      <c r="X162">
        <v>7</v>
      </c>
      <c r="Y162" s="1">
        <v>0</v>
      </c>
      <c r="Z162" s="1">
        <v>7</v>
      </c>
      <c r="AC162">
        <v>3.9</v>
      </c>
      <c r="AD162">
        <v>295</v>
      </c>
      <c r="AE162">
        <v>0</v>
      </c>
      <c r="AF162">
        <v>0.59</v>
      </c>
      <c r="AG162">
        <v>0.23</v>
      </c>
      <c r="AH162">
        <v>0</v>
      </c>
      <c r="AI162">
        <v>42</v>
      </c>
      <c r="AJ162">
        <v>3</v>
      </c>
      <c r="AK162">
        <v>0.68</v>
      </c>
      <c r="AL162">
        <v>0</v>
      </c>
    </row>
    <row r="163" spans="1:38" x14ac:dyDescent="0.45">
      <c r="A163">
        <v>1192.03</v>
      </c>
      <c r="B163" s="15">
        <f>VLOOKUP(A163,'Table 3.1'!$A$4:$D$186,4,FALSE)</f>
        <v>1.5526212180351299E-2</v>
      </c>
      <c r="C163" t="s">
        <v>432</v>
      </c>
      <c r="D163"/>
      <c r="E163"/>
      <c r="F163" t="s">
        <v>47</v>
      </c>
      <c r="G163" t="s">
        <v>433</v>
      </c>
      <c r="H163" t="s">
        <v>434</v>
      </c>
      <c r="I163"/>
      <c r="J163">
        <v>0.13</v>
      </c>
      <c r="K163"/>
      <c r="W163">
        <v>32</v>
      </c>
      <c r="X163">
        <v>1.6</v>
      </c>
      <c r="Y163" s="1">
        <v>0</v>
      </c>
      <c r="Z163" s="1">
        <v>1.6</v>
      </c>
      <c r="AC163">
        <v>0.79</v>
      </c>
      <c r="AD163">
        <v>0.45</v>
      </c>
      <c r="AE163">
        <v>0.3</v>
      </c>
      <c r="AF163">
        <v>0.17</v>
      </c>
      <c r="AG163">
        <v>0.06</v>
      </c>
      <c r="AH163">
        <v>0</v>
      </c>
      <c r="AI163">
        <v>0</v>
      </c>
      <c r="AJ163">
        <v>0</v>
      </c>
      <c r="AK163">
        <v>0.17</v>
      </c>
      <c r="AL163">
        <v>1.2</v>
      </c>
    </row>
    <row r="164" spans="1:38" x14ac:dyDescent="0.45">
      <c r="A164">
        <v>1142.01</v>
      </c>
      <c r="B164" s="15">
        <f>VLOOKUP(A164,'Table 3.1'!$A$4:$D$186,4,FALSE)</f>
        <v>1.54569004964463E-2</v>
      </c>
      <c r="C164" t="s">
        <v>168</v>
      </c>
      <c r="D164"/>
      <c r="E164"/>
      <c r="F164" t="s">
        <v>47</v>
      </c>
      <c r="G164" t="s">
        <v>169</v>
      </c>
      <c r="H164" t="s">
        <v>170</v>
      </c>
      <c r="I164"/>
      <c r="J164">
        <v>0</v>
      </c>
      <c r="K164"/>
      <c r="W164">
        <v>122</v>
      </c>
      <c r="X164">
        <v>0.03</v>
      </c>
      <c r="Y164" s="1">
        <v>0.03</v>
      </c>
      <c r="Z164" s="1">
        <v>0</v>
      </c>
      <c r="AC164">
        <v>0.41</v>
      </c>
      <c r="AD164">
        <v>12</v>
      </c>
      <c r="AE164">
        <v>1.3</v>
      </c>
      <c r="AF164">
        <v>0.05</v>
      </c>
      <c r="AG164">
        <v>0.18</v>
      </c>
      <c r="AH164">
        <v>13</v>
      </c>
      <c r="AI164">
        <v>7</v>
      </c>
      <c r="AJ164">
        <v>14</v>
      </c>
      <c r="AK164">
        <v>0.05</v>
      </c>
      <c r="AL164">
        <v>0.5</v>
      </c>
    </row>
    <row r="165" spans="1:38" x14ac:dyDescent="0.45">
      <c r="A165">
        <v>1155.02</v>
      </c>
      <c r="B165" s="15">
        <f>VLOOKUP(A165,'Table 3.1'!$A$4:$D$186,4,FALSE)</f>
        <v>1.4465413284031701E-2</v>
      </c>
      <c r="C165" t="s">
        <v>218</v>
      </c>
      <c r="D165"/>
      <c r="E165"/>
      <c r="F165" t="s">
        <v>47</v>
      </c>
      <c r="G165" t="s">
        <v>204</v>
      </c>
      <c r="H165" t="s">
        <v>205</v>
      </c>
      <c r="I165"/>
      <c r="J165">
        <v>0</v>
      </c>
      <c r="K165"/>
      <c r="W165">
        <v>17</v>
      </c>
      <c r="X165">
        <v>0.03</v>
      </c>
      <c r="Y165" s="1">
        <v>0.03</v>
      </c>
      <c r="Z165" s="1">
        <v>0</v>
      </c>
      <c r="AC165">
        <v>0.12</v>
      </c>
      <c r="AD165">
        <v>3</v>
      </c>
      <c r="AE165">
        <v>0</v>
      </c>
      <c r="AF165">
        <v>0.01</v>
      </c>
      <c r="AG165">
        <v>0.03</v>
      </c>
      <c r="AH165">
        <v>675</v>
      </c>
      <c r="AI165">
        <v>262</v>
      </c>
      <c r="AJ165">
        <v>696</v>
      </c>
      <c r="AK165">
        <v>0</v>
      </c>
      <c r="AL165">
        <v>0.1</v>
      </c>
    </row>
    <row r="166" spans="1:38" x14ac:dyDescent="0.45">
      <c r="A166">
        <v>1193.02</v>
      </c>
      <c r="B166" s="15">
        <f>VLOOKUP(A166,'Table 3.1'!$A$4:$D$186,4,FALSE)</f>
        <v>1.3373149327085301E-2</v>
      </c>
      <c r="C166" t="s">
        <v>435</v>
      </c>
      <c r="D166"/>
      <c r="E166"/>
      <c r="F166" t="s">
        <v>47</v>
      </c>
      <c r="G166" t="s">
        <v>436</v>
      </c>
      <c r="H166" t="s">
        <v>437</v>
      </c>
      <c r="I166"/>
      <c r="J166">
        <v>0</v>
      </c>
      <c r="K166"/>
      <c r="W166">
        <v>80</v>
      </c>
      <c r="X166">
        <v>20</v>
      </c>
      <c r="Y166" s="1">
        <v>0</v>
      </c>
      <c r="Z166" s="1">
        <v>20</v>
      </c>
      <c r="AC166">
        <v>8</v>
      </c>
      <c r="AD166">
        <v>4000</v>
      </c>
      <c r="AE166">
        <v>0</v>
      </c>
      <c r="AF166">
        <v>2.33</v>
      </c>
      <c r="AG166">
        <v>4</v>
      </c>
      <c r="AH166">
        <v>0</v>
      </c>
      <c r="AI166">
        <v>0</v>
      </c>
      <c r="AJ166">
        <v>0</v>
      </c>
      <c r="AK166">
        <v>2</v>
      </c>
      <c r="AL166">
        <v>0</v>
      </c>
    </row>
    <row r="167" spans="1:38" x14ac:dyDescent="0.45">
      <c r="A167">
        <v>1155.03</v>
      </c>
      <c r="B167" s="15">
        <f>VLOOKUP(A167,'Table 3.1'!$A$4:$D$186,4,FALSE)</f>
        <v>1.2016213743932001E-2</v>
      </c>
      <c r="C167" t="s">
        <v>219</v>
      </c>
      <c r="D167"/>
      <c r="E167"/>
      <c r="F167" t="s">
        <v>47</v>
      </c>
      <c r="G167" t="s">
        <v>220</v>
      </c>
      <c r="H167" t="s">
        <v>221</v>
      </c>
      <c r="I167"/>
      <c r="J167">
        <v>0</v>
      </c>
      <c r="K167"/>
      <c r="W167">
        <v>0</v>
      </c>
      <c r="X167">
        <v>0.03</v>
      </c>
      <c r="Y167" s="1">
        <v>0</v>
      </c>
      <c r="Z167" s="1">
        <v>0.03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45">
      <c r="A168">
        <v>1181.03</v>
      </c>
      <c r="B168" s="15">
        <f>VLOOKUP(A168,'Table 3.1'!$A$4:$D$186,4,FALSE)</f>
        <v>1.09909719825904E-2</v>
      </c>
      <c r="C168" t="s">
        <v>405</v>
      </c>
      <c r="D168"/>
      <c r="E168"/>
      <c r="F168" t="s">
        <v>51</v>
      </c>
      <c r="G168">
        <v>19336</v>
      </c>
      <c r="H168" t="s">
        <v>406</v>
      </c>
      <c r="I168"/>
      <c r="J168">
        <v>0</v>
      </c>
      <c r="K168"/>
      <c r="W168">
        <v>1</v>
      </c>
      <c r="X168">
        <v>0.06</v>
      </c>
      <c r="Y168" s="1">
        <v>0</v>
      </c>
      <c r="Z168" s="1">
        <v>0.06</v>
      </c>
      <c r="AC168">
        <v>0.01</v>
      </c>
      <c r="AD168">
        <v>0</v>
      </c>
      <c r="AE168">
        <v>0</v>
      </c>
      <c r="AF168">
        <v>0</v>
      </c>
      <c r="AG168">
        <v>1.9E-2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45">
      <c r="A169">
        <v>1132.02</v>
      </c>
      <c r="B169" s="15">
        <f>VLOOKUP(A169,'Table 3.1'!$A$4:$D$186,4,FALSE)</f>
        <v>9.6633842553956999E-3</v>
      </c>
      <c r="C169" t="s">
        <v>147</v>
      </c>
      <c r="D169"/>
      <c r="E169"/>
      <c r="F169" t="s">
        <v>51</v>
      </c>
      <c r="G169">
        <v>15227</v>
      </c>
      <c r="H169" t="s">
        <v>148</v>
      </c>
      <c r="I169"/>
      <c r="J169">
        <v>0</v>
      </c>
      <c r="K169"/>
      <c r="W169">
        <v>33</v>
      </c>
      <c r="X169">
        <v>2.88</v>
      </c>
      <c r="Y169" s="1">
        <v>2.88</v>
      </c>
      <c r="Z169" s="1">
        <v>0</v>
      </c>
      <c r="AC169">
        <v>3.59</v>
      </c>
      <c r="AD169">
        <v>42</v>
      </c>
      <c r="AE169">
        <v>7.2</v>
      </c>
      <c r="AF169">
        <v>9.6999999999999906E-2</v>
      </c>
      <c r="AG169">
        <v>0.24399999999999999</v>
      </c>
      <c r="AH169">
        <v>52</v>
      </c>
      <c r="AI169">
        <v>0</v>
      </c>
      <c r="AJ169">
        <v>52</v>
      </c>
      <c r="AK169">
        <v>0.17299999999999999</v>
      </c>
      <c r="AL169">
        <v>10.38</v>
      </c>
    </row>
    <row r="170" spans="1:38" x14ac:dyDescent="0.45">
      <c r="A170">
        <v>1168.99</v>
      </c>
      <c r="B170" s="15">
        <f>VLOOKUP(A170,'Table 3.1'!$A$4:$D$186,4,FALSE)</f>
        <v>8.8869982316550997E-3</v>
      </c>
      <c r="C170" t="s">
        <v>307</v>
      </c>
      <c r="D170"/>
      <c r="E170"/>
      <c r="F170" t="s">
        <v>51</v>
      </c>
      <c r="G170">
        <v>9188</v>
      </c>
      <c r="H170" t="s">
        <v>308</v>
      </c>
      <c r="I170"/>
      <c r="J170">
        <v>0</v>
      </c>
      <c r="K170"/>
      <c r="W170">
        <v>38</v>
      </c>
      <c r="X170">
        <v>2.71</v>
      </c>
      <c r="Y170" s="1">
        <v>0</v>
      </c>
      <c r="Z170" s="1">
        <v>2.71</v>
      </c>
      <c r="AC170">
        <v>0.5</v>
      </c>
      <c r="AD170">
        <v>4</v>
      </c>
      <c r="AE170">
        <v>3.8</v>
      </c>
      <c r="AF170">
        <v>4.3999999999999997E-2</v>
      </c>
      <c r="AG170">
        <v>0.157</v>
      </c>
      <c r="AH170">
        <v>0</v>
      </c>
      <c r="AI170">
        <v>0</v>
      </c>
      <c r="AJ170">
        <v>122</v>
      </c>
      <c r="AK170">
        <v>0.159</v>
      </c>
      <c r="AL170">
        <v>0</v>
      </c>
    </row>
    <row r="171" spans="1:38" x14ac:dyDescent="0.45">
      <c r="A171">
        <v>1182.01</v>
      </c>
      <c r="B171" s="15">
        <f>VLOOKUP(A171,'Table 3.1'!$A$4:$D$186,4,FALSE)</f>
        <v>7.7598947980116999E-3</v>
      </c>
      <c r="C171" t="s">
        <v>408</v>
      </c>
      <c r="D171"/>
      <c r="E171"/>
      <c r="F171" t="s">
        <v>47</v>
      </c>
      <c r="G171" t="s">
        <v>409</v>
      </c>
      <c r="H171" t="s">
        <v>408</v>
      </c>
      <c r="I171"/>
      <c r="J171">
        <v>0</v>
      </c>
      <c r="K171"/>
      <c r="W171">
        <v>9</v>
      </c>
      <c r="X171">
        <v>0.5</v>
      </c>
      <c r="Y171" s="1">
        <v>0</v>
      </c>
      <c r="Z171" s="1">
        <v>0.5</v>
      </c>
      <c r="AC171">
        <v>0.22</v>
      </c>
      <c r="AD171">
        <v>2</v>
      </c>
      <c r="AE171">
        <v>0.5</v>
      </c>
      <c r="AF171">
        <v>0</v>
      </c>
      <c r="AG171">
        <v>0.04</v>
      </c>
      <c r="AH171">
        <v>0</v>
      </c>
      <c r="AI171">
        <v>0</v>
      </c>
      <c r="AJ171">
        <v>0</v>
      </c>
      <c r="AK171">
        <v>0.02</v>
      </c>
      <c r="AL171">
        <v>0</v>
      </c>
    </row>
    <row r="172" spans="1:38" x14ac:dyDescent="0.45">
      <c r="A172">
        <v>1167.99</v>
      </c>
      <c r="B172" s="15">
        <f>VLOOKUP(A172,'Table 3.1'!$A$4:$D$186,4,FALSE)</f>
        <v>6.5370025350513002E-3</v>
      </c>
      <c r="C172" t="s">
        <v>271</v>
      </c>
      <c r="D172"/>
      <c r="E172"/>
      <c r="F172" t="s">
        <v>237</v>
      </c>
      <c r="G172">
        <v>5025</v>
      </c>
      <c r="H172" t="s">
        <v>272</v>
      </c>
      <c r="I172"/>
      <c r="J172">
        <v>0.48</v>
      </c>
      <c r="K172"/>
      <c r="W172">
        <v>10</v>
      </c>
      <c r="X172">
        <v>0.6</v>
      </c>
      <c r="Y172" s="1">
        <v>0</v>
      </c>
      <c r="Z172" s="1">
        <v>0.6</v>
      </c>
      <c r="AC172">
        <v>0.8</v>
      </c>
      <c r="AD172">
        <v>7</v>
      </c>
      <c r="AE172">
        <v>29</v>
      </c>
      <c r="AF172">
        <v>0.03</v>
      </c>
      <c r="AG172">
        <v>0.14000000000000001</v>
      </c>
      <c r="AH172">
        <v>0</v>
      </c>
      <c r="AI172">
        <v>764</v>
      </c>
      <c r="AJ172">
        <v>64</v>
      </c>
      <c r="AK172">
        <v>0</v>
      </c>
      <c r="AL172">
        <v>0</v>
      </c>
    </row>
    <row r="173" spans="1:38" x14ac:dyDescent="0.45">
      <c r="A173">
        <v>1127.04</v>
      </c>
      <c r="B173" s="15">
        <f>VLOOKUP(A173,'Table 3.1'!$A$4:$D$186,4,FALSE)</f>
        <v>3.4438179380122001E-3</v>
      </c>
      <c r="C173" t="s">
        <v>131</v>
      </c>
      <c r="D173"/>
      <c r="E173"/>
      <c r="F173" t="s">
        <v>51</v>
      </c>
      <c r="G173">
        <v>80200</v>
      </c>
      <c r="H173" t="s">
        <v>132</v>
      </c>
      <c r="I173"/>
      <c r="J173">
        <v>0</v>
      </c>
      <c r="K173"/>
      <c r="W173">
        <v>18</v>
      </c>
      <c r="X173">
        <v>1.5</v>
      </c>
      <c r="Y173" s="1">
        <v>1.5</v>
      </c>
      <c r="Z173" s="1">
        <v>0</v>
      </c>
      <c r="AC173">
        <v>1</v>
      </c>
      <c r="AD173">
        <v>15</v>
      </c>
      <c r="AE173">
        <v>0</v>
      </c>
      <c r="AF173">
        <v>0.14000000000000001</v>
      </c>
      <c r="AG173">
        <v>0.25</v>
      </c>
      <c r="AH173">
        <v>15</v>
      </c>
      <c r="AI173">
        <v>0</v>
      </c>
      <c r="AJ173">
        <v>15</v>
      </c>
      <c r="AK173">
        <v>0.12</v>
      </c>
      <c r="AL173">
        <v>0.4</v>
      </c>
    </row>
    <row r="174" spans="1:38" x14ac:dyDescent="0.45">
      <c r="A174">
        <v>1168.1600000000001</v>
      </c>
      <c r="B174" s="15">
        <f>VLOOKUP(A174,'Table 3.1'!$A$4:$D$186,4,FALSE)</f>
        <v>2.4591002020645999E-3</v>
      </c>
      <c r="C174" t="s">
        <v>296</v>
      </c>
      <c r="D174"/>
      <c r="E174"/>
      <c r="F174" t="s">
        <v>51</v>
      </c>
      <c r="G174">
        <v>12104</v>
      </c>
      <c r="H174" t="s">
        <v>297</v>
      </c>
      <c r="I174"/>
      <c r="J174">
        <v>0</v>
      </c>
      <c r="K174"/>
      <c r="W174">
        <v>14</v>
      </c>
      <c r="X174">
        <v>2.4300000000000002</v>
      </c>
      <c r="Y174" s="1">
        <v>0</v>
      </c>
      <c r="Z174" s="1">
        <v>2.4300000000000002</v>
      </c>
      <c r="AC174">
        <v>1.1000000000000001</v>
      </c>
      <c r="AD174">
        <v>26</v>
      </c>
      <c r="AE174">
        <v>3.3</v>
      </c>
      <c r="AF174">
        <v>6.6000000000000003E-2</v>
      </c>
      <c r="AG174">
        <v>0.02</v>
      </c>
      <c r="AH174">
        <v>0</v>
      </c>
      <c r="AI174">
        <v>0</v>
      </c>
      <c r="AJ174">
        <v>0</v>
      </c>
      <c r="AK174">
        <v>5.3999999999999999E-2</v>
      </c>
      <c r="AL174">
        <v>0</v>
      </c>
    </row>
    <row r="175" spans="1:38" x14ac:dyDescent="0.45">
      <c r="A175">
        <v>1174.08</v>
      </c>
      <c r="B175" s="15">
        <f>VLOOKUP(A175,'Table 3.1'!$A$4:$D$186,4,FALSE)</f>
        <v>1.3074304215074E-3</v>
      </c>
      <c r="C175" t="s">
        <v>369</v>
      </c>
      <c r="D175"/>
      <c r="E175"/>
      <c r="F175" t="s">
        <v>47</v>
      </c>
      <c r="G175" t="s">
        <v>370</v>
      </c>
      <c r="H175" t="s">
        <v>371</v>
      </c>
      <c r="I175"/>
      <c r="J175">
        <v>0</v>
      </c>
      <c r="K175"/>
      <c r="W175">
        <v>41</v>
      </c>
      <c r="X175">
        <v>0.3</v>
      </c>
      <c r="Y175" s="1">
        <v>0</v>
      </c>
      <c r="Z175" s="1">
        <v>0.3</v>
      </c>
      <c r="AC175">
        <v>0.22</v>
      </c>
      <c r="AD175">
        <v>24</v>
      </c>
      <c r="AE175">
        <v>23.7</v>
      </c>
      <c r="AF175">
        <v>0.04</v>
      </c>
      <c r="AG175">
        <v>0.04</v>
      </c>
      <c r="AH175">
        <v>0</v>
      </c>
      <c r="AI175">
        <v>36</v>
      </c>
      <c r="AJ175">
        <v>3</v>
      </c>
      <c r="AK175">
        <v>0.08</v>
      </c>
      <c r="AL175">
        <v>0</v>
      </c>
    </row>
    <row r="176" spans="1:38" x14ac:dyDescent="0.45">
      <c r="A176">
        <v>1166.02</v>
      </c>
      <c r="B176" s="15">
        <f>VLOOKUP(A176,'Table 3.1'!$A$4:$D$186,4,FALSE)</f>
        <v>1.210195518978E-4</v>
      </c>
      <c r="C176" t="s">
        <v>250</v>
      </c>
      <c r="D176"/>
      <c r="E176"/>
      <c r="F176" t="s">
        <v>237</v>
      </c>
      <c r="G176">
        <v>5021</v>
      </c>
      <c r="H176" t="s">
        <v>251</v>
      </c>
      <c r="I176"/>
      <c r="J176">
        <v>0.01</v>
      </c>
      <c r="K176"/>
      <c r="W176">
        <v>55</v>
      </c>
      <c r="X176">
        <v>1.2</v>
      </c>
      <c r="Y176" s="1">
        <v>0</v>
      </c>
      <c r="Z176" s="1">
        <v>1.2</v>
      </c>
      <c r="AC176">
        <v>0.2</v>
      </c>
      <c r="AD176">
        <v>33</v>
      </c>
      <c r="AE176">
        <v>11</v>
      </c>
      <c r="AF176">
        <v>0.03</v>
      </c>
      <c r="AG176">
        <v>7.0000000000000007E-2</v>
      </c>
      <c r="AH176">
        <v>0</v>
      </c>
      <c r="AI176">
        <v>10</v>
      </c>
      <c r="AJ176">
        <v>1</v>
      </c>
      <c r="AK176">
        <v>0</v>
      </c>
      <c r="AL176">
        <v>0</v>
      </c>
    </row>
    <row r="177" spans="1:38" x14ac:dyDescent="0.45">
      <c r="A177">
        <v>1165.03</v>
      </c>
      <c r="B177" s="15" t="e">
        <f>VLOOKUP(A177,'Table 3.1'!$A$4:$D$186,4,FALSE)</f>
        <v>#N/A</v>
      </c>
      <c r="C177" t="s">
        <v>239</v>
      </c>
      <c r="D177"/>
      <c r="E177"/>
      <c r="F177" t="s">
        <v>51</v>
      </c>
      <c r="G177">
        <v>9070</v>
      </c>
      <c r="H177" t="s">
        <v>240</v>
      </c>
      <c r="I177"/>
      <c r="J177">
        <v>0</v>
      </c>
      <c r="K177"/>
      <c r="W177">
        <v>13</v>
      </c>
      <c r="X177">
        <v>0.36</v>
      </c>
      <c r="Y177" s="1">
        <v>0</v>
      </c>
      <c r="Z177" s="1">
        <v>0.36</v>
      </c>
      <c r="AC177">
        <v>7.0000000000000007E-2</v>
      </c>
      <c r="AD177">
        <v>4</v>
      </c>
      <c r="AE177">
        <v>7</v>
      </c>
      <c r="AF177">
        <v>2.7E-2</v>
      </c>
      <c r="AG177">
        <v>3.3000000000000002E-2</v>
      </c>
      <c r="AH177">
        <v>0</v>
      </c>
      <c r="AI177">
        <v>38</v>
      </c>
      <c r="AJ177">
        <v>3</v>
      </c>
      <c r="AK177">
        <v>4.9000000000000002E-2</v>
      </c>
      <c r="AL177">
        <v>0</v>
      </c>
    </row>
    <row r="178" spans="1:38" x14ac:dyDescent="0.45">
      <c r="A178">
        <v>1166.07</v>
      </c>
      <c r="B178" s="15" t="e">
        <f>VLOOKUP(A178,'Table 3.1'!$A$4:$D$186,4,FALSE)</f>
        <v>#N/A</v>
      </c>
      <c r="C178" t="s">
        <v>262</v>
      </c>
      <c r="D178"/>
      <c r="E178"/>
      <c r="F178" t="s">
        <v>51</v>
      </c>
      <c r="G178">
        <v>2054</v>
      </c>
      <c r="H178" t="s">
        <v>263</v>
      </c>
      <c r="I178"/>
      <c r="J178">
        <v>0</v>
      </c>
      <c r="K178"/>
      <c r="W178">
        <v>40</v>
      </c>
      <c r="X178">
        <v>1.67</v>
      </c>
      <c r="Y178" s="1">
        <v>0</v>
      </c>
      <c r="Z178" s="1">
        <v>1.67</v>
      </c>
      <c r="AC178">
        <v>0.32</v>
      </c>
      <c r="AD178">
        <v>23</v>
      </c>
      <c r="AE178">
        <v>4.3</v>
      </c>
      <c r="AF178">
        <v>1.7999999999999999E-2</v>
      </c>
      <c r="AG178">
        <v>0.13900000000000001</v>
      </c>
      <c r="AH178">
        <v>0</v>
      </c>
      <c r="AI178">
        <v>83</v>
      </c>
      <c r="AJ178">
        <v>7</v>
      </c>
      <c r="AK178">
        <v>2.3E-2</v>
      </c>
      <c r="AL178">
        <v>0</v>
      </c>
    </row>
    <row r="179" spans="1:38" x14ac:dyDescent="0.45">
      <c r="A179">
        <v>1168.05</v>
      </c>
      <c r="B179" s="15" t="e">
        <f>VLOOKUP(A179,'Table 3.1'!$A$4:$D$186,4,FALSE)</f>
        <v>#N/A</v>
      </c>
      <c r="C179" t="s">
        <v>281</v>
      </c>
      <c r="D179"/>
      <c r="E179"/>
      <c r="F179" t="s">
        <v>47</v>
      </c>
      <c r="G179" t="s">
        <v>230</v>
      </c>
      <c r="H179" t="s">
        <v>231</v>
      </c>
      <c r="I179"/>
      <c r="J179">
        <v>0.1</v>
      </c>
      <c r="K179"/>
      <c r="W179">
        <v>6</v>
      </c>
      <c r="X179">
        <v>0.1</v>
      </c>
      <c r="Y179" s="1">
        <v>0</v>
      </c>
      <c r="Z179" s="1">
        <v>0.1</v>
      </c>
      <c r="AC179">
        <v>0.04</v>
      </c>
      <c r="AD179">
        <v>3</v>
      </c>
      <c r="AE179">
        <v>4.5999999999999996</v>
      </c>
      <c r="AF179">
        <v>0.02</v>
      </c>
      <c r="AG179">
        <v>0.03</v>
      </c>
      <c r="AH179">
        <v>0</v>
      </c>
      <c r="AI179">
        <v>33</v>
      </c>
      <c r="AJ179">
        <v>3</v>
      </c>
      <c r="AK179">
        <v>0.04</v>
      </c>
      <c r="AL179">
        <v>0</v>
      </c>
    </row>
    <row r="180" spans="1:38" x14ac:dyDescent="0.45">
      <c r="A180">
        <v>1168.1500000000001</v>
      </c>
      <c r="B180" s="15" t="e">
        <f>VLOOKUP(A180,'Table 3.1'!$A$4:$D$186,4,FALSE)</f>
        <v>#N/A</v>
      </c>
      <c r="C180" t="s">
        <v>294</v>
      </c>
      <c r="D180"/>
      <c r="E180"/>
      <c r="F180" t="s">
        <v>51</v>
      </c>
      <c r="G180">
        <v>12635</v>
      </c>
      <c r="H180" t="s">
        <v>295</v>
      </c>
      <c r="I180"/>
      <c r="J180">
        <v>0</v>
      </c>
      <c r="K180"/>
      <c r="W180">
        <v>70</v>
      </c>
      <c r="X180">
        <v>3.7</v>
      </c>
      <c r="Y180" s="1">
        <v>0</v>
      </c>
      <c r="Z180" s="1">
        <v>3.7</v>
      </c>
      <c r="AC180">
        <v>3.8</v>
      </c>
      <c r="AD180">
        <v>50</v>
      </c>
      <c r="AE180">
        <v>0.4</v>
      </c>
      <c r="AF180">
        <v>0.2</v>
      </c>
      <c r="AG180">
        <v>0.2</v>
      </c>
      <c r="AH180">
        <v>0</v>
      </c>
      <c r="AI180">
        <v>3</v>
      </c>
      <c r="AJ180">
        <v>0</v>
      </c>
      <c r="AK180">
        <v>0.29599999999999999</v>
      </c>
      <c r="AL180">
        <v>0</v>
      </c>
    </row>
    <row r="181" spans="1:38" x14ac:dyDescent="0.45">
      <c r="A181">
        <v>1168.19</v>
      </c>
      <c r="B181" s="15" t="e">
        <f>VLOOKUP(A181,'Table 3.1'!$A$4:$D$186,4,FALSE)</f>
        <v>#N/A</v>
      </c>
      <c r="C181" t="s">
        <v>300</v>
      </c>
      <c r="D181"/>
      <c r="E181"/>
      <c r="F181" t="s">
        <v>51</v>
      </c>
      <c r="G181">
        <v>9094</v>
      </c>
      <c r="H181" t="s">
        <v>301</v>
      </c>
      <c r="I181"/>
      <c r="J181">
        <v>0</v>
      </c>
      <c r="K181"/>
      <c r="W181">
        <v>162</v>
      </c>
      <c r="X181">
        <v>2.0299999999999998</v>
      </c>
      <c r="Y181" s="1">
        <v>0</v>
      </c>
      <c r="Z181" s="1">
        <v>2.0299999999999998</v>
      </c>
      <c r="AC181">
        <v>0.55000000000000004</v>
      </c>
      <c r="AD181">
        <v>9</v>
      </c>
      <c r="AE181">
        <v>1.2</v>
      </c>
      <c r="AF181">
        <v>8.5000000000000006E-2</v>
      </c>
      <c r="AG181">
        <v>8.1999999999999906E-2</v>
      </c>
      <c r="AH181">
        <v>0</v>
      </c>
      <c r="AI181">
        <v>6</v>
      </c>
      <c r="AJ181">
        <v>0</v>
      </c>
      <c r="AK181">
        <v>0.106</v>
      </c>
      <c r="AL181">
        <v>0</v>
      </c>
    </row>
    <row r="182" spans="1:38" x14ac:dyDescent="0.45">
      <c r="A182">
        <v>1168.2</v>
      </c>
      <c r="B182" s="15" t="e">
        <f>VLOOKUP(A182,'Table 3.1'!$A$4:$D$186,4,FALSE)</f>
        <v>#N/A</v>
      </c>
      <c r="C182" t="s">
        <v>302</v>
      </c>
      <c r="D182"/>
      <c r="E182"/>
      <c r="F182" t="s">
        <v>51</v>
      </c>
      <c r="G182">
        <v>9259</v>
      </c>
      <c r="H182" t="s">
        <v>303</v>
      </c>
      <c r="I182"/>
      <c r="J182">
        <v>0</v>
      </c>
      <c r="K182"/>
      <c r="W182">
        <v>34</v>
      </c>
      <c r="X182">
        <v>2.1</v>
      </c>
      <c r="Y182" s="1">
        <v>0</v>
      </c>
      <c r="Z182" s="1">
        <v>2.1</v>
      </c>
      <c r="AC182">
        <v>0.39</v>
      </c>
      <c r="AD182">
        <v>0</v>
      </c>
      <c r="AE182">
        <v>7</v>
      </c>
      <c r="AF182">
        <v>8.0000000000000002E-3</v>
      </c>
      <c r="AG182">
        <v>0.14499999999999999</v>
      </c>
      <c r="AH182">
        <v>0</v>
      </c>
      <c r="AI182">
        <v>2</v>
      </c>
      <c r="AJ182">
        <v>0</v>
      </c>
      <c r="AK182">
        <v>7.1999999999999995E-2</v>
      </c>
      <c r="AL182">
        <v>0</v>
      </c>
    </row>
    <row r="183" spans="1:38" x14ac:dyDescent="0.45">
      <c r="A183">
        <v>1169.02</v>
      </c>
      <c r="B183" s="15" t="e">
        <f>VLOOKUP(A183,'Table 3.1'!$A$4:$D$186,4,FALSE)</f>
        <v>#N/A</v>
      </c>
      <c r="C183" t="s">
        <v>311</v>
      </c>
      <c r="D183"/>
      <c r="E183"/>
      <c r="F183" t="s">
        <v>51</v>
      </c>
      <c r="G183">
        <v>9189</v>
      </c>
      <c r="H183" t="s">
        <v>312</v>
      </c>
      <c r="I183"/>
      <c r="J183">
        <v>0</v>
      </c>
      <c r="K183"/>
      <c r="W183">
        <v>7</v>
      </c>
      <c r="X183">
        <v>0.28000000000000003</v>
      </c>
      <c r="Y183" s="1">
        <v>0</v>
      </c>
      <c r="Z183" s="1">
        <v>0.28000000000000003</v>
      </c>
      <c r="AC183">
        <v>0.05</v>
      </c>
      <c r="AD183">
        <v>8</v>
      </c>
      <c r="AE183">
        <v>75</v>
      </c>
      <c r="AF183">
        <v>1.7000000000000001E-2</v>
      </c>
      <c r="AG183">
        <v>3.5000000000000003E-2</v>
      </c>
      <c r="AH183">
        <v>0</v>
      </c>
      <c r="AI183">
        <v>0</v>
      </c>
      <c r="AJ183">
        <v>16</v>
      </c>
      <c r="AK183">
        <v>2.5000000000000001E-2</v>
      </c>
      <c r="AL183">
        <v>0</v>
      </c>
    </row>
    <row r="184" spans="1:38" x14ac:dyDescent="0.45">
      <c r="A184">
        <v>1171.03</v>
      </c>
      <c r="B184" s="15" t="e">
        <f>VLOOKUP(A184,'Table 3.1'!$A$4:$D$186,4,FALSE)</f>
        <v>#N/A</v>
      </c>
      <c r="C184" t="s">
        <v>322</v>
      </c>
      <c r="D184"/>
      <c r="E184"/>
      <c r="F184" t="s">
        <v>51</v>
      </c>
      <c r="G184">
        <v>11143</v>
      </c>
      <c r="H184" t="s">
        <v>323</v>
      </c>
      <c r="I184"/>
      <c r="J184">
        <v>0</v>
      </c>
      <c r="K184"/>
      <c r="W184">
        <v>40</v>
      </c>
      <c r="X184">
        <v>0.2</v>
      </c>
      <c r="Y184" s="1">
        <v>0</v>
      </c>
      <c r="Z184" s="1">
        <v>0.2</v>
      </c>
      <c r="AC184">
        <v>0.13</v>
      </c>
      <c r="AD184">
        <v>36</v>
      </c>
      <c r="AE184">
        <v>3.1</v>
      </c>
      <c r="AF184">
        <v>2.1000000000000001E-2</v>
      </c>
      <c r="AG184">
        <v>5.7000000000000002E-2</v>
      </c>
      <c r="AH184">
        <v>0</v>
      </c>
      <c r="AI184">
        <v>270</v>
      </c>
      <c r="AJ184">
        <v>22</v>
      </c>
      <c r="AK184">
        <v>7.3999999999999996E-2</v>
      </c>
      <c r="AL184">
        <v>0</v>
      </c>
    </row>
    <row r="185" spans="1:38" x14ac:dyDescent="0.45">
      <c r="A185">
        <v>1173.01</v>
      </c>
      <c r="B185" s="15" t="e">
        <f>VLOOKUP(A185,'Table 3.1'!$A$4:$D$186,4,FALSE)</f>
        <v>#N/A</v>
      </c>
      <c r="C185" t="s">
        <v>333</v>
      </c>
      <c r="D185"/>
      <c r="E185"/>
      <c r="F185" t="s">
        <v>51</v>
      </c>
      <c r="G185">
        <v>11209</v>
      </c>
      <c r="H185" t="s">
        <v>334</v>
      </c>
      <c r="I185"/>
      <c r="J185">
        <v>0</v>
      </c>
      <c r="K185"/>
      <c r="W185">
        <v>9</v>
      </c>
      <c r="X185">
        <v>0.24</v>
      </c>
      <c r="Y185" s="1">
        <v>0</v>
      </c>
      <c r="Z185" s="1">
        <v>0.24</v>
      </c>
      <c r="AC185">
        <v>0.16</v>
      </c>
      <c r="AD185">
        <v>22</v>
      </c>
      <c r="AE185">
        <v>2.2000000000000002</v>
      </c>
      <c r="AF185">
        <v>3.9E-2</v>
      </c>
      <c r="AG185">
        <v>3.6999999999999998E-2</v>
      </c>
      <c r="AH185">
        <v>0</v>
      </c>
      <c r="AI185">
        <v>16</v>
      </c>
      <c r="AJ185">
        <v>1</v>
      </c>
      <c r="AK185">
        <v>8.4000000000000005E-2</v>
      </c>
      <c r="AL185">
        <v>0</v>
      </c>
    </row>
    <row r="186" spans="1:38" x14ac:dyDescent="0.45">
      <c r="A186">
        <v>1174.01</v>
      </c>
      <c r="B186" s="15" t="e">
        <f>VLOOKUP(A186,'Table 3.1'!$A$4:$D$186,4,FALSE)</f>
        <v>#N/A</v>
      </c>
      <c r="C186" t="s">
        <v>357</v>
      </c>
      <c r="D186"/>
      <c r="E186"/>
      <c r="F186" t="s">
        <v>51</v>
      </c>
      <c r="G186">
        <v>11011</v>
      </c>
      <c r="H186" t="s">
        <v>358</v>
      </c>
      <c r="I186"/>
      <c r="J186">
        <v>0</v>
      </c>
      <c r="K186"/>
      <c r="W186">
        <v>24</v>
      </c>
      <c r="X186">
        <v>2.14</v>
      </c>
      <c r="Y186" s="1">
        <v>0</v>
      </c>
      <c r="Z186" s="1">
        <v>2.14</v>
      </c>
      <c r="AC186">
        <v>0.54</v>
      </c>
      <c r="AD186">
        <v>52</v>
      </c>
      <c r="AE186">
        <v>5.6</v>
      </c>
      <c r="AF186">
        <v>0.14299999999999999</v>
      </c>
      <c r="AG186">
        <v>0.14099999999999999</v>
      </c>
      <c r="AH186">
        <v>0</v>
      </c>
      <c r="AI186">
        <v>449</v>
      </c>
      <c r="AJ186">
        <v>38</v>
      </c>
      <c r="AK186">
        <v>9.0999999999999998E-2</v>
      </c>
      <c r="AL186">
        <v>0</v>
      </c>
    </row>
    <row r="187" spans="1:38" x14ac:dyDescent="0.45">
      <c r="A187">
        <v>1174.05</v>
      </c>
      <c r="B187" s="15" t="e">
        <f>VLOOKUP(A187,'Table 3.1'!$A$4:$D$186,4,FALSE)</f>
        <v>#N/A</v>
      </c>
      <c r="C187" t="s">
        <v>364</v>
      </c>
      <c r="D187"/>
      <c r="E187"/>
      <c r="F187" t="s">
        <v>237</v>
      </c>
      <c r="G187">
        <v>4021</v>
      </c>
      <c r="H187" t="s">
        <v>365</v>
      </c>
      <c r="I187"/>
      <c r="J187">
        <v>0.45</v>
      </c>
      <c r="K187"/>
      <c r="W187">
        <v>78</v>
      </c>
      <c r="X187">
        <v>1.8</v>
      </c>
      <c r="Y187" s="1">
        <v>0</v>
      </c>
      <c r="Z187" s="1">
        <v>1.8</v>
      </c>
      <c r="AC187">
        <v>0.3</v>
      </c>
      <c r="AD187">
        <v>64</v>
      </c>
      <c r="AE187">
        <v>21</v>
      </c>
      <c r="AF187">
        <v>0.14000000000000001</v>
      </c>
      <c r="AG187">
        <v>0</v>
      </c>
      <c r="AH187">
        <v>0</v>
      </c>
      <c r="AI187">
        <v>242</v>
      </c>
      <c r="AJ187">
        <v>20</v>
      </c>
      <c r="AK187">
        <v>0</v>
      </c>
      <c r="AL187">
        <v>0</v>
      </c>
    </row>
    <row r="188" spans="1:38" x14ac:dyDescent="0.45">
      <c r="A188">
        <v>1181.0899999999999</v>
      </c>
      <c r="B188" s="15" t="e">
        <f>VLOOKUP(A188,'Table 3.1'!$A$4:$D$186,4,FALSE)</f>
        <v>#N/A</v>
      </c>
      <c r="C188" t="s">
        <v>407</v>
      </c>
      <c r="D188"/>
      <c r="E188"/>
      <c r="F188" t="s">
        <v>237</v>
      </c>
      <c r="G188">
        <v>11002</v>
      </c>
      <c r="H188" t="s">
        <v>404</v>
      </c>
      <c r="I188"/>
      <c r="J188">
        <v>0</v>
      </c>
      <c r="K188"/>
      <c r="W188">
        <v>10</v>
      </c>
      <c r="X188">
        <v>1.1000000000000001</v>
      </c>
      <c r="Y188" s="1">
        <v>0</v>
      </c>
      <c r="Z188" s="1">
        <v>1.1000000000000001</v>
      </c>
      <c r="AC188">
        <v>0.14000000000000001</v>
      </c>
      <c r="AD188">
        <v>45</v>
      </c>
      <c r="AE188">
        <v>6.7</v>
      </c>
      <c r="AF188">
        <v>0.03</v>
      </c>
      <c r="AG188">
        <v>0.04</v>
      </c>
      <c r="AH188">
        <v>0</v>
      </c>
      <c r="AI188">
        <v>10.34</v>
      </c>
      <c r="AJ188">
        <v>1</v>
      </c>
      <c r="AK188">
        <v>0</v>
      </c>
      <c r="AL188">
        <v>0</v>
      </c>
    </row>
  </sheetData>
  <sortState xmlns:xlrd2="http://schemas.microsoft.com/office/spreadsheetml/2017/richdata2" ref="A2:AW178">
    <sortCondition descending="1" ref="B2:B178"/>
  </sortState>
  <pageMargins left="0.7" right="0.7" top="0.75" bottom="0.75" header="0.3" footer="0.3"/>
  <pageSetup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4D3-3523-4DB8-9AE4-703F9DC1CCE0}">
  <dimension ref="A1:G190"/>
  <sheetViews>
    <sheetView showGridLines="0" zoomScale="70" zoomScaleNormal="70" workbookViewId="0">
      <pane ySplit="2" topLeftCell="A180" activePane="bottomLeft" state="frozenSplit"/>
      <selection sqref="A1:F1"/>
      <selection pane="bottomLeft" activeCell="B4" sqref="B4"/>
    </sheetView>
  </sheetViews>
  <sheetFormatPr defaultRowHeight="14.25" x14ac:dyDescent="0.45"/>
  <cols>
    <col min="1" max="1" width="13.73046875" style="6" customWidth="1"/>
    <col min="2" max="2" width="50.59765625" style="6" bestFit="1" customWidth="1"/>
    <col min="3" max="3" width="11.46484375" style="6" bestFit="1" customWidth="1"/>
    <col min="4" max="4" width="12.33203125" style="6" bestFit="1" customWidth="1"/>
    <col min="5" max="5" width="14.33203125" style="6" bestFit="1" customWidth="1"/>
    <col min="6" max="6" width="13.796875" style="6" bestFit="1" customWidth="1"/>
    <col min="7" max="7" width="9.46484375" style="6" bestFit="1" customWidth="1"/>
    <col min="8" max="257" width="8.73046875" style="6"/>
    <col min="258" max="258" width="49.19921875" style="6" customWidth="1"/>
    <col min="259" max="260" width="12.53125" style="6" customWidth="1"/>
    <col min="261" max="261" width="15.46484375" style="6" customWidth="1"/>
    <col min="262" max="262" width="15.19921875" style="6" customWidth="1"/>
    <col min="263" max="263" width="11.796875" style="6" customWidth="1"/>
    <col min="264" max="513" width="8.73046875" style="6"/>
    <col min="514" max="514" width="49.19921875" style="6" customWidth="1"/>
    <col min="515" max="516" width="12.53125" style="6" customWidth="1"/>
    <col min="517" max="517" width="15.46484375" style="6" customWidth="1"/>
    <col min="518" max="518" width="15.19921875" style="6" customWidth="1"/>
    <col min="519" max="519" width="11.796875" style="6" customWidth="1"/>
    <col min="520" max="769" width="8.73046875" style="6"/>
    <col min="770" max="770" width="49.19921875" style="6" customWidth="1"/>
    <col min="771" max="772" width="12.53125" style="6" customWidth="1"/>
    <col min="773" max="773" width="15.46484375" style="6" customWidth="1"/>
    <col min="774" max="774" width="15.19921875" style="6" customWidth="1"/>
    <col min="775" max="775" width="11.796875" style="6" customWidth="1"/>
    <col min="776" max="1025" width="8.73046875" style="6"/>
    <col min="1026" max="1026" width="49.19921875" style="6" customWidth="1"/>
    <col min="1027" max="1028" width="12.53125" style="6" customWidth="1"/>
    <col min="1029" max="1029" width="15.46484375" style="6" customWidth="1"/>
    <col min="1030" max="1030" width="15.19921875" style="6" customWidth="1"/>
    <col min="1031" max="1031" width="11.796875" style="6" customWidth="1"/>
    <col min="1032" max="1281" width="8.73046875" style="6"/>
    <col min="1282" max="1282" width="49.19921875" style="6" customWidth="1"/>
    <col min="1283" max="1284" width="12.53125" style="6" customWidth="1"/>
    <col min="1285" max="1285" width="15.46484375" style="6" customWidth="1"/>
    <col min="1286" max="1286" width="15.19921875" style="6" customWidth="1"/>
    <col min="1287" max="1287" width="11.796875" style="6" customWidth="1"/>
    <col min="1288" max="1537" width="8.73046875" style="6"/>
    <col min="1538" max="1538" width="49.19921875" style="6" customWidth="1"/>
    <col min="1539" max="1540" width="12.53125" style="6" customWidth="1"/>
    <col min="1541" max="1541" width="15.46484375" style="6" customWidth="1"/>
    <col min="1542" max="1542" width="15.19921875" style="6" customWidth="1"/>
    <col min="1543" max="1543" width="11.796875" style="6" customWidth="1"/>
    <col min="1544" max="1793" width="8.73046875" style="6"/>
    <col min="1794" max="1794" width="49.19921875" style="6" customWidth="1"/>
    <col min="1795" max="1796" width="12.53125" style="6" customWidth="1"/>
    <col min="1797" max="1797" width="15.46484375" style="6" customWidth="1"/>
    <col min="1798" max="1798" width="15.19921875" style="6" customWidth="1"/>
    <col min="1799" max="1799" width="11.796875" style="6" customWidth="1"/>
    <col min="1800" max="2049" width="8.73046875" style="6"/>
    <col min="2050" max="2050" width="49.19921875" style="6" customWidth="1"/>
    <col min="2051" max="2052" width="12.53125" style="6" customWidth="1"/>
    <col min="2053" max="2053" width="15.46484375" style="6" customWidth="1"/>
    <col min="2054" max="2054" width="15.19921875" style="6" customWidth="1"/>
    <col min="2055" max="2055" width="11.796875" style="6" customWidth="1"/>
    <col min="2056" max="2305" width="8.73046875" style="6"/>
    <col min="2306" max="2306" width="49.19921875" style="6" customWidth="1"/>
    <col min="2307" max="2308" width="12.53125" style="6" customWidth="1"/>
    <col min="2309" max="2309" width="15.46484375" style="6" customWidth="1"/>
    <col min="2310" max="2310" width="15.19921875" style="6" customWidth="1"/>
    <col min="2311" max="2311" width="11.796875" style="6" customWidth="1"/>
    <col min="2312" max="2561" width="8.73046875" style="6"/>
    <col min="2562" max="2562" width="49.19921875" style="6" customWidth="1"/>
    <col min="2563" max="2564" width="12.53125" style="6" customWidth="1"/>
    <col min="2565" max="2565" width="15.46484375" style="6" customWidth="1"/>
    <col min="2566" max="2566" width="15.19921875" style="6" customWidth="1"/>
    <col min="2567" max="2567" width="11.796875" style="6" customWidth="1"/>
    <col min="2568" max="2817" width="8.73046875" style="6"/>
    <col min="2818" max="2818" width="49.19921875" style="6" customWidth="1"/>
    <col min="2819" max="2820" width="12.53125" style="6" customWidth="1"/>
    <col min="2821" max="2821" width="15.46484375" style="6" customWidth="1"/>
    <col min="2822" max="2822" width="15.19921875" style="6" customWidth="1"/>
    <col min="2823" max="2823" width="11.796875" style="6" customWidth="1"/>
    <col min="2824" max="3073" width="8.73046875" style="6"/>
    <col min="3074" max="3074" width="49.19921875" style="6" customWidth="1"/>
    <col min="3075" max="3076" width="12.53125" style="6" customWidth="1"/>
    <col min="3077" max="3077" width="15.46484375" style="6" customWidth="1"/>
    <col min="3078" max="3078" width="15.19921875" style="6" customWidth="1"/>
    <col min="3079" max="3079" width="11.796875" style="6" customWidth="1"/>
    <col min="3080" max="3329" width="8.73046875" style="6"/>
    <col min="3330" max="3330" width="49.19921875" style="6" customWidth="1"/>
    <col min="3331" max="3332" width="12.53125" style="6" customWidth="1"/>
    <col min="3333" max="3333" width="15.46484375" style="6" customWidth="1"/>
    <col min="3334" max="3334" width="15.19921875" style="6" customWidth="1"/>
    <col min="3335" max="3335" width="11.796875" style="6" customWidth="1"/>
    <col min="3336" max="3585" width="8.73046875" style="6"/>
    <col min="3586" max="3586" width="49.19921875" style="6" customWidth="1"/>
    <col min="3587" max="3588" width="12.53125" style="6" customWidth="1"/>
    <col min="3589" max="3589" width="15.46484375" style="6" customWidth="1"/>
    <col min="3590" max="3590" width="15.19921875" style="6" customWidth="1"/>
    <col min="3591" max="3591" width="11.796875" style="6" customWidth="1"/>
    <col min="3592" max="3841" width="8.73046875" style="6"/>
    <col min="3842" max="3842" width="49.19921875" style="6" customWidth="1"/>
    <col min="3843" max="3844" width="12.53125" style="6" customWidth="1"/>
    <col min="3845" max="3845" width="15.46484375" style="6" customWidth="1"/>
    <col min="3846" max="3846" width="15.19921875" style="6" customWidth="1"/>
    <col min="3847" max="3847" width="11.796875" style="6" customWidth="1"/>
    <col min="3848" max="4097" width="8.73046875" style="6"/>
    <col min="4098" max="4098" width="49.19921875" style="6" customWidth="1"/>
    <col min="4099" max="4100" width="12.53125" style="6" customWidth="1"/>
    <col min="4101" max="4101" width="15.46484375" style="6" customWidth="1"/>
    <col min="4102" max="4102" width="15.19921875" style="6" customWidth="1"/>
    <col min="4103" max="4103" width="11.796875" style="6" customWidth="1"/>
    <col min="4104" max="4353" width="8.73046875" style="6"/>
    <col min="4354" max="4354" width="49.19921875" style="6" customWidth="1"/>
    <col min="4355" max="4356" width="12.53125" style="6" customWidth="1"/>
    <col min="4357" max="4357" width="15.46484375" style="6" customWidth="1"/>
    <col min="4358" max="4358" width="15.19921875" style="6" customWidth="1"/>
    <col min="4359" max="4359" width="11.796875" style="6" customWidth="1"/>
    <col min="4360" max="4609" width="8.73046875" style="6"/>
    <col min="4610" max="4610" width="49.19921875" style="6" customWidth="1"/>
    <col min="4611" max="4612" width="12.53125" style="6" customWidth="1"/>
    <col min="4613" max="4613" width="15.46484375" style="6" customWidth="1"/>
    <col min="4614" max="4614" width="15.19921875" style="6" customWidth="1"/>
    <col min="4615" max="4615" width="11.796875" style="6" customWidth="1"/>
    <col min="4616" max="4865" width="8.73046875" style="6"/>
    <col min="4866" max="4866" width="49.19921875" style="6" customWidth="1"/>
    <col min="4867" max="4868" width="12.53125" style="6" customWidth="1"/>
    <col min="4869" max="4869" width="15.46484375" style="6" customWidth="1"/>
    <col min="4870" max="4870" width="15.19921875" style="6" customWidth="1"/>
    <col min="4871" max="4871" width="11.796875" style="6" customWidth="1"/>
    <col min="4872" max="5121" width="8.73046875" style="6"/>
    <col min="5122" max="5122" width="49.19921875" style="6" customWidth="1"/>
    <col min="5123" max="5124" width="12.53125" style="6" customWidth="1"/>
    <col min="5125" max="5125" width="15.46484375" style="6" customWidth="1"/>
    <col min="5126" max="5126" width="15.19921875" style="6" customWidth="1"/>
    <col min="5127" max="5127" width="11.796875" style="6" customWidth="1"/>
    <col min="5128" max="5377" width="8.73046875" style="6"/>
    <col min="5378" max="5378" width="49.19921875" style="6" customWidth="1"/>
    <col min="5379" max="5380" width="12.53125" style="6" customWidth="1"/>
    <col min="5381" max="5381" width="15.46484375" style="6" customWidth="1"/>
    <col min="5382" max="5382" width="15.19921875" style="6" customWidth="1"/>
    <col min="5383" max="5383" width="11.796875" style="6" customWidth="1"/>
    <col min="5384" max="5633" width="8.73046875" style="6"/>
    <col min="5634" max="5634" width="49.19921875" style="6" customWidth="1"/>
    <col min="5635" max="5636" width="12.53125" style="6" customWidth="1"/>
    <col min="5637" max="5637" width="15.46484375" style="6" customWidth="1"/>
    <col min="5638" max="5638" width="15.19921875" style="6" customWidth="1"/>
    <col min="5639" max="5639" width="11.796875" style="6" customWidth="1"/>
    <col min="5640" max="5889" width="8.73046875" style="6"/>
    <col min="5890" max="5890" width="49.19921875" style="6" customWidth="1"/>
    <col min="5891" max="5892" width="12.53125" style="6" customWidth="1"/>
    <col min="5893" max="5893" width="15.46484375" style="6" customWidth="1"/>
    <col min="5894" max="5894" width="15.19921875" style="6" customWidth="1"/>
    <col min="5895" max="5895" width="11.796875" style="6" customWidth="1"/>
    <col min="5896" max="6145" width="8.73046875" style="6"/>
    <col min="6146" max="6146" width="49.19921875" style="6" customWidth="1"/>
    <col min="6147" max="6148" width="12.53125" style="6" customWidth="1"/>
    <col min="6149" max="6149" width="15.46484375" style="6" customWidth="1"/>
    <col min="6150" max="6150" width="15.19921875" style="6" customWidth="1"/>
    <col min="6151" max="6151" width="11.796875" style="6" customWidth="1"/>
    <col min="6152" max="6401" width="8.73046875" style="6"/>
    <col min="6402" max="6402" width="49.19921875" style="6" customWidth="1"/>
    <col min="6403" max="6404" width="12.53125" style="6" customWidth="1"/>
    <col min="6405" max="6405" width="15.46484375" style="6" customWidth="1"/>
    <col min="6406" max="6406" width="15.19921875" style="6" customWidth="1"/>
    <col min="6407" max="6407" width="11.796875" style="6" customWidth="1"/>
    <col min="6408" max="6657" width="8.73046875" style="6"/>
    <col min="6658" max="6658" width="49.19921875" style="6" customWidth="1"/>
    <col min="6659" max="6660" width="12.53125" style="6" customWidth="1"/>
    <col min="6661" max="6661" width="15.46484375" style="6" customWidth="1"/>
    <col min="6662" max="6662" width="15.19921875" style="6" customWidth="1"/>
    <col min="6663" max="6663" width="11.796875" style="6" customWidth="1"/>
    <col min="6664" max="6913" width="8.73046875" style="6"/>
    <col min="6914" max="6914" width="49.19921875" style="6" customWidth="1"/>
    <col min="6915" max="6916" width="12.53125" style="6" customWidth="1"/>
    <col min="6917" max="6917" width="15.46484375" style="6" customWidth="1"/>
    <col min="6918" max="6918" width="15.19921875" style="6" customWidth="1"/>
    <col min="6919" max="6919" width="11.796875" style="6" customWidth="1"/>
    <col min="6920" max="7169" width="8.73046875" style="6"/>
    <col min="7170" max="7170" width="49.19921875" style="6" customWidth="1"/>
    <col min="7171" max="7172" width="12.53125" style="6" customWidth="1"/>
    <col min="7173" max="7173" width="15.46484375" style="6" customWidth="1"/>
    <col min="7174" max="7174" width="15.19921875" style="6" customWidth="1"/>
    <col min="7175" max="7175" width="11.796875" style="6" customWidth="1"/>
    <col min="7176" max="7425" width="8.73046875" style="6"/>
    <col min="7426" max="7426" width="49.19921875" style="6" customWidth="1"/>
    <col min="7427" max="7428" width="12.53125" style="6" customWidth="1"/>
    <col min="7429" max="7429" width="15.46484375" style="6" customWidth="1"/>
    <col min="7430" max="7430" width="15.19921875" style="6" customWidth="1"/>
    <col min="7431" max="7431" width="11.796875" style="6" customWidth="1"/>
    <col min="7432" max="7681" width="8.73046875" style="6"/>
    <col min="7682" max="7682" width="49.19921875" style="6" customWidth="1"/>
    <col min="7683" max="7684" width="12.53125" style="6" customWidth="1"/>
    <col min="7685" max="7685" width="15.46484375" style="6" customWidth="1"/>
    <col min="7686" max="7686" width="15.19921875" style="6" customWidth="1"/>
    <col min="7687" max="7687" width="11.796875" style="6" customWidth="1"/>
    <col min="7688" max="7937" width="8.73046875" style="6"/>
    <col min="7938" max="7938" width="49.19921875" style="6" customWidth="1"/>
    <col min="7939" max="7940" width="12.53125" style="6" customWidth="1"/>
    <col min="7941" max="7941" width="15.46484375" style="6" customWidth="1"/>
    <col min="7942" max="7942" width="15.19921875" style="6" customWidth="1"/>
    <col min="7943" max="7943" width="11.796875" style="6" customWidth="1"/>
    <col min="7944" max="8193" width="8.73046875" style="6"/>
    <col min="8194" max="8194" width="49.19921875" style="6" customWidth="1"/>
    <col min="8195" max="8196" width="12.53125" style="6" customWidth="1"/>
    <col min="8197" max="8197" width="15.46484375" style="6" customWidth="1"/>
    <col min="8198" max="8198" width="15.19921875" style="6" customWidth="1"/>
    <col min="8199" max="8199" width="11.796875" style="6" customWidth="1"/>
    <col min="8200" max="8449" width="8.73046875" style="6"/>
    <col min="8450" max="8450" width="49.19921875" style="6" customWidth="1"/>
    <col min="8451" max="8452" width="12.53125" style="6" customWidth="1"/>
    <col min="8453" max="8453" width="15.46484375" style="6" customWidth="1"/>
    <col min="8454" max="8454" width="15.19921875" style="6" customWidth="1"/>
    <col min="8455" max="8455" width="11.796875" style="6" customWidth="1"/>
    <col min="8456" max="8705" width="8.73046875" style="6"/>
    <col min="8706" max="8706" width="49.19921875" style="6" customWidth="1"/>
    <col min="8707" max="8708" width="12.53125" style="6" customWidth="1"/>
    <col min="8709" max="8709" width="15.46484375" style="6" customWidth="1"/>
    <col min="8710" max="8710" width="15.19921875" style="6" customWidth="1"/>
    <col min="8711" max="8711" width="11.796875" style="6" customWidth="1"/>
    <col min="8712" max="8961" width="8.73046875" style="6"/>
    <col min="8962" max="8962" width="49.19921875" style="6" customWidth="1"/>
    <col min="8963" max="8964" width="12.53125" style="6" customWidth="1"/>
    <col min="8965" max="8965" width="15.46484375" style="6" customWidth="1"/>
    <col min="8966" max="8966" width="15.19921875" style="6" customWidth="1"/>
    <col min="8967" max="8967" width="11.796875" style="6" customWidth="1"/>
    <col min="8968" max="9217" width="8.73046875" style="6"/>
    <col min="9218" max="9218" width="49.19921875" style="6" customWidth="1"/>
    <col min="9219" max="9220" width="12.53125" style="6" customWidth="1"/>
    <col min="9221" max="9221" width="15.46484375" style="6" customWidth="1"/>
    <col min="9222" max="9222" width="15.19921875" style="6" customWidth="1"/>
    <col min="9223" max="9223" width="11.796875" style="6" customWidth="1"/>
    <col min="9224" max="9473" width="8.73046875" style="6"/>
    <col min="9474" max="9474" width="49.19921875" style="6" customWidth="1"/>
    <col min="9475" max="9476" width="12.53125" style="6" customWidth="1"/>
    <col min="9477" max="9477" width="15.46484375" style="6" customWidth="1"/>
    <col min="9478" max="9478" width="15.19921875" style="6" customWidth="1"/>
    <col min="9479" max="9479" width="11.796875" style="6" customWidth="1"/>
    <col min="9480" max="9729" width="8.73046875" style="6"/>
    <col min="9730" max="9730" width="49.19921875" style="6" customWidth="1"/>
    <col min="9731" max="9732" width="12.53125" style="6" customWidth="1"/>
    <col min="9733" max="9733" width="15.46484375" style="6" customWidth="1"/>
    <col min="9734" max="9734" width="15.19921875" style="6" customWidth="1"/>
    <col min="9735" max="9735" width="11.796875" style="6" customWidth="1"/>
    <col min="9736" max="9985" width="8.73046875" style="6"/>
    <col min="9986" max="9986" width="49.19921875" style="6" customWidth="1"/>
    <col min="9987" max="9988" width="12.53125" style="6" customWidth="1"/>
    <col min="9989" max="9989" width="15.46484375" style="6" customWidth="1"/>
    <col min="9990" max="9990" width="15.19921875" style="6" customWidth="1"/>
    <col min="9991" max="9991" width="11.796875" style="6" customWidth="1"/>
    <col min="9992" max="10241" width="8.73046875" style="6"/>
    <col min="10242" max="10242" width="49.19921875" style="6" customWidth="1"/>
    <col min="10243" max="10244" width="12.53125" style="6" customWidth="1"/>
    <col min="10245" max="10245" width="15.46484375" style="6" customWidth="1"/>
    <col min="10246" max="10246" width="15.19921875" style="6" customWidth="1"/>
    <col min="10247" max="10247" width="11.796875" style="6" customWidth="1"/>
    <col min="10248" max="10497" width="8.73046875" style="6"/>
    <col min="10498" max="10498" width="49.19921875" style="6" customWidth="1"/>
    <col min="10499" max="10500" width="12.53125" style="6" customWidth="1"/>
    <col min="10501" max="10501" width="15.46484375" style="6" customWidth="1"/>
    <col min="10502" max="10502" width="15.19921875" style="6" customWidth="1"/>
    <col min="10503" max="10503" width="11.796875" style="6" customWidth="1"/>
    <col min="10504" max="10753" width="8.73046875" style="6"/>
    <col min="10754" max="10754" width="49.19921875" style="6" customWidth="1"/>
    <col min="10755" max="10756" width="12.53125" style="6" customWidth="1"/>
    <col min="10757" max="10757" width="15.46484375" style="6" customWidth="1"/>
    <col min="10758" max="10758" width="15.19921875" style="6" customWidth="1"/>
    <col min="10759" max="10759" width="11.796875" style="6" customWidth="1"/>
    <col min="10760" max="11009" width="8.73046875" style="6"/>
    <col min="11010" max="11010" width="49.19921875" style="6" customWidth="1"/>
    <col min="11011" max="11012" width="12.53125" style="6" customWidth="1"/>
    <col min="11013" max="11013" width="15.46484375" style="6" customWidth="1"/>
    <col min="11014" max="11014" width="15.19921875" style="6" customWidth="1"/>
    <col min="11015" max="11015" width="11.796875" style="6" customWidth="1"/>
    <col min="11016" max="11265" width="8.73046875" style="6"/>
    <col min="11266" max="11266" width="49.19921875" style="6" customWidth="1"/>
    <col min="11267" max="11268" width="12.53125" style="6" customWidth="1"/>
    <col min="11269" max="11269" width="15.46484375" style="6" customWidth="1"/>
    <col min="11270" max="11270" width="15.19921875" style="6" customWidth="1"/>
    <col min="11271" max="11271" width="11.796875" style="6" customWidth="1"/>
    <col min="11272" max="11521" width="8.73046875" style="6"/>
    <col min="11522" max="11522" width="49.19921875" style="6" customWidth="1"/>
    <col min="11523" max="11524" width="12.53125" style="6" customWidth="1"/>
    <col min="11525" max="11525" width="15.46484375" style="6" customWidth="1"/>
    <col min="11526" max="11526" width="15.19921875" style="6" customWidth="1"/>
    <col min="11527" max="11527" width="11.796875" style="6" customWidth="1"/>
    <col min="11528" max="11777" width="8.73046875" style="6"/>
    <col min="11778" max="11778" width="49.19921875" style="6" customWidth="1"/>
    <col min="11779" max="11780" width="12.53125" style="6" customWidth="1"/>
    <col min="11781" max="11781" width="15.46484375" style="6" customWidth="1"/>
    <col min="11782" max="11782" width="15.19921875" style="6" customWidth="1"/>
    <col min="11783" max="11783" width="11.796875" style="6" customWidth="1"/>
    <col min="11784" max="12033" width="8.73046875" style="6"/>
    <col min="12034" max="12034" width="49.19921875" style="6" customWidth="1"/>
    <col min="12035" max="12036" width="12.53125" style="6" customWidth="1"/>
    <col min="12037" max="12037" width="15.46484375" style="6" customWidth="1"/>
    <col min="12038" max="12038" width="15.19921875" style="6" customWidth="1"/>
    <col min="12039" max="12039" width="11.796875" style="6" customWidth="1"/>
    <col min="12040" max="12289" width="8.73046875" style="6"/>
    <col min="12290" max="12290" width="49.19921875" style="6" customWidth="1"/>
    <col min="12291" max="12292" width="12.53125" style="6" customWidth="1"/>
    <col min="12293" max="12293" width="15.46484375" style="6" customWidth="1"/>
    <col min="12294" max="12294" width="15.19921875" style="6" customWidth="1"/>
    <col min="12295" max="12295" width="11.796875" style="6" customWidth="1"/>
    <col min="12296" max="12545" width="8.73046875" style="6"/>
    <col min="12546" max="12546" width="49.19921875" style="6" customWidth="1"/>
    <col min="12547" max="12548" width="12.53125" style="6" customWidth="1"/>
    <col min="12549" max="12549" width="15.46484375" style="6" customWidth="1"/>
    <col min="12550" max="12550" width="15.19921875" style="6" customWidth="1"/>
    <col min="12551" max="12551" width="11.796875" style="6" customWidth="1"/>
    <col min="12552" max="12801" width="8.73046875" style="6"/>
    <col min="12802" max="12802" width="49.19921875" style="6" customWidth="1"/>
    <col min="12803" max="12804" width="12.53125" style="6" customWidth="1"/>
    <col min="12805" max="12805" width="15.46484375" style="6" customWidth="1"/>
    <col min="12806" max="12806" width="15.19921875" style="6" customWidth="1"/>
    <col min="12807" max="12807" width="11.796875" style="6" customWidth="1"/>
    <col min="12808" max="13057" width="8.73046875" style="6"/>
    <col min="13058" max="13058" width="49.19921875" style="6" customWidth="1"/>
    <col min="13059" max="13060" width="12.53125" style="6" customWidth="1"/>
    <col min="13061" max="13061" width="15.46484375" style="6" customWidth="1"/>
    <col min="13062" max="13062" width="15.19921875" style="6" customWidth="1"/>
    <col min="13063" max="13063" width="11.796875" style="6" customWidth="1"/>
    <col min="13064" max="13313" width="8.73046875" style="6"/>
    <col min="13314" max="13314" width="49.19921875" style="6" customWidth="1"/>
    <col min="13315" max="13316" width="12.53125" style="6" customWidth="1"/>
    <col min="13317" max="13317" width="15.46484375" style="6" customWidth="1"/>
    <col min="13318" max="13318" width="15.19921875" style="6" customWidth="1"/>
    <col min="13319" max="13319" width="11.796875" style="6" customWidth="1"/>
    <col min="13320" max="13569" width="8.73046875" style="6"/>
    <col min="13570" max="13570" width="49.19921875" style="6" customWidth="1"/>
    <col min="13571" max="13572" width="12.53125" style="6" customWidth="1"/>
    <col min="13573" max="13573" width="15.46484375" style="6" customWidth="1"/>
    <col min="13574" max="13574" width="15.19921875" style="6" customWidth="1"/>
    <col min="13575" max="13575" width="11.796875" style="6" customWidth="1"/>
    <col min="13576" max="13825" width="8.73046875" style="6"/>
    <col min="13826" max="13826" width="49.19921875" style="6" customWidth="1"/>
    <col min="13827" max="13828" width="12.53125" style="6" customWidth="1"/>
    <col min="13829" max="13829" width="15.46484375" style="6" customWidth="1"/>
    <col min="13830" max="13830" width="15.19921875" style="6" customWidth="1"/>
    <col min="13831" max="13831" width="11.796875" style="6" customWidth="1"/>
    <col min="13832" max="14081" width="8.73046875" style="6"/>
    <col min="14082" max="14082" width="49.19921875" style="6" customWidth="1"/>
    <col min="14083" max="14084" width="12.53125" style="6" customWidth="1"/>
    <col min="14085" max="14085" width="15.46484375" style="6" customWidth="1"/>
    <col min="14086" max="14086" width="15.19921875" style="6" customWidth="1"/>
    <col min="14087" max="14087" width="11.796875" style="6" customWidth="1"/>
    <col min="14088" max="14337" width="8.73046875" style="6"/>
    <col min="14338" max="14338" width="49.19921875" style="6" customWidth="1"/>
    <col min="14339" max="14340" width="12.53125" style="6" customWidth="1"/>
    <col min="14341" max="14341" width="15.46484375" style="6" customWidth="1"/>
    <col min="14342" max="14342" width="15.19921875" style="6" customWidth="1"/>
    <col min="14343" max="14343" width="11.796875" style="6" customWidth="1"/>
    <col min="14344" max="14593" width="8.73046875" style="6"/>
    <col min="14594" max="14594" width="49.19921875" style="6" customWidth="1"/>
    <col min="14595" max="14596" width="12.53125" style="6" customWidth="1"/>
    <col min="14597" max="14597" width="15.46484375" style="6" customWidth="1"/>
    <col min="14598" max="14598" width="15.19921875" style="6" customWidth="1"/>
    <col min="14599" max="14599" width="11.796875" style="6" customWidth="1"/>
    <col min="14600" max="14849" width="8.73046875" style="6"/>
    <col min="14850" max="14850" width="49.19921875" style="6" customWidth="1"/>
    <col min="14851" max="14852" width="12.53125" style="6" customWidth="1"/>
    <col min="14853" max="14853" width="15.46484375" style="6" customWidth="1"/>
    <col min="14854" max="14854" width="15.19921875" style="6" customWidth="1"/>
    <col min="14855" max="14855" width="11.796875" style="6" customWidth="1"/>
    <col min="14856" max="15105" width="8.73046875" style="6"/>
    <col min="15106" max="15106" width="49.19921875" style="6" customWidth="1"/>
    <col min="15107" max="15108" width="12.53125" style="6" customWidth="1"/>
    <col min="15109" max="15109" width="15.46484375" style="6" customWidth="1"/>
    <col min="15110" max="15110" width="15.19921875" style="6" customWidth="1"/>
    <col min="15111" max="15111" width="11.796875" style="6" customWidth="1"/>
    <col min="15112" max="15361" width="8.73046875" style="6"/>
    <col min="15362" max="15362" width="49.19921875" style="6" customWidth="1"/>
    <col min="15363" max="15364" width="12.53125" style="6" customWidth="1"/>
    <col min="15365" max="15365" width="15.46484375" style="6" customWidth="1"/>
    <col min="15366" max="15366" width="15.19921875" style="6" customWidth="1"/>
    <col min="15367" max="15367" width="11.796875" style="6" customWidth="1"/>
    <col min="15368" max="15617" width="8.73046875" style="6"/>
    <col min="15618" max="15618" width="49.19921875" style="6" customWidth="1"/>
    <col min="15619" max="15620" width="12.53125" style="6" customWidth="1"/>
    <col min="15621" max="15621" width="15.46484375" style="6" customWidth="1"/>
    <col min="15622" max="15622" width="15.19921875" style="6" customWidth="1"/>
    <col min="15623" max="15623" width="11.796875" style="6" customWidth="1"/>
    <col min="15624" max="15873" width="8.73046875" style="6"/>
    <col min="15874" max="15874" width="49.19921875" style="6" customWidth="1"/>
    <col min="15875" max="15876" width="12.53125" style="6" customWidth="1"/>
    <col min="15877" max="15877" width="15.46484375" style="6" customWidth="1"/>
    <col min="15878" max="15878" width="15.19921875" style="6" customWidth="1"/>
    <col min="15879" max="15879" width="11.796875" style="6" customWidth="1"/>
    <col min="15880" max="16129" width="8.73046875" style="6"/>
    <col min="16130" max="16130" width="49.19921875" style="6" customWidth="1"/>
    <col min="16131" max="16132" width="12.53125" style="6" customWidth="1"/>
    <col min="16133" max="16133" width="15.46484375" style="6" customWidth="1"/>
    <col min="16134" max="16134" width="15.19921875" style="6" customWidth="1"/>
    <col min="16135" max="16135" width="11.796875" style="6" customWidth="1"/>
    <col min="16136" max="16384" width="8.73046875" style="6"/>
  </cols>
  <sheetData>
    <row r="1" spans="1:7" ht="15" x14ac:dyDescent="0.45">
      <c r="A1" s="20" t="s">
        <v>477</v>
      </c>
      <c r="B1" s="20"/>
      <c r="C1" s="20"/>
      <c r="D1" s="20"/>
      <c r="E1" s="20"/>
      <c r="F1" s="20"/>
      <c r="G1" s="20"/>
    </row>
    <row r="2" spans="1:7" ht="76.5" x14ac:dyDescent="0.45">
      <c r="A2" s="7"/>
      <c r="B2" s="7"/>
      <c r="C2" s="7" t="s">
        <v>478</v>
      </c>
      <c r="D2" s="7" t="s">
        <v>479</v>
      </c>
      <c r="E2" s="7" t="s">
        <v>480</v>
      </c>
      <c r="F2" s="7" t="s">
        <v>481</v>
      </c>
      <c r="G2" s="7" t="s">
        <v>482</v>
      </c>
    </row>
    <row r="3" spans="1:7" x14ac:dyDescent="0.45">
      <c r="A3" s="8" t="s">
        <v>483</v>
      </c>
      <c r="B3" s="8" t="s">
        <v>497</v>
      </c>
      <c r="C3" s="9"/>
      <c r="D3" s="9"/>
      <c r="E3" s="9"/>
      <c r="F3" s="9"/>
      <c r="G3" s="9"/>
    </row>
    <row r="4" spans="1:7" x14ac:dyDescent="0.45">
      <c r="A4" s="10">
        <v>1111.01</v>
      </c>
      <c r="B4" s="10" t="s">
        <v>46</v>
      </c>
      <c r="C4" s="11">
        <v>22.321716191477734</v>
      </c>
      <c r="D4" s="11">
        <v>22.321716053173432</v>
      </c>
      <c r="E4" s="11">
        <v>1.0059849502393652</v>
      </c>
      <c r="F4" s="11">
        <v>77.902789067002331</v>
      </c>
      <c r="G4" s="11">
        <v>2.968143904581666</v>
      </c>
    </row>
    <row r="5" spans="1:7" x14ac:dyDescent="0.45">
      <c r="A5" s="10">
        <v>1111.02</v>
      </c>
      <c r="B5" s="10" t="s">
        <v>50</v>
      </c>
      <c r="C5" s="11">
        <v>6.6044358443433995E-2</v>
      </c>
      <c r="D5" s="11">
        <v>6.6044357867169598E-2</v>
      </c>
      <c r="E5" s="11">
        <v>0.10766371079127959</v>
      </c>
      <c r="F5" s="11">
        <v>0.2576390409594671</v>
      </c>
      <c r="G5" s="11">
        <v>3.5976401995867491</v>
      </c>
    </row>
    <row r="6" spans="1:7" x14ac:dyDescent="0.45">
      <c r="A6" s="10">
        <v>1112.01</v>
      </c>
      <c r="B6" s="10" t="s">
        <v>53</v>
      </c>
      <c r="C6" s="11">
        <v>168.44418068655446</v>
      </c>
      <c r="D6" s="11">
        <v>168.44418014146595</v>
      </c>
      <c r="E6" s="11">
        <v>3.2543853471540576</v>
      </c>
      <c r="F6" s="11">
        <v>419.76289727986347</v>
      </c>
      <c r="G6" s="11">
        <v>7.4278069660067558</v>
      </c>
    </row>
    <row r="7" spans="1:7" x14ac:dyDescent="0.45">
      <c r="A7" s="10">
        <v>1112.02</v>
      </c>
      <c r="B7" s="10" t="s">
        <v>56</v>
      </c>
      <c r="C7" s="11">
        <v>0.44808198006744782</v>
      </c>
      <c r="D7" s="11">
        <v>0.44808199204954358</v>
      </c>
      <c r="E7" s="11">
        <v>5.3668778417331198E-2</v>
      </c>
      <c r="F7" s="11">
        <v>1.1833845227629007</v>
      </c>
      <c r="G7" s="11">
        <v>46.947527676820755</v>
      </c>
    </row>
    <row r="8" spans="1:7" x14ac:dyDescent="0.45">
      <c r="A8" s="10">
        <v>1112.03</v>
      </c>
      <c r="B8" s="10" t="s">
        <v>59</v>
      </c>
      <c r="C8" s="11">
        <v>0.65390380515822999</v>
      </c>
      <c r="D8" s="11">
        <v>0.65390380541018467</v>
      </c>
      <c r="E8" s="11">
        <v>2.3167463717060199E-2</v>
      </c>
      <c r="F8" s="11">
        <v>1.7269599447628459</v>
      </c>
      <c r="G8" s="11">
        <v>14.994320459663868</v>
      </c>
    </row>
    <row r="9" spans="1:7" x14ac:dyDescent="0.45">
      <c r="A9" s="10">
        <v>1112.04</v>
      </c>
      <c r="B9" s="10" t="s">
        <v>60</v>
      </c>
      <c r="C9" s="11">
        <v>3.7198098781292837</v>
      </c>
      <c r="D9" s="11">
        <v>3.7198099108168723</v>
      </c>
      <c r="E9" s="11">
        <v>2.7475476625735101E-2</v>
      </c>
      <c r="F9" s="11">
        <v>9.82401793615497</v>
      </c>
      <c r="G9" s="11">
        <v>2.5242962874472141</v>
      </c>
    </row>
    <row r="10" spans="1:7" x14ac:dyDescent="0.45">
      <c r="A10" s="10">
        <v>1112.0899999999999</v>
      </c>
      <c r="B10" s="10" t="s">
        <v>61</v>
      </c>
      <c r="C10" s="11">
        <v>3.9007852778346028</v>
      </c>
      <c r="D10" s="11">
        <v>3.900785300354237</v>
      </c>
      <c r="E10" s="11">
        <v>3.8751577980840397E-2</v>
      </c>
      <c r="F10" s="11">
        <v>10.301973920971427</v>
      </c>
      <c r="G10" s="11">
        <v>3.7864444311708212</v>
      </c>
    </row>
    <row r="11" spans="1:7" x14ac:dyDescent="0.45">
      <c r="A11" s="10">
        <v>1113.01</v>
      </c>
      <c r="B11" s="10" t="s">
        <v>62</v>
      </c>
      <c r="C11" s="11">
        <v>15.198223007693093</v>
      </c>
      <c r="D11" s="11">
        <v>15.19822304168677</v>
      </c>
      <c r="E11" s="11">
        <v>0.28540918040437901</v>
      </c>
      <c r="F11" s="11">
        <v>23.754822586232823</v>
      </c>
      <c r="G11" s="11">
        <v>11.40596903860569</v>
      </c>
    </row>
    <row r="12" spans="1:7" x14ac:dyDescent="0.45">
      <c r="A12" s="10">
        <v>1114.01</v>
      </c>
      <c r="B12" s="10" t="s">
        <v>65</v>
      </c>
      <c r="C12" s="11">
        <v>1.4542406752476251</v>
      </c>
      <c r="D12" s="11">
        <v>1.4542406904531449</v>
      </c>
      <c r="E12" s="11">
        <v>0.1074603246886434</v>
      </c>
      <c r="F12" s="11">
        <v>4.8789775150858707</v>
      </c>
      <c r="G12" s="11">
        <v>22.783482447266579</v>
      </c>
    </row>
    <row r="13" spans="1:7" x14ac:dyDescent="0.45">
      <c r="A13" s="10">
        <v>1114.02</v>
      </c>
      <c r="B13" s="10" t="s">
        <v>67</v>
      </c>
      <c r="C13" s="11">
        <v>0.27176900695908701</v>
      </c>
      <c r="D13" s="11">
        <v>0.27176900547191069</v>
      </c>
      <c r="E13" s="11">
        <v>1.6326867233766001E-2</v>
      </c>
      <c r="F13" s="11">
        <v>1.3673513966531081</v>
      </c>
      <c r="G13" s="11">
        <v>11.954987421631813</v>
      </c>
    </row>
    <row r="14" spans="1:7" x14ac:dyDescent="0.45">
      <c r="A14" s="10">
        <v>1115.01</v>
      </c>
      <c r="B14" s="10" t="s">
        <v>69</v>
      </c>
      <c r="C14" s="11">
        <v>10.421325012338068</v>
      </c>
      <c r="D14" s="11">
        <v>10.421325073857647</v>
      </c>
      <c r="E14" s="11">
        <v>0.30050157740654998</v>
      </c>
      <c r="F14" s="11">
        <v>3.912165435941835</v>
      </c>
      <c r="G14" s="11">
        <v>124.25264716148376</v>
      </c>
    </row>
    <row r="15" spans="1:7" x14ac:dyDescent="0.45">
      <c r="A15" s="10">
        <v>1115.02</v>
      </c>
      <c r="B15" s="10" t="s">
        <v>71</v>
      </c>
      <c r="C15" s="11">
        <v>0.30590962302986041</v>
      </c>
      <c r="D15" s="11">
        <v>0.30590962206568928</v>
      </c>
      <c r="E15" s="11">
        <v>1.70815292870099E-2</v>
      </c>
      <c r="F15" s="11">
        <v>1.4441993275827292</v>
      </c>
      <c r="G15" s="11">
        <v>18.523616716265678</v>
      </c>
    </row>
    <row r="16" spans="1:7" x14ac:dyDescent="0.45">
      <c r="A16" s="10">
        <v>1115.03</v>
      </c>
      <c r="B16" s="10" t="s">
        <v>74</v>
      </c>
      <c r="C16" s="11">
        <v>2.2587661506267041</v>
      </c>
      <c r="D16" s="11">
        <v>2.2587661493212332</v>
      </c>
      <c r="E16" s="11">
        <v>3.3443345139544202E-2</v>
      </c>
      <c r="F16" s="11">
        <v>5.5859286737767979</v>
      </c>
      <c r="G16" s="11">
        <v>5.0828950479626656</v>
      </c>
    </row>
    <row r="17" spans="1:7" x14ac:dyDescent="0.45">
      <c r="A17" s="10">
        <v>1115.04</v>
      </c>
      <c r="B17" s="10" t="s">
        <v>77</v>
      </c>
      <c r="C17" s="11">
        <v>131.59490838594806</v>
      </c>
      <c r="D17" s="11">
        <v>131.59490859640073</v>
      </c>
      <c r="E17" s="11">
        <v>1.63397407480554</v>
      </c>
      <c r="F17" s="11">
        <v>472.42572179374889</v>
      </c>
      <c r="G17" s="11">
        <v>3.2216713298112154</v>
      </c>
    </row>
    <row r="18" spans="1:7" x14ac:dyDescent="0.45">
      <c r="A18" s="10">
        <v>1115.05</v>
      </c>
      <c r="B18" s="10" t="s">
        <v>80</v>
      </c>
      <c r="C18" s="11">
        <v>77.931403847914197</v>
      </c>
      <c r="D18" s="11">
        <v>77.931403638426261</v>
      </c>
      <c r="E18" s="11">
        <v>1.4322797885771028</v>
      </c>
      <c r="F18" s="11">
        <v>284.13789810784789</v>
      </c>
      <c r="G18" s="11">
        <v>4.7043715603649616</v>
      </c>
    </row>
    <row r="19" spans="1:7" x14ac:dyDescent="0.45">
      <c r="A19" s="10">
        <v>1115.06</v>
      </c>
      <c r="B19" s="10" t="s">
        <v>83</v>
      </c>
      <c r="C19" s="11">
        <v>0.76610687172630509</v>
      </c>
      <c r="D19" s="11">
        <v>0.76610687221912421</v>
      </c>
      <c r="E19" s="11">
        <v>5.1226057610110398E-2</v>
      </c>
      <c r="F19" s="11">
        <v>2.6315771001180845</v>
      </c>
      <c r="G19" s="11">
        <v>21.679891273379326</v>
      </c>
    </row>
    <row r="20" spans="1:7" x14ac:dyDescent="0.45">
      <c r="A20" s="10">
        <v>1115.07</v>
      </c>
      <c r="B20" s="10" t="s">
        <v>86</v>
      </c>
      <c r="C20" s="11">
        <v>2.4422423096391099E-2</v>
      </c>
      <c r="D20" s="11">
        <v>2.44224214919989E-2</v>
      </c>
      <c r="E20" s="11">
        <v>4.8844844800910003E-4</v>
      </c>
      <c r="F20" s="11">
        <v>8.1839536713710401E-2</v>
      </c>
      <c r="G20" s="11">
        <v>5.9683676809072495</v>
      </c>
    </row>
    <row r="21" spans="1:7" x14ac:dyDescent="0.45">
      <c r="A21" s="10">
        <v>1119.01</v>
      </c>
      <c r="B21" s="10" t="s">
        <v>88</v>
      </c>
      <c r="C21" s="11">
        <v>2.0907979463454289</v>
      </c>
      <c r="D21" s="11">
        <v>2.0855709948043324</v>
      </c>
      <c r="E21" s="11">
        <v>3.9284758963312898E-2</v>
      </c>
      <c r="F21" s="11">
        <v>2.3694171980908099</v>
      </c>
      <c r="G21" s="11">
        <v>8.2311732694506645</v>
      </c>
    </row>
    <row r="22" spans="1:7" x14ac:dyDescent="0.45">
      <c r="A22" s="10">
        <v>1121.01</v>
      </c>
      <c r="B22" s="10" t="s">
        <v>90</v>
      </c>
      <c r="C22" s="11">
        <v>93.177287150281742</v>
      </c>
      <c r="D22" s="11">
        <v>93.17728714031557</v>
      </c>
      <c r="E22" s="11">
        <v>3.1377405278213719</v>
      </c>
      <c r="F22" s="11">
        <v>219.52568894936863</v>
      </c>
      <c r="G22" s="11">
        <v>26.607368141412735</v>
      </c>
    </row>
    <row r="23" spans="1:7" x14ac:dyDescent="0.45">
      <c r="A23" s="10">
        <v>1122.01</v>
      </c>
      <c r="B23" s="10" t="s">
        <v>93</v>
      </c>
      <c r="C23" s="11">
        <v>5.5779112883877211</v>
      </c>
      <c r="D23" s="11">
        <v>5.5779113399930598</v>
      </c>
      <c r="E23" s="11">
        <v>0.18737862231865551</v>
      </c>
      <c r="F23" s="11">
        <v>22.467826884129352</v>
      </c>
      <c r="G23" s="11">
        <v>15.356831252574921</v>
      </c>
    </row>
    <row r="24" spans="1:7" x14ac:dyDescent="0.45">
      <c r="A24" s="10">
        <v>1123.01</v>
      </c>
      <c r="B24" s="10" t="s">
        <v>95</v>
      </c>
      <c r="C24" s="11">
        <v>9.1112606653032522</v>
      </c>
      <c r="D24" s="11">
        <v>9.0875713413721257</v>
      </c>
      <c r="E24" s="11">
        <v>0.29066885291588362</v>
      </c>
      <c r="F24" s="11">
        <v>16.048651017727845</v>
      </c>
      <c r="G24" s="11">
        <v>17.031824216246605</v>
      </c>
    </row>
    <row r="25" spans="1:7" x14ac:dyDescent="0.45">
      <c r="A25" s="10">
        <v>1123.02</v>
      </c>
      <c r="B25" s="10" t="s">
        <v>98</v>
      </c>
      <c r="C25" s="11">
        <v>6.1778641653965964</v>
      </c>
      <c r="D25" s="11">
        <v>6.1624194872903857</v>
      </c>
      <c r="E25" s="11">
        <v>0.41644539875817238</v>
      </c>
      <c r="F25" s="11">
        <v>20.335984404344266</v>
      </c>
      <c r="G25" s="11">
        <v>25.20543709397316</v>
      </c>
    </row>
    <row r="26" spans="1:7" x14ac:dyDescent="0.45">
      <c r="A26" s="10">
        <v>1124.01</v>
      </c>
      <c r="B26" s="10" t="s">
        <v>485</v>
      </c>
      <c r="C26" s="11">
        <v>24.777802009040791</v>
      </c>
      <c r="D26" s="11">
        <v>24.777801971359814</v>
      </c>
      <c r="E26" s="11">
        <v>0.88006539403765638</v>
      </c>
      <c r="F26" s="11">
        <v>33.375699214297079</v>
      </c>
      <c r="G26" s="11">
        <v>25.916073471307755</v>
      </c>
    </row>
    <row r="27" spans="1:7" x14ac:dyDescent="0.45">
      <c r="A27" s="10">
        <v>1124.02</v>
      </c>
      <c r="B27" s="10" t="s">
        <v>101</v>
      </c>
      <c r="C27" s="11">
        <v>0.1960609860318358</v>
      </c>
      <c r="D27" s="11">
        <v>0.1960609823213639</v>
      </c>
      <c r="E27" s="11">
        <v>5.9185877385302997E-3</v>
      </c>
      <c r="F27" s="11">
        <v>0.39816064115474392</v>
      </c>
      <c r="G27" s="11">
        <v>19.422492012381554</v>
      </c>
    </row>
    <row r="28" spans="1:7" x14ac:dyDescent="0.45">
      <c r="A28" s="10">
        <v>1125.01</v>
      </c>
      <c r="B28" s="10" t="s">
        <v>103</v>
      </c>
      <c r="C28" s="11">
        <v>0.2404007901543691</v>
      </c>
      <c r="D28" s="11">
        <v>0.2404007899689892</v>
      </c>
      <c r="E28" s="11">
        <v>1.4732014467173E-2</v>
      </c>
      <c r="F28" s="11">
        <v>0.96833439800435517</v>
      </c>
      <c r="G28" s="11">
        <v>39.72194716334343</v>
      </c>
    </row>
    <row r="29" spans="1:7" x14ac:dyDescent="0.45">
      <c r="A29" s="10">
        <v>1125.02</v>
      </c>
      <c r="B29" s="10" t="s">
        <v>104</v>
      </c>
      <c r="C29" s="11">
        <v>0.12304205956712209</v>
      </c>
      <c r="D29" s="11">
        <v>0.123042058981887</v>
      </c>
      <c r="E29" s="11">
        <v>6.9146824541396999E-3</v>
      </c>
      <c r="F29" s="11">
        <v>0.21593881854068589</v>
      </c>
      <c r="G29" s="11">
        <v>85.470087826251984</v>
      </c>
    </row>
    <row r="30" spans="1:7" x14ac:dyDescent="0.45">
      <c r="A30" s="10">
        <v>1125.03</v>
      </c>
      <c r="B30" s="10" t="s">
        <v>106</v>
      </c>
      <c r="C30" s="11">
        <v>0.24503694440995921</v>
      </c>
      <c r="D30" s="11">
        <v>0.2450369436846894</v>
      </c>
      <c r="E30" s="11">
        <v>3.3651683192589002E-2</v>
      </c>
      <c r="F30" s="11">
        <v>0.30752136518351952</v>
      </c>
      <c r="G30" s="11">
        <v>137.8893107175827</v>
      </c>
    </row>
    <row r="31" spans="1:7" x14ac:dyDescent="0.45">
      <c r="A31" s="10">
        <v>1125.04</v>
      </c>
      <c r="B31" s="10" t="s">
        <v>109</v>
      </c>
      <c r="C31" s="11">
        <v>0.41287965957542888</v>
      </c>
      <c r="D31" s="11">
        <v>0.4128796599891093</v>
      </c>
      <c r="E31" s="11">
        <v>1.8908326625602299E-2</v>
      </c>
      <c r="F31" s="11">
        <v>0.93723683062126451</v>
      </c>
      <c r="G31" s="11">
        <v>18.50220188498497</v>
      </c>
    </row>
    <row r="32" spans="1:7" x14ac:dyDescent="0.45">
      <c r="A32" s="10">
        <v>1125.05</v>
      </c>
      <c r="B32" s="10" t="s">
        <v>112</v>
      </c>
      <c r="C32" s="11">
        <v>1.152762200590681</v>
      </c>
      <c r="D32" s="11">
        <v>1.1527621881425154</v>
      </c>
      <c r="E32" s="11">
        <v>6.5791885507717196E-2</v>
      </c>
      <c r="F32" s="11">
        <v>2.8687639618677667</v>
      </c>
      <c r="G32" s="11">
        <v>21.050022915005684</v>
      </c>
    </row>
    <row r="33" spans="1:7" x14ac:dyDescent="0.45">
      <c r="A33" s="10">
        <v>1125.06</v>
      </c>
      <c r="B33" s="10" t="s">
        <v>113</v>
      </c>
      <c r="C33" s="11">
        <v>3.756852114588761</v>
      </c>
      <c r="D33" s="11">
        <v>3.7568520989183534</v>
      </c>
      <c r="E33" s="11">
        <v>0.22342320887336589</v>
      </c>
      <c r="F33" s="11">
        <v>8.5280542872723881</v>
      </c>
      <c r="G33" s="11">
        <v>27.749283239245415</v>
      </c>
    </row>
    <row r="34" spans="1:7" x14ac:dyDescent="0.45">
      <c r="A34" s="10">
        <v>1125.07</v>
      </c>
      <c r="B34" s="10" t="s">
        <v>114</v>
      </c>
      <c r="C34" s="11">
        <v>2.7376572961185128</v>
      </c>
      <c r="D34" s="11">
        <v>2.7376573175115477</v>
      </c>
      <c r="E34" s="11">
        <v>4.5096425274308002E-2</v>
      </c>
      <c r="F34" s="11">
        <v>2.2366660285435409</v>
      </c>
      <c r="G34" s="11">
        <v>17.925992608070374</v>
      </c>
    </row>
    <row r="35" spans="1:7" x14ac:dyDescent="0.45">
      <c r="A35" s="10">
        <v>1125.08</v>
      </c>
      <c r="B35" s="10" t="s">
        <v>117</v>
      </c>
      <c r="C35" s="11">
        <v>0.81994386886056847</v>
      </c>
      <c r="D35" s="11">
        <v>0.81994386918342255</v>
      </c>
      <c r="E35" s="11">
        <v>3.2139894778711202E-2</v>
      </c>
      <c r="F35" s="11">
        <v>1.0888854550202214</v>
      </c>
      <c r="G35" s="11">
        <v>32.974395900964737</v>
      </c>
    </row>
    <row r="36" spans="1:7" x14ac:dyDescent="0.45">
      <c r="A36" s="10">
        <v>1126.01</v>
      </c>
      <c r="B36" s="10" t="s">
        <v>120</v>
      </c>
      <c r="C36" s="11">
        <v>2.3717215472943267</v>
      </c>
      <c r="D36" s="11">
        <v>2.3717215461210257</v>
      </c>
      <c r="E36" s="11">
        <v>0.13461938812604141</v>
      </c>
      <c r="F36" s="11">
        <v>4.0414135266536562</v>
      </c>
      <c r="G36" s="11">
        <v>34.759387373924255</v>
      </c>
    </row>
    <row r="37" spans="1:7" x14ac:dyDescent="0.45">
      <c r="A37" s="10">
        <v>1126.02</v>
      </c>
      <c r="B37" s="10" t="s">
        <v>123</v>
      </c>
      <c r="C37" s="11">
        <v>0.59308608656415829</v>
      </c>
      <c r="D37" s="11">
        <v>0.5930860839830554</v>
      </c>
      <c r="E37" s="11">
        <v>3.3632082129063497E-2</v>
      </c>
      <c r="F37" s="11">
        <v>1.4382337497922872</v>
      </c>
      <c r="G37" s="11">
        <v>24.742268025875092</v>
      </c>
    </row>
    <row r="38" spans="1:7" x14ac:dyDescent="0.45">
      <c r="A38" s="10">
        <v>1127.01</v>
      </c>
      <c r="B38" s="10" t="s">
        <v>126</v>
      </c>
      <c r="C38" s="11">
        <v>4.2834915148572623</v>
      </c>
      <c r="D38" s="11">
        <v>4.2834915442390153</v>
      </c>
      <c r="E38" s="11">
        <v>0.1844665768650911</v>
      </c>
      <c r="F38" s="11">
        <v>4.8669030944915814</v>
      </c>
      <c r="G38" s="11">
        <v>43.967742472887039</v>
      </c>
    </row>
    <row r="39" spans="1:7" x14ac:dyDescent="0.45">
      <c r="A39" s="10">
        <v>1127.02</v>
      </c>
      <c r="B39" s="10" t="s">
        <v>128</v>
      </c>
      <c r="C39" s="11">
        <v>0.58747629284521641</v>
      </c>
      <c r="D39" s="11">
        <v>0.58747629363838816</v>
      </c>
      <c r="E39" s="11">
        <v>1.27931473964933E-2</v>
      </c>
      <c r="F39" s="11">
        <v>2.3663545252252187</v>
      </c>
      <c r="G39" s="11">
        <v>4.8469770699739456</v>
      </c>
    </row>
    <row r="40" spans="1:7" x14ac:dyDescent="0.45">
      <c r="A40" s="10">
        <v>1127.03</v>
      </c>
      <c r="B40" s="10" t="s">
        <v>129</v>
      </c>
      <c r="C40" s="11">
        <v>1.0738158444825818</v>
      </c>
      <c r="D40" s="11">
        <v>1.0738158419156902</v>
      </c>
      <c r="E40" s="11">
        <v>2.2395591321949501E-2</v>
      </c>
      <c r="F40" s="11">
        <v>1.380068113650865</v>
      </c>
      <c r="G40" s="11">
        <v>15.256647020578384</v>
      </c>
    </row>
    <row r="41" spans="1:7" x14ac:dyDescent="0.45">
      <c r="A41" s="10">
        <v>1127.04</v>
      </c>
      <c r="B41" s="10" t="s">
        <v>131</v>
      </c>
      <c r="C41" s="11">
        <v>3.4438179380122001E-3</v>
      </c>
      <c r="D41" s="11">
        <v>3.4438179380122001E-3</v>
      </c>
      <c r="E41" s="11">
        <v>1.0293942846099999E-5</v>
      </c>
      <c r="F41" s="11">
        <v>2.3521276412709E-3</v>
      </c>
      <c r="G41" s="11">
        <v>4.3084556236863136</v>
      </c>
    </row>
    <row r="42" spans="1:7" x14ac:dyDescent="0.45">
      <c r="A42" s="10">
        <v>1128.01</v>
      </c>
      <c r="B42" s="10" t="s">
        <v>486</v>
      </c>
      <c r="C42" s="11">
        <v>0.1609177832848096</v>
      </c>
      <c r="D42" s="11">
        <v>0.1609177824880835</v>
      </c>
      <c r="E42" s="11">
        <v>1.4521732447056301E-2</v>
      </c>
      <c r="F42" s="11">
        <v>0.1557684136437599</v>
      </c>
      <c r="G42" s="11">
        <v>41.322316974401474</v>
      </c>
    </row>
    <row r="43" spans="1:7" x14ac:dyDescent="0.45">
      <c r="A43" s="10">
        <v>1129.99</v>
      </c>
      <c r="B43" s="10" t="s">
        <v>136</v>
      </c>
      <c r="C43" s="11">
        <v>2.2347742672585351</v>
      </c>
      <c r="D43" s="11">
        <v>2.2347742636115298</v>
      </c>
      <c r="E43" s="11">
        <v>7.4234818188522705E-2</v>
      </c>
      <c r="F43" s="11">
        <v>7.3702855151088666</v>
      </c>
      <c r="G43" s="11">
        <v>9.4966646283864975</v>
      </c>
    </row>
    <row r="44" spans="1:7" x14ac:dyDescent="0.45">
      <c r="A44" s="10">
        <v>1131.01</v>
      </c>
      <c r="B44" s="10" t="s">
        <v>139</v>
      </c>
      <c r="C44" s="11">
        <v>9.9440588982277678</v>
      </c>
      <c r="D44" s="11">
        <v>9.8993105141652329</v>
      </c>
      <c r="E44" s="11">
        <v>0.45414341890424809</v>
      </c>
      <c r="F44" s="11">
        <v>9.9686056746171818</v>
      </c>
      <c r="G44" s="11">
        <v>19.976187497377396</v>
      </c>
    </row>
    <row r="45" spans="1:7" x14ac:dyDescent="0.45">
      <c r="A45" s="10">
        <v>1131.02</v>
      </c>
      <c r="B45" s="10" t="s">
        <v>142</v>
      </c>
      <c r="C45" s="11">
        <v>9.0128672656205104</v>
      </c>
      <c r="D45" s="11">
        <v>8.9867299283664384</v>
      </c>
      <c r="E45" s="11">
        <v>0.88137296323980929</v>
      </c>
      <c r="F45" s="11">
        <v>11.628828537851183</v>
      </c>
      <c r="G45" s="11">
        <v>79.729221761226654</v>
      </c>
    </row>
    <row r="46" spans="1:7" x14ac:dyDescent="0.45">
      <c r="A46" s="10">
        <v>1132.01</v>
      </c>
      <c r="B46" s="10" t="s">
        <v>145</v>
      </c>
      <c r="C46" s="11">
        <v>4.7496083151782699E-2</v>
      </c>
      <c r="D46" s="11">
        <v>4.7496083015136102E-2</v>
      </c>
      <c r="E46" s="11">
        <v>8.6119496451139005E-3</v>
      </c>
      <c r="F46" s="11">
        <v>3.4401412635709602E-2</v>
      </c>
      <c r="G46" s="11">
        <v>85.019484162330627</v>
      </c>
    </row>
    <row r="47" spans="1:7" x14ac:dyDescent="0.45">
      <c r="A47" s="10">
        <v>1132.02</v>
      </c>
      <c r="B47" s="10" t="s">
        <v>147</v>
      </c>
      <c r="C47" s="11">
        <v>9.6633842553956999E-3</v>
      </c>
      <c r="D47" s="11">
        <v>9.6633842553956999E-3</v>
      </c>
      <c r="E47" s="11">
        <v>5.7738719812939999E-4</v>
      </c>
      <c r="F47" s="11">
        <v>1.0481873019645699E-2</v>
      </c>
      <c r="G47" s="11">
        <v>55.084355175495148</v>
      </c>
    </row>
    <row r="48" spans="1:7" x14ac:dyDescent="0.45">
      <c r="A48" s="10">
        <v>1132.03</v>
      </c>
      <c r="B48" s="10" t="s">
        <v>149</v>
      </c>
      <c r="C48" s="11">
        <v>0.1238244218549947</v>
      </c>
      <c r="D48" s="11">
        <v>0.12382441924707149</v>
      </c>
      <c r="E48" s="11">
        <v>5.6985665886232197E-2</v>
      </c>
      <c r="F48" s="11">
        <v>8.4572078903899298E-2</v>
      </c>
      <c r="G48" s="11">
        <v>26.525450870394707</v>
      </c>
    </row>
    <row r="49" spans="1:7" x14ac:dyDescent="0.45">
      <c r="A49" s="10">
        <v>1133.01</v>
      </c>
      <c r="B49" s="10" t="s">
        <v>150</v>
      </c>
      <c r="C49" s="11">
        <v>1.8551668895069398</v>
      </c>
      <c r="D49" s="11">
        <v>1.855166890926284</v>
      </c>
      <c r="E49" s="11">
        <v>0.25122967794212281</v>
      </c>
      <c r="F49" s="11">
        <v>2.0852075360528257</v>
      </c>
      <c r="G49" s="11">
        <v>2236.4685535430908</v>
      </c>
    </row>
    <row r="50" spans="1:7" x14ac:dyDescent="0.45">
      <c r="A50" s="10">
        <v>1133.02</v>
      </c>
      <c r="B50" s="10" t="s">
        <v>152</v>
      </c>
      <c r="C50" s="11">
        <v>4.16886314117648E-2</v>
      </c>
      <c r="D50" s="11">
        <v>4.1488525298049798E-2</v>
      </c>
      <c r="E50" s="11">
        <v>3.0644427338245E-3</v>
      </c>
      <c r="F50" s="11">
        <v>4.3521463135477098E-2</v>
      </c>
      <c r="G50" s="11">
        <v>43.18184033036232</v>
      </c>
    </row>
    <row r="51" spans="1:7" x14ac:dyDescent="0.45">
      <c r="A51" s="10">
        <v>1133.03</v>
      </c>
      <c r="B51" s="10" t="s">
        <v>155</v>
      </c>
      <c r="C51" s="11">
        <v>2.7296458723239976</v>
      </c>
      <c r="D51" s="11">
        <v>2.7296458680740767</v>
      </c>
      <c r="E51" s="11">
        <v>0.20782780409605919</v>
      </c>
      <c r="F51" s="11">
        <v>10.119343154547643</v>
      </c>
      <c r="G51" s="11">
        <v>16.729598864912987</v>
      </c>
    </row>
    <row r="52" spans="1:7" x14ac:dyDescent="0.45">
      <c r="A52" s="10">
        <v>1134.01</v>
      </c>
      <c r="B52" s="10" t="s">
        <v>157</v>
      </c>
      <c r="C52" s="11">
        <v>2.8893046746481179</v>
      </c>
      <c r="D52" s="11">
        <v>2.8893046188443865</v>
      </c>
      <c r="E52" s="11">
        <v>0.14184987557824891</v>
      </c>
      <c r="F52" s="11">
        <v>6.4113669744529433</v>
      </c>
      <c r="G52" s="11">
        <v>22.532671689987183</v>
      </c>
    </row>
    <row r="53" spans="1:7" x14ac:dyDescent="0.45">
      <c r="A53" s="10">
        <v>1139.99</v>
      </c>
      <c r="B53" s="10" t="s">
        <v>160</v>
      </c>
      <c r="C53" s="11">
        <v>0.2516886632331351</v>
      </c>
      <c r="D53" s="11">
        <v>0.25168864628010701</v>
      </c>
      <c r="E53" s="11">
        <v>1.96728933876349E-2</v>
      </c>
      <c r="F53" s="11">
        <v>0.17190334824940079</v>
      </c>
      <c r="G53" s="11">
        <v>116.1392480134964</v>
      </c>
    </row>
    <row r="54" spans="1:7" x14ac:dyDescent="0.45">
      <c r="A54" s="10">
        <v>1141.01</v>
      </c>
      <c r="B54" s="10" t="s">
        <v>161</v>
      </c>
      <c r="C54" s="11">
        <v>13.11638529606847</v>
      </c>
      <c r="D54" s="11">
        <v>13.116385264535403</v>
      </c>
      <c r="E54" s="11">
        <v>0.2298746169011896</v>
      </c>
      <c r="F54" s="11">
        <v>8.4600685212883295</v>
      </c>
      <c r="G54" s="11">
        <v>31.007751822471619</v>
      </c>
    </row>
    <row r="55" spans="1:7" x14ac:dyDescent="0.45">
      <c r="A55" s="10">
        <v>1141.02</v>
      </c>
      <c r="B55" s="10" t="s">
        <v>164</v>
      </c>
      <c r="C55" s="11">
        <v>0.59509715964807586</v>
      </c>
      <c r="D55" s="11">
        <v>0.59509715414700193</v>
      </c>
      <c r="E55" s="11">
        <v>1.1936606012078301E-2</v>
      </c>
      <c r="F55" s="11">
        <v>0.3838376671855791</v>
      </c>
      <c r="G55" s="11">
        <v>40.139533579349518</v>
      </c>
    </row>
    <row r="56" spans="1:7" x14ac:dyDescent="0.45">
      <c r="A56" s="10">
        <v>1141.99</v>
      </c>
      <c r="B56" s="10" t="s">
        <v>165</v>
      </c>
      <c r="C56" s="11">
        <v>1.0476171011263249</v>
      </c>
      <c r="D56" s="11">
        <v>1.0476170942984222</v>
      </c>
      <c r="E56" s="11">
        <v>2.6875506342857101E-2</v>
      </c>
      <c r="F56" s="11">
        <v>0.92818874577190691</v>
      </c>
      <c r="G56" s="11">
        <v>29.345370829105377</v>
      </c>
    </row>
    <row r="57" spans="1:7" x14ac:dyDescent="0.45">
      <c r="A57" s="10">
        <v>1142.01</v>
      </c>
      <c r="B57" s="10" t="s">
        <v>168</v>
      </c>
      <c r="C57" s="11">
        <v>1.5456900754703899E-2</v>
      </c>
      <c r="D57" s="11">
        <v>1.54569004964463E-2</v>
      </c>
      <c r="E57" s="11">
        <v>6.5707374859640003E-4</v>
      </c>
      <c r="F57" s="11">
        <v>7.3574847174057E-3</v>
      </c>
      <c r="G57" s="11">
        <v>67.037813365459442</v>
      </c>
    </row>
    <row r="58" spans="1:7" x14ac:dyDescent="0.45">
      <c r="A58" s="10">
        <v>1142.02</v>
      </c>
      <c r="B58" s="10" t="s">
        <v>171</v>
      </c>
      <c r="C58" s="11">
        <v>3.4191322905277197E-2</v>
      </c>
      <c r="D58" s="11">
        <v>3.4191322746412803E-2</v>
      </c>
      <c r="E58" s="11">
        <v>9.7355851229529995E-4</v>
      </c>
      <c r="F58" s="11">
        <v>1.2753363324436899E-2</v>
      </c>
      <c r="G58" s="11">
        <v>85.522785782814026</v>
      </c>
    </row>
    <row r="59" spans="1:7" x14ac:dyDescent="0.45">
      <c r="A59" s="10">
        <v>1143.01</v>
      </c>
      <c r="B59" s="10" t="s">
        <v>174</v>
      </c>
      <c r="C59" s="11">
        <v>2.9481557096849999E-2</v>
      </c>
      <c r="D59" s="11">
        <v>2.94815569108773E-2</v>
      </c>
      <c r="E59" s="11">
        <v>1.0660101379869999E-3</v>
      </c>
      <c r="F59" s="11">
        <v>9.6552101054040496E-2</v>
      </c>
      <c r="G59" s="11">
        <v>14.267869293689728</v>
      </c>
    </row>
    <row r="60" spans="1:7" x14ac:dyDescent="0.45">
      <c r="A60" s="10">
        <v>1143.02</v>
      </c>
      <c r="B60" s="10" t="s">
        <v>177</v>
      </c>
      <c r="C60" s="11">
        <v>0.1137547220545084</v>
      </c>
      <c r="D60" s="11">
        <v>0.1137547213485529</v>
      </c>
      <c r="E60" s="11">
        <v>1.6481597972932301E-2</v>
      </c>
      <c r="F60" s="11">
        <v>0.40906197866317928</v>
      </c>
      <c r="G60" s="11">
        <v>43.333832174539566</v>
      </c>
    </row>
    <row r="61" spans="1:7" x14ac:dyDescent="0.45">
      <c r="A61" s="10">
        <v>1143.03</v>
      </c>
      <c r="B61" s="10" t="s">
        <v>181</v>
      </c>
      <c r="C61" s="11">
        <v>8.8351076723454297E-2</v>
      </c>
      <c r="D61" s="11">
        <v>8.8351076864675193E-2</v>
      </c>
      <c r="E61" s="11">
        <v>3.3252578404076999E-3</v>
      </c>
      <c r="F61" s="11">
        <v>0.31771047252671192</v>
      </c>
      <c r="G61" s="11">
        <v>9.4520030543208122</v>
      </c>
    </row>
    <row r="62" spans="1:7" x14ac:dyDescent="0.45">
      <c r="A62" s="10">
        <v>1143.04</v>
      </c>
      <c r="B62" s="10" t="s">
        <v>183</v>
      </c>
      <c r="C62" s="11">
        <v>0.87935003708703419</v>
      </c>
      <c r="D62" s="11">
        <v>0.87935007194252057</v>
      </c>
      <c r="E62" s="11">
        <v>6.5964557727826695E-2</v>
      </c>
      <c r="F62" s="11">
        <v>4.5664648497453602</v>
      </c>
      <c r="G62" s="11">
        <v>7.9419407993555069</v>
      </c>
    </row>
    <row r="63" spans="1:7" x14ac:dyDescent="0.45">
      <c r="A63" s="10">
        <v>1144.01</v>
      </c>
      <c r="B63" s="10" t="s">
        <v>186</v>
      </c>
      <c r="C63" s="11">
        <v>3.7517319975691557</v>
      </c>
      <c r="D63" s="11">
        <v>3.7517320021912806</v>
      </c>
      <c r="E63" s="11">
        <v>9.8812734098765398E-2</v>
      </c>
      <c r="F63" s="11">
        <v>2.8550680410159566</v>
      </c>
      <c r="G63" s="11">
        <v>36.662284284830093</v>
      </c>
    </row>
    <row r="64" spans="1:7" x14ac:dyDescent="0.45">
      <c r="A64" s="10">
        <v>1144.02</v>
      </c>
      <c r="B64" s="10" t="s">
        <v>189</v>
      </c>
      <c r="C64" s="11">
        <v>0.83018134701755075</v>
      </c>
      <c r="D64" s="11">
        <v>0.83018134575788394</v>
      </c>
      <c r="E64" s="11">
        <v>2.6670831347414398E-2</v>
      </c>
      <c r="F64" s="11">
        <v>0.6027116584680261</v>
      </c>
      <c r="G64" s="11">
        <v>45.890726149082184</v>
      </c>
    </row>
    <row r="65" spans="1:7" x14ac:dyDescent="0.45">
      <c r="A65" s="10">
        <v>1144.03</v>
      </c>
      <c r="B65" s="10" t="s">
        <v>193</v>
      </c>
      <c r="C65" s="11">
        <v>18.175391907190637</v>
      </c>
      <c r="D65" s="11">
        <v>18.175391962348975</v>
      </c>
      <c r="E65" s="11">
        <v>0.20244246398113849</v>
      </c>
      <c r="F65" s="11">
        <v>8.6514865326821564</v>
      </c>
      <c r="G65" s="11">
        <v>23.428650572896004</v>
      </c>
    </row>
    <row r="66" spans="1:7" x14ac:dyDescent="0.45">
      <c r="A66" s="10">
        <v>1145.01</v>
      </c>
      <c r="B66" s="10" t="s">
        <v>194</v>
      </c>
      <c r="C66" s="11">
        <v>1.0501349438359366</v>
      </c>
      <c r="D66" s="11">
        <v>1.0501349466035976</v>
      </c>
      <c r="E66" s="11">
        <v>0.1154094374493697</v>
      </c>
      <c r="F66" s="11">
        <v>3.8634464749565502</v>
      </c>
      <c r="G66" s="11">
        <v>27.175389230251312</v>
      </c>
    </row>
    <row r="67" spans="1:7" x14ac:dyDescent="0.45">
      <c r="A67" s="10">
        <v>1146.01</v>
      </c>
      <c r="B67" s="10" t="s">
        <v>197</v>
      </c>
      <c r="C67" s="11">
        <v>2.11656327062337E-2</v>
      </c>
      <c r="D67" s="11">
        <v>2.1165633083139099E-2</v>
      </c>
      <c r="E67" s="11">
        <v>1.6589240971093999E-3</v>
      </c>
      <c r="F67" s="11">
        <v>3.19812716251641E-2</v>
      </c>
      <c r="G67" s="11">
        <v>51.184646785259247</v>
      </c>
    </row>
    <row r="68" spans="1:7" x14ac:dyDescent="0.45">
      <c r="A68" s="10">
        <v>1147.01</v>
      </c>
      <c r="B68" s="10" t="s">
        <v>200</v>
      </c>
      <c r="C68" s="11">
        <v>3.8624752204331418</v>
      </c>
      <c r="D68" s="11">
        <v>3.8624752435394378</v>
      </c>
      <c r="E68" s="11">
        <v>0.15834372685907941</v>
      </c>
      <c r="F68" s="11">
        <v>5.341803270622945</v>
      </c>
      <c r="G68" s="11">
        <v>27.616661041975021</v>
      </c>
    </row>
    <row r="69" spans="1:7" x14ac:dyDescent="0.45">
      <c r="A69" s="10">
        <v>1151.01</v>
      </c>
      <c r="B69" s="10" t="s">
        <v>203</v>
      </c>
      <c r="C69" s="11">
        <v>0.68720156007753486</v>
      </c>
      <c r="D69" s="11">
        <v>0.6872015578665851</v>
      </c>
      <c r="E69" s="11">
        <v>0.12067439298676901</v>
      </c>
      <c r="F69" s="11">
        <v>4.9478512188531187</v>
      </c>
      <c r="G69" s="11">
        <v>33.959094434976578</v>
      </c>
    </row>
    <row r="70" spans="1:7" x14ac:dyDescent="0.45">
      <c r="A70" s="10">
        <v>1152.01</v>
      </c>
      <c r="B70" s="10" t="s">
        <v>206</v>
      </c>
      <c r="C70" s="11">
        <v>8.4622289681430402E-2</v>
      </c>
      <c r="D70" s="11">
        <v>8.4622289278846893E-2</v>
      </c>
      <c r="E70" s="11">
        <v>3.0265266728539998E-3</v>
      </c>
      <c r="F70" s="11">
        <v>0.61765808987364945</v>
      </c>
      <c r="G70" s="11">
        <v>4.9321823753416538</v>
      </c>
    </row>
    <row r="71" spans="1:7" x14ac:dyDescent="0.45">
      <c r="A71" s="10">
        <v>1152.02</v>
      </c>
      <c r="B71" s="10" t="s">
        <v>209</v>
      </c>
      <c r="C71" s="11">
        <v>8.2369878092576898E-2</v>
      </c>
      <c r="D71" s="11">
        <v>8.2369877535181393E-2</v>
      </c>
      <c r="E71" s="11">
        <v>4.2125076861719004E-3</v>
      </c>
      <c r="F71" s="11">
        <v>0.46646061722516757</v>
      </c>
      <c r="G71" s="11">
        <v>8.8270353153347969</v>
      </c>
    </row>
    <row r="72" spans="1:7" x14ac:dyDescent="0.45">
      <c r="A72" s="10">
        <v>1152.99</v>
      </c>
      <c r="B72" s="10" t="s">
        <v>487</v>
      </c>
      <c r="C72" s="11">
        <v>5.9757904443662E-3</v>
      </c>
      <c r="D72" s="11">
        <v>5.9757903902095E-3</v>
      </c>
      <c r="E72" s="11">
        <v>5.0527127693049997E-4</v>
      </c>
      <c r="F72" s="11">
        <v>4.36172942244911E-2</v>
      </c>
      <c r="G72" s="11">
        <v>12.330455705523491</v>
      </c>
    </row>
    <row r="73" spans="1:7" x14ac:dyDescent="0.45">
      <c r="A73" s="10">
        <v>1154.01</v>
      </c>
      <c r="B73" s="10" t="s">
        <v>213</v>
      </c>
      <c r="C73" s="11">
        <v>7.2011584752546796</v>
      </c>
      <c r="D73" s="11">
        <v>7.2011584534340836</v>
      </c>
      <c r="E73" s="11">
        <v>0.37021037326189249</v>
      </c>
      <c r="F73" s="11">
        <v>64.810426155024516</v>
      </c>
      <c r="G73" s="11">
        <v>5.5037555284798145</v>
      </c>
    </row>
    <row r="74" spans="1:7" x14ac:dyDescent="0.45">
      <c r="A74" s="10">
        <v>1154.02</v>
      </c>
      <c r="B74" s="10" t="s">
        <v>216</v>
      </c>
      <c r="C74" s="11">
        <v>2.16365759642786E-2</v>
      </c>
      <c r="D74" s="11">
        <v>2.1636575933553299E-2</v>
      </c>
      <c r="E74" s="11">
        <v>1.3049298400177E-3</v>
      </c>
      <c r="F74" s="11">
        <v>0.19472918421509791</v>
      </c>
      <c r="G74" s="11">
        <v>6.6277775913476944</v>
      </c>
    </row>
    <row r="75" spans="1:7" x14ac:dyDescent="0.45">
      <c r="A75" s="10">
        <v>1155.01</v>
      </c>
      <c r="B75" s="10" t="s">
        <v>217</v>
      </c>
      <c r="C75" s="11">
        <v>6.8872964625248195E-2</v>
      </c>
      <c r="D75" s="11">
        <v>6.8872964550777696E-2</v>
      </c>
      <c r="E75" s="11">
        <v>1.8094718842128E-3</v>
      </c>
      <c r="F75" s="11">
        <v>0.6198566773241484</v>
      </c>
      <c r="G75" s="11">
        <v>3.1080031767487526</v>
      </c>
    </row>
    <row r="76" spans="1:7" x14ac:dyDescent="0.45">
      <c r="A76" s="10">
        <v>1155.02</v>
      </c>
      <c r="B76" s="10" t="s">
        <v>218</v>
      </c>
      <c r="C76" s="11">
        <v>1.44654132727715E-2</v>
      </c>
      <c r="D76" s="11">
        <v>1.4465413284031701E-2</v>
      </c>
      <c r="E76" s="11">
        <v>2.4922439098850002E-4</v>
      </c>
      <c r="F76" s="11">
        <v>0.10415097507097661</v>
      </c>
      <c r="G76" s="11">
        <v>2.3857762571424246</v>
      </c>
    </row>
    <row r="77" spans="1:7" x14ac:dyDescent="0.45">
      <c r="A77" s="10">
        <v>1155.03</v>
      </c>
      <c r="B77" s="10" t="s">
        <v>219</v>
      </c>
      <c r="C77" s="11">
        <v>1.2016213745612901E-2</v>
      </c>
      <c r="D77" s="11">
        <v>1.2016213743932001E-2</v>
      </c>
      <c r="E77" s="11">
        <v>7.1913581162639996E-4</v>
      </c>
      <c r="F77" s="11">
        <v>0.1081459234268741</v>
      </c>
      <c r="G77" s="11">
        <v>6.6666663624346256</v>
      </c>
    </row>
    <row r="78" spans="1:7" x14ac:dyDescent="0.45">
      <c r="A78" s="10">
        <v>1159.99</v>
      </c>
      <c r="B78" s="10" t="s">
        <v>222</v>
      </c>
      <c r="C78" s="11">
        <v>9.67043972157276E-2</v>
      </c>
      <c r="D78" s="11">
        <v>9.6704397050190002E-2</v>
      </c>
      <c r="E78" s="11">
        <v>6.0560457881902998E-3</v>
      </c>
      <c r="F78" s="11">
        <v>0.87033957705753517</v>
      </c>
      <c r="G78" s="11">
        <v>7.7700074762105942</v>
      </c>
    </row>
    <row r="79" spans="1:7" x14ac:dyDescent="0.45">
      <c r="A79" s="10">
        <v>1161.01</v>
      </c>
      <c r="B79" s="10" t="s">
        <v>223</v>
      </c>
      <c r="C79" s="11">
        <v>1.8692445227794861</v>
      </c>
      <c r="D79" s="11">
        <v>1.8641975874115833</v>
      </c>
      <c r="E79" s="11">
        <v>3.0132141492088201E-2</v>
      </c>
      <c r="F79" s="11">
        <v>0.83702470952902375</v>
      </c>
      <c r="G79" s="11">
        <v>27.082236483693123</v>
      </c>
    </row>
    <row r="80" spans="1:7" x14ac:dyDescent="0.45">
      <c r="A80" s="10">
        <v>1162.01</v>
      </c>
      <c r="B80" s="10" t="s">
        <v>226</v>
      </c>
      <c r="C80" s="11">
        <v>1.4182962402542825</v>
      </c>
      <c r="D80" s="11">
        <v>1.4131903571032163</v>
      </c>
      <c r="E80" s="11">
        <v>2.5736073665349201E-2</v>
      </c>
      <c r="F80" s="11">
        <v>1.4047112149229419</v>
      </c>
      <c r="G80" s="11">
        <v>17.156103625893593</v>
      </c>
    </row>
    <row r="81" spans="1:7" x14ac:dyDescent="0.45">
      <c r="A81" s="10">
        <v>1163.01</v>
      </c>
      <c r="B81" s="10" t="s">
        <v>229</v>
      </c>
      <c r="C81" s="11">
        <v>2.1008883141762786</v>
      </c>
      <c r="D81" s="11">
        <v>2.098787381394839</v>
      </c>
      <c r="E81" s="11">
        <v>4.0498894244546502E-2</v>
      </c>
      <c r="F81" s="11">
        <v>1.112357314681413</v>
      </c>
      <c r="G81" s="11">
        <v>33.345360308885574</v>
      </c>
    </row>
    <row r="82" spans="1:7" x14ac:dyDescent="0.45">
      <c r="A82" s="10">
        <v>1164.01</v>
      </c>
      <c r="B82" s="10" t="s">
        <v>232</v>
      </c>
      <c r="C82" s="11">
        <v>0.11253258390869</v>
      </c>
      <c r="D82" s="11">
        <v>0.1125325875694182</v>
      </c>
      <c r="E82" s="11">
        <v>2.3881667427664999E-3</v>
      </c>
      <c r="F82" s="11">
        <v>6.5538978624317901E-2</v>
      </c>
      <c r="G82" s="11">
        <v>34.329216927289963</v>
      </c>
    </row>
    <row r="83" spans="1:7" x14ac:dyDescent="0.45">
      <c r="A83" s="10">
        <v>1165.01</v>
      </c>
      <c r="B83" s="10" t="s">
        <v>234</v>
      </c>
      <c r="C83" s="11">
        <v>5.8163921273467097E-2</v>
      </c>
      <c r="D83" s="11">
        <v>5.8163921273467097E-2</v>
      </c>
      <c r="E83" s="11">
        <v>1.6280176152120001E-3</v>
      </c>
      <c r="F83" s="11">
        <v>2.8820222845028699E-2</v>
      </c>
      <c r="G83" s="11">
        <v>56.488722562789917</v>
      </c>
    </row>
    <row r="84" spans="1:7" x14ac:dyDescent="0.45">
      <c r="A84" s="10">
        <v>1165.02</v>
      </c>
      <c r="B84" s="10" t="s">
        <v>236</v>
      </c>
      <c r="C84" s="11">
        <v>3.73094357256753E-2</v>
      </c>
      <c r="D84" s="11">
        <v>3.7201238021861802E-2</v>
      </c>
      <c r="E84" s="11">
        <v>1.8722728755002E-3</v>
      </c>
      <c r="F84" s="11">
        <v>7.0979961085334595E-2</v>
      </c>
      <c r="G84" s="11">
        <v>17.262443900108337</v>
      </c>
    </row>
    <row r="85" spans="1:7" x14ac:dyDescent="0.45">
      <c r="A85" s="10">
        <v>1165.04</v>
      </c>
      <c r="B85" s="10" t="s">
        <v>241</v>
      </c>
      <c r="C85" s="11">
        <v>0.4881911868887357</v>
      </c>
      <c r="D85" s="11">
        <v>0.48677543122134331</v>
      </c>
      <c r="E85" s="11">
        <v>3.4128758477960701E-2</v>
      </c>
      <c r="F85" s="11">
        <v>0.37384352913739949</v>
      </c>
      <c r="G85" s="11">
        <v>118.73746663331985</v>
      </c>
    </row>
    <row r="86" spans="1:7" x14ac:dyDescent="0.45">
      <c r="A86" s="10">
        <v>1165.05</v>
      </c>
      <c r="B86" s="10" t="s">
        <v>244</v>
      </c>
      <c r="C86" s="11">
        <v>4.5728194959953297E-2</v>
      </c>
      <c r="D86" s="11">
        <v>4.5728195606791998E-2</v>
      </c>
      <c r="E86" s="11">
        <v>2.5367527104398199E-2</v>
      </c>
      <c r="F86" s="11">
        <v>2.2040990517268499E-2</v>
      </c>
      <c r="G86" s="11">
        <v>111.84347420930862</v>
      </c>
    </row>
    <row r="87" spans="1:7" x14ac:dyDescent="0.45">
      <c r="A87" s="10">
        <v>1165.06</v>
      </c>
      <c r="B87" s="10" t="s">
        <v>246</v>
      </c>
      <c r="C87" s="11">
        <v>0.19633895313506761</v>
      </c>
      <c r="D87" s="11">
        <v>0.19610334495132131</v>
      </c>
      <c r="E87" s="11">
        <v>5.3111047806615004E-3</v>
      </c>
      <c r="F87" s="11">
        <v>9.4717916753566805E-2</v>
      </c>
      <c r="G87" s="11">
        <v>56.02380633354187</v>
      </c>
    </row>
    <row r="88" spans="1:7" x14ac:dyDescent="0.45">
      <c r="A88" s="10">
        <v>1166.01</v>
      </c>
      <c r="B88" s="10" t="s">
        <v>248</v>
      </c>
      <c r="C88" s="11">
        <v>4.0864180869743999E-2</v>
      </c>
      <c r="D88" s="11">
        <v>4.0847832232951499E-2</v>
      </c>
      <c r="E88" s="11">
        <v>1.4468763803E-3</v>
      </c>
      <c r="F88" s="11">
        <v>1.40516548538065E-2</v>
      </c>
      <c r="G88" s="11">
        <v>290.81398248672485</v>
      </c>
    </row>
    <row r="89" spans="1:7" x14ac:dyDescent="0.45">
      <c r="A89" s="10">
        <v>1166.02</v>
      </c>
      <c r="B89" s="10" t="s">
        <v>250</v>
      </c>
      <c r="C89" s="11">
        <v>1.210316490854E-4</v>
      </c>
      <c r="D89" s="11">
        <v>1.210195518978E-4</v>
      </c>
      <c r="E89" s="11">
        <v>7.0515755022000004E-6</v>
      </c>
      <c r="F89" s="11">
        <v>4.2356842652000002E-5</v>
      </c>
      <c r="G89" s="11">
        <v>163.28161954879761</v>
      </c>
    </row>
    <row r="90" spans="1:7" x14ac:dyDescent="0.45">
      <c r="A90" s="10">
        <v>1166.03</v>
      </c>
      <c r="B90" s="10" t="s">
        <v>252</v>
      </c>
      <c r="C90" s="11">
        <v>5.3005376803310897E-2</v>
      </c>
      <c r="D90" s="11">
        <v>5.3005376768511303E-2</v>
      </c>
      <c r="E90" s="11">
        <v>3.1926161713649999E-4</v>
      </c>
      <c r="F90" s="11">
        <v>4.0612718967443298E-2</v>
      </c>
      <c r="G90" s="11">
        <v>92.861004173755646</v>
      </c>
    </row>
    <row r="91" spans="1:7" x14ac:dyDescent="0.45">
      <c r="A91" s="10">
        <v>1166.04</v>
      </c>
      <c r="B91" s="10" t="s">
        <v>254</v>
      </c>
      <c r="C91" s="11">
        <v>0.34236801238490572</v>
      </c>
      <c r="D91" s="11">
        <v>0.34236801155569901</v>
      </c>
      <c r="E91" s="11">
        <v>1.17404341543793E-2</v>
      </c>
      <c r="F91" s="11">
        <v>0.1140085485642118</v>
      </c>
      <c r="G91" s="11">
        <v>113.24673891067505</v>
      </c>
    </row>
    <row r="92" spans="1:7" x14ac:dyDescent="0.45">
      <c r="A92" s="10">
        <v>1166.05</v>
      </c>
      <c r="B92" s="10" t="s">
        <v>257</v>
      </c>
      <c r="C92" s="11">
        <v>0.20432941180631031</v>
      </c>
      <c r="D92" s="11">
        <v>0.203879886909273</v>
      </c>
      <c r="E92" s="11">
        <v>3.7020203504486001E-3</v>
      </c>
      <c r="F92" s="11">
        <v>0.1158037755381315</v>
      </c>
      <c r="G92" s="11">
        <v>18.085744231939316</v>
      </c>
    </row>
    <row r="93" spans="1:7" x14ac:dyDescent="0.45">
      <c r="A93" s="10">
        <v>1166.06</v>
      </c>
      <c r="B93" s="10" t="s">
        <v>260</v>
      </c>
      <c r="C93" s="11">
        <v>2.5601529207682199E-2</v>
      </c>
      <c r="D93" s="11">
        <v>2.5601529077809201E-2</v>
      </c>
      <c r="E93" s="11">
        <v>2.3342193676520002E-3</v>
      </c>
      <c r="F93" s="11">
        <v>3.85968655643842E-2</v>
      </c>
      <c r="G93" s="11">
        <v>60.476914048194885</v>
      </c>
    </row>
    <row r="94" spans="1:7" x14ac:dyDescent="0.45">
      <c r="A94" s="10">
        <v>1167.01</v>
      </c>
      <c r="B94" s="10" t="s">
        <v>264</v>
      </c>
      <c r="C94" s="11">
        <v>0.68616181638988905</v>
      </c>
      <c r="D94" s="11">
        <v>0.68245655220035983</v>
      </c>
      <c r="E94" s="11">
        <v>1.2483543578190001E-2</v>
      </c>
      <c r="F94" s="11">
        <v>0.19450011521349231</v>
      </c>
      <c r="G94" s="11">
        <v>91.87549352645874</v>
      </c>
    </row>
    <row r="95" spans="1:7" x14ac:dyDescent="0.45">
      <c r="A95" s="10">
        <v>1167.02</v>
      </c>
      <c r="B95" s="10" t="s">
        <v>267</v>
      </c>
      <c r="C95" s="11">
        <v>6.9458334069334331</v>
      </c>
      <c r="D95" s="11">
        <v>6.9083259718116601</v>
      </c>
      <c r="E95" s="11">
        <v>0.1621118437653507</v>
      </c>
      <c r="F95" s="11">
        <v>1.9688728921517429</v>
      </c>
      <c r="G95" s="11">
        <v>74.670448899269104</v>
      </c>
    </row>
    <row r="96" spans="1:7" x14ac:dyDescent="0.45">
      <c r="A96" s="10">
        <v>1167.03</v>
      </c>
      <c r="B96" s="10" t="s">
        <v>268</v>
      </c>
      <c r="C96" s="11">
        <v>6.3549914450988204E-2</v>
      </c>
      <c r="D96" s="11">
        <v>6.3238521479103194E-2</v>
      </c>
      <c r="E96" s="11">
        <v>9.5279734268229998E-4</v>
      </c>
      <c r="F96" s="11">
        <v>3.4148801667612798E-2</v>
      </c>
      <c r="G96" s="11">
        <v>23.540263995528221</v>
      </c>
    </row>
    <row r="97" spans="1:7" x14ac:dyDescent="0.45">
      <c r="A97" s="10">
        <v>1167.99</v>
      </c>
      <c r="B97" s="10" t="s">
        <v>271</v>
      </c>
      <c r="C97" s="11">
        <v>6.5685319577385003E-3</v>
      </c>
      <c r="D97" s="11">
        <v>6.5370025350513002E-3</v>
      </c>
      <c r="E97" s="11">
        <v>6.5882965930500004E-5</v>
      </c>
      <c r="F97" s="11">
        <v>4.9092889296283998E-3</v>
      </c>
      <c r="G97" s="11">
        <v>13.420063070952892</v>
      </c>
    </row>
    <row r="98" spans="1:7" x14ac:dyDescent="0.45">
      <c r="A98" s="10">
        <v>1168.01</v>
      </c>
      <c r="B98" s="10" t="s">
        <v>273</v>
      </c>
      <c r="C98" s="11">
        <v>0.5165974844976825</v>
      </c>
      <c r="D98" s="11">
        <v>0.51659747855759608</v>
      </c>
      <c r="E98" s="11">
        <v>3.1281651765844402E-2</v>
      </c>
      <c r="F98" s="11">
        <v>3.1434956869823987</v>
      </c>
      <c r="G98" s="11">
        <v>12.363285757601261</v>
      </c>
    </row>
    <row r="99" spans="1:7" x14ac:dyDescent="0.45">
      <c r="A99" s="10">
        <v>1168.02</v>
      </c>
      <c r="B99" s="10" t="s">
        <v>488</v>
      </c>
      <c r="C99" s="11">
        <v>0.13537327420391451</v>
      </c>
      <c r="D99" s="11">
        <v>0.13527851083798539</v>
      </c>
      <c r="E99" s="11">
        <v>5.6695877839979996E-3</v>
      </c>
      <c r="F99" s="11">
        <v>6.3986735149653001E-2</v>
      </c>
      <c r="G99" s="11">
        <v>105.78229278326035</v>
      </c>
    </row>
    <row r="100" spans="1:7" x14ac:dyDescent="0.45">
      <c r="A100" s="10">
        <v>1168.03</v>
      </c>
      <c r="B100" s="10" t="s">
        <v>279</v>
      </c>
      <c r="C100" s="11">
        <v>6.43686089927238E-2</v>
      </c>
      <c r="D100" s="11">
        <v>6.4304239151801806E-2</v>
      </c>
      <c r="E100" s="11">
        <v>3.5077562380557998E-3</v>
      </c>
      <c r="F100" s="11">
        <v>3.4081246974818201E-2</v>
      </c>
      <c r="G100" s="11">
        <v>96.247196197509766</v>
      </c>
    </row>
    <row r="101" spans="1:7" x14ac:dyDescent="0.45">
      <c r="A101" s="10">
        <v>1168.04</v>
      </c>
      <c r="B101" s="10" t="s">
        <v>280</v>
      </c>
      <c r="C101" s="11">
        <v>0.36034108179150481</v>
      </c>
      <c r="D101" s="11">
        <v>0.35936815403257638</v>
      </c>
      <c r="E101" s="11">
        <v>1.8121324910687E-3</v>
      </c>
      <c r="F101" s="11">
        <v>0.1613563030074634</v>
      </c>
      <c r="G101" s="11">
        <v>10.145841166377068</v>
      </c>
    </row>
    <row r="102" spans="1:7" x14ac:dyDescent="0.45">
      <c r="A102" s="10">
        <v>1168.08</v>
      </c>
      <c r="B102" s="10" t="s">
        <v>282</v>
      </c>
      <c r="C102" s="11">
        <v>1.1131355252374833</v>
      </c>
      <c r="D102" s="11">
        <v>1.1131355237439635</v>
      </c>
      <c r="E102" s="11">
        <v>2.3075635290094001E-2</v>
      </c>
      <c r="F102" s="11">
        <v>4.1865027175404546</v>
      </c>
      <c r="G102" s="11">
        <v>5.3177345544099808</v>
      </c>
    </row>
    <row r="103" spans="1:7" x14ac:dyDescent="0.45">
      <c r="A103" s="10">
        <v>1168.0899999999999</v>
      </c>
      <c r="B103" s="10" t="s">
        <v>285</v>
      </c>
      <c r="C103" s="11">
        <v>0.28711702616718748</v>
      </c>
      <c r="D103" s="11">
        <v>0.28711702451577747</v>
      </c>
      <c r="E103" s="11">
        <v>1.01045008072206E-2</v>
      </c>
      <c r="F103" s="11">
        <v>1.6598234993704024</v>
      </c>
      <c r="G103" s="11">
        <v>6.5897316671907902</v>
      </c>
    </row>
    <row r="104" spans="1:7" x14ac:dyDescent="0.45">
      <c r="A104" s="10">
        <v>1168.0999999999999</v>
      </c>
      <c r="B104" s="10" t="s">
        <v>288</v>
      </c>
      <c r="C104" s="11">
        <v>9.4489734222270097E-2</v>
      </c>
      <c r="D104" s="11">
        <v>9.4489733755664496E-2</v>
      </c>
      <c r="E104" s="11">
        <v>5.1654478289529003E-3</v>
      </c>
      <c r="F104" s="11">
        <v>0.54624515309659627</v>
      </c>
      <c r="G104" s="11">
        <v>12.273923493921757</v>
      </c>
    </row>
    <row r="105" spans="1:7" x14ac:dyDescent="0.45">
      <c r="A105" s="10">
        <v>1168.1099999999999</v>
      </c>
      <c r="B105" s="10" t="s">
        <v>289</v>
      </c>
      <c r="C105" s="11">
        <v>6.0388060789410003E-2</v>
      </c>
      <c r="D105" s="11">
        <v>6.0218976472165398E-2</v>
      </c>
      <c r="E105" s="11">
        <v>3.0194031119619999E-4</v>
      </c>
      <c r="F105" s="11">
        <v>0.18149999583175869</v>
      </c>
      <c r="G105" s="11">
        <v>1.6635830979794264</v>
      </c>
    </row>
    <row r="106" spans="1:7" x14ac:dyDescent="0.45">
      <c r="A106" s="10">
        <v>1168.1400000000001</v>
      </c>
      <c r="B106" s="10" t="s">
        <v>292</v>
      </c>
      <c r="C106" s="11">
        <v>0.54100429813208162</v>
      </c>
      <c r="D106" s="11">
        <v>0.53867797421800112</v>
      </c>
      <c r="E106" s="11">
        <v>4.3770706523994004E-3</v>
      </c>
      <c r="F106" s="11">
        <v>0.60278065252184609</v>
      </c>
      <c r="G106" s="11">
        <v>4.4875717721879482</v>
      </c>
    </row>
    <row r="107" spans="1:7" x14ac:dyDescent="0.45">
      <c r="A107" s="10">
        <v>1168.1600000000001</v>
      </c>
      <c r="B107" s="10" t="s">
        <v>489</v>
      </c>
      <c r="C107" s="11">
        <v>2.4591002020645999E-3</v>
      </c>
      <c r="D107" s="11">
        <v>2.4591002020645999E-3</v>
      </c>
      <c r="E107" s="11">
        <v>3.4946574149159998E-4</v>
      </c>
      <c r="F107" s="11">
        <v>8.7939882257465993E-3</v>
      </c>
      <c r="G107" s="11">
        <v>47.762475907802582</v>
      </c>
    </row>
    <row r="108" spans="1:7" x14ac:dyDescent="0.45">
      <c r="A108" s="10">
        <v>1168.17</v>
      </c>
      <c r="B108" s="10" t="s">
        <v>298</v>
      </c>
      <c r="C108" s="11">
        <v>2.08013211545124E-2</v>
      </c>
      <c r="D108" s="11">
        <v>2.08013211312571E-2</v>
      </c>
      <c r="E108" s="11">
        <v>2.8766181369546998E-3</v>
      </c>
      <c r="F108" s="11">
        <v>0.12806333338071479</v>
      </c>
      <c r="G108" s="11">
        <v>10.828663595020771</v>
      </c>
    </row>
    <row r="109" spans="1:7" x14ac:dyDescent="0.45">
      <c r="A109" s="10">
        <v>1168.22</v>
      </c>
      <c r="B109" s="10" t="s">
        <v>304</v>
      </c>
      <c r="C109" s="11">
        <v>8.3977713374723997E-2</v>
      </c>
      <c r="D109" s="11">
        <v>8.3977713372662299E-2</v>
      </c>
      <c r="E109" s="11">
        <v>2.5564774565307001E-3</v>
      </c>
      <c r="F109" s="11">
        <v>0.28426455348091317</v>
      </c>
      <c r="G109" s="11">
        <v>11.580502614378929</v>
      </c>
    </row>
    <row r="110" spans="1:7" x14ac:dyDescent="0.45">
      <c r="A110" s="10">
        <v>1168.99</v>
      </c>
      <c r="B110" s="10" t="s">
        <v>307</v>
      </c>
      <c r="C110" s="11">
        <v>8.8869982316550997E-3</v>
      </c>
      <c r="D110" s="11">
        <v>8.8869982316550997E-3</v>
      </c>
      <c r="E110" s="11">
        <v>1.1982370034046E-3</v>
      </c>
      <c r="F110" s="11">
        <v>2.2648514804342899E-2</v>
      </c>
      <c r="G110" s="11">
        <v>53.331397473812103</v>
      </c>
    </row>
    <row r="111" spans="1:7" x14ac:dyDescent="0.45">
      <c r="A111" s="10">
        <v>1169.01</v>
      </c>
      <c r="B111" s="10" t="s">
        <v>309</v>
      </c>
      <c r="C111" s="11">
        <v>2.6272375200165898E-2</v>
      </c>
      <c r="D111" s="11">
        <v>2.62723749222353E-2</v>
      </c>
      <c r="E111" s="11">
        <v>8.7261816924179996E-4</v>
      </c>
      <c r="F111" s="11">
        <v>1.981462523764E-2</v>
      </c>
      <c r="G111" s="11">
        <v>44.039096683263779</v>
      </c>
    </row>
    <row r="112" spans="1:7" x14ac:dyDescent="0.45">
      <c r="A112" s="10">
        <v>1169.08</v>
      </c>
      <c r="B112" s="10" t="s">
        <v>313</v>
      </c>
      <c r="C112" s="11">
        <v>0.41703355715810952</v>
      </c>
      <c r="D112" s="11">
        <v>0.41703355759951127</v>
      </c>
      <c r="E112" s="11">
        <v>1.1861114578973E-2</v>
      </c>
      <c r="F112" s="11">
        <v>0.31452671182961123</v>
      </c>
      <c r="G112" s="11">
        <v>33.147707581520081</v>
      </c>
    </row>
    <row r="113" spans="1:7" x14ac:dyDescent="0.45">
      <c r="A113" s="10">
        <v>1169.99</v>
      </c>
      <c r="B113" s="10" t="s">
        <v>314</v>
      </c>
      <c r="C113" s="11">
        <v>3.775367070029477</v>
      </c>
      <c r="D113" s="11">
        <v>3.7753670865333362</v>
      </c>
      <c r="E113" s="11">
        <v>5.4483614868410302E-2</v>
      </c>
      <c r="F113" s="11">
        <v>4.0913652824737214</v>
      </c>
      <c r="G113" s="11">
        <v>9.1933002695441246</v>
      </c>
    </row>
    <row r="114" spans="1:7" x14ac:dyDescent="0.45">
      <c r="A114" s="10">
        <v>1171.01</v>
      </c>
      <c r="B114" s="10" t="s">
        <v>316</v>
      </c>
      <c r="C114" s="11">
        <v>0.20049986247879739</v>
      </c>
      <c r="D114" s="11">
        <v>0.1998983629240155</v>
      </c>
      <c r="E114" s="11">
        <v>7.2492740586742E-3</v>
      </c>
      <c r="F114" s="11">
        <v>3.47823148420148E-2</v>
      </c>
      <c r="G114" s="11">
        <v>190.07863104343414</v>
      </c>
    </row>
    <row r="115" spans="1:7" x14ac:dyDescent="0.45">
      <c r="A115" s="10">
        <v>1171.02</v>
      </c>
      <c r="B115" s="10" t="s">
        <v>319</v>
      </c>
      <c r="C115" s="11">
        <v>12.999491016306397</v>
      </c>
      <c r="D115" s="11">
        <v>12.963092424468128</v>
      </c>
      <c r="E115" s="11">
        <v>0.53530909316787567</v>
      </c>
      <c r="F115" s="11">
        <v>3.6037396930744126</v>
      </c>
      <c r="G115" s="11">
        <v>157.69027173519135</v>
      </c>
    </row>
    <row r="116" spans="1:7" x14ac:dyDescent="0.45">
      <c r="A116" s="10">
        <v>1171.99</v>
      </c>
      <c r="B116" s="10" t="s">
        <v>324</v>
      </c>
      <c r="C116" s="11">
        <v>0.2025239610769011</v>
      </c>
      <c r="D116" s="11">
        <v>0.2025239474865311</v>
      </c>
      <c r="E116" s="11">
        <v>1.4946515050691001E-3</v>
      </c>
      <c r="F116" s="11">
        <v>6.7217700445835402E-2</v>
      </c>
      <c r="G116" s="11">
        <v>36.155465990304947</v>
      </c>
    </row>
    <row r="117" spans="1:7" x14ac:dyDescent="0.45">
      <c r="A117" s="10">
        <v>1172.01</v>
      </c>
      <c r="B117" s="10" t="s">
        <v>326</v>
      </c>
      <c r="C117" s="11">
        <v>3.97300086156267E-2</v>
      </c>
      <c r="D117" s="11">
        <v>3.9730008453625003E-2</v>
      </c>
      <c r="E117" s="11">
        <v>3.0598416940835001E-3</v>
      </c>
      <c r="F117" s="11">
        <v>1.4290884135137001E-2</v>
      </c>
      <c r="G117" s="11">
        <v>263.34443688392639</v>
      </c>
    </row>
    <row r="118" spans="1:7" x14ac:dyDescent="0.45">
      <c r="A118" s="10">
        <v>1172.02</v>
      </c>
      <c r="B118" s="10" t="s">
        <v>328</v>
      </c>
      <c r="C118" s="11">
        <v>4.5810408635428477</v>
      </c>
      <c r="D118" s="11">
        <v>4.571878691915221</v>
      </c>
      <c r="E118" s="11">
        <v>5.6665637400910802E-2</v>
      </c>
      <c r="F118" s="11">
        <v>1.2481228885350608</v>
      </c>
      <c r="G118" s="11">
        <v>36.703445017337799</v>
      </c>
    </row>
    <row r="119" spans="1:7" x14ac:dyDescent="0.45">
      <c r="A119" s="10">
        <v>1172.03</v>
      </c>
      <c r="B119" s="10" t="s">
        <v>331</v>
      </c>
      <c r="C119" s="11">
        <v>3.27531534388791E-2</v>
      </c>
      <c r="D119" s="11">
        <v>3.2753152739885598E-2</v>
      </c>
      <c r="E119" s="11">
        <v>1.4682747779649001E-3</v>
      </c>
      <c r="F119" s="11">
        <v>8.5420222347847002E-3</v>
      </c>
      <c r="G119" s="11">
        <v>191.71778857707977</v>
      </c>
    </row>
    <row r="120" spans="1:7" x14ac:dyDescent="0.45">
      <c r="A120" s="10">
        <v>1173.02</v>
      </c>
      <c r="B120" s="10" t="s">
        <v>335</v>
      </c>
      <c r="C120" s="11">
        <v>3.2491276687476298</v>
      </c>
      <c r="D120" s="11">
        <v>3.2436041558211599</v>
      </c>
      <c r="E120" s="11">
        <v>0.20544997294644049</v>
      </c>
      <c r="F120" s="11">
        <v>1.2844672463896187</v>
      </c>
      <c r="G120" s="11">
        <v>163.51333260536194</v>
      </c>
    </row>
    <row r="121" spans="1:7" x14ac:dyDescent="0.45">
      <c r="A121" s="10">
        <v>1173.03</v>
      </c>
      <c r="B121" s="10" t="s">
        <v>338</v>
      </c>
      <c r="C121" s="11">
        <v>0.55967749705449299</v>
      </c>
      <c r="D121" s="11">
        <v>0.55861409541981843</v>
      </c>
      <c r="E121" s="11">
        <v>1.46380721658213E-2</v>
      </c>
      <c r="F121" s="11">
        <v>8.4350729039719893E-2</v>
      </c>
      <c r="G121" s="11">
        <v>173.12437295913696</v>
      </c>
    </row>
    <row r="122" spans="1:7" x14ac:dyDescent="0.45">
      <c r="A122" s="10">
        <v>1173.04</v>
      </c>
      <c r="B122" s="10" t="s">
        <v>341</v>
      </c>
      <c r="C122" s="11">
        <v>0.49326257332953738</v>
      </c>
      <c r="D122" s="11">
        <v>0.49242403826635672</v>
      </c>
      <c r="E122" s="11">
        <v>1.2447752978082999E-2</v>
      </c>
      <c r="F122" s="11">
        <v>0.12901509788216789</v>
      </c>
      <c r="G122" s="11">
        <v>76.445557177066803</v>
      </c>
    </row>
    <row r="123" spans="1:7" x14ac:dyDescent="0.45">
      <c r="A123" s="10">
        <v>1173.05</v>
      </c>
      <c r="B123" s="10" t="s">
        <v>490</v>
      </c>
      <c r="C123" s="11">
        <v>0.29111079037747922</v>
      </c>
      <c r="D123" s="11">
        <v>0.28898568043233441</v>
      </c>
      <c r="E123" s="11">
        <v>1.0206275938534201E-2</v>
      </c>
      <c r="F123" s="11">
        <v>0.13033254293776339</v>
      </c>
      <c r="G123" s="11">
        <v>44.648192822933197</v>
      </c>
    </row>
    <row r="124" spans="1:7" x14ac:dyDescent="0.45">
      <c r="A124" s="10">
        <v>1173.06</v>
      </c>
      <c r="B124" s="10" t="s">
        <v>347</v>
      </c>
      <c r="C124" s="11">
        <v>0.85041336894151554</v>
      </c>
      <c r="D124" s="11">
        <v>0.85041337162881858</v>
      </c>
      <c r="E124" s="11">
        <v>1.27251902042811E-2</v>
      </c>
      <c r="F124" s="11">
        <v>0.80091931376744152</v>
      </c>
      <c r="G124" s="11">
        <v>16.359532251954079</v>
      </c>
    </row>
    <row r="125" spans="1:7" x14ac:dyDescent="0.45">
      <c r="A125" s="10">
        <v>1173.07</v>
      </c>
      <c r="B125" s="10" t="s">
        <v>349</v>
      </c>
      <c r="C125" s="11">
        <v>0.1040786449729612</v>
      </c>
      <c r="D125" s="11">
        <v>0.104078644379129</v>
      </c>
      <c r="E125" s="11">
        <v>2.8153810851383001E-3</v>
      </c>
      <c r="F125" s="11">
        <v>7.5852515603807194E-2</v>
      </c>
      <c r="G125" s="11">
        <v>36.812935024499893</v>
      </c>
    </row>
    <row r="126" spans="1:7" x14ac:dyDescent="0.45">
      <c r="A126" s="10">
        <v>1173.08</v>
      </c>
      <c r="B126" s="10" t="s">
        <v>351</v>
      </c>
      <c r="C126" s="11">
        <v>6.024301970274851</v>
      </c>
      <c r="D126" s="11">
        <v>5.9821318275852464</v>
      </c>
      <c r="E126" s="11">
        <v>7.7385411315993996E-2</v>
      </c>
      <c r="F126" s="11">
        <v>1.7049075790806052</v>
      </c>
      <c r="G126" s="11">
        <v>45.374125242233276</v>
      </c>
    </row>
    <row r="127" spans="1:7" x14ac:dyDescent="0.45">
      <c r="A127" s="10">
        <v>1173.0899999999999</v>
      </c>
      <c r="B127" s="10" t="s">
        <v>354</v>
      </c>
      <c r="C127" s="11">
        <v>7.1059196246643417</v>
      </c>
      <c r="D127" s="11">
        <v>7.0995243486244659</v>
      </c>
      <c r="E127" s="11">
        <v>0.1104954793102229</v>
      </c>
      <c r="F127" s="11">
        <v>1.547696303405858</v>
      </c>
      <c r="G127" s="11">
        <v>63.328109681606293</v>
      </c>
    </row>
    <row r="128" spans="1:7" x14ac:dyDescent="0.45">
      <c r="A128" s="10">
        <v>1174.02</v>
      </c>
      <c r="B128" s="10" t="s">
        <v>359</v>
      </c>
      <c r="C128" s="11">
        <v>0.68227972475820331</v>
      </c>
      <c r="D128" s="11">
        <v>0.68125630959837669</v>
      </c>
      <c r="E128" s="11">
        <v>1.16036705061819E-2</v>
      </c>
      <c r="F128" s="11">
        <v>0.2989352675945654</v>
      </c>
      <c r="G128" s="11">
        <v>35.550065338611603</v>
      </c>
    </row>
    <row r="129" spans="1:7" x14ac:dyDescent="0.45">
      <c r="A129" s="10">
        <v>1174.03</v>
      </c>
      <c r="B129" s="10" t="s">
        <v>361</v>
      </c>
      <c r="C129" s="11">
        <v>2.2349347409702891</v>
      </c>
      <c r="D129" s="11">
        <v>2.2324762903579614</v>
      </c>
      <c r="E129" s="11">
        <v>3.16588386026809E-2</v>
      </c>
      <c r="F129" s="11">
        <v>0.79699403900699495</v>
      </c>
      <c r="G129" s="11">
        <v>41.098348796367645</v>
      </c>
    </row>
    <row r="130" spans="1:7" x14ac:dyDescent="0.45">
      <c r="A130" s="10">
        <v>1174.06</v>
      </c>
      <c r="B130" s="10" t="s">
        <v>366</v>
      </c>
      <c r="C130" s="11">
        <v>6.9061112346653175</v>
      </c>
      <c r="D130" s="11">
        <v>6.8998956376362743</v>
      </c>
      <c r="E130" s="11">
        <v>8.7077728114720407E-2</v>
      </c>
      <c r="F130" s="11">
        <v>2.5184619368136043</v>
      </c>
      <c r="G130" s="11">
        <v>32.905671745538712</v>
      </c>
    </row>
    <row r="131" spans="1:7" x14ac:dyDescent="0.45">
      <c r="A131" s="10">
        <v>1174.08</v>
      </c>
      <c r="B131" s="10" t="s">
        <v>369</v>
      </c>
      <c r="C131" s="11">
        <v>1.3074305519251001E-3</v>
      </c>
      <c r="D131" s="11">
        <v>1.3074304215074E-3</v>
      </c>
      <c r="E131" s="11">
        <v>1.5689165956599999E-5</v>
      </c>
      <c r="F131" s="11">
        <v>1.1649205626468001E-3</v>
      </c>
      <c r="G131" s="11">
        <v>13.468013145029545</v>
      </c>
    </row>
    <row r="132" spans="1:7" x14ac:dyDescent="0.45">
      <c r="A132" s="10">
        <v>1174.0899999999999</v>
      </c>
      <c r="B132" s="10" t="s">
        <v>372</v>
      </c>
      <c r="C132" s="11">
        <v>0.13045222063228579</v>
      </c>
      <c r="D132" s="11">
        <v>0.1304522184436879</v>
      </c>
      <c r="E132" s="11">
        <v>9.5919036845845997E-3</v>
      </c>
      <c r="F132" s="11">
        <v>4.6401854510899898E-2</v>
      </c>
      <c r="G132" s="11">
        <v>224.3463546037674</v>
      </c>
    </row>
    <row r="133" spans="1:7" x14ac:dyDescent="0.45">
      <c r="A133" s="10">
        <v>1175.01</v>
      </c>
      <c r="B133" s="10" t="s">
        <v>374</v>
      </c>
      <c r="C133" s="11">
        <v>3.4039268696254044</v>
      </c>
      <c r="D133" s="11">
        <v>3.4039268687098536</v>
      </c>
      <c r="E133" s="11">
        <v>0.10301531042537609</v>
      </c>
      <c r="F133" s="11">
        <v>11.426982497966415</v>
      </c>
      <c r="G133" s="11">
        <v>9.047381579875946</v>
      </c>
    </row>
    <row r="134" spans="1:7" x14ac:dyDescent="0.45">
      <c r="A134" s="10">
        <v>1175.02</v>
      </c>
      <c r="B134" s="10" t="s">
        <v>377</v>
      </c>
      <c r="C134" s="11">
        <v>2.3460708727663902E-2</v>
      </c>
      <c r="D134" s="11">
        <v>2.34607097322409E-2</v>
      </c>
      <c r="E134" s="11">
        <v>5.2961177552579997E-4</v>
      </c>
      <c r="F134" s="11">
        <v>7.5801552533108899E-2</v>
      </c>
      <c r="G134" s="11">
        <v>8.6598573252558708</v>
      </c>
    </row>
    <row r="135" spans="1:7" x14ac:dyDescent="0.45">
      <c r="A135" s="10">
        <v>1175.03</v>
      </c>
      <c r="B135" s="10" t="s">
        <v>379</v>
      </c>
      <c r="C135" s="11">
        <v>1.7644389666146901E-2</v>
      </c>
      <c r="D135" s="11">
        <v>1.76108647181164E-2</v>
      </c>
      <c r="E135" s="11">
        <v>4.3082508178259998E-4</v>
      </c>
      <c r="F135" s="11">
        <v>4.9310421479772997E-3</v>
      </c>
      <c r="G135" s="11">
        <v>85.877455770969391</v>
      </c>
    </row>
    <row r="136" spans="1:7" x14ac:dyDescent="0.45">
      <c r="A136" s="10">
        <v>1175.0899999999999</v>
      </c>
      <c r="B136" s="10" t="s">
        <v>381</v>
      </c>
      <c r="C136" s="11">
        <v>0.1823823992595909</v>
      </c>
      <c r="D136" s="11">
        <v>0.18238239891086641</v>
      </c>
      <c r="E136" s="11">
        <v>9.511103550174E-3</v>
      </c>
      <c r="F136" s="11">
        <v>0.51450074428733639</v>
      </c>
      <c r="G136" s="11">
        <v>17.724210396409035</v>
      </c>
    </row>
    <row r="137" spans="1:7" ht="26.25" x14ac:dyDescent="0.45">
      <c r="A137" s="10">
        <v>1176.01</v>
      </c>
      <c r="B137" s="10" t="s">
        <v>384</v>
      </c>
      <c r="C137" s="11">
        <v>0.82964607829303427</v>
      </c>
      <c r="D137" s="11">
        <v>0.82964607512024136</v>
      </c>
      <c r="E137" s="11">
        <v>2.1583351698289E-2</v>
      </c>
      <c r="F137" s="11">
        <v>8.0973457607612195E-2</v>
      </c>
      <c r="G137" s="11">
        <v>294.85428333282471</v>
      </c>
    </row>
    <row r="138" spans="1:7" x14ac:dyDescent="0.45">
      <c r="A138" s="10">
        <v>1177.01</v>
      </c>
      <c r="B138" s="10" t="s">
        <v>386</v>
      </c>
      <c r="C138" s="11">
        <v>14.03676176158786</v>
      </c>
      <c r="D138" s="11">
        <v>14.014302845094177</v>
      </c>
      <c r="E138" s="11">
        <v>0.17647779870825089</v>
      </c>
      <c r="F138" s="11">
        <v>11.169399362912843</v>
      </c>
      <c r="G138" s="11">
        <v>16.222463920712471</v>
      </c>
    </row>
    <row r="139" spans="1:7" x14ac:dyDescent="0.45">
      <c r="A139" s="10">
        <v>1178.01</v>
      </c>
      <c r="B139" s="10" t="s">
        <v>389</v>
      </c>
      <c r="C139" s="11">
        <v>1.4890883923910803</v>
      </c>
      <c r="D139" s="11">
        <v>1.4867058747478683</v>
      </c>
      <c r="E139" s="11">
        <v>2.3339298058620901E-2</v>
      </c>
      <c r="F139" s="11">
        <v>1.7037649184090988</v>
      </c>
      <c r="G139" s="11">
        <v>13.869566842913628</v>
      </c>
    </row>
    <row r="140" spans="1:7" x14ac:dyDescent="0.45">
      <c r="A140" s="10">
        <v>1178.02</v>
      </c>
      <c r="B140" s="10" t="s">
        <v>392</v>
      </c>
      <c r="C140" s="11">
        <v>2.356561806163906</v>
      </c>
      <c r="D140" s="11">
        <v>2.3565618149858896</v>
      </c>
      <c r="E140" s="11">
        <v>0.12971082560315969</v>
      </c>
      <c r="F140" s="11">
        <v>7.66825209805768</v>
      </c>
      <c r="G140" s="11">
        <v>16.090182587504387</v>
      </c>
    </row>
    <row r="141" spans="1:7" x14ac:dyDescent="0.45">
      <c r="A141" s="10">
        <v>1178.03</v>
      </c>
      <c r="B141" s="10" t="s">
        <v>394</v>
      </c>
      <c r="C141" s="11">
        <v>0.1657458704330507</v>
      </c>
      <c r="D141" s="11">
        <v>0.16574587167463531</v>
      </c>
      <c r="E141" s="11">
        <v>1.0151934605525E-3</v>
      </c>
      <c r="F141" s="11">
        <v>0.2596906298652189</v>
      </c>
      <c r="G141" s="11">
        <v>3.9092418737709522</v>
      </c>
    </row>
    <row r="142" spans="1:7" x14ac:dyDescent="0.45">
      <c r="A142" s="10">
        <v>1178.05</v>
      </c>
      <c r="B142" s="10" t="s">
        <v>396</v>
      </c>
      <c r="C142" s="11">
        <v>0.13702268784240221</v>
      </c>
      <c r="D142" s="11">
        <v>0.13702268625101929</v>
      </c>
      <c r="E142" s="11">
        <v>4.7132606599679001E-3</v>
      </c>
      <c r="F142" s="11">
        <v>7.72122844127167E-2</v>
      </c>
      <c r="G142" s="11">
        <v>58.509316295385361</v>
      </c>
    </row>
    <row r="143" spans="1:7" x14ac:dyDescent="0.45">
      <c r="A143" s="10">
        <v>1179.08</v>
      </c>
      <c r="B143" s="10" t="s">
        <v>398</v>
      </c>
      <c r="C143" s="11">
        <v>1.1530329120428335</v>
      </c>
      <c r="D143" s="11">
        <v>1.1530329140885442</v>
      </c>
      <c r="E143" s="11">
        <v>3.8144414892590399E-2</v>
      </c>
      <c r="F143" s="11">
        <v>0.35098321865028292</v>
      </c>
      <c r="G143" s="11">
        <v>117.73042380809784</v>
      </c>
    </row>
    <row r="144" spans="1:7" x14ac:dyDescent="0.45">
      <c r="A144" s="10">
        <v>1179.99</v>
      </c>
      <c r="B144" s="10" t="s">
        <v>400</v>
      </c>
      <c r="C144" s="11">
        <v>1.2868933709405894</v>
      </c>
      <c r="D144" s="11">
        <v>1.2868933739918991</v>
      </c>
      <c r="E144" s="11">
        <v>1.9236202350500001E-2</v>
      </c>
      <c r="F144" s="11">
        <v>3.6303261921011543</v>
      </c>
      <c r="G144" s="11">
        <v>4.7903275117278099</v>
      </c>
    </row>
    <row r="145" spans="1:7" x14ac:dyDescent="0.45">
      <c r="A145" s="10">
        <v>1181.01</v>
      </c>
      <c r="B145" s="10" t="s">
        <v>401</v>
      </c>
      <c r="C145" s="11">
        <v>9.0340987130959878</v>
      </c>
      <c r="D145" s="11">
        <v>9.0340986934939611</v>
      </c>
      <c r="E145" s="11">
        <v>0.29477373966192622</v>
      </c>
      <c r="F145" s="11">
        <v>36.132781140249158</v>
      </c>
      <c r="G145" s="11">
        <v>7.3891840875148773</v>
      </c>
    </row>
    <row r="146" spans="1:7" x14ac:dyDescent="0.45">
      <c r="A146" s="10">
        <v>1181.02</v>
      </c>
      <c r="B146" s="10" t="s">
        <v>403</v>
      </c>
      <c r="C146" s="11">
        <v>5.19296624183768E-2</v>
      </c>
      <c r="D146" s="11">
        <v>5.1929662899060598E-2</v>
      </c>
      <c r="E146" s="11">
        <v>9.3342871018920002E-4</v>
      </c>
      <c r="F146" s="11">
        <v>1.97332717019604E-2</v>
      </c>
      <c r="G146" s="11">
        <v>47.30219766497612</v>
      </c>
    </row>
    <row r="147" spans="1:7" x14ac:dyDescent="0.45">
      <c r="A147" s="10">
        <v>1181.03</v>
      </c>
      <c r="B147" s="10" t="s">
        <v>405</v>
      </c>
      <c r="C147" s="11">
        <v>1.09909719825904E-2</v>
      </c>
      <c r="D147" s="11">
        <v>1.09909719825904E-2</v>
      </c>
      <c r="E147" s="11">
        <v>4.57151149372E-4</v>
      </c>
      <c r="F147" s="11">
        <v>4.3858374791084898E-2</v>
      </c>
      <c r="G147" s="11">
        <v>10.423349216580391</v>
      </c>
    </row>
    <row r="148" spans="1:7" x14ac:dyDescent="0.45">
      <c r="A148" s="10">
        <v>1182.01</v>
      </c>
      <c r="B148" s="10" t="s">
        <v>408</v>
      </c>
      <c r="C148" s="11">
        <v>7.7598948142845996E-3</v>
      </c>
      <c r="D148" s="11">
        <v>7.7598947980116999E-3</v>
      </c>
      <c r="E148" s="11">
        <v>6.9908799226290003E-4</v>
      </c>
      <c r="F148" s="11">
        <v>2.9960953591579999E-2</v>
      </c>
      <c r="G148" s="11">
        <v>25.209357962012291</v>
      </c>
    </row>
    <row r="149" spans="1:7" x14ac:dyDescent="0.45">
      <c r="A149" s="10">
        <v>1182.02</v>
      </c>
      <c r="B149" s="10" t="s">
        <v>410</v>
      </c>
      <c r="C149" s="11">
        <v>0.10817135540375029</v>
      </c>
      <c r="D149" s="11">
        <v>0.108171354825354</v>
      </c>
      <c r="E149" s="11">
        <v>3.4905476503562E-3</v>
      </c>
      <c r="F149" s="11">
        <v>0.2978498251692473</v>
      </c>
      <c r="G149" s="11">
        <v>12.698396109044552</v>
      </c>
    </row>
    <row r="150" spans="1:7" x14ac:dyDescent="0.45">
      <c r="A150" s="10">
        <v>1183.01</v>
      </c>
      <c r="B150" s="10" t="s">
        <v>412</v>
      </c>
      <c r="C150" s="11">
        <v>0.76679865498373601</v>
      </c>
      <c r="D150" s="11">
        <v>0.76679859055017219</v>
      </c>
      <c r="E150" s="11">
        <v>8.5315877328169601E-2</v>
      </c>
      <c r="F150" s="11">
        <v>4.2480643429910527</v>
      </c>
      <c r="G150" s="11">
        <v>22.563176229596138</v>
      </c>
    </row>
    <row r="151" spans="1:7" x14ac:dyDescent="0.45">
      <c r="A151" s="10">
        <v>1184.01</v>
      </c>
      <c r="B151" s="10" t="s">
        <v>414</v>
      </c>
      <c r="C151" s="11">
        <v>0.38769214179132439</v>
      </c>
      <c r="D151" s="11">
        <v>0.38769213830420851</v>
      </c>
      <c r="E151" s="11">
        <v>1.22536955057495E-2</v>
      </c>
      <c r="F151" s="11">
        <v>1.5480547147041346</v>
      </c>
      <c r="G151" s="11">
        <v>4.2490377090871334</v>
      </c>
    </row>
    <row r="152" spans="1:7" x14ac:dyDescent="0.45">
      <c r="A152" s="10">
        <v>1185.01</v>
      </c>
      <c r="B152" s="10" t="s">
        <v>416</v>
      </c>
      <c r="C152" s="11">
        <v>1.1579277436875031</v>
      </c>
      <c r="D152" s="11">
        <v>1.1579277377345627</v>
      </c>
      <c r="E152" s="11">
        <v>3.6453988452230003E-2</v>
      </c>
      <c r="F152" s="11">
        <v>1.7496288093640568</v>
      </c>
      <c r="G152" s="11">
        <v>20.785050466656685</v>
      </c>
    </row>
    <row r="153" spans="1:7" x14ac:dyDescent="0.45">
      <c r="A153" s="10">
        <v>1186.99</v>
      </c>
      <c r="B153" s="10" t="s">
        <v>417</v>
      </c>
      <c r="C153" s="11">
        <v>0.1704961342897538</v>
      </c>
      <c r="D153" s="11">
        <v>0.17049613451029039</v>
      </c>
      <c r="E153" s="11">
        <v>1.00087890303714E-2</v>
      </c>
      <c r="F153" s="11">
        <v>0.66227518128557317</v>
      </c>
      <c r="G153" s="11">
        <v>18.870353698730469</v>
      </c>
    </row>
    <row r="154" spans="1:7" x14ac:dyDescent="0.45">
      <c r="A154" s="10">
        <v>1191.01</v>
      </c>
      <c r="B154" s="10" t="s">
        <v>419</v>
      </c>
      <c r="C154" s="11">
        <v>0.35780065800725952</v>
      </c>
      <c r="D154" s="11">
        <v>0.35780065870538991</v>
      </c>
      <c r="E154" s="11">
        <v>9.8504323647269996E-3</v>
      </c>
      <c r="F154" s="11">
        <v>2.5067514187750133</v>
      </c>
      <c r="G154" s="11">
        <v>3.9965743198990822</v>
      </c>
    </row>
    <row r="155" spans="1:7" x14ac:dyDescent="0.45">
      <c r="A155" s="10">
        <v>1191.02</v>
      </c>
      <c r="B155" s="10" t="s">
        <v>421</v>
      </c>
      <c r="C155" s="11">
        <v>0.55108460752129129</v>
      </c>
      <c r="D155" s="11">
        <v>0.55108460605576381</v>
      </c>
      <c r="E155" s="11">
        <v>1.3003775327494501E-2</v>
      </c>
      <c r="F155" s="11">
        <v>0.69756289244452785</v>
      </c>
      <c r="G155" s="11">
        <v>18.415249884128571</v>
      </c>
    </row>
    <row r="156" spans="1:7" x14ac:dyDescent="0.45">
      <c r="A156" s="10">
        <v>1191.03</v>
      </c>
      <c r="B156" s="10" t="s">
        <v>423</v>
      </c>
      <c r="C156" s="11">
        <v>1.76619828064013E-2</v>
      </c>
      <c r="D156" s="11">
        <v>1.7661982648407699E-2</v>
      </c>
      <c r="E156" s="11">
        <v>2.5177251689679998E-4</v>
      </c>
      <c r="F156" s="11">
        <v>7.7712723442649998E-4</v>
      </c>
      <c r="G156" s="11">
        <v>303.03031206130981</v>
      </c>
    </row>
    <row r="157" spans="1:7" x14ac:dyDescent="0.45">
      <c r="A157" s="10">
        <v>1191.08</v>
      </c>
      <c r="B157" s="10" t="s">
        <v>425</v>
      </c>
      <c r="C157" s="11">
        <v>0.35499796618113311</v>
      </c>
      <c r="D157" s="11">
        <v>0.35499795928608702</v>
      </c>
      <c r="E157" s="11">
        <v>1.5168101081094801E-2</v>
      </c>
      <c r="F157" s="11">
        <v>1.4192818465801249</v>
      </c>
      <c r="G157" s="11">
        <v>11.118654161691666</v>
      </c>
    </row>
    <row r="158" spans="1:7" x14ac:dyDescent="0.45">
      <c r="A158" s="10">
        <v>1192.01</v>
      </c>
      <c r="B158" s="10" t="s">
        <v>427</v>
      </c>
      <c r="C158" s="11">
        <v>1.3220154727356053</v>
      </c>
      <c r="D158" s="11">
        <v>1.3220154733357239</v>
      </c>
      <c r="E158" s="11">
        <v>0.13749175640468031</v>
      </c>
      <c r="F158" s="11">
        <v>0</v>
      </c>
      <c r="G158" s="12"/>
    </row>
    <row r="159" spans="1:7" x14ac:dyDescent="0.45">
      <c r="A159" s="10">
        <v>1192.02</v>
      </c>
      <c r="B159" s="10" t="s">
        <v>429</v>
      </c>
      <c r="C159" s="11">
        <v>0.20638098457361151</v>
      </c>
      <c r="D159" s="11">
        <v>0.20638098397468749</v>
      </c>
      <c r="E159" s="11">
        <v>4.7430603344133203E-2</v>
      </c>
      <c r="F159" s="11">
        <v>0.71717392051026041</v>
      </c>
      <c r="G159" s="11">
        <v>102.77491807937622</v>
      </c>
    </row>
    <row r="160" spans="1:7" x14ac:dyDescent="0.45">
      <c r="A160" s="10">
        <v>1192.03</v>
      </c>
      <c r="B160" s="10" t="s">
        <v>432</v>
      </c>
      <c r="C160" s="11">
        <v>1.55464234221442E-2</v>
      </c>
      <c r="D160" s="11">
        <v>1.5526212180351299E-2</v>
      </c>
      <c r="E160" s="11">
        <v>1.6942973227528E-3</v>
      </c>
      <c r="F160" s="11">
        <v>2.0960386787585199E-2</v>
      </c>
      <c r="G160" s="11">
        <v>77.337324619293213</v>
      </c>
    </row>
    <row r="161" spans="1:7" x14ac:dyDescent="0.45">
      <c r="A161" s="10">
        <v>1192.04</v>
      </c>
      <c r="B161" s="10" t="s">
        <v>491</v>
      </c>
      <c r="C161" s="11">
        <v>6.5216262927539998E-4</v>
      </c>
      <c r="D161" s="11">
        <v>6.5131476350789998E-4</v>
      </c>
      <c r="E161" s="11">
        <v>6.4822872541699995E-5</v>
      </c>
      <c r="F161" s="11">
        <v>8.7927495995530002E-4</v>
      </c>
      <c r="G161" s="11">
        <v>73.723092675209045</v>
      </c>
    </row>
    <row r="162" spans="1:7" x14ac:dyDescent="0.45">
      <c r="A162" s="10">
        <v>1193.02</v>
      </c>
      <c r="B162" s="10" t="s">
        <v>435</v>
      </c>
      <c r="C162" s="11">
        <v>1.33731494893044E-2</v>
      </c>
      <c r="D162" s="11">
        <v>1.3373149327085301E-2</v>
      </c>
      <c r="E162" s="11">
        <v>4.0273985040357998E-3</v>
      </c>
      <c r="F162" s="11">
        <v>4.2112047318698297E-2</v>
      </c>
      <c r="G162" s="11">
        <v>127.02444195747375</v>
      </c>
    </row>
    <row r="163" spans="1:7" x14ac:dyDescent="0.45">
      <c r="A163" s="10">
        <v>1193.04</v>
      </c>
      <c r="B163" s="10" t="s">
        <v>492</v>
      </c>
      <c r="C163" s="11">
        <v>7.679417446863E-4</v>
      </c>
      <c r="D163" s="11">
        <v>7.679417446863E-4</v>
      </c>
      <c r="E163" s="11">
        <v>6.7850062284899998E-5</v>
      </c>
      <c r="F163" s="11">
        <v>2.9829928615974998E-3</v>
      </c>
      <c r="G163" s="11">
        <v>41.512202471494675</v>
      </c>
    </row>
    <row r="164" spans="1:7" x14ac:dyDescent="0.45">
      <c r="A164" s="10">
        <v>1193.05</v>
      </c>
      <c r="B164" s="10" t="s">
        <v>438</v>
      </c>
      <c r="C164" s="11">
        <v>9.5242871162012493E-2</v>
      </c>
      <c r="D164" s="11">
        <v>9.5242871438966398E-2</v>
      </c>
      <c r="E164" s="11">
        <v>3.5456240041399998E-3</v>
      </c>
      <c r="F164" s="11">
        <v>0.31643491582527372</v>
      </c>
      <c r="G164" s="11">
        <v>9.427923709154129</v>
      </c>
    </row>
    <row r="165" spans="1:7" x14ac:dyDescent="0.45">
      <c r="A165" s="10">
        <v>1193.06</v>
      </c>
      <c r="B165" s="10" t="s">
        <v>440</v>
      </c>
      <c r="C165" s="11">
        <v>0.21918641298492689</v>
      </c>
      <c r="D165" s="11">
        <v>0.2191864132581744</v>
      </c>
      <c r="E165" s="11">
        <v>8.2760202389316005E-3</v>
      </c>
      <c r="F165" s="11">
        <v>0.13238859356651211</v>
      </c>
      <c r="G165" s="11">
        <v>14.472282491624355</v>
      </c>
    </row>
    <row r="166" spans="1:7" x14ac:dyDescent="0.45">
      <c r="A166" s="10">
        <v>1193.07</v>
      </c>
      <c r="B166" s="10" t="s">
        <v>442</v>
      </c>
      <c r="C166" s="11">
        <v>1.1691881171482919</v>
      </c>
      <c r="D166" s="11">
        <v>1.1691881157424504</v>
      </c>
      <c r="E166" s="11">
        <v>0.14997036945871889</v>
      </c>
      <c r="F166" s="11">
        <v>3.171539683664812</v>
      </c>
      <c r="G166" s="11">
        <v>60.582343488931656</v>
      </c>
    </row>
    <row r="167" spans="1:7" x14ac:dyDescent="0.45">
      <c r="A167" s="10">
        <v>1194.01</v>
      </c>
      <c r="B167" s="10" t="s">
        <v>493</v>
      </c>
      <c r="C167" s="11">
        <v>0.1037333301735351</v>
      </c>
      <c r="D167" s="11">
        <v>0.1037333315478746</v>
      </c>
      <c r="E167" s="11">
        <v>3.5647206512811999E-3</v>
      </c>
      <c r="F167" s="11">
        <v>6.2654930810144893E-2</v>
      </c>
      <c r="G167" s="11">
        <v>130.1732063293457</v>
      </c>
    </row>
    <row r="168" spans="1:7" x14ac:dyDescent="0.45">
      <c r="A168" s="10">
        <v>1195.99</v>
      </c>
      <c r="B168" s="10" t="s">
        <v>443</v>
      </c>
      <c r="C168" s="11">
        <v>8.9556330424833259</v>
      </c>
      <c r="D168" s="11">
        <v>8.9556330593559199</v>
      </c>
      <c r="E168" s="11">
        <v>0.17686834506470631</v>
      </c>
      <c r="F168" s="11">
        <v>5.4092023759308461</v>
      </c>
      <c r="G168" s="11">
        <v>31.457100063562393</v>
      </c>
    </row>
    <row r="169" spans="1:7" x14ac:dyDescent="0.45">
      <c r="A169" s="10">
        <v>1211.01</v>
      </c>
      <c r="B169" s="10" t="s">
        <v>444</v>
      </c>
      <c r="C169" s="11">
        <v>0.77437576189278468</v>
      </c>
      <c r="D169" s="11">
        <v>0.77437576348486059</v>
      </c>
      <c r="E169" s="11">
        <v>8.1532309273115E-2</v>
      </c>
      <c r="F169" s="11">
        <v>2.7443877010966164</v>
      </c>
      <c r="G169" s="11">
        <v>67.182630300521851</v>
      </c>
    </row>
    <row r="170" spans="1:7" x14ac:dyDescent="0.45">
      <c r="A170" s="10">
        <v>1212.01</v>
      </c>
      <c r="B170" s="10" t="s">
        <v>447</v>
      </c>
      <c r="C170" s="11">
        <v>20.632186574346836</v>
      </c>
      <c r="D170" s="11">
        <v>20.632186278693887</v>
      </c>
      <c r="E170" s="11">
        <v>0.1052172401662148</v>
      </c>
      <c r="F170" s="11">
        <v>0.1650574906290721</v>
      </c>
      <c r="G170" s="11">
        <v>312.5</v>
      </c>
    </row>
    <row r="171" spans="1:7" x14ac:dyDescent="0.45">
      <c r="A171" s="10">
        <v>1213.01</v>
      </c>
      <c r="B171" s="10" t="s">
        <v>450</v>
      </c>
      <c r="C171" s="11">
        <v>0.14262169216116191</v>
      </c>
      <c r="D171" s="11">
        <v>0.14262168690653559</v>
      </c>
      <c r="E171" s="11">
        <v>4.2112818649556001E-3</v>
      </c>
      <c r="F171" s="11">
        <v>1.1409735128142999E-3</v>
      </c>
      <c r="G171" s="11">
        <v>3749.9854564666748</v>
      </c>
    </row>
    <row r="172" spans="1:7" x14ac:dyDescent="0.45">
      <c r="A172" s="10">
        <v>1219.99</v>
      </c>
      <c r="B172" s="10" t="s">
        <v>451</v>
      </c>
      <c r="C172" s="11">
        <v>0.77838909860431815</v>
      </c>
      <c r="D172" s="11">
        <v>0.77838910034030928</v>
      </c>
      <c r="E172" s="11">
        <v>3.3826747967647099E-2</v>
      </c>
      <c r="F172" s="11">
        <v>6.2271127920256004E-3</v>
      </c>
      <c r="G172" s="11">
        <v>9326.991081237793</v>
      </c>
    </row>
    <row r="173" spans="1:7" x14ac:dyDescent="0.45">
      <c r="A173" s="10">
        <v>1221.01</v>
      </c>
      <c r="B173" s="10" t="s">
        <v>452</v>
      </c>
      <c r="C173" s="11">
        <v>2.3823973705529236</v>
      </c>
      <c r="D173" s="11">
        <v>2.3823973877958893</v>
      </c>
      <c r="E173" s="11">
        <v>2.1712334548726401E-2</v>
      </c>
      <c r="F173" s="11">
        <v>0</v>
      </c>
      <c r="G173" s="12"/>
    </row>
    <row r="174" spans="1:7" x14ac:dyDescent="0.45">
      <c r="A174" s="10">
        <v>1222.01</v>
      </c>
      <c r="B174" s="10" t="s">
        <v>455</v>
      </c>
      <c r="C174" s="11">
        <v>20.183570184943594</v>
      </c>
      <c r="D174" s="11">
        <v>20.18357059347143</v>
      </c>
      <c r="E174" s="11">
        <v>0.28699572437418402</v>
      </c>
      <c r="F174" s="11">
        <v>8.8000367685476046</v>
      </c>
      <c r="G174" s="11">
        <v>31.968075782060623</v>
      </c>
    </row>
    <row r="175" spans="1:7" x14ac:dyDescent="0.45">
      <c r="A175" s="10">
        <v>1222.99</v>
      </c>
      <c r="B175" s="10" t="s">
        <v>458</v>
      </c>
      <c r="C175" s="11">
        <v>4.1601919868395276</v>
      </c>
      <c r="D175" s="11">
        <v>4.1601920172589884</v>
      </c>
      <c r="E175" s="11">
        <v>7.0147446551641193E-2</v>
      </c>
      <c r="F175" s="11">
        <v>1.8138437029882566</v>
      </c>
      <c r="G175" s="11">
        <v>37.538763135671616</v>
      </c>
    </row>
    <row r="176" spans="1:7" x14ac:dyDescent="0.45">
      <c r="A176" s="10">
        <v>1223.01</v>
      </c>
      <c r="B176" s="10" t="s">
        <v>459</v>
      </c>
      <c r="C176" s="11">
        <v>13.384258112606645</v>
      </c>
      <c r="D176" s="11">
        <v>13.384257989417339</v>
      </c>
      <c r="E176" s="11">
        <v>0.2742708586583073</v>
      </c>
      <c r="F176" s="11">
        <v>5.8355364793119922</v>
      </c>
      <c r="G176" s="11">
        <v>45.584671199321747</v>
      </c>
    </row>
    <row r="177" spans="1:7" x14ac:dyDescent="0.45">
      <c r="A177" s="10">
        <v>1223.02</v>
      </c>
      <c r="B177" s="10" t="s">
        <v>460</v>
      </c>
      <c r="C177" s="11">
        <v>112.25229209238651</v>
      </c>
      <c r="D177" s="11">
        <v>112.25229195245079</v>
      </c>
      <c r="E177" s="11">
        <v>0.41054207095363388</v>
      </c>
      <c r="F177" s="11">
        <v>54.666866196987591</v>
      </c>
      <c r="G177" s="11">
        <v>7.1658184751868248</v>
      </c>
    </row>
    <row r="178" spans="1:7" x14ac:dyDescent="0.45">
      <c r="A178" s="10">
        <v>1223.99</v>
      </c>
      <c r="B178" s="10" t="s">
        <v>463</v>
      </c>
      <c r="C178" s="11">
        <v>0.37318929538674861</v>
      </c>
      <c r="D178" s="11">
        <v>0.37318929308640181</v>
      </c>
      <c r="E178" s="11">
        <v>8.7188164016192005E-3</v>
      </c>
      <c r="F178" s="11">
        <v>0.16271053193049759</v>
      </c>
      <c r="G178" s="11">
        <v>58.853209018707275</v>
      </c>
    </row>
    <row r="179" spans="1:7" ht="26.25" x14ac:dyDescent="0.45">
      <c r="A179" s="10">
        <v>2111.04</v>
      </c>
      <c r="B179" s="10" t="s">
        <v>464</v>
      </c>
      <c r="C179" s="11">
        <v>0.28624203246137842</v>
      </c>
      <c r="D179" s="11">
        <v>0.28624203045689839</v>
      </c>
      <c r="E179" s="11">
        <v>2.9298002907485601E-2</v>
      </c>
      <c r="F179" s="11">
        <v>9.1597451132816601E-2</v>
      </c>
      <c r="G179" s="11">
        <v>156.25</v>
      </c>
    </row>
    <row r="180" spans="1:7" x14ac:dyDescent="0.45">
      <c r="A180" s="10">
        <v>2111.06</v>
      </c>
      <c r="B180" s="10" t="s">
        <v>494</v>
      </c>
      <c r="C180" s="11">
        <v>6.50441556122415E-2</v>
      </c>
      <c r="D180" s="11">
        <v>6.5044155988234001E-2</v>
      </c>
      <c r="E180" s="11">
        <v>2.5977420568694036</v>
      </c>
      <c r="F180" s="11">
        <v>223.48792132251029</v>
      </c>
      <c r="G180" s="11">
        <v>10.327253490686417</v>
      </c>
    </row>
    <row r="181" spans="1:7" x14ac:dyDescent="0.45">
      <c r="A181" s="10">
        <v>2121.0100000000002</v>
      </c>
      <c r="B181" s="10" t="s">
        <v>467</v>
      </c>
      <c r="C181" s="11">
        <v>0.59995743041114957</v>
      </c>
      <c r="D181" s="11">
        <v>0.59995743606548213</v>
      </c>
      <c r="E181" s="11">
        <v>3.6789315463250899E-2</v>
      </c>
      <c r="F181" s="11">
        <v>0.214784760846392</v>
      </c>
      <c r="G181" s="11">
        <v>130.35380840301514</v>
      </c>
    </row>
    <row r="182" spans="1:7" x14ac:dyDescent="0.45">
      <c r="A182" s="10">
        <v>2122.0100000000002</v>
      </c>
      <c r="B182" s="10" t="s">
        <v>495</v>
      </c>
      <c r="C182" s="11">
        <v>5.2912777283799201E-2</v>
      </c>
      <c r="D182" s="11">
        <v>5.2912778466734797E-2</v>
      </c>
      <c r="E182" s="11">
        <v>4.4268689689287996E-3</v>
      </c>
      <c r="F182" s="11">
        <v>1.89427743632564E-2</v>
      </c>
      <c r="G182" s="11">
        <v>269.65856552124023</v>
      </c>
    </row>
    <row r="183" spans="1:7" x14ac:dyDescent="0.45">
      <c r="A183" s="10">
        <v>2122.9899999999998</v>
      </c>
      <c r="B183" s="10" t="s">
        <v>496</v>
      </c>
      <c r="C183" s="11">
        <v>0.32183872093114518</v>
      </c>
      <c r="D183" s="11">
        <v>0.32183871143570802</v>
      </c>
      <c r="E183" s="11">
        <v>3.9945269154759997E-3</v>
      </c>
      <c r="F183" s="11">
        <v>0.1152182603404889</v>
      </c>
      <c r="G183" s="11">
        <v>34.916199743747711</v>
      </c>
    </row>
    <row r="184" spans="1:7" x14ac:dyDescent="0.45">
      <c r="A184" s="10">
        <v>2129.9899999999998</v>
      </c>
      <c r="B184" s="10" t="s">
        <v>470</v>
      </c>
      <c r="C184" s="11">
        <v>0.84675842193727879</v>
      </c>
      <c r="D184" s="11">
        <v>0.84675843281711272</v>
      </c>
      <c r="E184" s="11">
        <v>2.0014997600812701E-2</v>
      </c>
      <c r="F184" s="11">
        <v>0.36918667316654102</v>
      </c>
      <c r="G184" s="11">
        <v>53.516820073127747</v>
      </c>
    </row>
    <row r="185" spans="1:7" x14ac:dyDescent="0.45">
      <c r="A185" s="10">
        <v>2131.0100000000002</v>
      </c>
      <c r="B185" s="10" t="s">
        <v>473</v>
      </c>
      <c r="C185" s="11">
        <v>5.6051934740078506</v>
      </c>
      <c r="D185" s="11">
        <v>5.6051936103866185</v>
      </c>
      <c r="E185" s="11">
        <v>7.7079754310085902E-2</v>
      </c>
      <c r="F185" s="11">
        <v>2.0851319892741702</v>
      </c>
      <c r="G185" s="11">
        <v>64.516127109527588</v>
      </c>
    </row>
    <row r="186" spans="1:7" ht="14.65" thickBot="1" x14ac:dyDescent="0.5">
      <c r="A186" s="10">
        <v>2131.9899999999998</v>
      </c>
      <c r="B186" s="10" t="s">
        <v>476</v>
      </c>
      <c r="C186" s="11">
        <v>4.9464178857666754</v>
      </c>
      <c r="D186" s="11">
        <v>4.9464178955243723</v>
      </c>
      <c r="E186" s="11">
        <v>2.6035058043720999E-2</v>
      </c>
      <c r="F186" s="11">
        <v>1.5828537240766303</v>
      </c>
      <c r="G186" s="11">
        <v>16.40760526061058</v>
      </c>
    </row>
    <row r="187" spans="1:7" ht="14.65" thickTop="1" x14ac:dyDescent="0.45">
      <c r="A187" s="13"/>
      <c r="B187" s="13"/>
      <c r="C187" s="13"/>
      <c r="D187" s="13"/>
      <c r="E187" s="13"/>
      <c r="F187" s="13"/>
      <c r="G187" s="13"/>
    </row>
    <row r="188" spans="1:7" x14ac:dyDescent="0.45">
      <c r="A188" s="14"/>
      <c r="B188" s="14"/>
      <c r="C188" s="9"/>
      <c r="D188" s="9"/>
      <c r="E188" s="9"/>
      <c r="F188" s="9"/>
      <c r="G188" s="9"/>
    </row>
    <row r="189" spans="1:7" x14ac:dyDescent="0.45">
      <c r="A189" s="14"/>
      <c r="B189" s="14"/>
      <c r="C189" s="14"/>
      <c r="D189" s="14"/>
      <c r="E189" s="14"/>
      <c r="F189" s="14"/>
      <c r="G189" s="14"/>
    </row>
    <row r="190" spans="1:7" x14ac:dyDescent="0.45">
      <c r="A190" s="21" t="s">
        <v>484</v>
      </c>
      <c r="B190" s="21"/>
      <c r="C190" s="9"/>
      <c r="D190" s="9"/>
      <c r="E190" s="9"/>
      <c r="F190" s="9"/>
      <c r="G190" s="9"/>
    </row>
  </sheetData>
  <mergeCells count="2">
    <mergeCell ref="A1:G1"/>
    <mergeCell ref="A190:B190"/>
  </mergeCells>
  <hyperlinks>
    <hyperlink ref="A190" location="'Contents'!A1" tooltip="Back to the table of contents" display="Back to the table of contents" xr:uid="{8085AE7F-DA20-472D-95FC-62BE1E05FB05}"/>
  </hyperlinks>
  <printOptions horizontalCentered="1"/>
  <pageMargins left="0.1388888888888889" right="0.1388888888888889" top="0.1388888888888889" bottom="0.1388888888888889" header="0.3" footer="0.3"/>
  <pageSetup paperSize="9" orientation="portrait" useFirstPageNumber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0D8AED29A46D45897CFE5772013F14" ma:contentTypeVersion="12" ma:contentTypeDescription="Create a new document." ma:contentTypeScope="" ma:versionID="f7215b12684581b5e2cddedc9132a5b2">
  <xsd:schema xmlns:xsd="http://www.w3.org/2001/XMLSchema" xmlns:xs="http://www.w3.org/2001/XMLSchema" xmlns:p="http://schemas.microsoft.com/office/2006/metadata/properties" xmlns:ns3="2411063e-374b-4a04-af09-abb3ccfaa41e" xmlns:ns4="6c5c8bb7-2f65-4efc-82df-aaa672493969" targetNamespace="http://schemas.microsoft.com/office/2006/metadata/properties" ma:root="true" ma:fieldsID="9ee7055cc0a6ae154239362060338676" ns3:_="" ns4:_="">
    <xsd:import namespace="2411063e-374b-4a04-af09-abb3ccfaa41e"/>
    <xsd:import namespace="6c5c8bb7-2f65-4efc-82df-aaa67249396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1063e-374b-4a04-af09-abb3ccfaa41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c8bb7-2f65-4efc-82df-aaa672493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ED85C0-F0B0-4801-9FEF-81BB8FFAC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1063e-374b-4a04-af09-abb3ccfaa41e"/>
    <ds:schemaRef ds:uri="6c5c8bb7-2f65-4efc-82df-aaa672493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2AFB05-6DE2-4CAC-8284-AD1406AAC4EC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6c5c8bb7-2f65-4efc-82df-aaa672493969"/>
    <ds:schemaRef ds:uri="http://schemas.microsoft.com/office/2006/metadata/properties"/>
    <ds:schemaRef ds:uri="http://schemas.openxmlformats.org/package/2006/metadata/core-properties"/>
    <ds:schemaRef ds:uri="http://purl.org/dc/dcmitype/"/>
    <ds:schemaRef ds:uri="2411063e-374b-4a04-af09-abb3ccfaa41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1E83B8A-4021-4A9B-ADAF-49C948CA86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Table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Joel Conkle</cp:lastModifiedBy>
  <dcterms:created xsi:type="dcterms:W3CDTF">2020-09-07T12:33:43Z</dcterms:created>
  <dcterms:modified xsi:type="dcterms:W3CDTF">2020-09-08T10:28:05Z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0x010100B90D8AED29A46D45897CFE5772013F14</vt:lpwstr>
  </property>
</Properties>
</file>