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aron\Desktop\adept\"/>
    </mc:Choice>
  </mc:AlternateContent>
  <xr:revisionPtr revIDLastSave="0" documentId="13_ncr:1_{DA7916A1-237C-4D98-86BC-CE6CCF6E6A93}" xr6:coauthVersionLast="45" xr6:coauthVersionMax="45" xr10:uidLastSave="{00000000-0000-0000-0000-000000000000}"/>
  <bookViews>
    <workbookView xWindow="-110" yWindow="-110" windowWidth="19420" windowHeight="10420" activeTab="3" xr2:uid="{00000000-000D-0000-FFFF-FFFF00000000}"/>
  </bookViews>
  <sheets>
    <sheet name="Example" sheetId="4" r:id="rId1"/>
    <sheet name="Example Averages" sheetId="6" r:id="rId2"/>
    <sheet name="Archival" sheetId="1" r:id="rId3"/>
    <sheet name="Reference" sheetId="2" r:id="rId4"/>
    <sheet name="Upload" sheetId="5" r:id="rId5"/>
    <sheet name="Averages" sheetId="7" r:id="rId6"/>
    <sheet name="data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8" i="4" l="1"/>
  <c r="Y17" i="6"/>
  <c r="X17" i="6"/>
  <c r="Y9" i="6"/>
  <c r="X9" i="6"/>
  <c r="Q17" i="6"/>
  <c r="Q15" i="6"/>
  <c r="Q14" i="6"/>
  <c r="Q13" i="6"/>
  <c r="Q12" i="6"/>
  <c r="Q7" i="6"/>
  <c r="Q6" i="6"/>
  <c r="Q5" i="6"/>
  <c r="Q4" i="6"/>
  <c r="Q3" i="6"/>
  <c r="Q2" i="6"/>
  <c r="Q9" i="6" s="1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4" i="6"/>
  <c r="AF17" i="6"/>
  <c r="AE17" i="6"/>
  <c r="AD17" i="6"/>
  <c r="AC17" i="6"/>
  <c r="AB17" i="6"/>
  <c r="AA17" i="6"/>
  <c r="Z17" i="6"/>
  <c r="U17" i="6"/>
  <c r="T17" i="6"/>
  <c r="R17" i="6"/>
  <c r="P17" i="6"/>
  <c r="O17" i="6"/>
  <c r="N17" i="6"/>
  <c r="M17" i="6"/>
  <c r="L17" i="6"/>
  <c r="K17" i="6"/>
  <c r="J17" i="6"/>
  <c r="H17" i="6"/>
  <c r="G17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U9" i="6"/>
  <c r="T9" i="6"/>
  <c r="R9" i="6"/>
  <c r="P9" i="6"/>
  <c r="O9" i="6"/>
  <c r="N9" i="6"/>
  <c r="M9" i="6"/>
  <c r="L9" i="6"/>
  <c r="K9" i="6"/>
  <c r="J9" i="6"/>
  <c r="G9" i="6"/>
  <c r="Q15" i="4"/>
  <c r="S15" i="4"/>
  <c r="Q14" i="4"/>
  <c r="S14" i="4" s="1"/>
  <c r="X13" i="4"/>
  <c r="Y13" i="4" s="1"/>
  <c r="S13" i="4"/>
  <c r="Q12" i="4"/>
  <c r="S12" i="4"/>
  <c r="S11" i="4"/>
  <c r="Q10" i="4"/>
  <c r="S10" i="4" s="1"/>
  <c r="Q9" i="4"/>
  <c r="S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  <author>Ana Moltedo</author>
  </authors>
  <commentList>
    <comment ref="F7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7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7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X13" authorId="1" shapeId="0" xr:uid="{00000000-0006-0000-0000-000004000000}">
      <text>
        <r>
          <rPr>
            <b/>
            <sz val="9"/>
            <color indexed="81"/>
            <rFont val="Arial"/>
          </rPr>
          <t>Ana Moltedo:</t>
        </r>
        <r>
          <rPr>
            <sz val="9"/>
            <color indexed="81"/>
            <rFont val="Arial"/>
          </rPr>
          <t xml:space="preserve">
From Lombardi-Boccia G, B.M. Dominguez, A. Aguzzi. 2002. Total Heme and Non-heme Iron in Raw and Cooked Meat. Vol. 67, Nr. 5, 2002—Journal of Food Science.</t>
        </r>
      </text>
    </comment>
    <comment ref="G1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Estimation based on assumption that only 1/20 of nutrients is going to the liquid tea/coffee</t>
        </r>
      </text>
    </comment>
    <comment ref="AJ14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K14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L14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M1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N14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O14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Q14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R14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S14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AT14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 assume 0</t>
        </r>
      </text>
    </comment>
    <comment ref="J16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K16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L16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M16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N16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O16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P16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Q16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R16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S16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T16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U16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V16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W16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Z16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A16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B16" authorId="0" shapeId="0" xr:uid="{00000000-0006-0000-0000-00002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C16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D16" authorId="0" shapeId="0" xr:uid="{00000000-0006-0000-0000-00002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E16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F16" authorId="0" shapeId="0" xr:uid="{00000000-0006-0000-0000-000024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G16" authorId="0" shapeId="0" xr:uid="{00000000-0006-0000-0000-000025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H16" authorId="0" shapeId="0" xr:uid="{00000000-0006-0000-0000-000026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I16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J16" authorId="0" shapeId="0" xr:uid="{00000000-0006-0000-0000-000028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K16" authorId="0" shapeId="0" xr:uid="{00000000-0006-0000-0000-000029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L16" authorId="0" shapeId="0" xr:uid="{00000000-0006-0000-0000-00002A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M16" authorId="0" shapeId="0" xr:uid="{00000000-0006-0000-0000-00002B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N16" authorId="0" shapeId="0" xr:uid="{00000000-0006-0000-0000-00002C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O16" authorId="0" shapeId="0" xr:uid="{00000000-0006-0000-0000-00002D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P16" authorId="0" shapeId="0" xr:uid="{00000000-0006-0000-0000-00002E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Q16" authorId="0" shapeId="0" xr:uid="{00000000-0006-0000-0000-00002F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R16" authorId="0" shapeId="0" xr:uid="{00000000-0006-0000-0000-000030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S16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  <comment ref="AT16" authorId="0" shapeId="0" xr:uid="{00000000-0006-0000-0000-00003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Undefined food items consumed away from should have missing data in this variable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  <comment ref="AF14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estimated as Vit A in RAE*12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2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F3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A - Single, perfect match, no modifications required (apart from edible portion, if indicated).
A2 - Exact match, but multiple selections, need weighting.
B - Similar, single match
B2 - Similar match, multiple selections, need weighting
C - Poor, single match
C2 - Poor match, multiple selections, need weighting
D - Calories estimated by ADePT using unit calorie cost</t>
        </r>
      </text>
    </comment>
    <comment ref="Q3" authorId="0" shapeId="0" xr:uid="{00000000-0006-0000-0300-000002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  <comment ref="S3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fd_kcal = fd_pro*4 + fd_fat*9 + fd_fib*2 + fd_car*4 + fd_alc*7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Moltedo</author>
  </authors>
  <commentList>
    <comment ref="Q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Moltedo:</t>
        </r>
        <r>
          <rPr>
            <sz val="8"/>
            <color indexed="81"/>
            <rFont val="Tahoma"/>
            <family val="2"/>
          </rPr>
          <t xml:space="preserve">
If the nutrients are estimated as an average of nutrients from other food items we copy the value from "Averages" worksheet.
Otherwise:
If there is information on water, ash, protein, fats, fiber and alcohol we use the formula:
fd_car=100 - Water - Protein - Fat - Alcohol - Fibre - Ash
Ifinformation on one of the macronutrients is missing we use the formula:
fd_car=total carbohydrates - fiber</t>
        </r>
      </text>
    </comment>
  </commentList>
</comments>
</file>

<file path=xl/sharedStrings.xml><?xml version="1.0" encoding="utf-8"?>
<sst xmlns="http://schemas.openxmlformats.org/spreadsheetml/2006/main" count="2506" uniqueCount="642">
  <si>
    <t>Calories (Kcal)</t>
  </si>
  <si>
    <t>Reference Food Composition Table (FCT)</t>
  </si>
  <si>
    <t>Food code in FCT</t>
  </si>
  <si>
    <t>Food description in FCT</t>
  </si>
  <si>
    <t>Carbohydrates including fiber (Total) (grams)</t>
  </si>
  <si>
    <t>Water (grams)</t>
  </si>
  <si>
    <t>Ash (grams)</t>
  </si>
  <si>
    <t>USDA</t>
  </si>
  <si>
    <t>Banana ripe</t>
  </si>
  <si>
    <t>Bananas, raw</t>
  </si>
  <si>
    <t>Tomato, raw</t>
  </si>
  <si>
    <t>Tomatoes, red, ripe, raw, year round average</t>
  </si>
  <si>
    <t>Beer</t>
  </si>
  <si>
    <t xml:space="preserve">Alcoholic beverage, beer, regular, all  </t>
  </si>
  <si>
    <t>Lunch</t>
  </si>
  <si>
    <t>09040</t>
  </si>
  <si>
    <t>01123</t>
  </si>
  <si>
    <t>item_cod</t>
  </si>
  <si>
    <t>desc</t>
  </si>
  <si>
    <t>refuse</t>
  </si>
  <si>
    <t>item_grp</t>
  </si>
  <si>
    <t>Reference FCT</t>
  </si>
  <si>
    <t xml:space="preserve">Food Item Index Matching </t>
  </si>
  <si>
    <t>Water</t>
  </si>
  <si>
    <t>Ash</t>
  </si>
  <si>
    <t>fd_pro</t>
  </si>
  <si>
    <t>fd_fat</t>
  </si>
  <si>
    <t>fd_fib</t>
  </si>
  <si>
    <t>fd_alc</t>
  </si>
  <si>
    <t>Carbohydrates including fiber</t>
  </si>
  <si>
    <t>fd_car</t>
  </si>
  <si>
    <t>Calories</t>
  </si>
  <si>
    <t>fd_kcal</t>
  </si>
  <si>
    <t>calcium</t>
  </si>
  <si>
    <t>iron</t>
  </si>
  <si>
    <t>fe_anim</t>
  </si>
  <si>
    <t>fe_nanim</t>
  </si>
  <si>
    <t>vit_c</t>
  </si>
  <si>
    <t>vit_b1</t>
  </si>
  <si>
    <t>vit_b2</t>
  </si>
  <si>
    <t>retinol</t>
  </si>
  <si>
    <t>betacar</t>
  </si>
  <si>
    <t>vit_b6</t>
  </si>
  <si>
    <t>vit_b12</t>
  </si>
  <si>
    <t>isoleuc</t>
  </si>
  <si>
    <t>leucine</t>
  </si>
  <si>
    <t>lysine</t>
  </si>
  <si>
    <t>methion</t>
  </si>
  <si>
    <t>phenyl</t>
  </si>
  <si>
    <t>threon</t>
  </si>
  <si>
    <t>trypto</t>
  </si>
  <si>
    <t>valine</t>
  </si>
  <si>
    <t>histid</t>
  </si>
  <si>
    <t>cysteine</t>
  </si>
  <si>
    <t>tyrosine</t>
  </si>
  <si>
    <r>
      <t xml:space="preserve">Food item code in Household Survey </t>
    </r>
    <r>
      <rPr>
        <b/>
        <sz val="11"/>
        <color indexed="10"/>
        <rFont val="Calibri"/>
        <family val="2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</si>
  <si>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</rPr>
      <t>(desc)</t>
    </r>
  </si>
  <si>
    <r>
      <t xml:space="preserve">Refuse factor </t>
    </r>
    <r>
      <rPr>
        <b/>
        <sz val="11"/>
        <color indexed="10"/>
        <rFont val="Calibri"/>
        <family val="2"/>
      </rPr>
      <t>(refuse)</t>
    </r>
  </si>
  <si>
    <r>
      <t xml:space="preserve">Item Group </t>
    </r>
    <r>
      <rPr>
        <b/>
        <sz val="11"/>
        <color indexed="10"/>
        <rFont val="Calibri"/>
        <family val="2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</si>
  <si>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</rPr>
      <t>(fd_pro)</t>
    </r>
  </si>
  <si>
    <r>
      <t xml:space="preserve">Fat (grams) </t>
    </r>
    <r>
      <rPr>
        <b/>
        <sz val="11"/>
        <color indexed="10"/>
        <rFont val="Calibri"/>
        <family val="2"/>
      </rPr>
      <t>(fd_fat)</t>
    </r>
  </si>
  <si>
    <r>
      <t xml:space="preserve">Fiber (grams) </t>
    </r>
    <r>
      <rPr>
        <b/>
        <sz val="11"/>
        <color indexed="10"/>
        <rFont val="Calibri"/>
        <family val="2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</si>
  <si>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</si>
  <si>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</si>
  <si>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</si>
  <si>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</si>
  <si>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</si>
  <si>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</si>
  <si>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</si>
  <si>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</si>
  <si>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</si>
  <si>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</si>
  <si>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</si>
  <si>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</si>
  <si>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</si>
  <si>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</si>
  <si>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</si>
  <si>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</si>
  <si>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</si>
  <si>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</si>
  <si>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</si>
  <si>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</rPr>
      <t>(trypto)</t>
    </r>
  </si>
  <si>
    <r>
      <t xml:space="preserve">Valine (grams) </t>
    </r>
    <r>
      <rPr>
        <b/>
        <sz val="11"/>
        <color indexed="10"/>
        <rFont val="Calibri"/>
        <family val="2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</si>
  <si>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</si>
  <si>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</si>
  <si>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</rPr>
      <t>(tyrosine)</t>
    </r>
  </si>
  <si>
    <t>Egg, whole, raw, fresh</t>
  </si>
  <si>
    <r>
      <t xml:space="preserve">Total Fat (grams) </t>
    </r>
    <r>
      <rPr>
        <b/>
        <sz val="11"/>
        <color indexed="10"/>
        <rFont val="Calibri"/>
        <family val="2"/>
      </rPr>
      <t>(fd_fat)</t>
    </r>
  </si>
  <si>
    <r>
      <t xml:space="preserve">Total Fiber (grams) </t>
    </r>
    <r>
      <rPr>
        <b/>
        <sz val="11"/>
        <color indexed="10"/>
        <rFont val="Calibri"/>
        <family val="2"/>
      </rPr>
      <t>(fd_fib)</t>
    </r>
  </si>
  <si>
    <t>Example of the input Data File 4 (FACTORS) format</t>
  </si>
  <si>
    <t>Archival of the input Data File 4 (FACTORS)</t>
  </si>
  <si>
    <t>Template of the input Data File 4 (FACTORS)</t>
  </si>
  <si>
    <t>Data File 4 (FACTORS) to upload</t>
  </si>
  <si>
    <t xml:space="preserve">Food Item Index Matching (Read the text in the comment of this cell)
</t>
  </si>
  <si>
    <t>20036</t>
  </si>
  <si>
    <t>Rice, brown, long-grain, raw</t>
  </si>
  <si>
    <t>20040</t>
  </si>
  <si>
    <t>Rice, brown, medium-grain, raw</t>
  </si>
  <si>
    <t>20054</t>
  </si>
  <si>
    <t>Rice, white, glutinous, raw</t>
  </si>
  <si>
    <t>20444</t>
  </si>
  <si>
    <t>Rice, white, long-grain, regular, raw, unenriched</t>
  </si>
  <si>
    <t>20450</t>
  </si>
  <si>
    <t>Rice, white, medium-grain, raw, unenriched</t>
  </si>
  <si>
    <t>20452</t>
  </si>
  <si>
    <t>Rice, white, short-grain, raw, unenriched</t>
  </si>
  <si>
    <t>Weighting factor</t>
  </si>
  <si>
    <t>A2</t>
  </si>
  <si>
    <t>From weighted average</t>
  </si>
  <si>
    <t>A</t>
  </si>
  <si>
    <t>11527</t>
  </si>
  <si>
    <t>Tomatoes, green, raw</t>
  </si>
  <si>
    <t>11529</t>
  </si>
  <si>
    <t>11695</t>
  </si>
  <si>
    <t>Tomatoes, orange, raw</t>
  </si>
  <si>
    <t>11696</t>
  </si>
  <si>
    <t>Tomatoes, yellow, raw</t>
  </si>
  <si>
    <r>
      <t xml:space="preserve">Food item code in Household Survey </t>
    </r>
    <r>
      <rPr>
        <b/>
        <sz val="11"/>
        <color indexed="10"/>
        <rFont val="Calibri"/>
        <family val="2"/>
        <scheme val="minor"/>
      </rPr>
      <t>(item_cod)</t>
    </r>
  </si>
  <si>
    <r>
      <t xml:space="preserve">Food item description in Household Survey </t>
    </r>
    <r>
      <rPr>
        <b/>
        <sz val="11"/>
        <color indexed="10"/>
        <rFont val="Calibri"/>
        <family val="2"/>
        <scheme val="minor"/>
      </rPr>
      <t>(desc)</t>
    </r>
  </si>
  <si>
    <r>
      <t xml:space="preserve">Refuse factor </t>
    </r>
    <r>
      <rPr>
        <b/>
        <sz val="11"/>
        <color indexed="10"/>
        <rFont val="Calibri"/>
        <family val="2"/>
        <scheme val="minor"/>
      </rPr>
      <t>(refuse)</t>
    </r>
  </si>
  <si>
    <r>
      <t xml:space="preserve">Item Group </t>
    </r>
    <r>
      <rPr>
        <b/>
        <sz val="11"/>
        <color indexed="10"/>
        <rFont val="Calibri"/>
        <family val="2"/>
        <scheme val="minor"/>
      </rPr>
      <t>(item_grp)</t>
    </r>
  </si>
  <si>
    <r>
      <t xml:space="preserve">Protein (grams) </t>
    </r>
    <r>
      <rPr>
        <b/>
        <sz val="11"/>
        <color indexed="10"/>
        <rFont val="Calibri"/>
        <family val="2"/>
        <scheme val="minor"/>
      </rPr>
      <t>(fd_pro)</t>
    </r>
  </si>
  <si>
    <r>
      <t xml:space="preserve">Fat (grams) </t>
    </r>
    <r>
      <rPr>
        <b/>
        <sz val="11"/>
        <color indexed="10"/>
        <rFont val="Calibri"/>
        <family val="2"/>
        <scheme val="minor"/>
      </rPr>
      <t>(fd_fat)</t>
    </r>
  </si>
  <si>
    <r>
      <t xml:space="preserve">Fiber (grams) </t>
    </r>
    <r>
      <rPr>
        <b/>
        <sz val="11"/>
        <color indexed="10"/>
        <rFont val="Calibri"/>
        <family val="2"/>
        <scheme val="minor"/>
      </rPr>
      <t>(fd_fib)</t>
    </r>
  </si>
  <si>
    <r>
      <t xml:space="preserve">Alcohol (grams) </t>
    </r>
    <r>
      <rPr>
        <b/>
        <sz val="11"/>
        <color indexed="10"/>
        <rFont val="Calibri"/>
        <family val="2"/>
        <scheme val="minor"/>
      </rPr>
      <t>(fd_alc)</t>
    </r>
  </si>
  <si>
    <r>
      <t xml:space="preserve">Available Carbohydrates by difference (grams) </t>
    </r>
    <r>
      <rPr>
        <b/>
        <sz val="11"/>
        <color indexed="10"/>
        <rFont val="Calibri"/>
        <family val="2"/>
        <scheme val="minor"/>
      </rPr>
      <t>(fd_car)</t>
    </r>
  </si>
  <si>
    <r>
      <t xml:space="preserve">Computed calories (Kcal) </t>
    </r>
    <r>
      <rPr>
        <b/>
        <sz val="11"/>
        <color indexed="10"/>
        <rFont val="Calibri"/>
        <family val="2"/>
        <scheme val="minor"/>
      </rPr>
      <t>(fd_kcal)</t>
    </r>
  </si>
  <si>
    <r>
      <t xml:space="preserve">Calcium (milligrams) </t>
    </r>
    <r>
      <rPr>
        <b/>
        <sz val="11"/>
        <color indexed="10"/>
        <rFont val="Calibri"/>
        <family val="2"/>
        <scheme val="minor"/>
      </rPr>
      <t>(calcium)</t>
    </r>
  </si>
  <si>
    <r>
      <t xml:space="preserve">Iron (milligrams) </t>
    </r>
    <r>
      <rPr>
        <b/>
        <sz val="11"/>
        <color indexed="10"/>
        <rFont val="Calibri"/>
        <family val="2"/>
        <scheme val="minor"/>
      </rPr>
      <t>(iron)</t>
    </r>
  </si>
  <si>
    <r>
      <t xml:space="preserve">Animal iron (milligrams) </t>
    </r>
    <r>
      <rPr>
        <b/>
        <sz val="11"/>
        <color indexed="10"/>
        <rFont val="Calibri"/>
        <family val="2"/>
        <scheme val="minor"/>
      </rPr>
      <t>(fe_anim)</t>
    </r>
  </si>
  <si>
    <r>
      <t xml:space="preserve">Non animal iron (milligrams) </t>
    </r>
    <r>
      <rPr>
        <b/>
        <sz val="11"/>
        <color indexed="10"/>
        <rFont val="Calibri"/>
        <family val="2"/>
        <scheme val="minor"/>
      </rPr>
      <t>(fe_nanim)</t>
    </r>
  </si>
  <si>
    <r>
      <t xml:space="preserve">Vitamin C (Ascorbic Acid) (milligrams) </t>
    </r>
    <r>
      <rPr>
        <b/>
        <sz val="11"/>
        <color indexed="10"/>
        <rFont val="Calibri"/>
        <family val="2"/>
        <scheme val="minor"/>
      </rPr>
      <t>(vit_c)</t>
    </r>
  </si>
  <si>
    <r>
      <t xml:space="preserve">Vitamin B1 (Thiamine) (milligrams) </t>
    </r>
    <r>
      <rPr>
        <b/>
        <sz val="11"/>
        <color indexed="10"/>
        <rFont val="Calibri"/>
        <family val="2"/>
        <scheme val="minor"/>
      </rPr>
      <t>(vit_b1)</t>
    </r>
  </si>
  <si>
    <r>
      <t xml:space="preserve">Vitamin B2 (Riboflavin) (milligrams) </t>
    </r>
    <r>
      <rPr>
        <b/>
        <sz val="11"/>
        <color indexed="10"/>
        <rFont val="Calibri"/>
        <family val="2"/>
        <scheme val="minor"/>
      </rPr>
      <t>(vit_b2)</t>
    </r>
  </si>
  <si>
    <r>
      <t xml:space="preserve">Retinol (micrograms) </t>
    </r>
    <r>
      <rPr>
        <b/>
        <sz val="11"/>
        <color indexed="10"/>
        <rFont val="Calibri"/>
        <family val="2"/>
        <scheme val="minor"/>
      </rPr>
      <t>(retinol)</t>
    </r>
  </si>
  <si>
    <r>
      <t xml:space="preserve">Vitamin B6 (Pyridoxine) (milligrams) </t>
    </r>
    <r>
      <rPr>
        <b/>
        <sz val="11"/>
        <color indexed="10"/>
        <rFont val="Calibri"/>
        <family val="2"/>
        <scheme val="minor"/>
      </rPr>
      <t>(vit_b6)</t>
    </r>
  </si>
  <si>
    <r>
      <t xml:space="preserve">Vitamin B12 (Cobalamine) (micrograms) </t>
    </r>
    <r>
      <rPr>
        <b/>
        <sz val="11"/>
        <color indexed="10"/>
        <rFont val="Calibri"/>
        <family val="2"/>
        <scheme val="minor"/>
      </rPr>
      <t>(vit_b12)</t>
    </r>
  </si>
  <si>
    <r>
      <t xml:space="preserve">Isoleucine (grams) </t>
    </r>
    <r>
      <rPr>
        <b/>
        <sz val="11"/>
        <color indexed="10"/>
        <rFont val="Calibri"/>
        <family val="2"/>
        <scheme val="minor"/>
      </rPr>
      <t>(isoleuc)</t>
    </r>
  </si>
  <si>
    <r>
      <t xml:space="preserve">Leucine (grams) </t>
    </r>
    <r>
      <rPr>
        <b/>
        <sz val="11"/>
        <color indexed="10"/>
        <rFont val="Calibri"/>
        <family val="2"/>
        <scheme val="minor"/>
      </rPr>
      <t>(leucine)</t>
    </r>
  </si>
  <si>
    <r>
      <t xml:space="preserve">Lysine (grams) </t>
    </r>
    <r>
      <rPr>
        <b/>
        <sz val="11"/>
        <color indexed="10"/>
        <rFont val="Calibri"/>
        <family val="2"/>
        <scheme val="minor"/>
      </rPr>
      <t>(lysine)</t>
    </r>
  </si>
  <si>
    <r>
      <t xml:space="preserve">Methionine (grams) </t>
    </r>
    <r>
      <rPr>
        <b/>
        <sz val="11"/>
        <color indexed="10"/>
        <rFont val="Calibri"/>
        <family val="2"/>
        <scheme val="minor"/>
      </rPr>
      <t>(methion)</t>
    </r>
  </si>
  <si>
    <r>
      <t xml:space="preserve">Phenylalanine (grams) </t>
    </r>
    <r>
      <rPr>
        <b/>
        <sz val="11"/>
        <color indexed="10"/>
        <rFont val="Calibri"/>
        <family val="2"/>
        <scheme val="minor"/>
      </rPr>
      <t>(phenyl)</t>
    </r>
  </si>
  <si>
    <r>
      <t xml:space="preserve">Threonine (grams) </t>
    </r>
    <r>
      <rPr>
        <b/>
        <sz val="11"/>
        <color indexed="10"/>
        <rFont val="Calibri"/>
        <family val="2"/>
        <scheme val="minor"/>
      </rPr>
      <t>(threon)</t>
    </r>
  </si>
  <si>
    <r>
      <t xml:space="preserve">Tryptophan (grams) </t>
    </r>
    <r>
      <rPr>
        <b/>
        <sz val="11"/>
        <color indexed="10"/>
        <rFont val="Calibri"/>
        <family val="2"/>
        <scheme val="minor"/>
      </rPr>
      <t>(trypto)</t>
    </r>
  </si>
  <si>
    <r>
      <t xml:space="preserve">Valine (grams) </t>
    </r>
    <r>
      <rPr>
        <b/>
        <sz val="11"/>
        <color indexed="10"/>
        <rFont val="Calibri"/>
        <family val="2"/>
        <scheme val="minor"/>
      </rPr>
      <t>(valine)</t>
    </r>
  </si>
  <si>
    <r>
      <t xml:space="preserve">Histidine (grams) </t>
    </r>
    <r>
      <rPr>
        <b/>
        <sz val="11"/>
        <color indexed="10"/>
        <rFont val="Calibri"/>
        <family val="2"/>
        <scheme val="minor"/>
      </rPr>
      <t>(histid)</t>
    </r>
  </si>
  <si>
    <r>
      <t xml:space="preserve">Cystine (grams) </t>
    </r>
    <r>
      <rPr>
        <b/>
        <sz val="11"/>
        <color indexed="10"/>
        <rFont val="Calibri"/>
        <family val="2"/>
        <scheme val="minor"/>
      </rPr>
      <t>(cysteine)</t>
    </r>
  </si>
  <si>
    <r>
      <t xml:space="preserve">Tyrosine (grams) </t>
    </r>
    <r>
      <rPr>
        <b/>
        <sz val="11"/>
        <color indexed="10"/>
        <rFont val="Calibri"/>
        <family val="2"/>
        <scheme val="minor"/>
      </rPr>
      <t>(tyrosine)</t>
    </r>
  </si>
  <si>
    <t>Chicken, eggs raw</t>
  </si>
  <si>
    <t>B</t>
  </si>
  <si>
    <t>D</t>
  </si>
  <si>
    <t>Rice, starch</t>
  </si>
  <si>
    <t>Cornstarch</t>
  </si>
  <si>
    <t>Tea leaves</t>
  </si>
  <si>
    <t>DAN</t>
  </si>
  <si>
    <t>Tea, leaves</t>
  </si>
  <si>
    <t>Rice grain, raw</t>
  </si>
  <si>
    <t>zinc</t>
  </si>
  <si>
    <t>haem_fe</t>
  </si>
  <si>
    <t>nhaem_fe</t>
  </si>
  <si>
    <t>folate</t>
  </si>
  <si>
    <t>The analyst chooses between expressing total vitamin A in Retinol Activity Equivalents (RAE) or Retinol Equivalents (RE). The suggested variable names are vita_rae and vita_re respectively.</t>
  </si>
  <si>
    <t>1 Beta-carotene equivalent = 1 beta-carotene + 0.5 alpha-carotene + 0.5 beta-cryptoxanthin</t>
  </si>
  <si>
    <r>
      <t xml:space="preserve">Haem iron (milligrams) </t>
    </r>
    <r>
      <rPr>
        <b/>
        <sz val="11"/>
        <color indexed="10"/>
        <rFont val="Calibri"/>
        <family val="2"/>
        <scheme val="minor"/>
      </rPr>
      <t>(fe_haem)</t>
    </r>
  </si>
  <si>
    <r>
      <t xml:space="preserve">Non-haem iron (milligrams) </t>
    </r>
    <r>
      <rPr>
        <b/>
        <sz val="11"/>
        <color indexed="10"/>
        <rFont val="Calibri"/>
        <family val="2"/>
        <scheme val="minor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</si>
  <si>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  <scheme val="minor"/>
      </rPr>
      <t>zinc</t>
    </r>
  </si>
  <si>
    <r>
      <t xml:space="preserve">Betacarotene equivalents (micrograms) </t>
    </r>
    <r>
      <rPr>
        <b/>
        <sz val="11"/>
        <color indexed="10"/>
        <rFont val="Calibri"/>
        <family val="2"/>
        <scheme val="minor"/>
      </rPr>
      <t>(betacar)</t>
    </r>
  </si>
  <si>
    <t>Chicken, breast</t>
  </si>
  <si>
    <t>05057</t>
  </si>
  <si>
    <t>Chicken, broilers or fryers, breast, meat and skin, raw</t>
  </si>
  <si>
    <t>537</t>
  </si>
  <si>
    <t>Well defined, just one entry</t>
  </si>
  <si>
    <t>Not very well defined (average in Example Average)</t>
  </si>
  <si>
    <t>Estimation based on the assumption that only 1/20 of nutrients is going to the liquid tea/coffee</t>
  </si>
  <si>
    <r>
      <t xml:space="preserve">Folate (micrograms) </t>
    </r>
    <r>
      <rPr>
        <b/>
        <sz val="11"/>
        <color rgb="FFFF0000"/>
        <rFont val="Calibri"/>
        <family val="2"/>
        <scheme val="minor"/>
      </rPr>
      <t>folate</t>
    </r>
  </si>
  <si>
    <r>
      <t xml:space="preserve">Haem iron (milligrams) </t>
    </r>
    <r>
      <rPr>
        <b/>
        <sz val="11"/>
        <color rgb="FFFF0000"/>
        <rFont val="Calibri"/>
        <family val="2"/>
      </rPr>
      <t>(fe_haem)</t>
    </r>
  </si>
  <si>
    <r>
      <t xml:space="preserve">Non-haem iron (milligrams) </t>
    </r>
    <r>
      <rPr>
        <b/>
        <sz val="11"/>
        <color rgb="FFFF0000"/>
        <rFont val="Calibri"/>
        <family val="2"/>
      </rPr>
      <t>(fe_nhaem)</t>
    </r>
  </si>
  <si>
    <r>
      <t xml:space="preserve">Zinc (milligrams) </t>
    </r>
    <r>
      <rPr>
        <b/>
        <sz val="11"/>
        <color rgb="FFFF0000"/>
        <rFont val="Calibri"/>
        <family val="2"/>
      </rPr>
      <t>zinc</t>
    </r>
  </si>
  <si>
    <r>
      <t xml:space="preserve">Folate (micrograms) </t>
    </r>
    <r>
      <rPr>
        <b/>
        <sz val="11"/>
        <color rgb="FFFF0000"/>
        <rFont val="Calibri"/>
        <family val="2"/>
      </rPr>
      <t>folate</t>
    </r>
  </si>
  <si>
    <t>Item Group (diversity_grp)</t>
  </si>
  <si>
    <r>
      <t xml:space="preserve">Item Group </t>
    </r>
    <r>
      <rPr>
        <b/>
        <sz val="11"/>
        <color indexed="10"/>
        <rFont val="Calibri"/>
        <family val="2"/>
        <scheme val="minor"/>
      </rPr>
      <t>(diversity_grp)</t>
    </r>
  </si>
  <si>
    <r>
      <t xml:space="preserve">Item Group </t>
    </r>
    <r>
      <rPr>
        <b/>
        <sz val="11"/>
        <color rgb="FFFF0000"/>
        <rFont val="Calibri"/>
        <family val="2"/>
        <scheme val="minor"/>
      </rPr>
      <t>(diversity_grp)</t>
    </r>
  </si>
  <si>
    <t>diversity_grp</t>
  </si>
  <si>
    <t>From Worksheet Average</t>
  </si>
  <si>
    <r>
      <t xml:space="preserve">Betacarotene equivalents (micrograms) </t>
    </r>
    <r>
      <rPr>
        <b/>
        <sz val="11"/>
        <color indexed="10"/>
        <rFont val="Calibri"/>
        <family val="2"/>
      </rPr>
      <t>(betacar)</t>
    </r>
  </si>
  <si>
    <r>
      <t xml:space="preserve">Vitamin A (micrograms of RAE or RE) </t>
    </r>
    <r>
      <rPr>
        <b/>
        <sz val="11"/>
        <color indexed="10"/>
        <rFont val="Calibri"/>
        <family val="2"/>
      </rPr>
      <t>(vita)</t>
    </r>
  </si>
  <si>
    <r>
      <t xml:space="preserve">Vitamin A (micrograms of RAE o RE) </t>
    </r>
    <r>
      <rPr>
        <b/>
        <sz val="11"/>
        <color indexed="10"/>
        <rFont val="Calibri"/>
        <family val="2"/>
      </rPr>
      <t>(vita)</t>
    </r>
  </si>
  <si>
    <t>vita</t>
  </si>
  <si>
    <r>
      <t xml:space="preserve">Vitamin A (micrograms of RAE or RE) </t>
    </r>
    <r>
      <rPr>
        <b/>
        <sz val="11"/>
        <color indexed="10"/>
        <rFont val="Calibri"/>
        <family val="2"/>
        <scheme val="minor"/>
      </rPr>
      <t>(vita)</t>
    </r>
  </si>
  <si>
    <t>Food item code in Household Survey (item_cod)</t>
  </si>
  <si>
    <t>Food item description in Household Survey (desc)</t>
  </si>
  <si>
    <t>Food Item Index Matching (Read the text in the comment of this cell)</t>
  </si>
  <si>
    <t>Refuse factor (refuse)</t>
  </si>
  <si>
    <t>Item Group (item_grp)</t>
  </si>
  <si>
    <t>Calcium (milligrams) (calcium)</t>
  </si>
  <si>
    <t>Iron (milligrams) (iron)</t>
  </si>
  <si>
    <t>Zinc (milligrams) (zinc)</t>
  </si>
  <si>
    <t>Folate (micrograms) (folate)</t>
  </si>
  <si>
    <t>Vitamin C (Ascorbic Acid) (milligrams) (vit_c)</t>
  </si>
  <si>
    <t>Vitamin B1 (Thiamine) (milligrams) (vit_b1)</t>
  </si>
  <si>
    <t>Vitamin B2 (Riboflavin) (milligrams) (vit_b2)</t>
  </si>
  <si>
    <t>Retinol (micrograms) (retinol)</t>
  </si>
  <si>
    <t>Betacarotene equivalents (micrograms) (betacar)</t>
  </si>
  <si>
    <t>Vitamin A (micrograms of RAE) (vita_rae)</t>
  </si>
  <si>
    <t>Vitamin B6 (Pyridoxine) (milligrams) (vit_b6)</t>
  </si>
  <si>
    <t>Vitamin B12 (Cobalamine) (micrograms) (vit_b12)</t>
  </si>
  <si>
    <t>Magnesium (milligrams)</t>
  </si>
  <si>
    <t>Phosphorus (milligrams)</t>
  </si>
  <si>
    <t>Potassium (milligrams)</t>
  </si>
  <si>
    <t>Sodium (milligrams)</t>
  </si>
  <si>
    <t>Copper (milligrams)</t>
  </si>
  <si>
    <t>Vitamin D (micrograms)</t>
  </si>
  <si>
    <t>Niacin (milligrams)</t>
  </si>
  <si>
    <t>Rice</t>
  </si>
  <si>
    <t>WA_FCT</t>
  </si>
  <si>
    <t>01_037</t>
  </si>
  <si>
    <t>Rice, white, raw</t>
  </si>
  <si>
    <t>Malt/ Mealie Rice</t>
  </si>
  <si>
    <t>USDA_FCT</t>
  </si>
  <si>
    <t>CEREALS RTE,MALT-O-MEAL,CORN BURSTS</t>
  </si>
  <si>
    <t>Bread (white, brown, whole wheat, rye, maize, etc.)</t>
  </si>
  <si>
    <t>01_046</t>
  </si>
  <si>
    <t>Bread, wheat, white</t>
  </si>
  <si>
    <t>Brotchen</t>
  </si>
  <si>
    <t>01_045</t>
  </si>
  <si>
    <t>Bread/rolls, white</t>
  </si>
  <si>
    <t>Biscuits, rusks</t>
  </si>
  <si>
    <t>Vetkoek</t>
  </si>
  <si>
    <t>Traditional bread, ash bread, oshikwiila, oshima, omungome</t>
  </si>
  <si>
    <t>Macaroni, spaghetti, noodles</t>
  </si>
  <si>
    <t>01_053</t>
  </si>
  <si>
    <t>Macaroni, boiled* (without salt)</t>
  </si>
  <si>
    <t>Cakes (all types)</t>
  </si>
  <si>
    <t>CAKE,FRUITCAKE,COMMLY PREP</t>
  </si>
  <si>
    <t>Pies &amp; pizzas</t>
  </si>
  <si>
    <t>PIE CRUST,REFR,REG,BKD</t>
  </si>
  <si>
    <t>Breakfast cereals (all types)</t>
  </si>
  <si>
    <t>CEREALS RTE,KELLOGG,KELLOGG'S CRACKLIN' OAT BRAN</t>
  </si>
  <si>
    <t>Baby foods, cereals</t>
  </si>
  <si>
    <t>10_012</t>
  </si>
  <si>
    <t>Infant formula, powder, for 6 months</t>
  </si>
  <si>
    <t>Bread/ cake flour (all types)</t>
  </si>
  <si>
    <t>01_044</t>
  </si>
  <si>
    <t>Bread, maize flour, yellow, with milk and egg</t>
  </si>
  <si>
    <t>Maize meal/ grain/ samp</t>
  </si>
  <si>
    <t>01_014</t>
  </si>
  <si>
    <t>Maize, combined varieties, whole kernel, dried, raw (Benin)</t>
  </si>
  <si>
    <t>Mahangu meal/ grain/ samp</t>
  </si>
  <si>
    <t>01_017</t>
  </si>
  <si>
    <t>Pearl millet, whole grain, raw (with bran)</t>
  </si>
  <si>
    <t>Sorghum meal/ grain</t>
  </si>
  <si>
    <t>01_039</t>
  </si>
  <si>
    <t xml:space="preserve">Sorghum, whole grain, raw </t>
  </si>
  <si>
    <t>Cassava flour</t>
  </si>
  <si>
    <t>02_004</t>
  </si>
  <si>
    <t>Other bread &amp; cereals (specify)</t>
  </si>
  <si>
    <t>CERLS,QUKR,INST OTML,DNSR EGS W/ "DNSR BNS",BRN SGR CINN,DRY</t>
  </si>
  <si>
    <t>Beef</t>
  </si>
  <si>
    <t>07_005</t>
  </si>
  <si>
    <t>Average beef from average tabs</t>
  </si>
  <si>
    <t>Pork</t>
  </si>
  <si>
    <t>Pork, meat, approx. 40 % fat, boneless, raw</t>
  </si>
  <si>
    <t>Goat meat</t>
  </si>
  <si>
    <t>07_046</t>
  </si>
  <si>
    <t>Goat, meat, raw</t>
  </si>
  <si>
    <t>Mutton/ Lamb</t>
  </si>
  <si>
    <t>07_049</t>
  </si>
  <si>
    <t>Lamb/mutton, meat, moderately fat, boiled* (without salt)</t>
  </si>
  <si>
    <t>Birds, other than chicken</t>
  </si>
  <si>
    <t>Poultry food products, ground turkey, cooked</t>
  </si>
  <si>
    <t>Bacon</t>
  </si>
  <si>
    <t>Ham</t>
  </si>
  <si>
    <t>HAM,CHOPPED,NOT CANNED</t>
  </si>
  <si>
    <t>Biltong</t>
  </si>
  <si>
    <t>07_009</t>
  </si>
  <si>
    <t>Beef, meat, lean, boneless, raw</t>
  </si>
  <si>
    <t>Smoked meat, other than bacon &amp; ham</t>
  </si>
  <si>
    <t>07_063</t>
  </si>
  <si>
    <t>Sausage, wiener (beef, pork, chicken) canned</t>
  </si>
  <si>
    <t>Polony</t>
  </si>
  <si>
    <t>Sausages, other than polony</t>
  </si>
  <si>
    <t>Offals, meat waste</t>
  </si>
  <si>
    <t>07_021</t>
  </si>
  <si>
    <t>Beef, tripe, raw</t>
  </si>
  <si>
    <t>Liver &amp; kidneys</t>
  </si>
  <si>
    <t>07_001</t>
  </si>
  <si>
    <t>Beef liver, raw</t>
  </si>
  <si>
    <t>Minced meat</t>
  </si>
  <si>
    <t>07_023</t>
  </si>
  <si>
    <t>Beef,  ground, 10 % fat, raw</t>
  </si>
  <si>
    <t>Canned meat</t>
  </si>
  <si>
    <t>07_025</t>
  </si>
  <si>
    <t>Beef, meat, cured, corned, canned</t>
  </si>
  <si>
    <t>Game/ Iguana</t>
  </si>
  <si>
    <t>Game meat,Deer, raw</t>
  </si>
  <si>
    <t>Dog</t>
  </si>
  <si>
    <t>Donkey</t>
  </si>
  <si>
    <t>Game meat, horse raw</t>
  </si>
  <si>
    <t>Tortoise</t>
  </si>
  <si>
    <t>FROG LEGS,RAW</t>
  </si>
  <si>
    <t>Worms (omaungu, omanghandja, omaenghowa, murere, â€¦ etc.)</t>
  </si>
  <si>
    <t>07_056</t>
  </si>
  <si>
    <t>Mopanie worm, canned</t>
  </si>
  <si>
    <t>Other meat (specify)</t>
  </si>
  <si>
    <t>07_027</t>
  </si>
  <si>
    <t>Game meat, dried</t>
  </si>
  <si>
    <t>Fresh fish</t>
  </si>
  <si>
    <t>09_041</t>
  </si>
  <si>
    <t>Tilapia, raw</t>
  </si>
  <si>
    <t>Frozen fish</t>
  </si>
  <si>
    <t>09_003</t>
  </si>
  <si>
    <t>Mackerel, raw</t>
  </si>
  <si>
    <t>Cray fish, all types</t>
  </si>
  <si>
    <t>CRAYFISH,MXD SP,WILD,RAW</t>
  </si>
  <si>
    <t>Snails, crabs</t>
  </si>
  <si>
    <t>CRAB,QUEEN,CKD,MOIST HEAT</t>
  </si>
  <si>
    <t>Frogs</t>
  </si>
  <si>
    <t>Smoked fish</t>
  </si>
  <si>
    <t>Fish,haddock,smoked</t>
  </si>
  <si>
    <t>Kapenta/ Eentangu (fresh)</t>
  </si>
  <si>
    <t>09_004</t>
  </si>
  <si>
    <t>Sardine, raw</t>
  </si>
  <si>
    <t>Dried fish</t>
  </si>
  <si>
    <t>Fish, white fish, dried, Alska Native</t>
  </si>
  <si>
    <t>Bottled/ Tinned fish</t>
  </si>
  <si>
    <t>09_037</t>
  </si>
  <si>
    <t>Sardines in oil, canned (drained solids with bone)</t>
  </si>
  <si>
    <t>Other amphibians (specify)</t>
  </si>
  <si>
    <t>Fresh milk</t>
  </si>
  <si>
    <t>10_001</t>
  </si>
  <si>
    <t>Milk, cow, whole, 3.5 % fat (includes pasteurised, sterilised and UHT)</t>
  </si>
  <si>
    <t>Long life milk</t>
  </si>
  <si>
    <t>Other dairy products (specify)</t>
  </si>
  <si>
    <t>10_021</t>
  </si>
  <si>
    <t>Yoghurt, whole milk, with fruits</t>
  </si>
  <si>
    <t>Fresh milk - Low fat</t>
  </si>
  <si>
    <t>10_013</t>
  </si>
  <si>
    <t>Milk, cow, partly skimmed, 1.5 % fat</t>
  </si>
  <si>
    <t>Long life - Low fat</t>
  </si>
  <si>
    <t>10_014</t>
  </si>
  <si>
    <t>Milk, cow,  skimmed, 0.5 % fat</t>
  </si>
  <si>
    <t>Condensed milk</t>
  </si>
  <si>
    <t>10_015</t>
  </si>
  <si>
    <t>Milk, cow, canned, condensed, sweetened</t>
  </si>
  <si>
    <t>Powdered milk</t>
  </si>
  <si>
    <t>10_017</t>
  </si>
  <si>
    <t>Milk, cow powder, skimmed</t>
  </si>
  <si>
    <t>Coffee creamer</t>
  </si>
  <si>
    <t>B2</t>
  </si>
  <si>
    <t>Baby milk powdered</t>
  </si>
  <si>
    <t>10_011</t>
  </si>
  <si>
    <t>Infant formula, powder, for 3 months</t>
  </si>
  <si>
    <t>Clotted/ Cultured milk</t>
  </si>
  <si>
    <t>10_003</t>
  </si>
  <si>
    <t>Milk, Goat, Raw</t>
  </si>
  <si>
    <t>Yoghurt</t>
  </si>
  <si>
    <t>10_005</t>
  </si>
  <si>
    <t>Yoghurt, whole milk, plain</t>
  </si>
  <si>
    <t>Traditional sour milk</t>
  </si>
  <si>
    <t>Cheese, all types</t>
  </si>
  <si>
    <t>10_008</t>
  </si>
  <si>
    <t>Cheese, Gouda</t>
  </si>
  <si>
    <t>Cream</t>
  </si>
  <si>
    <t>10_010</t>
  </si>
  <si>
    <t>Cream, 13 % fat</t>
  </si>
  <si>
    <t>Eggs</t>
  </si>
  <si>
    <t>08_001</t>
  </si>
  <si>
    <t>Egg, chicken, raw</t>
  </si>
  <si>
    <t>Butter</t>
  </si>
  <si>
    <t>11_001</t>
  </si>
  <si>
    <t>Butter, from cow's milk (without salt)</t>
  </si>
  <si>
    <t>Margarine &amp; margarine spreads</t>
  </si>
  <si>
    <t>11_006</t>
  </si>
  <si>
    <t>Margarine, fortified</t>
  </si>
  <si>
    <t>Peanut butter</t>
  </si>
  <si>
    <t>06_025</t>
  </si>
  <si>
    <t>Groundnut, combined varieties, shelled, dried,raw (Ghana)</t>
  </si>
  <si>
    <t>C2</t>
  </si>
  <si>
    <t>Cooking oil</t>
  </si>
  <si>
    <t>11_010</t>
  </si>
  <si>
    <t>Vegetable oil</t>
  </si>
  <si>
    <t>Olive oil</t>
  </si>
  <si>
    <t>Cooking fats</t>
  </si>
  <si>
    <t>Omaze ongombe</t>
  </si>
  <si>
    <t>Komazam &amp; sheep tail fat</t>
  </si>
  <si>
    <t>11_003</t>
  </si>
  <si>
    <t>Groundnut oil</t>
  </si>
  <si>
    <t>Other oils &amp; fats (specify)</t>
  </si>
  <si>
    <t>Citrus fruits (orange, lemon, etc.)</t>
  </si>
  <si>
    <t>05_016</t>
  </si>
  <si>
    <t>Orange, raw</t>
  </si>
  <si>
    <t>Bananas</t>
  </si>
  <si>
    <t>05_003</t>
  </si>
  <si>
    <t>Banana, white flesh, raw</t>
  </si>
  <si>
    <t>Apples</t>
  </si>
  <si>
    <t>05_026</t>
  </si>
  <si>
    <t>Apple, with skin, raw</t>
  </si>
  <si>
    <t>Pears</t>
  </si>
  <si>
    <t>Pears, raw</t>
  </si>
  <si>
    <t>Apricots</t>
  </si>
  <si>
    <t>Apricots, Raw</t>
  </si>
  <si>
    <t>Avocados</t>
  </si>
  <si>
    <t>Kenya_FCT</t>
  </si>
  <si>
    <t>Avocado, Ripe, Raw</t>
  </si>
  <si>
    <t>Cherries</t>
  </si>
  <si>
    <t>Cherries, Sweet, Raw</t>
  </si>
  <si>
    <t>Mangoes</t>
  </si>
  <si>
    <t>05_036</t>
  </si>
  <si>
    <t>Mango, deep orange flesh</t>
  </si>
  <si>
    <t>Plums</t>
  </si>
  <si>
    <t>Plums, Raw</t>
  </si>
  <si>
    <t>Peaches</t>
  </si>
  <si>
    <t>Peach, Yellow Fleshed, unpealed, raw</t>
  </si>
  <si>
    <t>Strawberries</t>
  </si>
  <si>
    <t>Strawberry, Raw</t>
  </si>
  <si>
    <t>Mulberries</t>
  </si>
  <si>
    <t>Mullberries, Raw</t>
  </si>
  <si>
    <t>Figs</t>
  </si>
  <si>
    <t>Figs, Raw</t>
  </si>
  <si>
    <t>Grapes/ Omandjebere (fresh)</t>
  </si>
  <si>
    <t>05_035</t>
  </si>
  <si>
    <t>Grapefruit, pulp, raw</t>
  </si>
  <si>
    <t>Guavas</t>
  </si>
  <si>
    <t>05_010</t>
  </si>
  <si>
    <t>Guava, fruit, raw</t>
  </si>
  <si>
    <t>Olives, all types</t>
  </si>
  <si>
    <t>Olives, Pickles, CND or BTLD, GRN</t>
  </si>
  <si>
    <t>Capers, all types</t>
  </si>
  <si>
    <t>Cappers, Canned</t>
  </si>
  <si>
    <t>Sweet melons, all types</t>
  </si>
  <si>
    <t>05_038</t>
  </si>
  <si>
    <t>Melon, honeydew, raw</t>
  </si>
  <si>
    <t>Watermelons</t>
  </si>
  <si>
    <t>Pineapples</t>
  </si>
  <si>
    <t>05_018</t>
  </si>
  <si>
    <t>Pineapple, Pulp, Raw</t>
  </si>
  <si>
    <t>Passion fruit</t>
  </si>
  <si>
    <t>Passion fruit, dark purple skin, raw</t>
  </si>
  <si>
    <t>Eendunga/ Munganda</t>
  </si>
  <si>
    <t>06_029</t>
  </si>
  <si>
    <t>Palm nut kernel, shelled, raw</t>
  </si>
  <si>
    <t>Oombe (bird plum)</t>
  </si>
  <si>
    <t>05_019</t>
  </si>
  <si>
    <t>Plum nut kernel, shelled, raw</t>
  </si>
  <si>
    <t>Grapes/ Omandjebere (dry)</t>
  </si>
  <si>
    <t>Omauni</t>
  </si>
  <si>
    <t>Omapea</t>
  </si>
  <si>
    <t>Ground nuts/ Eefukwa</t>
  </si>
  <si>
    <t>03_001</t>
  </si>
  <si>
    <t xml:space="preserve">Bambara groundnut, dried, raw </t>
  </si>
  <si>
    <t>Omahuku</t>
  </si>
  <si>
    <t>06_010</t>
  </si>
  <si>
    <t>Groundnut, shelled, dried, raw</t>
  </si>
  <si>
    <t>Peanuts &amp; other snack nuts</t>
  </si>
  <si>
    <t>Ekwa/ Mubuyu</t>
  </si>
  <si>
    <t>05_004</t>
  </si>
  <si>
    <t>Baobab, Fruit, Monkey bread, Pulp, Raw</t>
  </si>
  <si>
    <t>Eenyandi</t>
  </si>
  <si>
    <t>Enyandi(jackalBerry)</t>
  </si>
  <si>
    <t>Eengungu</t>
  </si>
  <si>
    <t>MIXED NUTS,DRY RSTD,W/PNUTS,W/SALT</t>
  </si>
  <si>
    <t>Coconuts</t>
  </si>
  <si>
    <t>Coconut meat, raw</t>
  </si>
  <si>
    <t>Mixed nuts</t>
  </si>
  <si>
    <t>Mxd nuts, dry rstd, w/pnuts, wo/salt</t>
  </si>
  <si>
    <t>Dried figs</t>
  </si>
  <si>
    <t>Figs,dried,uncooked</t>
  </si>
  <si>
    <t>Dried pears</t>
  </si>
  <si>
    <t>Pears, dried, sulfured, unckd</t>
  </si>
  <si>
    <t>Dried dates</t>
  </si>
  <si>
    <t>05_031</t>
  </si>
  <si>
    <t>Dates, dried</t>
  </si>
  <si>
    <t>Dried fruits, other</t>
  </si>
  <si>
    <t>Fruit, MXD, Prune, Apricot &amp; Pear, Dried</t>
  </si>
  <si>
    <t>Tinned fruits</t>
  </si>
  <si>
    <t>Fruit,MXD,(Peach &amp;Pear, PNA, PPL,), CND,HVY Syrup, SOL and Liquids</t>
  </si>
  <si>
    <t>Frozen fruits</t>
  </si>
  <si>
    <t>Fruit,mxd, (pch, cher-swt &amp; sr, raspb, grape,boys), frz, swtned</t>
  </si>
  <si>
    <t>Mixed fruits (fresh)</t>
  </si>
  <si>
    <t>Other fruits &amp; nuts (specify)</t>
  </si>
  <si>
    <t>Mixed nuts, dry, RSTD,W/pnuts, w/salt</t>
  </si>
  <si>
    <t>Lettuce</t>
  </si>
  <si>
    <t>04_040</t>
  </si>
  <si>
    <t>Lettuce, raw</t>
  </si>
  <si>
    <t>Spinach/ Ombindi/ Derere/ Mutete/ Ekaka</t>
  </si>
  <si>
    <t>04_057</t>
  </si>
  <si>
    <t>Spinach, raw</t>
  </si>
  <si>
    <t>Celery</t>
  </si>
  <si>
    <t>Celery, raw</t>
  </si>
  <si>
    <t>Chives/ Grass onion</t>
  </si>
  <si>
    <t>Onions, Spring, Scallions(Inc ttops, &amp; Bulb), raw</t>
  </si>
  <si>
    <t>Broccoli</t>
  </si>
  <si>
    <t>Broccoli, raw</t>
  </si>
  <si>
    <t>Cabbage</t>
  </si>
  <si>
    <t>04_005</t>
  </si>
  <si>
    <t>Cabbage, raw</t>
  </si>
  <si>
    <t>Cauliflower</t>
  </si>
  <si>
    <t>Cauliflower , raw</t>
  </si>
  <si>
    <t>Aubergine/ Egg plant</t>
  </si>
  <si>
    <t>Egg plant, Raw</t>
  </si>
  <si>
    <t>Beans (fresh)</t>
  </si>
  <si>
    <t>04_003</t>
  </si>
  <si>
    <t>Beans, green raw</t>
  </si>
  <si>
    <t>Cucumber</t>
  </si>
  <si>
    <t>04_032</t>
  </si>
  <si>
    <t>Cucumber, raw</t>
  </si>
  <si>
    <t>Green pepper/ Paprika</t>
  </si>
  <si>
    <t>04_049</t>
  </si>
  <si>
    <t>Pepper, sweet, green, raw</t>
  </si>
  <si>
    <t>Peppers, Chilli, raw</t>
  </si>
  <si>
    <t>04_046</t>
  </si>
  <si>
    <t>Peppers, chilli, raw</t>
  </si>
  <si>
    <t>Mealie/ Corn cob</t>
  </si>
  <si>
    <t>Corn, Sweet, White, raw</t>
  </si>
  <si>
    <t>Peas</t>
  </si>
  <si>
    <t>Peas, green, raw</t>
  </si>
  <si>
    <t>Pumpkins baby marrows &amp; squashes, all types</t>
  </si>
  <si>
    <t>04_051</t>
  </si>
  <si>
    <t>Pumpkin, squash, raw</t>
  </si>
  <si>
    <t>Tomatoes</t>
  </si>
  <si>
    <t>04_021</t>
  </si>
  <si>
    <t>Tomato, red, ripe, raw</t>
  </si>
  <si>
    <t>Asparagus</t>
  </si>
  <si>
    <t>Asparagus,raw</t>
  </si>
  <si>
    <t>Beetroot</t>
  </si>
  <si>
    <t>Beetroot,pealed,raw</t>
  </si>
  <si>
    <t>Carrots</t>
  </si>
  <si>
    <t>04_006</t>
  </si>
  <si>
    <t>Carrot, raw</t>
  </si>
  <si>
    <t>Leek</t>
  </si>
  <si>
    <t>Leeks, bulb and stem, raw</t>
  </si>
  <si>
    <t>Onion</t>
  </si>
  <si>
    <t>04_018</t>
  </si>
  <si>
    <t>Onion, raw</t>
  </si>
  <si>
    <t>Turnip</t>
  </si>
  <si>
    <t>04_068</t>
  </si>
  <si>
    <t>Turnip, raw</t>
  </si>
  <si>
    <t>Mushroom</t>
  </si>
  <si>
    <t>Mushroom, shiitake,raw</t>
  </si>
  <si>
    <t>Beans (dried)</t>
  </si>
  <si>
    <t>03_022</t>
  </si>
  <si>
    <t>Beans, white, dried</t>
  </si>
  <si>
    <t>Peas (dried)</t>
  </si>
  <si>
    <t>Chick peas, whole, dry, raw</t>
  </si>
  <si>
    <t>Lentils</t>
  </si>
  <si>
    <t>03_030</t>
  </si>
  <si>
    <t>Dried vegetables, other</t>
  </si>
  <si>
    <t>04_031</t>
  </si>
  <si>
    <t>Cowpea leaves, dried</t>
  </si>
  <si>
    <t>Tinned/ Pickled vegetables (e.g. cucumbers, onions, garlic, mixed)</t>
  </si>
  <si>
    <t>Picles, cucumbers, sour</t>
  </si>
  <si>
    <t>Potatoes, English</t>
  </si>
  <si>
    <t>02_009</t>
  </si>
  <si>
    <t>Potato, raw</t>
  </si>
  <si>
    <t>Sweet potatoes</t>
  </si>
  <si>
    <t>02_022</t>
  </si>
  <si>
    <t>Sweet potato, pale yellow, raw</t>
  </si>
  <si>
    <t>Chips &amp; crisps</t>
  </si>
  <si>
    <t>Potato, chips</t>
  </si>
  <si>
    <t>Cassava</t>
  </si>
  <si>
    <t>Cassava, raw</t>
  </si>
  <si>
    <t>Frozen vegetables</t>
  </si>
  <si>
    <t>Vegetables, MXD, FRZ, CKD, BLD, DRND,WO/SALT</t>
  </si>
  <si>
    <t>Mixed vegetables</t>
  </si>
  <si>
    <t>Vegetables,MXD, (Corn, lima, bns, Peas, GRN BNS, CRRT) CND, NOSALT</t>
  </si>
  <si>
    <t>Other vegetables &amp; tubers (specify)</t>
  </si>
  <si>
    <t>Sugar</t>
  </si>
  <si>
    <t>13_002</t>
  </si>
  <si>
    <t>Sugar cane</t>
  </si>
  <si>
    <t>Sugar cane, juice, raw</t>
  </si>
  <si>
    <t>Icing sugar</t>
  </si>
  <si>
    <t>Sugars, powdered</t>
  </si>
  <si>
    <t>Other (sugar weed, etc.)</t>
  </si>
  <si>
    <t>Honey</t>
  </si>
  <si>
    <t>13_001</t>
  </si>
  <si>
    <t>Jam</t>
  </si>
  <si>
    <t>JAMS AND PRESERVES</t>
  </si>
  <si>
    <t>Chocolate</t>
  </si>
  <si>
    <t>CANDIES,SWEET CHOCOLATE</t>
  </si>
  <si>
    <t>Sweets</t>
  </si>
  <si>
    <t>CANDIES,CARAMELS</t>
  </si>
  <si>
    <t>Ice cream</t>
  </si>
  <si>
    <t>Other sweeteners (specify)</t>
  </si>
  <si>
    <t>SWEETENERS,FOR BAKING,BROWN,CONTAINS SUGAR &amp; SUCRALOSE</t>
  </si>
  <si>
    <t>Mayonnaise</t>
  </si>
  <si>
    <t>MAYONNAISE DRSNG,NO CHOL</t>
  </si>
  <si>
    <t>Tomato Sauces</t>
  </si>
  <si>
    <t>SAUCE,TOMATO CHILI SAU,BTLD,NO SALT,LO NA</t>
  </si>
  <si>
    <t>Vinegar</t>
  </si>
  <si>
    <t>13_003</t>
  </si>
  <si>
    <t>Salad dressings</t>
  </si>
  <si>
    <t>SALAD DRSNG,MAYO DRSNG,DIET,NO CHOL</t>
  </si>
  <si>
    <t>Salt</t>
  </si>
  <si>
    <t>13_015</t>
  </si>
  <si>
    <t>Spices &amp; condiments</t>
  </si>
  <si>
    <t>13_016</t>
  </si>
  <si>
    <t>Spices, mix, ground</t>
  </si>
  <si>
    <t>Garlic</t>
  </si>
  <si>
    <t>04_015</t>
  </si>
  <si>
    <t>Garlic, raw</t>
  </si>
  <si>
    <t>Yeast</t>
  </si>
  <si>
    <t>13_017</t>
  </si>
  <si>
    <t>Yeast, dried</t>
  </si>
  <si>
    <t>Custards, puddings, jelly &amp; gelatine</t>
  </si>
  <si>
    <t>CREAM PUFF,ECLAIR,CUSTARD OR CRM FILLED,ICED</t>
  </si>
  <si>
    <t>Ready-made soup</t>
  </si>
  <si>
    <t>SOUP,BF MUSHROOM,CND,COND</t>
  </si>
  <si>
    <t>Powdered soup</t>
  </si>
  <si>
    <t>Other foods (specify)</t>
  </si>
  <si>
    <t>Coffee</t>
  </si>
  <si>
    <t>12_005</t>
  </si>
  <si>
    <t>coffee, instant, powder</t>
  </si>
  <si>
    <t>Tea</t>
  </si>
  <si>
    <t>12_008</t>
  </si>
  <si>
    <t>GOLD PEAK TEA, ICED TEA, SWEET TEA</t>
  </si>
  <si>
    <t>Chocolate drinks</t>
  </si>
  <si>
    <t>Other infusions (specify)</t>
  </si>
  <si>
    <t>Mineral water &amp; ice cubes blocks</t>
  </si>
  <si>
    <t>12_019</t>
  </si>
  <si>
    <t>Water, tap</t>
  </si>
  <si>
    <t>Soft drinks</t>
  </si>
  <si>
    <t>12_011</t>
  </si>
  <si>
    <t>Juice, orange, unsweetened</t>
  </si>
  <si>
    <t>Other non-alcoholic drinks (Energade, Powerade) (specify)</t>
  </si>
  <si>
    <t>Fruit juice &amp; squashes</t>
  </si>
  <si>
    <t>Mageu/Oshikundu</t>
  </si>
  <si>
    <t>01_061</t>
  </si>
  <si>
    <t>Maize, white, soft porridge* (without salt)</t>
  </si>
  <si>
    <t>Other powdered drinks (specify)</t>
  </si>
  <si>
    <t>Local home-made distilled drinks, all types (ombike, kashipembe)</t>
  </si>
  <si>
    <t>12_004</t>
  </si>
  <si>
    <t>Beer, sorghum (est. 3% alcohol)</t>
  </si>
  <si>
    <t>Wines</t>
  </si>
  <si>
    <t>12_006</t>
  </si>
  <si>
    <t>Palm wine (est. 3.8 % alcohol)</t>
  </si>
  <si>
    <t>Other alcoholic beverages (specify)</t>
  </si>
  <si>
    <t>12_003</t>
  </si>
  <si>
    <t>Beer, millet (est. 3 % alcohol)</t>
  </si>
  <si>
    <t>Beer/ Ales/ Ciders</t>
  </si>
  <si>
    <t>12_001</t>
  </si>
  <si>
    <t>Beer european (4.4 % alcohol)</t>
  </si>
  <si>
    <t>Local home-made brew, all types (tombo, epwaka, shafuluka)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</si>
</sst>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19" x14ac:knownFonts="1">
    <font>
      <sz val="10"/>
      <name val="Arial"/>
    </font>
    <font>
      <sz val="8"/>
      <name val="Arial"/>
      <family val="2"/>
    </font>
    <font>
      <sz val="10"/>
      <name val="MS Sans Serif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1"/>
      <color indexed="1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u/>
      <sz val="11"/>
      <color theme="4" tint="-0.249977111117893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</font>
    <font>
      <b/>
      <sz val="9"/>
      <color indexed="81"/>
      <name val="Arial"/>
    </font>
    <font>
      <sz val="9"/>
      <color indexed="81"/>
      <name val="Arial"/>
    </font>
    <font>
      <u/>
      <sz val="10"/>
      <color theme="10"/>
      <name val="Arial"/>
    </font>
    <font>
      <u/>
      <sz val="10"/>
      <color theme="11"/>
      <name val="Arial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3E3E3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4">
    <xf numFmtId="0" fontId="0" fillId="0" borderId="0"/>
    <xf numFmtId="0" fontId="2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68">
    <xf numFmtId="0" fontId="0" fillId="0" borderId="0" xfId="0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6" fillId="0" borderId="0" xfId="0" applyNumberFormat="1" applyFont="1" applyFill="1" applyAlignment="1">
      <alignment horizontal="left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left" wrapText="1"/>
    </xf>
    <xf numFmtId="164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/>
    <xf numFmtId="0" fontId="6" fillId="0" borderId="1" xfId="0" applyNumberFormat="1" applyFont="1" applyFill="1" applyBorder="1" applyAlignment="1">
      <alignment horizontal="left" wrapText="1"/>
    </xf>
    <xf numFmtId="0" fontId="10" fillId="0" borderId="2" xfId="0" applyFont="1" applyBorder="1"/>
    <xf numFmtId="0" fontId="6" fillId="0" borderId="2" xfId="0" applyFont="1" applyBorder="1"/>
    <xf numFmtId="0" fontId="6" fillId="0" borderId="1" xfId="0" quotePrefix="1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wrapText="1"/>
    </xf>
    <xf numFmtId="0" fontId="7" fillId="0" borderId="0" xfId="0" applyFont="1"/>
    <xf numFmtId="0" fontId="12" fillId="0" borderId="0" xfId="0" applyFont="1"/>
    <xf numFmtId="0" fontId="6" fillId="0" borderId="0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/>
    </xf>
    <xf numFmtId="165" fontId="6" fillId="0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2" fontId="6" fillId="0" borderId="1" xfId="0" quotePrefix="1" applyNumberFormat="1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left"/>
    </xf>
    <xf numFmtId="0" fontId="12" fillId="5" borderId="11" xfId="0" applyFont="1" applyFill="1" applyBorder="1" applyAlignment="1">
      <alignment horizontal="left"/>
    </xf>
    <xf numFmtId="0" fontId="12" fillId="5" borderId="12" xfId="0" applyFont="1" applyFill="1" applyBorder="1" applyAlignment="1">
      <alignment horizontal="left"/>
    </xf>
  </cellXfs>
  <cellStyles count="124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Normal" xfId="0" builtinId="0"/>
    <cellStyle name="Standard_FDB602c" xfId="1" xr:uid="{00000000-0005-0000-0000-00007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9</xdr:row>
      <xdr:rowOff>333375</xdr:rowOff>
    </xdr:from>
    <xdr:to>
      <xdr:col>10</xdr:col>
      <xdr:colOff>266700</xdr:colOff>
      <xdr:row>16</xdr:row>
      <xdr:rowOff>123825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>
          <a:off x="9296400" y="3432175"/>
          <a:ext cx="0" cy="2457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95250</xdr:colOff>
      <xdr:row>19</xdr:row>
      <xdr:rowOff>123825</xdr:rowOff>
    </xdr:from>
    <xdr:to>
      <xdr:col>19</xdr:col>
      <xdr:colOff>338455</xdr:colOff>
      <xdr:row>23</xdr:row>
      <xdr:rowOff>75565</xdr:rowOff>
    </xdr:to>
    <xdr:pic>
      <xdr:nvPicPr>
        <xdr:cNvPr id="19" name="Picture 14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163550" y="7045325"/>
          <a:ext cx="2701925" cy="876300"/>
        </a:xfrm>
        <a:prstGeom prst="rect">
          <a:avLst/>
        </a:prstGeom>
        <a:noFill/>
      </xdr:spPr>
    </xdr:pic>
    <xdr:clientData/>
  </xdr:twoCellAnchor>
  <xdr:twoCellAnchor>
    <xdr:from>
      <xdr:col>17</xdr:col>
      <xdr:colOff>284480</xdr:colOff>
      <xdr:row>13</xdr:row>
      <xdr:rowOff>304800</xdr:rowOff>
    </xdr:from>
    <xdr:to>
      <xdr:col>17</xdr:col>
      <xdr:colOff>295276</xdr:colOff>
      <xdr:row>19</xdr:row>
      <xdr:rowOff>66675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4114780" y="4927600"/>
          <a:ext cx="10796" cy="2060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314960</xdr:colOff>
      <xdr:row>13</xdr:row>
      <xdr:rowOff>325120</xdr:rowOff>
    </xdr:from>
    <xdr:to>
      <xdr:col>18</xdr:col>
      <xdr:colOff>333376</xdr:colOff>
      <xdr:row>19</xdr:row>
      <xdr:rowOff>76200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14818360" y="4947920"/>
          <a:ext cx="18416" cy="20497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67945</xdr:colOff>
      <xdr:row>5</xdr:row>
      <xdr:rowOff>635</xdr:rowOff>
    </xdr:from>
    <xdr:to>
      <xdr:col>15</xdr:col>
      <xdr:colOff>287021</xdr:colOff>
      <xdr:row>6</xdr:row>
      <xdr:rowOff>377191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 flipV="1">
          <a:off x="13367385" y="935355"/>
          <a:ext cx="219076" cy="55943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304800</xdr:colOff>
      <xdr:row>2</xdr:row>
      <xdr:rowOff>19050</xdr:rowOff>
    </xdr:from>
    <xdr:to>
      <xdr:col>16</xdr:col>
      <xdr:colOff>314325</xdr:colOff>
      <xdr:row>6</xdr:row>
      <xdr:rowOff>133351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3373100" y="374650"/>
          <a:ext cx="9525" cy="85090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323851</xdr:colOff>
      <xdr:row>9</xdr:row>
      <xdr:rowOff>101600</xdr:rowOff>
    </xdr:from>
    <xdr:to>
      <xdr:col>1</xdr:col>
      <xdr:colOff>203200</xdr:colOff>
      <xdr:row>17</xdr:row>
      <xdr:rowOff>104775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323851" y="3190240"/>
          <a:ext cx="692149" cy="21672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571500</xdr:colOff>
      <xdr:row>7</xdr:row>
      <xdr:rowOff>314325</xdr:rowOff>
    </xdr:from>
    <xdr:to>
      <xdr:col>1</xdr:col>
      <xdr:colOff>600075</xdr:colOff>
      <xdr:row>17</xdr:row>
      <xdr:rowOff>104775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384300" y="2651125"/>
          <a:ext cx="28575" cy="3397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1381125</xdr:colOff>
      <xdr:row>13</xdr:row>
      <xdr:rowOff>333375</xdr:rowOff>
    </xdr:from>
    <xdr:to>
      <xdr:col>6</xdr:col>
      <xdr:colOff>219075</xdr:colOff>
      <xdr:row>17</xdr:row>
      <xdr:rowOff>123825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 flipH="1">
          <a:off x="5038725" y="4956175"/>
          <a:ext cx="1987550" cy="1111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428625</xdr:colOff>
      <xdr:row>0</xdr:row>
      <xdr:rowOff>95250</xdr:rowOff>
    </xdr:from>
    <xdr:to>
      <xdr:col>18</xdr:col>
      <xdr:colOff>289560</xdr:colOff>
      <xdr:row>2</xdr:row>
      <xdr:rowOff>3175</xdr:rowOff>
    </xdr:to>
    <xdr:pic>
      <xdr:nvPicPr>
        <xdr:cNvPr id="28" name="Picture 15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375265" y="95250"/>
          <a:ext cx="5316855" cy="273685"/>
        </a:xfrm>
        <a:prstGeom prst="rect">
          <a:avLst/>
        </a:prstGeom>
        <a:noFill/>
      </xdr:spPr>
    </xdr:pic>
    <xdr:clientData/>
  </xdr:twoCellAnchor>
  <xdr:twoCellAnchor>
    <xdr:from>
      <xdr:col>18</xdr:col>
      <xdr:colOff>457200</xdr:colOff>
      <xdr:row>3</xdr:row>
      <xdr:rowOff>133350</xdr:rowOff>
    </xdr:from>
    <xdr:to>
      <xdr:col>19</xdr:col>
      <xdr:colOff>152400</xdr:colOff>
      <xdr:row>6</xdr:row>
      <xdr:rowOff>114300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 flipV="1">
          <a:off x="14960600" y="666750"/>
          <a:ext cx="495300" cy="539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240030</xdr:colOff>
      <xdr:row>3</xdr:row>
      <xdr:rowOff>120015</xdr:rowOff>
    </xdr:from>
    <xdr:to>
      <xdr:col>15</xdr:col>
      <xdr:colOff>249555</xdr:colOff>
      <xdr:row>5</xdr:row>
      <xdr:rowOff>2540</xdr:rowOff>
    </xdr:to>
    <xdr:pic>
      <xdr:nvPicPr>
        <xdr:cNvPr id="30" name="Picture 15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9516110" y="668655"/>
          <a:ext cx="4032885" cy="268605"/>
        </a:xfrm>
        <a:prstGeom prst="rect">
          <a:avLst/>
        </a:prstGeom>
        <a:noFill/>
      </xdr:spPr>
    </xdr:pic>
    <xdr:clientData/>
  </xdr:twoCellAnchor>
  <xdr:twoCellAnchor editAs="oneCell">
    <xdr:from>
      <xdr:col>19</xdr:col>
      <xdr:colOff>47625</xdr:colOff>
      <xdr:row>1</xdr:row>
      <xdr:rowOff>180975</xdr:rowOff>
    </xdr:from>
    <xdr:to>
      <xdr:col>25</xdr:col>
      <xdr:colOff>236855</xdr:colOff>
      <xdr:row>3</xdr:row>
      <xdr:rowOff>85725</xdr:rowOff>
    </xdr:to>
    <xdr:pic>
      <xdr:nvPicPr>
        <xdr:cNvPr id="31" name="Picture 15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5351125" y="358775"/>
          <a:ext cx="6775450" cy="260350"/>
        </a:xfrm>
        <a:prstGeom prst="rect">
          <a:avLst/>
        </a:prstGeom>
        <a:noFill/>
      </xdr:spPr>
    </xdr:pic>
    <xdr:clientData/>
  </xdr:twoCellAnchor>
  <xdr:twoCellAnchor>
    <xdr:from>
      <xdr:col>32</xdr:col>
      <xdr:colOff>802640</xdr:colOff>
      <xdr:row>3</xdr:row>
      <xdr:rowOff>50800</xdr:rowOff>
    </xdr:from>
    <xdr:to>
      <xdr:col>34</xdr:col>
      <xdr:colOff>304800</xdr:colOff>
      <xdr:row>6</xdr:row>
      <xdr:rowOff>72390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 flipV="1">
          <a:off x="26786840" y="584200"/>
          <a:ext cx="1051560" cy="58039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5</xdr:row>
      <xdr:rowOff>50800</xdr:rowOff>
    </xdr:from>
    <xdr:to>
      <xdr:col>31</xdr:col>
      <xdr:colOff>345440</xdr:colOff>
      <xdr:row>6</xdr:row>
      <xdr:rowOff>233680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H="1" flipV="1">
          <a:off x="24587200" y="965200"/>
          <a:ext cx="815340" cy="36068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1016000</xdr:colOff>
      <xdr:row>17</xdr:row>
      <xdr:rowOff>20320</xdr:rowOff>
    </xdr:from>
    <xdr:to>
      <xdr:col>12</xdr:col>
      <xdr:colOff>517525</xdr:colOff>
      <xdr:row>23</xdr:row>
      <xdr:rowOff>90805</xdr:rowOff>
    </xdr:to>
    <xdr:pic>
      <xdr:nvPicPr>
        <xdr:cNvPr id="34" name="Picture 150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593840" y="4561840"/>
          <a:ext cx="5211445" cy="17468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0"/>
  <sheetViews>
    <sheetView zoomScale="60" zoomScaleNormal="60" zoomScalePageLayoutView="125" workbookViewId="0">
      <selection activeCell="X7" sqref="X7:Y7"/>
    </sheetView>
  </sheetViews>
  <sheetFormatPr defaultColWidth="8.81640625" defaultRowHeight="14.5" x14ac:dyDescent="0.35"/>
  <cols>
    <col min="1" max="1" width="10.6328125" style="1" customWidth="1"/>
    <col min="2" max="2" width="18.36328125" style="1" customWidth="1"/>
    <col min="3" max="3" width="10.1796875" style="1" customWidth="1"/>
    <col min="4" max="4" width="8.81640625" style="1"/>
    <col min="5" max="5" width="25.1796875" style="1" customWidth="1"/>
    <col min="6" max="6" width="16.1796875" style="1" customWidth="1"/>
    <col min="7" max="8" width="10.1796875" style="1" customWidth="1"/>
    <col min="9" max="9" width="12.1796875" style="1" customWidth="1"/>
    <col min="10" max="16" width="8.81640625" style="1"/>
    <col min="17" max="17" width="10" style="1" customWidth="1"/>
    <col min="18" max="18" width="8.81640625" style="1"/>
    <col min="19" max="19" width="10.453125" style="1" customWidth="1"/>
    <col min="20" max="21" width="8.81640625" style="1"/>
    <col min="22" max="22" width="11.6328125" style="1" customWidth="1"/>
    <col min="23" max="27" width="12.6328125" style="1" customWidth="1"/>
    <col min="28" max="31" width="8.81640625" style="1"/>
    <col min="32" max="32" width="12.1796875" style="1" customWidth="1"/>
    <col min="33" max="33" width="11.453125" style="1" customWidth="1"/>
    <col min="34" max="38" width="8.81640625" style="1"/>
    <col min="39" max="39" width="9.6328125" style="1" customWidth="1"/>
    <col min="40" max="44" width="8.81640625" style="1"/>
    <col min="45" max="45" width="10" style="1" customWidth="1"/>
    <col min="46" max="46" width="10.1796875" style="1" customWidth="1"/>
    <col min="47" max="16384" width="8.81640625" style="1"/>
  </cols>
  <sheetData>
    <row r="1" spans="1:46" ht="14" customHeight="1" x14ac:dyDescent="0.35">
      <c r="A1" s="18" t="s">
        <v>89</v>
      </c>
      <c r="AH1" s="41"/>
      <c r="AI1" s="57" t="s">
        <v>161</v>
      </c>
      <c r="AJ1" s="58"/>
      <c r="AK1" s="58"/>
      <c r="AL1" s="58"/>
      <c r="AM1" s="58"/>
      <c r="AN1" s="59"/>
    </row>
    <row r="2" spans="1:46" x14ac:dyDescent="0.35">
      <c r="O2" s="42"/>
      <c r="AC2" s="43"/>
      <c r="AH2" s="41"/>
      <c r="AI2" s="60"/>
      <c r="AJ2" s="61"/>
      <c r="AK2" s="61"/>
      <c r="AL2" s="61"/>
      <c r="AM2" s="61"/>
      <c r="AN2" s="62"/>
    </row>
    <row r="3" spans="1:46" x14ac:dyDescent="0.35">
      <c r="AH3" s="41"/>
      <c r="AI3" s="60"/>
      <c r="AJ3" s="61"/>
      <c r="AK3" s="61"/>
      <c r="AL3" s="61"/>
      <c r="AM3" s="61"/>
      <c r="AN3" s="62"/>
    </row>
    <row r="4" spans="1:46" ht="15" thickBot="1" x14ac:dyDescent="0.4">
      <c r="AH4" s="41"/>
      <c r="AI4" s="60"/>
      <c r="AJ4" s="61"/>
      <c r="AK4" s="63"/>
      <c r="AL4" s="63"/>
      <c r="AM4" s="63"/>
      <c r="AN4" s="64"/>
    </row>
    <row r="5" spans="1:46" ht="15" thickBot="1" x14ac:dyDescent="0.4">
      <c r="AC5" s="65" t="s">
        <v>162</v>
      </c>
      <c r="AD5" s="66"/>
      <c r="AE5" s="66"/>
      <c r="AF5" s="66"/>
      <c r="AG5" s="66"/>
      <c r="AH5" s="66"/>
      <c r="AI5" s="66"/>
      <c r="AJ5" s="67"/>
      <c r="AK5" s="44"/>
      <c r="AL5" s="44"/>
      <c r="AM5" s="44"/>
      <c r="AN5" s="44"/>
    </row>
    <row r="7" spans="1:46" ht="101.5" x14ac:dyDescent="0.35">
      <c r="A7" s="2" t="s">
        <v>55</v>
      </c>
      <c r="B7" s="2" t="s">
        <v>56</v>
      </c>
      <c r="C7" s="2" t="s">
        <v>1</v>
      </c>
      <c r="D7" s="2" t="s">
        <v>2</v>
      </c>
      <c r="E7" s="2" t="s">
        <v>3</v>
      </c>
      <c r="F7" s="21" t="s">
        <v>93</v>
      </c>
      <c r="G7" s="2" t="s">
        <v>57</v>
      </c>
      <c r="H7" s="2" t="s">
        <v>58</v>
      </c>
      <c r="I7" s="2" t="s">
        <v>179</v>
      </c>
      <c r="J7" s="2" t="s">
        <v>5</v>
      </c>
      <c r="K7" s="2" t="s">
        <v>6</v>
      </c>
      <c r="L7" s="2" t="s">
        <v>59</v>
      </c>
      <c r="M7" s="2" t="s">
        <v>60</v>
      </c>
      <c r="N7" s="2" t="s">
        <v>61</v>
      </c>
      <c r="O7" s="2" t="s">
        <v>62</v>
      </c>
      <c r="P7" s="2" t="s">
        <v>4</v>
      </c>
      <c r="Q7" s="19" t="s">
        <v>63</v>
      </c>
      <c r="R7" s="2" t="s">
        <v>0</v>
      </c>
      <c r="S7" s="19" t="s">
        <v>64</v>
      </c>
      <c r="T7" s="2" t="s">
        <v>65</v>
      </c>
      <c r="U7" s="2" t="s">
        <v>66</v>
      </c>
      <c r="V7" s="19" t="s">
        <v>67</v>
      </c>
      <c r="W7" s="19" t="s">
        <v>68</v>
      </c>
      <c r="X7" s="2" t="s">
        <v>163</v>
      </c>
      <c r="Y7" s="2" t="s">
        <v>164</v>
      </c>
      <c r="Z7" s="2" t="s">
        <v>165</v>
      </c>
      <c r="AA7" s="2" t="s">
        <v>174</v>
      </c>
      <c r="AB7" s="2" t="s">
        <v>69</v>
      </c>
      <c r="AC7" s="2" t="s">
        <v>70</v>
      </c>
      <c r="AD7" s="2" t="s">
        <v>71</v>
      </c>
      <c r="AE7" s="2" t="s">
        <v>72</v>
      </c>
      <c r="AF7" s="2" t="s">
        <v>166</v>
      </c>
      <c r="AG7" s="2" t="s">
        <v>185</v>
      </c>
      <c r="AH7" s="2" t="s">
        <v>73</v>
      </c>
      <c r="AI7" s="2" t="s">
        <v>74</v>
      </c>
      <c r="AJ7" s="2" t="s">
        <v>75</v>
      </c>
      <c r="AK7" s="2" t="s">
        <v>76</v>
      </c>
      <c r="AL7" s="2" t="s">
        <v>77</v>
      </c>
      <c r="AM7" s="2" t="s">
        <v>78</v>
      </c>
      <c r="AN7" s="2" t="s">
        <v>79</v>
      </c>
      <c r="AO7" s="2" t="s">
        <v>80</v>
      </c>
      <c r="AP7" s="2" t="s">
        <v>81</v>
      </c>
      <c r="AQ7" s="2" t="s">
        <v>82</v>
      </c>
      <c r="AR7" s="2" t="s">
        <v>83</v>
      </c>
      <c r="AS7" s="2" t="s">
        <v>84</v>
      </c>
      <c r="AT7" s="2" t="s">
        <v>85</v>
      </c>
    </row>
    <row r="8" spans="1:46" ht="43.5" x14ac:dyDescent="0.35">
      <c r="A8" s="3">
        <v>1001</v>
      </c>
      <c r="B8" s="45" t="s">
        <v>156</v>
      </c>
      <c r="C8" s="9" t="s">
        <v>183</v>
      </c>
      <c r="D8" s="3"/>
      <c r="E8" s="14" t="s">
        <v>108</v>
      </c>
      <c r="F8" s="3" t="s">
        <v>107</v>
      </c>
      <c r="G8" s="3">
        <v>0</v>
      </c>
      <c r="H8" s="3">
        <v>1</v>
      </c>
      <c r="I8" s="3">
        <v>1</v>
      </c>
      <c r="J8" s="23">
        <v>11.833333333333332</v>
      </c>
      <c r="K8" s="23">
        <v>0.84166666666666667</v>
      </c>
      <c r="L8" s="23">
        <v>7.0816666666666661</v>
      </c>
      <c r="M8" s="23">
        <v>1.3183333333333334</v>
      </c>
      <c r="N8" s="23">
        <v>2.5333333333333332</v>
      </c>
      <c r="O8" s="5">
        <v>0</v>
      </c>
      <c r="P8" s="23">
        <v>78.924999999999997</v>
      </c>
      <c r="Q8" s="23">
        <v>76.391666666666666</v>
      </c>
      <c r="R8" s="23">
        <v>364.16666666666669</v>
      </c>
      <c r="S8" s="5">
        <f t="shared" ref="S8:S15" si="0">+L8*4+M8*9+N8*2+O8*7+Q8*4</f>
        <v>350.82499999999999</v>
      </c>
      <c r="T8" s="24">
        <v>17.833333333333332</v>
      </c>
      <c r="U8" s="24">
        <v>1.2116666666666664</v>
      </c>
      <c r="V8" s="12">
        <v>0</v>
      </c>
      <c r="W8" s="24">
        <v>1.2116666666666664</v>
      </c>
      <c r="X8" s="46">
        <v>0</v>
      </c>
      <c r="Y8" s="24">
        <v>1.04</v>
      </c>
      <c r="Z8" s="24">
        <v>1.45</v>
      </c>
      <c r="AA8" s="24">
        <v>12.166666666666666</v>
      </c>
      <c r="AB8" s="24">
        <v>0</v>
      </c>
      <c r="AC8" s="24">
        <v>0.20066666666666663</v>
      </c>
      <c r="AD8" s="24">
        <v>5.5999999999999994E-2</v>
      </c>
      <c r="AE8" s="24">
        <v>0</v>
      </c>
      <c r="AF8" s="24">
        <v>0</v>
      </c>
      <c r="AG8" s="24">
        <v>0</v>
      </c>
      <c r="AH8" s="24">
        <v>0.26750000000000002</v>
      </c>
      <c r="AI8" s="46">
        <v>0</v>
      </c>
      <c r="AJ8" s="24">
        <v>0.30366666666666664</v>
      </c>
      <c r="AK8" s="24">
        <v>0.58549999999999991</v>
      </c>
      <c r="AL8" s="24">
        <v>0.26116666666666666</v>
      </c>
      <c r="AM8" s="24">
        <v>0.16400000000000001</v>
      </c>
      <c r="AN8" s="24">
        <v>0.37383333333333335</v>
      </c>
      <c r="AO8" s="24">
        <v>0.25566666666666665</v>
      </c>
      <c r="AP8" s="24">
        <v>8.5166666666666668E-2</v>
      </c>
      <c r="AQ8" s="24">
        <v>0.42616666666666664</v>
      </c>
      <c r="AR8" s="24">
        <v>0.17133333333333331</v>
      </c>
      <c r="AS8" s="24">
        <v>0.1235</v>
      </c>
      <c r="AT8" s="24">
        <v>0.24716666666666665</v>
      </c>
    </row>
    <row r="9" spans="1:46" x14ac:dyDescent="0.35">
      <c r="A9" s="3">
        <v>1002</v>
      </c>
      <c r="B9" s="4" t="s">
        <v>151</v>
      </c>
      <c r="C9" s="3" t="s">
        <v>7</v>
      </c>
      <c r="D9" s="3">
        <v>20027</v>
      </c>
      <c r="E9" s="14" t="s">
        <v>152</v>
      </c>
      <c r="F9" s="3" t="s">
        <v>149</v>
      </c>
      <c r="G9" s="3">
        <v>0</v>
      </c>
      <c r="H9" s="3">
        <v>1</v>
      </c>
      <c r="I9" s="3">
        <v>1</v>
      </c>
      <c r="J9" s="23">
        <v>8.32</v>
      </c>
      <c r="K9" s="23">
        <v>0.09</v>
      </c>
      <c r="L9" s="23">
        <v>0.26</v>
      </c>
      <c r="M9" s="23">
        <v>0.05</v>
      </c>
      <c r="N9" s="23">
        <v>0.9</v>
      </c>
      <c r="O9" s="5">
        <v>0</v>
      </c>
      <c r="P9" s="23">
        <v>91.27</v>
      </c>
      <c r="Q9" s="56">
        <f t="shared" ref="Q9" si="1">100-J9-K9-L9-M9-N9-O9</f>
        <v>90.38</v>
      </c>
      <c r="R9" s="23">
        <v>381</v>
      </c>
      <c r="S9" s="5">
        <f t="shared" si="0"/>
        <v>364.81</v>
      </c>
      <c r="T9" s="24">
        <v>2</v>
      </c>
      <c r="U9" s="24">
        <v>0.47</v>
      </c>
      <c r="V9" s="12">
        <v>0</v>
      </c>
      <c r="W9" s="24">
        <v>0.47</v>
      </c>
      <c r="X9" s="46">
        <v>0</v>
      </c>
      <c r="Y9" s="24">
        <v>0.47</v>
      </c>
      <c r="Z9" s="24">
        <v>0.06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46">
        <v>0</v>
      </c>
      <c r="AJ9" s="24">
        <v>0.01</v>
      </c>
      <c r="AK9" s="24">
        <v>3.5999999999999997E-2</v>
      </c>
      <c r="AL9" s="24">
        <v>6.0000000000000001E-3</v>
      </c>
      <c r="AM9" s="24">
        <v>6.0000000000000001E-3</v>
      </c>
      <c r="AN9" s="24">
        <v>1.2999999999999999E-2</v>
      </c>
      <c r="AO9" s="24">
        <v>8.9999999999999993E-3</v>
      </c>
      <c r="AP9" s="24">
        <v>1E-3</v>
      </c>
      <c r="AQ9" s="24">
        <v>1.4E-2</v>
      </c>
      <c r="AR9" s="24">
        <v>8.0000000000000002E-3</v>
      </c>
      <c r="AS9" s="24">
        <v>6.0000000000000001E-3</v>
      </c>
      <c r="AT9" s="24">
        <v>0.01</v>
      </c>
    </row>
    <row r="10" spans="1:46" x14ac:dyDescent="0.35">
      <c r="A10" s="6">
        <v>3002</v>
      </c>
      <c r="B10" s="45" t="s">
        <v>8</v>
      </c>
      <c r="C10" s="3" t="s">
        <v>7</v>
      </c>
      <c r="D10" s="8" t="s">
        <v>15</v>
      </c>
      <c r="E10" s="14" t="s">
        <v>9</v>
      </c>
      <c r="F10" s="3" t="s">
        <v>109</v>
      </c>
      <c r="G10" s="3">
        <v>36</v>
      </c>
      <c r="H10" s="3">
        <v>8</v>
      </c>
      <c r="I10" s="3">
        <v>7</v>
      </c>
      <c r="J10" s="3">
        <v>74.91</v>
      </c>
      <c r="K10" s="47">
        <v>0.86</v>
      </c>
      <c r="L10" s="3">
        <v>1.0900000000000001</v>
      </c>
      <c r="M10" s="3">
        <v>0.33</v>
      </c>
      <c r="N10" s="3">
        <v>2.6</v>
      </c>
      <c r="O10" s="3">
        <v>0</v>
      </c>
      <c r="P10" s="3">
        <v>22.84</v>
      </c>
      <c r="Q10" s="56">
        <f>100-J10-K10-L10-M10-N10-O10</f>
        <v>20.210000000000004</v>
      </c>
      <c r="R10" s="3">
        <v>89</v>
      </c>
      <c r="S10" s="5">
        <f t="shared" si="0"/>
        <v>93.370000000000019</v>
      </c>
      <c r="T10" s="6">
        <v>5</v>
      </c>
      <c r="U10" s="6">
        <v>0.26</v>
      </c>
      <c r="V10" s="12">
        <v>0</v>
      </c>
      <c r="W10" s="6">
        <v>0.26</v>
      </c>
      <c r="X10" s="46">
        <v>0</v>
      </c>
      <c r="Y10" s="6">
        <v>0.26</v>
      </c>
      <c r="Z10" s="6">
        <v>0.15</v>
      </c>
      <c r="AA10" s="6">
        <v>20</v>
      </c>
      <c r="AB10" s="6">
        <v>8.6999999999999993</v>
      </c>
      <c r="AC10" s="6">
        <v>3.1E-2</v>
      </c>
      <c r="AD10" s="6">
        <v>7.2999999999999995E-2</v>
      </c>
      <c r="AE10" s="6">
        <v>0</v>
      </c>
      <c r="AF10" s="6">
        <v>38.5</v>
      </c>
      <c r="AG10" s="6">
        <v>3</v>
      </c>
      <c r="AH10" s="6">
        <v>0.36699999999999999</v>
      </c>
      <c r="AI10" s="46">
        <v>0</v>
      </c>
      <c r="AJ10" s="6">
        <v>2.8000000000000001E-2</v>
      </c>
      <c r="AK10" s="6">
        <v>6.8000000000000005E-2</v>
      </c>
      <c r="AL10" s="6">
        <v>0.05</v>
      </c>
      <c r="AM10" s="6">
        <v>8.0000000000000002E-3</v>
      </c>
      <c r="AN10" s="6">
        <v>4.9000000000000002E-2</v>
      </c>
      <c r="AO10" s="6">
        <v>2.8000000000000001E-2</v>
      </c>
      <c r="AP10" s="6">
        <v>8.9999999999999993E-3</v>
      </c>
      <c r="AQ10" s="6">
        <v>4.7E-2</v>
      </c>
      <c r="AR10" s="6">
        <v>7.6999999999999999E-2</v>
      </c>
      <c r="AS10" s="6">
        <v>8.9999999999999993E-3</v>
      </c>
      <c r="AT10" s="6">
        <v>8.9999999999999993E-3</v>
      </c>
    </row>
    <row r="11" spans="1:46" ht="43.5" x14ac:dyDescent="0.35">
      <c r="A11" s="6">
        <v>4002</v>
      </c>
      <c r="B11" s="7" t="s">
        <v>10</v>
      </c>
      <c r="C11" s="9" t="s">
        <v>183</v>
      </c>
      <c r="D11" s="3"/>
      <c r="E11" s="26" t="s">
        <v>108</v>
      </c>
      <c r="F11" s="9" t="s">
        <v>107</v>
      </c>
      <c r="G11" s="3">
        <v>9</v>
      </c>
      <c r="H11" s="3">
        <v>7</v>
      </c>
      <c r="I11" s="3">
        <v>5</v>
      </c>
      <c r="J11" s="27">
        <v>94.39500000000001</v>
      </c>
      <c r="K11" s="27">
        <v>0.54749999999999999</v>
      </c>
      <c r="L11" s="23">
        <v>1.0549999999999999</v>
      </c>
      <c r="M11" s="23">
        <v>0.21250000000000002</v>
      </c>
      <c r="N11" s="23">
        <v>0.97499999999999998</v>
      </c>
      <c r="O11" s="5">
        <v>0</v>
      </c>
      <c r="P11" s="23">
        <v>3.7875000000000001</v>
      </c>
      <c r="Q11" s="3">
        <v>2.8149999999999999</v>
      </c>
      <c r="R11" s="23">
        <v>18</v>
      </c>
      <c r="S11" s="5">
        <f t="shared" si="0"/>
        <v>19.342500000000001</v>
      </c>
      <c r="T11" s="24">
        <v>9.75</v>
      </c>
      <c r="U11" s="24">
        <v>0.435</v>
      </c>
      <c r="V11" s="12">
        <v>0</v>
      </c>
      <c r="W11" s="24">
        <v>0.435</v>
      </c>
      <c r="X11" s="46">
        <v>0</v>
      </c>
      <c r="Y11" s="24">
        <v>0.435</v>
      </c>
      <c r="Z11" s="24">
        <v>0.18000000000000002</v>
      </c>
      <c r="AA11" s="24">
        <v>20.75</v>
      </c>
      <c r="AB11" s="24">
        <v>15.525</v>
      </c>
      <c r="AC11" s="24">
        <v>4.5999999999999999E-2</v>
      </c>
      <c r="AD11" s="24">
        <v>3.5000000000000003E-2</v>
      </c>
      <c r="AE11" s="24">
        <v>0</v>
      </c>
      <c r="AF11" s="24">
        <v>446.125</v>
      </c>
      <c r="AG11" s="24">
        <v>37.25</v>
      </c>
      <c r="AH11" s="24">
        <v>6.9250000000000006E-2</v>
      </c>
      <c r="AI11" s="46">
        <v>0</v>
      </c>
      <c r="AJ11" s="24">
        <v>2.4250000000000001E-2</v>
      </c>
      <c r="AK11" s="24">
        <v>3.6750000000000005E-2</v>
      </c>
      <c r="AL11" s="24">
        <v>3.7250000000000005E-2</v>
      </c>
      <c r="AM11" s="24">
        <v>8.5000000000000006E-3</v>
      </c>
      <c r="AN11" s="24">
        <v>2.8249999999999997E-2</v>
      </c>
      <c r="AO11" s="24">
        <v>2.75E-2</v>
      </c>
      <c r="AP11" s="24">
        <v>7.4999999999999997E-3</v>
      </c>
      <c r="AQ11" s="24">
        <v>2.6000000000000002E-2</v>
      </c>
      <c r="AR11" s="24">
        <v>1.6250000000000001E-2</v>
      </c>
      <c r="AS11" s="24">
        <v>1.325E-2</v>
      </c>
      <c r="AT11" s="24">
        <v>1.8000000000000002E-2</v>
      </c>
    </row>
    <row r="12" spans="1:46" s="13" customFormat="1" x14ac:dyDescent="0.35">
      <c r="A12" s="6">
        <v>5005</v>
      </c>
      <c r="B12" s="7" t="s">
        <v>148</v>
      </c>
      <c r="C12" s="3" t="s">
        <v>7</v>
      </c>
      <c r="D12" s="10" t="s">
        <v>16</v>
      </c>
      <c r="E12" s="15" t="s">
        <v>86</v>
      </c>
      <c r="F12" s="3" t="s">
        <v>149</v>
      </c>
      <c r="G12" s="6">
        <v>12</v>
      </c>
      <c r="H12" s="6">
        <v>13</v>
      </c>
      <c r="I12" s="6">
        <v>10</v>
      </c>
      <c r="J12" s="11">
        <v>76.150000000000006</v>
      </c>
      <c r="K12" s="11">
        <v>1.06</v>
      </c>
      <c r="L12" s="6">
        <v>12.56</v>
      </c>
      <c r="M12" s="6">
        <v>9.51</v>
      </c>
      <c r="N12" s="6">
        <v>0</v>
      </c>
      <c r="O12" s="6">
        <v>0</v>
      </c>
      <c r="P12" s="6">
        <v>0.72</v>
      </c>
      <c r="Q12" s="56">
        <f>100-J12-K12-L12-M12-N12-O12</f>
        <v>0.71999999999999531</v>
      </c>
      <c r="R12" s="6">
        <v>143</v>
      </c>
      <c r="S12" s="12">
        <f t="shared" si="0"/>
        <v>138.70999999999998</v>
      </c>
      <c r="T12" s="6">
        <v>56</v>
      </c>
      <c r="U12" s="6">
        <v>1.75</v>
      </c>
      <c r="V12" s="6">
        <v>1.75</v>
      </c>
      <c r="W12" s="6">
        <v>0</v>
      </c>
      <c r="X12" s="46">
        <v>0</v>
      </c>
      <c r="Y12" s="6">
        <v>1.75</v>
      </c>
      <c r="Z12" s="6">
        <v>1.29</v>
      </c>
      <c r="AA12" s="6">
        <v>47</v>
      </c>
      <c r="AB12" s="6">
        <v>0</v>
      </c>
      <c r="AC12" s="6">
        <v>0.04</v>
      </c>
      <c r="AD12" s="6">
        <v>0.45700000000000002</v>
      </c>
      <c r="AE12" s="6">
        <v>160</v>
      </c>
      <c r="AF12" s="6">
        <v>0</v>
      </c>
      <c r="AG12" s="6">
        <v>160</v>
      </c>
      <c r="AH12" s="6">
        <v>0.17</v>
      </c>
      <c r="AI12" s="6">
        <v>0.89</v>
      </c>
      <c r="AJ12" s="6">
        <v>0.67100000000000004</v>
      </c>
      <c r="AK12" s="6">
        <v>1.0860000000000001</v>
      </c>
      <c r="AL12" s="6">
        <v>0.91200000000000003</v>
      </c>
      <c r="AM12" s="6">
        <v>0.38</v>
      </c>
      <c r="AN12" s="6">
        <v>0.68</v>
      </c>
      <c r="AO12" s="6">
        <v>0.55600000000000005</v>
      </c>
      <c r="AP12" s="6">
        <v>0.16700000000000001</v>
      </c>
      <c r="AQ12" s="6">
        <v>0.85799999999999998</v>
      </c>
      <c r="AR12" s="6">
        <v>0.309</v>
      </c>
      <c r="AS12" s="6">
        <v>0.27200000000000002</v>
      </c>
      <c r="AT12" s="6">
        <v>0.499</v>
      </c>
    </row>
    <row r="13" spans="1:46" s="13" customFormat="1" ht="29" x14ac:dyDescent="0.35">
      <c r="A13" s="6">
        <v>6002</v>
      </c>
      <c r="B13" s="7" t="s">
        <v>167</v>
      </c>
      <c r="C13" s="3" t="s">
        <v>7</v>
      </c>
      <c r="D13" s="10" t="s">
        <v>168</v>
      </c>
      <c r="E13" s="15" t="s">
        <v>169</v>
      </c>
      <c r="F13" s="3" t="s">
        <v>109</v>
      </c>
      <c r="G13" s="6">
        <v>20</v>
      </c>
      <c r="H13" s="6">
        <v>12</v>
      </c>
      <c r="I13" s="6">
        <v>9</v>
      </c>
      <c r="J13" s="11">
        <v>69.459999999999994</v>
      </c>
      <c r="K13" s="11">
        <v>1.01</v>
      </c>
      <c r="L13" s="6">
        <v>20.85</v>
      </c>
      <c r="M13" s="6">
        <v>9.25</v>
      </c>
      <c r="N13" s="6">
        <v>0</v>
      </c>
      <c r="O13" s="6">
        <v>0</v>
      </c>
      <c r="P13" s="6">
        <v>0</v>
      </c>
      <c r="Q13" s="56">
        <v>0</v>
      </c>
      <c r="R13" s="6">
        <v>172</v>
      </c>
      <c r="S13" s="12">
        <f t="shared" si="0"/>
        <v>166.65</v>
      </c>
      <c r="T13" s="6">
        <v>11</v>
      </c>
      <c r="U13" s="6">
        <v>0.74</v>
      </c>
      <c r="V13" s="6">
        <v>0.74</v>
      </c>
      <c r="W13" s="6">
        <v>0</v>
      </c>
      <c r="X13" s="46">
        <f>+U13*30/100</f>
        <v>0.222</v>
      </c>
      <c r="Y13" s="24">
        <f>+V13-X13</f>
        <v>0.51800000000000002</v>
      </c>
      <c r="Z13" s="24">
        <v>0.8</v>
      </c>
      <c r="AA13" s="6">
        <v>4</v>
      </c>
      <c r="AB13" s="6">
        <v>0</v>
      </c>
      <c r="AC13" s="6">
        <v>6.3E-2</v>
      </c>
      <c r="AD13" s="6">
        <v>8.5000000000000006E-2</v>
      </c>
      <c r="AE13" s="6">
        <v>24</v>
      </c>
      <c r="AF13" s="6">
        <v>0</v>
      </c>
      <c r="AG13" s="6">
        <v>24</v>
      </c>
      <c r="AH13" s="6">
        <v>0.53</v>
      </c>
      <c r="AI13" s="6">
        <v>0.34</v>
      </c>
      <c r="AJ13" s="6">
        <v>1.0629999999999999</v>
      </c>
      <c r="AK13" s="6">
        <v>1.534</v>
      </c>
      <c r="AL13" s="6">
        <v>1.7250000000000001</v>
      </c>
      <c r="AM13" s="6">
        <v>0.56299999999999994</v>
      </c>
      <c r="AN13" s="6">
        <v>0.81599999999999995</v>
      </c>
      <c r="AO13" s="6">
        <v>0.86899999999999999</v>
      </c>
      <c r="AP13" s="6">
        <v>0.23699999999999999</v>
      </c>
      <c r="AQ13" s="6">
        <v>1.02</v>
      </c>
      <c r="AR13" s="6">
        <v>0.625</v>
      </c>
      <c r="AS13" s="6">
        <v>0.27400000000000002</v>
      </c>
      <c r="AT13" s="6">
        <v>0.68400000000000005</v>
      </c>
    </row>
    <row r="14" spans="1:46" s="13" customFormat="1" x14ac:dyDescent="0.35">
      <c r="A14" s="6">
        <v>7004</v>
      </c>
      <c r="B14" s="7" t="s">
        <v>153</v>
      </c>
      <c r="C14" s="3" t="s">
        <v>154</v>
      </c>
      <c r="D14" s="10" t="s">
        <v>170</v>
      </c>
      <c r="E14" s="15" t="s">
        <v>155</v>
      </c>
      <c r="F14" s="3" t="s">
        <v>109</v>
      </c>
      <c r="G14" s="48">
        <v>95</v>
      </c>
      <c r="H14" s="6">
        <v>9</v>
      </c>
      <c r="I14" s="6">
        <v>16</v>
      </c>
      <c r="J14" s="11">
        <v>9.3000000000000007</v>
      </c>
      <c r="K14" s="11">
        <v>7</v>
      </c>
      <c r="L14" s="6">
        <v>19.600000000000001</v>
      </c>
      <c r="M14" s="6">
        <v>2</v>
      </c>
      <c r="N14" s="6">
        <v>55.8</v>
      </c>
      <c r="O14" s="6">
        <v>0</v>
      </c>
      <c r="P14" s="6">
        <v>62.1</v>
      </c>
      <c r="Q14" s="56">
        <f>100-J14-K14-L14-M14-N14-O14</f>
        <v>6.2999999999999972</v>
      </c>
      <c r="R14" s="6">
        <v>229.53</v>
      </c>
      <c r="S14" s="12">
        <f t="shared" si="0"/>
        <v>233.2</v>
      </c>
      <c r="T14" s="6">
        <v>430</v>
      </c>
      <c r="U14" s="6">
        <v>18</v>
      </c>
      <c r="V14" s="6">
        <v>0</v>
      </c>
      <c r="W14" s="24">
        <v>18</v>
      </c>
      <c r="X14" s="46">
        <v>0</v>
      </c>
      <c r="Y14" s="24">
        <v>18</v>
      </c>
      <c r="Z14" s="24">
        <v>2.9</v>
      </c>
      <c r="AA14" s="6">
        <v>0</v>
      </c>
      <c r="AB14" s="6">
        <v>0</v>
      </c>
      <c r="AC14" s="6">
        <v>0.14000000000000001</v>
      </c>
      <c r="AD14" s="6">
        <v>0.95</v>
      </c>
      <c r="AE14" s="6">
        <v>0</v>
      </c>
      <c r="AF14" s="6">
        <v>0</v>
      </c>
      <c r="AG14" s="6">
        <v>0</v>
      </c>
      <c r="AH14" s="6">
        <v>0.3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0.82</v>
      </c>
      <c r="AQ14" s="6">
        <v>0</v>
      </c>
      <c r="AR14" s="6">
        <v>0</v>
      </c>
      <c r="AS14" s="6">
        <v>0</v>
      </c>
      <c r="AT14" s="6">
        <v>0</v>
      </c>
    </row>
    <row r="15" spans="1:46" ht="29" x14ac:dyDescent="0.35">
      <c r="A15" s="6">
        <v>8003</v>
      </c>
      <c r="B15" s="7" t="s">
        <v>12</v>
      </c>
      <c r="C15" s="6" t="s">
        <v>7</v>
      </c>
      <c r="D15" s="6">
        <v>14003</v>
      </c>
      <c r="E15" s="15" t="s">
        <v>13</v>
      </c>
      <c r="F15" s="6" t="s">
        <v>109</v>
      </c>
      <c r="G15" s="6">
        <v>0</v>
      </c>
      <c r="H15" s="12">
        <v>11</v>
      </c>
      <c r="I15" s="12">
        <v>16</v>
      </c>
      <c r="J15" s="6">
        <v>91.96</v>
      </c>
      <c r="K15" s="6">
        <v>0.16</v>
      </c>
      <c r="L15" s="6">
        <v>0.46</v>
      </c>
      <c r="M15" s="6">
        <v>0</v>
      </c>
      <c r="N15" s="6">
        <v>0</v>
      </c>
      <c r="O15" s="6">
        <v>3.9</v>
      </c>
      <c r="P15" s="6">
        <v>3.55</v>
      </c>
      <c r="Q15" s="56">
        <f>100-J15-K15-L15-M15-N15-O15</f>
        <v>3.5200000000000062</v>
      </c>
      <c r="R15" s="6">
        <v>43</v>
      </c>
      <c r="S15" s="5">
        <f t="shared" si="0"/>
        <v>43.220000000000027</v>
      </c>
      <c r="T15" s="6">
        <v>4</v>
      </c>
      <c r="U15" s="6">
        <v>0.02</v>
      </c>
      <c r="V15" s="6">
        <v>0</v>
      </c>
      <c r="W15" s="6">
        <v>0.02</v>
      </c>
      <c r="X15" s="46">
        <v>0</v>
      </c>
      <c r="Y15" s="6">
        <v>0.02</v>
      </c>
      <c r="Z15" s="6">
        <v>0.01</v>
      </c>
      <c r="AA15" s="6">
        <v>6</v>
      </c>
      <c r="AB15" s="6">
        <v>0</v>
      </c>
      <c r="AC15" s="6">
        <v>5.0000000000000001E-3</v>
      </c>
      <c r="AD15" s="6">
        <v>2.5000000000000001E-2</v>
      </c>
      <c r="AE15" s="6">
        <v>0</v>
      </c>
      <c r="AF15" s="6">
        <v>0</v>
      </c>
      <c r="AG15" s="6">
        <v>0</v>
      </c>
      <c r="AH15" s="6">
        <v>4.5999999999999999E-2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</row>
    <row r="16" spans="1:46" x14ac:dyDescent="0.35">
      <c r="A16" s="3">
        <v>9002</v>
      </c>
      <c r="B16" s="4" t="s">
        <v>14</v>
      </c>
      <c r="C16" s="3"/>
      <c r="D16" s="3"/>
      <c r="E16" s="14"/>
      <c r="F16" s="3" t="s">
        <v>150</v>
      </c>
      <c r="G16" s="6">
        <v>0</v>
      </c>
      <c r="H16" s="6">
        <v>19</v>
      </c>
      <c r="I16" s="6">
        <v>17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8" spans="1:5" ht="15" thickBot="1" x14ac:dyDescent="0.4"/>
    <row r="19" spans="1:5" ht="59" thickTop="1" thickBot="1" x14ac:dyDescent="0.4">
      <c r="A19" s="49" t="s">
        <v>171</v>
      </c>
      <c r="B19" s="50" t="s">
        <v>172</v>
      </c>
      <c r="E19" s="51" t="s">
        <v>173</v>
      </c>
    </row>
    <row r="20" spans="1:5" ht="15" thickTop="1" x14ac:dyDescent="0.35">
      <c r="E20" s="52"/>
    </row>
  </sheetData>
  <mergeCells count="2">
    <mergeCell ref="AI1:AN4"/>
    <mergeCell ref="AC5:AJ5"/>
  </mergeCells>
  <pageMargins left="0.7" right="0.7" top="0.75" bottom="0.75" header="0.3" footer="0.3"/>
  <pageSetup orientation="portrait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7"/>
  <sheetViews>
    <sheetView topLeftCell="F1" zoomScale="60" zoomScaleNormal="60" workbookViewId="0">
      <selection activeCell="AF14" sqref="AF14"/>
    </sheetView>
  </sheetViews>
  <sheetFormatPr defaultColWidth="8.81640625" defaultRowHeight="13" x14ac:dyDescent="0.3"/>
  <cols>
    <col min="1" max="1" width="11" style="25" customWidth="1"/>
    <col min="2" max="2" width="14" style="25" bestFit="1" customWidth="1"/>
    <col min="3" max="3" width="12.453125" style="25" customWidth="1"/>
    <col min="4" max="4" width="8.81640625" style="25"/>
    <col min="5" max="5" width="23" style="25" customWidth="1"/>
    <col min="6" max="6" width="12.1796875" style="25" customWidth="1"/>
    <col min="7" max="7" width="8.81640625" style="25"/>
    <col min="8" max="8" width="10.36328125" style="25" customWidth="1"/>
    <col min="9" max="9" width="13.1796875" style="25" customWidth="1"/>
    <col min="10" max="22" width="8.81640625" style="25"/>
    <col min="23" max="23" width="9.36328125" style="25" bestFit="1" customWidth="1"/>
    <col min="24" max="25" width="10.453125" style="25" customWidth="1"/>
    <col min="26" max="26" width="10.36328125" style="25" customWidth="1"/>
    <col min="27" max="27" width="12.453125" style="25" customWidth="1"/>
    <col min="28" max="28" width="12.36328125" style="25" customWidth="1"/>
    <col min="29" max="29" width="13" style="25" customWidth="1"/>
    <col min="30" max="30" width="13.1796875" style="25" customWidth="1"/>
    <col min="31" max="31" width="8.6328125" style="25" bestFit="1" customWidth="1"/>
    <col min="32" max="32" width="11.453125" style="25" bestFit="1" customWidth="1"/>
    <col min="33" max="33" width="8.81640625" style="25"/>
    <col min="34" max="34" width="11" style="25" customWidth="1"/>
    <col min="35" max="35" width="11.81640625" style="25" customWidth="1"/>
    <col min="36" max="16384" width="8.81640625" style="25"/>
  </cols>
  <sheetData>
    <row r="1" spans="1:46" s="1" customFormat="1" ht="101.5" x14ac:dyDescent="0.35">
      <c r="A1" s="2" t="s">
        <v>117</v>
      </c>
      <c r="B1" s="2" t="s">
        <v>118</v>
      </c>
      <c r="C1" s="2" t="s">
        <v>1</v>
      </c>
      <c r="D1" s="2" t="s">
        <v>2</v>
      </c>
      <c r="E1" s="2" t="s">
        <v>3</v>
      </c>
      <c r="F1" s="22" t="s">
        <v>106</v>
      </c>
      <c r="G1" s="2" t="s">
        <v>119</v>
      </c>
      <c r="H1" s="2" t="s">
        <v>120</v>
      </c>
      <c r="I1" s="2" t="s">
        <v>180</v>
      </c>
      <c r="J1" s="2" t="s">
        <v>5</v>
      </c>
      <c r="K1" s="2" t="s">
        <v>6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4</v>
      </c>
      <c r="Q1" s="19" t="s">
        <v>125</v>
      </c>
      <c r="R1" s="2" t="s">
        <v>0</v>
      </c>
      <c r="S1" s="19" t="s">
        <v>126</v>
      </c>
      <c r="T1" s="2" t="s">
        <v>127</v>
      </c>
      <c r="U1" s="2" t="s">
        <v>128</v>
      </c>
      <c r="V1" s="19" t="s">
        <v>129</v>
      </c>
      <c r="W1" s="19" t="s">
        <v>130</v>
      </c>
      <c r="X1" s="2" t="s">
        <v>163</v>
      </c>
      <c r="Y1" s="2" t="s">
        <v>164</v>
      </c>
      <c r="Z1" s="2" t="s">
        <v>165</v>
      </c>
      <c r="AA1" s="2" t="s">
        <v>174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166</v>
      </c>
      <c r="AG1" s="2" t="s">
        <v>185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146</v>
      </c>
      <c r="AT1" s="2" t="s">
        <v>147</v>
      </c>
    </row>
    <row r="2" spans="1:46" ht="29" x14ac:dyDescent="0.35">
      <c r="A2" s="3">
        <v>1001</v>
      </c>
      <c r="B2" s="4" t="s">
        <v>156</v>
      </c>
      <c r="C2" s="29" t="s">
        <v>7</v>
      </c>
      <c r="D2" s="30" t="s">
        <v>94</v>
      </c>
      <c r="E2" s="31" t="s">
        <v>95</v>
      </c>
      <c r="F2" s="53">
        <v>0.16666666666666666</v>
      </c>
      <c r="G2" s="3">
        <v>0</v>
      </c>
      <c r="H2" s="3">
        <v>1</v>
      </c>
      <c r="I2" s="3">
        <v>1</v>
      </c>
      <c r="J2" s="3">
        <v>10.37</v>
      </c>
      <c r="K2" s="3">
        <v>1.53</v>
      </c>
      <c r="L2" s="3">
        <v>7.94</v>
      </c>
      <c r="M2" s="3">
        <v>2.92</v>
      </c>
      <c r="N2" s="3">
        <v>3.5</v>
      </c>
      <c r="O2" s="3">
        <v>0</v>
      </c>
      <c r="P2" s="3">
        <v>77.239999999999995</v>
      </c>
      <c r="Q2" s="3">
        <f>100-J2-K2-L2-M2-N2-O2</f>
        <v>73.739999999999995</v>
      </c>
      <c r="R2" s="3">
        <v>370</v>
      </c>
      <c r="S2" s="32"/>
      <c r="T2" s="3">
        <v>23</v>
      </c>
      <c r="U2" s="3">
        <v>1.47</v>
      </c>
      <c r="V2" s="16"/>
      <c r="W2" s="16"/>
      <c r="X2" s="38">
        <v>0</v>
      </c>
      <c r="Y2" s="38">
        <v>1.04</v>
      </c>
      <c r="Z2" s="38">
        <v>2.13</v>
      </c>
      <c r="AA2" s="38">
        <v>23</v>
      </c>
      <c r="AB2" s="3">
        <v>0</v>
      </c>
      <c r="AC2" s="3">
        <v>0.40100000000000002</v>
      </c>
      <c r="AD2" s="3">
        <v>9.2999999999999999E-2</v>
      </c>
      <c r="AE2" s="3">
        <v>0</v>
      </c>
      <c r="AF2" s="3">
        <v>0</v>
      </c>
      <c r="AG2" s="3">
        <v>0</v>
      </c>
      <c r="AH2" s="3">
        <v>0.50900000000000001</v>
      </c>
      <c r="AI2" s="3">
        <v>0</v>
      </c>
      <c r="AJ2" s="3">
        <v>0.33600000000000002</v>
      </c>
      <c r="AK2" s="3">
        <v>0.65700000000000003</v>
      </c>
      <c r="AL2" s="3">
        <v>0.30299999999999999</v>
      </c>
      <c r="AM2" s="3">
        <v>0.17899999999999999</v>
      </c>
      <c r="AN2" s="3">
        <v>0.41</v>
      </c>
      <c r="AO2" s="3">
        <v>0.29099999999999998</v>
      </c>
      <c r="AP2" s="3">
        <v>0.10100000000000001</v>
      </c>
      <c r="AQ2" s="3">
        <v>0.46600000000000003</v>
      </c>
      <c r="AR2" s="3">
        <v>0.20200000000000001</v>
      </c>
      <c r="AS2" s="3">
        <v>9.6000000000000002E-2</v>
      </c>
      <c r="AT2" s="3">
        <v>0.29799999999999999</v>
      </c>
    </row>
    <row r="3" spans="1:46" ht="29" x14ac:dyDescent="0.35">
      <c r="A3" s="3">
        <v>1001</v>
      </c>
      <c r="B3" s="4" t="s">
        <v>156</v>
      </c>
      <c r="C3" s="29" t="s">
        <v>7</v>
      </c>
      <c r="D3" s="30" t="s">
        <v>96</v>
      </c>
      <c r="E3" s="31" t="s">
        <v>97</v>
      </c>
      <c r="F3" s="53">
        <v>0.16666666666666666</v>
      </c>
      <c r="G3" s="3">
        <v>0</v>
      </c>
      <c r="H3" s="3">
        <v>1</v>
      </c>
      <c r="I3" s="3">
        <v>1</v>
      </c>
      <c r="J3" s="3">
        <v>12.37</v>
      </c>
      <c r="K3" s="3">
        <v>1.27</v>
      </c>
      <c r="L3" s="3">
        <v>7.5</v>
      </c>
      <c r="M3" s="3">
        <v>2.68</v>
      </c>
      <c r="N3" s="3">
        <v>3.4</v>
      </c>
      <c r="O3" s="3">
        <v>0</v>
      </c>
      <c r="P3" s="3">
        <v>76.179999999999993</v>
      </c>
      <c r="Q3" s="3">
        <f t="shared" ref="Q3:Q7" si="0">100-J3-K3-L3-M3-N3-O3</f>
        <v>72.779999999999987</v>
      </c>
      <c r="R3" s="3">
        <v>362</v>
      </c>
      <c r="S3" s="32"/>
      <c r="T3" s="3">
        <v>33</v>
      </c>
      <c r="U3" s="3">
        <v>1.8</v>
      </c>
      <c r="V3" s="16"/>
      <c r="W3" s="16"/>
      <c r="X3" s="38">
        <v>0</v>
      </c>
      <c r="Y3" s="38">
        <v>1.04</v>
      </c>
      <c r="Z3" s="38">
        <v>2.02</v>
      </c>
      <c r="AA3" s="38">
        <v>20</v>
      </c>
      <c r="AB3" s="3">
        <v>0</v>
      </c>
      <c r="AC3" s="3">
        <v>0.41299999999999998</v>
      </c>
      <c r="AD3" s="3">
        <v>4.2999999999999997E-2</v>
      </c>
      <c r="AE3" s="3">
        <v>0</v>
      </c>
      <c r="AF3" s="3">
        <v>0</v>
      </c>
      <c r="AG3" s="3">
        <v>0</v>
      </c>
      <c r="AH3" s="3">
        <v>0.50900000000000001</v>
      </c>
      <c r="AI3" s="3">
        <v>0</v>
      </c>
      <c r="AJ3" s="3">
        <v>0.318</v>
      </c>
      <c r="AK3" s="3">
        <v>0.62</v>
      </c>
      <c r="AL3" s="3">
        <v>0.28599999999999998</v>
      </c>
      <c r="AM3" s="3">
        <v>0.16900000000000001</v>
      </c>
      <c r="AN3" s="3">
        <v>0.38700000000000001</v>
      </c>
      <c r="AO3" s="3">
        <v>0.27500000000000002</v>
      </c>
      <c r="AP3" s="3">
        <v>9.6000000000000002E-2</v>
      </c>
      <c r="AQ3" s="3">
        <v>0.44</v>
      </c>
      <c r="AR3" s="3">
        <v>0.19</v>
      </c>
      <c r="AS3" s="3">
        <v>9.0999999999999998E-2</v>
      </c>
      <c r="AT3" s="3">
        <v>0.28100000000000003</v>
      </c>
    </row>
    <row r="4" spans="1:46" ht="14.5" x14ac:dyDescent="0.35">
      <c r="A4" s="3">
        <v>1001</v>
      </c>
      <c r="B4" s="4" t="s">
        <v>156</v>
      </c>
      <c r="C4" s="29" t="s">
        <v>7</v>
      </c>
      <c r="D4" s="30" t="s">
        <v>98</v>
      </c>
      <c r="E4" s="31" t="s">
        <v>99</v>
      </c>
      <c r="F4" s="53">
        <v>0.16666666666666666</v>
      </c>
      <c r="G4" s="3">
        <v>0</v>
      </c>
      <c r="H4" s="3">
        <v>1</v>
      </c>
      <c r="I4" s="3">
        <v>1</v>
      </c>
      <c r="J4" s="3">
        <v>10.46</v>
      </c>
      <c r="K4" s="3">
        <v>0.49</v>
      </c>
      <c r="L4" s="3">
        <v>6.81</v>
      </c>
      <c r="M4" s="3">
        <v>0.55000000000000004</v>
      </c>
      <c r="N4" s="3">
        <v>2.8</v>
      </c>
      <c r="O4" s="3">
        <v>0</v>
      </c>
      <c r="P4" s="3">
        <v>81.690000000000012</v>
      </c>
      <c r="Q4" s="3">
        <f t="shared" si="0"/>
        <v>78.89</v>
      </c>
      <c r="R4" s="3">
        <v>370</v>
      </c>
      <c r="S4" s="32"/>
      <c r="T4" s="6">
        <v>11</v>
      </c>
      <c r="U4" s="6">
        <v>1.6</v>
      </c>
      <c r="V4" s="16"/>
      <c r="W4" s="16"/>
      <c r="X4" s="38">
        <v>0</v>
      </c>
      <c r="Y4" s="38">
        <v>1.04</v>
      </c>
      <c r="Z4" s="38">
        <v>1.2</v>
      </c>
      <c r="AA4" s="38">
        <v>7</v>
      </c>
      <c r="AB4" s="3">
        <v>0</v>
      </c>
      <c r="AC4" s="3">
        <v>0.18</v>
      </c>
      <c r="AD4" s="3">
        <v>5.5E-2</v>
      </c>
      <c r="AE4" s="3">
        <v>0</v>
      </c>
      <c r="AF4" s="3">
        <v>0</v>
      </c>
      <c r="AG4" s="3">
        <v>0</v>
      </c>
      <c r="AH4" s="3">
        <v>0.107</v>
      </c>
      <c r="AI4" s="3">
        <v>0</v>
      </c>
      <c r="AJ4" s="3">
        <v>0.29399999999999998</v>
      </c>
      <c r="AK4" s="3">
        <v>0.56299999999999994</v>
      </c>
      <c r="AL4" s="3">
        <v>0.246</v>
      </c>
      <c r="AM4" s="3">
        <v>0.16</v>
      </c>
      <c r="AN4" s="3">
        <v>0.36399999999999999</v>
      </c>
      <c r="AO4" s="3">
        <v>0.24399999999999999</v>
      </c>
      <c r="AP4" s="3">
        <v>7.9000000000000001E-2</v>
      </c>
      <c r="AQ4" s="3">
        <v>0.41599999999999998</v>
      </c>
      <c r="AR4" s="3">
        <v>0.16</v>
      </c>
      <c r="AS4" s="3">
        <v>0.14000000000000001</v>
      </c>
      <c r="AT4" s="3">
        <v>0.22800000000000001</v>
      </c>
    </row>
    <row r="5" spans="1:46" ht="29" x14ac:dyDescent="0.35">
      <c r="A5" s="3">
        <v>1001</v>
      </c>
      <c r="B5" s="4" t="s">
        <v>156</v>
      </c>
      <c r="C5" s="29" t="s">
        <v>7</v>
      </c>
      <c r="D5" s="30" t="s">
        <v>100</v>
      </c>
      <c r="E5" s="31" t="s">
        <v>101</v>
      </c>
      <c r="F5" s="53">
        <v>0.16666666666666666</v>
      </c>
      <c r="G5" s="3">
        <v>0</v>
      </c>
      <c r="H5" s="3">
        <v>1</v>
      </c>
      <c r="I5" s="3">
        <v>1</v>
      </c>
      <c r="J5" s="3">
        <v>11.62</v>
      </c>
      <c r="K5" s="3">
        <v>0.64</v>
      </c>
      <c r="L5" s="3">
        <v>7.13</v>
      </c>
      <c r="M5" s="3">
        <v>0.66</v>
      </c>
      <c r="N5" s="3">
        <v>1.3</v>
      </c>
      <c r="O5" s="3">
        <v>0</v>
      </c>
      <c r="P5" s="3">
        <v>79.95</v>
      </c>
      <c r="Q5" s="3">
        <f t="shared" si="0"/>
        <v>78.650000000000006</v>
      </c>
      <c r="R5" s="3">
        <v>365</v>
      </c>
      <c r="S5" s="32"/>
      <c r="T5" s="6">
        <v>28</v>
      </c>
      <c r="U5" s="6">
        <v>0.8</v>
      </c>
      <c r="V5" s="16"/>
      <c r="W5" s="16"/>
      <c r="X5" s="38">
        <v>0</v>
      </c>
      <c r="Y5" s="38">
        <v>1.04</v>
      </c>
      <c r="Z5" s="38">
        <v>1.0900000000000001</v>
      </c>
      <c r="AA5" s="38">
        <v>8</v>
      </c>
      <c r="AB5" s="3">
        <v>0</v>
      </c>
      <c r="AC5" s="3">
        <v>7.0000000000000007E-2</v>
      </c>
      <c r="AD5" s="3">
        <v>4.9000000000000002E-2</v>
      </c>
      <c r="AE5" s="3">
        <v>0</v>
      </c>
      <c r="AF5" s="3">
        <v>0</v>
      </c>
      <c r="AG5" s="3">
        <v>0</v>
      </c>
      <c r="AH5" s="3">
        <v>0.16400000000000001</v>
      </c>
      <c r="AI5" s="3">
        <v>0</v>
      </c>
      <c r="AJ5" s="3">
        <v>0.308</v>
      </c>
      <c r="AK5" s="3">
        <v>0.58899999999999997</v>
      </c>
      <c r="AL5" s="3">
        <v>0.25800000000000001</v>
      </c>
      <c r="AM5" s="3">
        <v>0.16800000000000001</v>
      </c>
      <c r="AN5" s="3">
        <v>0.38100000000000001</v>
      </c>
      <c r="AO5" s="3">
        <v>0.255</v>
      </c>
      <c r="AP5" s="3">
        <v>8.3000000000000004E-2</v>
      </c>
      <c r="AQ5" s="3">
        <v>0.435</v>
      </c>
      <c r="AR5" s="3">
        <v>0.16800000000000001</v>
      </c>
      <c r="AS5" s="3">
        <v>0.14599999999999999</v>
      </c>
      <c r="AT5" s="3">
        <v>0.23799999999999999</v>
      </c>
    </row>
    <row r="6" spans="1:46" ht="31.5" customHeight="1" x14ac:dyDescent="0.35">
      <c r="A6" s="3">
        <v>1001</v>
      </c>
      <c r="B6" s="4" t="s">
        <v>156</v>
      </c>
      <c r="C6" s="29" t="s">
        <v>7</v>
      </c>
      <c r="D6" s="30" t="s">
        <v>102</v>
      </c>
      <c r="E6" s="31" t="s">
        <v>103</v>
      </c>
      <c r="F6" s="53">
        <v>0.16666666666666666</v>
      </c>
      <c r="G6" s="3">
        <v>0</v>
      </c>
      <c r="H6" s="3">
        <v>1</v>
      </c>
      <c r="I6" s="3">
        <v>1</v>
      </c>
      <c r="J6" s="3">
        <v>12.89</v>
      </c>
      <c r="K6" s="3">
        <v>0.57999999999999996</v>
      </c>
      <c r="L6" s="3">
        <v>6.61</v>
      </c>
      <c r="M6" s="3">
        <v>0.57999999999999996</v>
      </c>
      <c r="N6" s="3">
        <v>1.4</v>
      </c>
      <c r="O6" s="3">
        <v>0</v>
      </c>
      <c r="P6" s="3">
        <v>79.34</v>
      </c>
      <c r="Q6" s="3">
        <f t="shared" si="0"/>
        <v>77.94</v>
      </c>
      <c r="R6" s="3">
        <v>360</v>
      </c>
      <c r="S6" s="32"/>
      <c r="T6" s="6">
        <v>9</v>
      </c>
      <c r="U6" s="6">
        <v>0.8</v>
      </c>
      <c r="V6" s="16"/>
      <c r="W6" s="16"/>
      <c r="X6" s="38">
        <v>0</v>
      </c>
      <c r="Y6" s="38">
        <v>1.04</v>
      </c>
      <c r="Z6" s="38">
        <v>1.1599999999999999</v>
      </c>
      <c r="AA6" s="38">
        <v>9</v>
      </c>
      <c r="AB6" s="3">
        <v>0</v>
      </c>
      <c r="AC6" s="3">
        <v>7.0000000000000007E-2</v>
      </c>
      <c r="AD6" s="3">
        <v>4.8000000000000001E-2</v>
      </c>
      <c r="AE6" s="3">
        <v>0</v>
      </c>
      <c r="AF6" s="3">
        <v>0</v>
      </c>
      <c r="AG6" s="3">
        <v>0</v>
      </c>
      <c r="AH6" s="3">
        <v>0.14499999999999999</v>
      </c>
      <c r="AI6" s="3">
        <v>0</v>
      </c>
      <c r="AJ6" s="3">
        <v>0.28499999999999998</v>
      </c>
      <c r="AK6" s="3">
        <v>0.54600000000000004</v>
      </c>
      <c r="AL6" s="3">
        <v>0.23899999999999999</v>
      </c>
      <c r="AM6" s="3">
        <v>0.155</v>
      </c>
      <c r="AN6" s="3">
        <v>0.35299999999999998</v>
      </c>
      <c r="AO6" s="3">
        <v>0.23599999999999999</v>
      </c>
      <c r="AP6" s="3">
        <v>7.6999999999999999E-2</v>
      </c>
      <c r="AQ6" s="3">
        <v>0.40300000000000002</v>
      </c>
      <c r="AR6" s="3">
        <v>0.155</v>
      </c>
      <c r="AS6" s="3">
        <v>0.13500000000000001</v>
      </c>
      <c r="AT6" s="3">
        <v>0.221</v>
      </c>
    </row>
    <row r="7" spans="1:46" ht="29" x14ac:dyDescent="0.35">
      <c r="A7" s="3">
        <v>1001</v>
      </c>
      <c r="B7" s="4" t="s">
        <v>156</v>
      </c>
      <c r="C7" s="29" t="s">
        <v>7</v>
      </c>
      <c r="D7" s="30" t="s">
        <v>104</v>
      </c>
      <c r="E7" s="31" t="s">
        <v>105</v>
      </c>
      <c r="F7" s="53">
        <v>0.16666666666666666</v>
      </c>
      <c r="G7" s="3">
        <v>0</v>
      </c>
      <c r="H7" s="3">
        <v>1</v>
      </c>
      <c r="I7" s="3">
        <v>1</v>
      </c>
      <c r="J7" s="3">
        <v>13.29</v>
      </c>
      <c r="K7" s="3">
        <v>0.54</v>
      </c>
      <c r="L7" s="3">
        <v>6.5</v>
      </c>
      <c r="M7" s="3">
        <v>0.52</v>
      </c>
      <c r="N7" s="3">
        <v>2.8</v>
      </c>
      <c r="O7" s="3">
        <v>0</v>
      </c>
      <c r="P7" s="3">
        <v>79.149999999999991</v>
      </c>
      <c r="Q7" s="3">
        <f t="shared" si="0"/>
        <v>76.350000000000009</v>
      </c>
      <c r="R7" s="3">
        <v>358</v>
      </c>
      <c r="S7" s="32"/>
      <c r="T7" s="6">
        <v>3</v>
      </c>
      <c r="U7" s="6">
        <v>0.8</v>
      </c>
      <c r="V7" s="16"/>
      <c r="W7" s="16"/>
      <c r="X7" s="38">
        <v>0</v>
      </c>
      <c r="Y7" s="38">
        <v>1.04</v>
      </c>
      <c r="Z7" s="38">
        <v>1.1000000000000001</v>
      </c>
      <c r="AA7" s="38">
        <v>6</v>
      </c>
      <c r="AB7" s="3">
        <v>0</v>
      </c>
      <c r="AC7" s="3">
        <v>7.0000000000000007E-2</v>
      </c>
      <c r="AD7" s="3">
        <v>4.8000000000000001E-2</v>
      </c>
      <c r="AE7" s="3">
        <v>0</v>
      </c>
      <c r="AF7" s="3">
        <v>0</v>
      </c>
      <c r="AG7" s="3">
        <v>0</v>
      </c>
      <c r="AH7" s="3">
        <v>0.17100000000000001</v>
      </c>
      <c r="AI7" s="3">
        <v>0</v>
      </c>
      <c r="AJ7" s="3">
        <v>0.28100000000000003</v>
      </c>
      <c r="AK7" s="3">
        <v>0.53800000000000003</v>
      </c>
      <c r="AL7" s="3">
        <v>0.23499999999999999</v>
      </c>
      <c r="AM7" s="3">
        <v>0.153</v>
      </c>
      <c r="AN7" s="3">
        <v>0.34799999999999998</v>
      </c>
      <c r="AO7" s="3">
        <v>0.23300000000000001</v>
      </c>
      <c r="AP7" s="3">
        <v>7.4999999999999997E-2</v>
      </c>
      <c r="AQ7" s="3">
        <v>0.39700000000000002</v>
      </c>
      <c r="AR7" s="3">
        <v>0.153</v>
      </c>
      <c r="AS7" s="3">
        <v>0.13300000000000001</v>
      </c>
      <c r="AT7" s="3">
        <v>0.217</v>
      </c>
    </row>
    <row r="8" spans="1:46" ht="14.5" x14ac:dyDescent="0.35">
      <c r="A8" s="35"/>
      <c r="B8" s="35"/>
      <c r="C8" s="35"/>
      <c r="D8" s="35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</row>
    <row r="9" spans="1:46" ht="14.5" x14ac:dyDescent="0.35">
      <c r="A9" s="3">
        <v>1001</v>
      </c>
      <c r="B9" s="4" t="s">
        <v>156</v>
      </c>
      <c r="C9" s="33"/>
      <c r="D9" s="33"/>
      <c r="E9" s="34" t="s">
        <v>108</v>
      </c>
      <c r="F9" s="16"/>
      <c r="G9" s="28">
        <f t="shared" ref="G9:P9" si="1">SUM(G2*$F2,G3*$F3,G4*$F4,G5*$F5,G6*$F6,G7*$F7)</f>
        <v>0</v>
      </c>
      <c r="H9" s="28">
        <v>1</v>
      </c>
      <c r="I9" s="28">
        <v>1</v>
      </c>
      <c r="J9" s="28">
        <f t="shared" si="1"/>
        <v>11.833333333333332</v>
      </c>
      <c r="K9" s="28">
        <f t="shared" si="1"/>
        <v>0.84166666666666667</v>
      </c>
      <c r="L9" s="28">
        <f t="shared" si="1"/>
        <v>7.0816666666666661</v>
      </c>
      <c r="M9" s="28">
        <f t="shared" si="1"/>
        <v>1.3183333333333334</v>
      </c>
      <c r="N9" s="28">
        <f t="shared" si="1"/>
        <v>2.5333333333333332</v>
      </c>
      <c r="O9" s="28">
        <f t="shared" si="1"/>
        <v>0</v>
      </c>
      <c r="P9" s="28">
        <f t="shared" si="1"/>
        <v>78.924999999999997</v>
      </c>
      <c r="Q9" s="23">
        <f>AVERAGE(Q2:Q7)</f>
        <v>76.391666666666666</v>
      </c>
      <c r="R9" s="28">
        <f>SUM(R2*$F2,R3*$F3,R4*$F4,R5*$F5,R6*$F6,R7*$F7)</f>
        <v>364.16666666666669</v>
      </c>
      <c r="S9" s="28"/>
      <c r="T9" s="28">
        <f>SUM(T2*$F2,T3*$F3,T4*$F4,T5*$F5,T6*$F6,T7*$F7)</f>
        <v>17.833333333333332</v>
      </c>
      <c r="U9" s="28">
        <f>SUM(U2*$F2,U3*$F3,U4*$F4,U5*$F5,U6*$F6,U7*$F7)</f>
        <v>1.2116666666666664</v>
      </c>
      <c r="V9" s="16"/>
      <c r="W9" s="16"/>
      <c r="X9" s="28">
        <f t="shared" ref="X9:Y9" si="2">SUM(X2*$F2,X3*$F3,X4*$F4,X5*$F5,X6*$F6,X7*$F7)</f>
        <v>0</v>
      </c>
      <c r="Y9" s="28">
        <f t="shared" si="2"/>
        <v>1.04</v>
      </c>
      <c r="Z9" s="28">
        <f t="shared" ref="Z9:AT9" si="3">SUM(Z2*$F2,Z3*$F3,Z4*$F4,Z5*$F5,Z6*$F6,Z7*$F7)</f>
        <v>1.45</v>
      </c>
      <c r="AA9" s="28">
        <f t="shared" si="3"/>
        <v>12.166666666666666</v>
      </c>
      <c r="AB9" s="28">
        <f t="shared" si="3"/>
        <v>0</v>
      </c>
      <c r="AC9" s="28">
        <f t="shared" si="3"/>
        <v>0.20066666666666663</v>
      </c>
      <c r="AD9" s="28">
        <f t="shared" si="3"/>
        <v>5.5999999999999994E-2</v>
      </c>
      <c r="AE9" s="28">
        <f t="shared" si="3"/>
        <v>0</v>
      </c>
      <c r="AF9" s="28">
        <f t="shared" si="3"/>
        <v>0</v>
      </c>
      <c r="AG9" s="28">
        <f t="shared" si="3"/>
        <v>0</v>
      </c>
      <c r="AH9" s="28">
        <f t="shared" si="3"/>
        <v>0.26750000000000002</v>
      </c>
      <c r="AI9" s="28">
        <f t="shared" si="3"/>
        <v>0</v>
      </c>
      <c r="AJ9" s="28">
        <f t="shared" si="3"/>
        <v>0.30366666666666664</v>
      </c>
      <c r="AK9" s="28">
        <f t="shared" si="3"/>
        <v>0.58549999999999991</v>
      </c>
      <c r="AL9" s="28">
        <f t="shared" si="3"/>
        <v>0.26116666666666666</v>
      </c>
      <c r="AM9" s="28">
        <f t="shared" si="3"/>
        <v>0.16400000000000001</v>
      </c>
      <c r="AN9" s="28">
        <f t="shared" si="3"/>
        <v>0.37383333333333335</v>
      </c>
      <c r="AO9" s="28">
        <f t="shared" si="3"/>
        <v>0.25566666666666665</v>
      </c>
      <c r="AP9" s="28">
        <f t="shared" si="3"/>
        <v>8.5166666666666668E-2</v>
      </c>
      <c r="AQ9" s="28">
        <f t="shared" si="3"/>
        <v>0.42616666666666664</v>
      </c>
      <c r="AR9" s="28">
        <f t="shared" si="3"/>
        <v>0.17133333333333331</v>
      </c>
      <c r="AS9" s="28">
        <f t="shared" si="3"/>
        <v>0.1235</v>
      </c>
      <c r="AT9" s="28">
        <f t="shared" si="3"/>
        <v>0.24716666666666665</v>
      </c>
    </row>
    <row r="10" spans="1:46" ht="14.5" x14ac:dyDescent="0.35"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4.5" x14ac:dyDescent="0.35"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4.5" x14ac:dyDescent="0.35">
      <c r="A12" s="6">
        <v>4002</v>
      </c>
      <c r="B12" s="7" t="s">
        <v>10</v>
      </c>
      <c r="C12" s="29" t="s">
        <v>7</v>
      </c>
      <c r="D12" s="30" t="s">
        <v>110</v>
      </c>
      <c r="E12" s="37" t="s">
        <v>111</v>
      </c>
      <c r="F12" s="3">
        <v>0.25</v>
      </c>
      <c r="G12" s="38">
        <v>9</v>
      </c>
      <c r="H12" s="38">
        <v>7</v>
      </c>
      <c r="I12" s="38">
        <v>5</v>
      </c>
      <c r="J12" s="3">
        <v>93</v>
      </c>
      <c r="K12" s="3">
        <v>0.5</v>
      </c>
      <c r="L12" s="3">
        <v>1.2</v>
      </c>
      <c r="M12" s="3">
        <v>0.2</v>
      </c>
      <c r="N12" s="3">
        <v>1.1000000000000001</v>
      </c>
      <c r="O12" s="3">
        <v>0</v>
      </c>
      <c r="P12" s="3">
        <v>5.0999999999999996</v>
      </c>
      <c r="Q12" s="3">
        <f t="shared" ref="Q12:Q15" si="4">100-J12-K12-L12-M12-N12-O12</f>
        <v>3.9999999999999996</v>
      </c>
      <c r="R12" s="3">
        <v>23</v>
      </c>
      <c r="S12" s="3"/>
      <c r="T12" s="3">
        <v>13</v>
      </c>
      <c r="U12" s="3">
        <v>0.51</v>
      </c>
      <c r="V12" s="3"/>
      <c r="W12" s="3"/>
      <c r="X12" s="3">
        <v>0</v>
      </c>
      <c r="Y12" s="3">
        <v>0.44</v>
      </c>
      <c r="Z12" s="3">
        <v>0.13</v>
      </c>
      <c r="AA12" s="3">
        <v>9</v>
      </c>
      <c r="AB12" s="3">
        <v>23.4</v>
      </c>
      <c r="AC12" s="3">
        <v>0.06</v>
      </c>
      <c r="AD12" s="3">
        <v>0.04</v>
      </c>
      <c r="AE12" s="3">
        <v>0</v>
      </c>
      <c r="AF12" s="3">
        <v>385</v>
      </c>
      <c r="AG12" s="3">
        <v>32</v>
      </c>
      <c r="AH12" s="3">
        <v>8.1000000000000003E-2</v>
      </c>
      <c r="AI12" s="3">
        <v>0</v>
      </c>
      <c r="AJ12" s="3">
        <v>2.9000000000000001E-2</v>
      </c>
      <c r="AK12" s="3">
        <v>4.3999999999999997E-2</v>
      </c>
      <c r="AL12" s="3">
        <v>4.3999999999999997E-2</v>
      </c>
      <c r="AM12" s="3">
        <v>0.01</v>
      </c>
      <c r="AN12" s="3">
        <v>3.1E-2</v>
      </c>
      <c r="AO12" s="3">
        <v>0.03</v>
      </c>
      <c r="AP12" s="3">
        <v>8.9999999999999993E-3</v>
      </c>
      <c r="AQ12" s="3">
        <v>3.1E-2</v>
      </c>
      <c r="AR12" s="3">
        <v>1.7999999999999999E-2</v>
      </c>
      <c r="AS12" s="3">
        <v>1.6E-2</v>
      </c>
      <c r="AT12" s="3">
        <v>2.1000000000000001E-2</v>
      </c>
    </row>
    <row r="13" spans="1:46" ht="14.5" x14ac:dyDescent="0.35">
      <c r="A13" s="6">
        <v>4002</v>
      </c>
      <c r="B13" s="7" t="s">
        <v>10</v>
      </c>
      <c r="C13" s="29" t="s">
        <v>7</v>
      </c>
      <c r="D13" s="30" t="s">
        <v>112</v>
      </c>
      <c r="E13" s="37" t="s">
        <v>11</v>
      </c>
      <c r="F13" s="3">
        <v>0.25</v>
      </c>
      <c r="G13" s="38">
        <v>9</v>
      </c>
      <c r="H13" s="38">
        <v>7</v>
      </c>
      <c r="I13" s="38">
        <v>5</v>
      </c>
      <c r="J13" s="3">
        <v>94.52</v>
      </c>
      <c r="K13" s="3">
        <v>0.5</v>
      </c>
      <c r="L13" s="3">
        <v>0.88</v>
      </c>
      <c r="M13" s="3">
        <v>0.2</v>
      </c>
      <c r="N13" s="3">
        <v>1.2</v>
      </c>
      <c r="O13" s="3">
        <v>0</v>
      </c>
      <c r="P13" s="3">
        <v>3.89</v>
      </c>
      <c r="Q13" s="3">
        <f t="shared" si="4"/>
        <v>2.7000000000000037</v>
      </c>
      <c r="R13" s="3">
        <v>18</v>
      </c>
      <c r="S13" s="3"/>
      <c r="T13" s="3">
        <v>10</v>
      </c>
      <c r="U13" s="3">
        <v>0.27</v>
      </c>
      <c r="V13" s="3"/>
      <c r="W13" s="3"/>
      <c r="X13" s="3">
        <v>0</v>
      </c>
      <c r="Y13" s="3">
        <v>0.44</v>
      </c>
      <c r="Z13" s="3">
        <v>0.17</v>
      </c>
      <c r="AA13" s="3">
        <v>15</v>
      </c>
      <c r="AB13" s="3">
        <v>13.7</v>
      </c>
      <c r="AC13" s="3">
        <v>3.6999999999999998E-2</v>
      </c>
      <c r="AD13" s="3">
        <v>1.9E-2</v>
      </c>
      <c r="AE13" s="3">
        <v>0</v>
      </c>
      <c r="AF13" s="3">
        <v>499.5</v>
      </c>
      <c r="AG13" s="3">
        <v>42</v>
      </c>
      <c r="AH13" s="3">
        <v>0.08</v>
      </c>
      <c r="AI13" s="3">
        <v>0</v>
      </c>
      <c r="AJ13" s="3">
        <v>1.7999999999999999E-2</v>
      </c>
      <c r="AK13" s="3">
        <v>2.5000000000000001E-2</v>
      </c>
      <c r="AL13" s="3">
        <v>2.7E-2</v>
      </c>
      <c r="AM13" s="3">
        <v>6.0000000000000001E-3</v>
      </c>
      <c r="AN13" s="3">
        <v>2.7E-2</v>
      </c>
      <c r="AO13" s="3">
        <v>2.7E-2</v>
      </c>
      <c r="AP13" s="3">
        <v>6.0000000000000001E-3</v>
      </c>
      <c r="AQ13" s="3">
        <v>1.7999999999999999E-2</v>
      </c>
      <c r="AR13" s="3">
        <v>1.4E-2</v>
      </c>
      <c r="AS13" s="3">
        <v>8.9999999999999993E-3</v>
      </c>
      <c r="AT13" s="3">
        <v>1.4E-2</v>
      </c>
    </row>
    <row r="14" spans="1:46" ht="14.5" x14ac:dyDescent="0.35">
      <c r="A14" s="6">
        <v>4002</v>
      </c>
      <c r="B14" s="7" t="s">
        <v>10</v>
      </c>
      <c r="C14" s="29" t="s">
        <v>7</v>
      </c>
      <c r="D14" s="30" t="s">
        <v>113</v>
      </c>
      <c r="E14" s="37" t="s">
        <v>114</v>
      </c>
      <c r="F14" s="3">
        <v>0.25</v>
      </c>
      <c r="G14" s="38">
        <v>9</v>
      </c>
      <c r="H14" s="38">
        <v>7</v>
      </c>
      <c r="I14" s="38">
        <v>5</v>
      </c>
      <c r="J14" s="3">
        <v>94.78</v>
      </c>
      <c r="K14" s="3">
        <v>0.69</v>
      </c>
      <c r="L14" s="3">
        <v>1.1599999999999999</v>
      </c>
      <c r="M14" s="3">
        <v>0.19</v>
      </c>
      <c r="N14" s="3">
        <v>0.9</v>
      </c>
      <c r="O14" s="3">
        <v>0</v>
      </c>
      <c r="P14" s="3">
        <v>3.18</v>
      </c>
      <c r="Q14" s="3">
        <f t="shared" si="4"/>
        <v>2.2799999999999994</v>
      </c>
      <c r="R14" s="3">
        <v>16</v>
      </c>
      <c r="S14" s="3"/>
      <c r="T14" s="3">
        <v>5</v>
      </c>
      <c r="U14" s="3">
        <v>0.47</v>
      </c>
      <c r="V14" s="3"/>
      <c r="W14" s="3"/>
      <c r="X14" s="3">
        <v>0</v>
      </c>
      <c r="Y14" s="3">
        <v>0.44</v>
      </c>
      <c r="Z14" s="3">
        <v>0.14000000000000001</v>
      </c>
      <c r="AA14" s="3">
        <v>29</v>
      </c>
      <c r="AB14" s="3">
        <v>16</v>
      </c>
      <c r="AC14" s="3">
        <v>4.5999999999999999E-2</v>
      </c>
      <c r="AD14" s="3">
        <v>3.4000000000000002E-2</v>
      </c>
      <c r="AE14" s="3">
        <v>0</v>
      </c>
      <c r="AF14" s="3">
        <f>+AG14*12</f>
        <v>900</v>
      </c>
      <c r="AG14" s="3">
        <v>75</v>
      </c>
      <c r="AH14" s="3">
        <v>0.06</v>
      </c>
      <c r="AI14" s="3">
        <v>0</v>
      </c>
      <c r="AJ14" s="3">
        <v>2.7E-2</v>
      </c>
      <c r="AK14" s="3">
        <v>4.2000000000000003E-2</v>
      </c>
      <c r="AL14" s="3">
        <v>4.2000000000000003E-2</v>
      </c>
      <c r="AM14" s="3">
        <v>0.01</v>
      </c>
      <c r="AN14" s="3">
        <v>0.03</v>
      </c>
      <c r="AO14" s="3">
        <v>2.9000000000000001E-2</v>
      </c>
      <c r="AP14" s="3">
        <v>8.0000000000000002E-3</v>
      </c>
      <c r="AQ14" s="3">
        <v>0.03</v>
      </c>
      <c r="AR14" s="3">
        <v>1.7999999999999999E-2</v>
      </c>
      <c r="AS14" s="3">
        <v>1.4999999999999999E-2</v>
      </c>
      <c r="AT14" s="3">
        <v>0.02</v>
      </c>
    </row>
    <row r="15" spans="1:46" ht="14.5" x14ac:dyDescent="0.35">
      <c r="A15" s="6">
        <v>4002</v>
      </c>
      <c r="B15" s="7" t="s">
        <v>10</v>
      </c>
      <c r="C15" s="29" t="s">
        <v>7</v>
      </c>
      <c r="D15" s="30" t="s">
        <v>115</v>
      </c>
      <c r="E15" s="37" t="s">
        <v>116</v>
      </c>
      <c r="F15" s="3">
        <v>0.25</v>
      </c>
      <c r="G15" s="38">
        <v>9</v>
      </c>
      <c r="H15" s="38">
        <v>7</v>
      </c>
      <c r="I15" s="38">
        <v>5</v>
      </c>
      <c r="J15" s="3">
        <v>95.28</v>
      </c>
      <c r="K15" s="3">
        <v>0.5</v>
      </c>
      <c r="L15" s="3">
        <v>0.98</v>
      </c>
      <c r="M15" s="3">
        <v>0.26</v>
      </c>
      <c r="N15" s="3">
        <v>0.7</v>
      </c>
      <c r="O15" s="3">
        <v>0</v>
      </c>
      <c r="P15" s="3">
        <v>2.98</v>
      </c>
      <c r="Q15" s="3">
        <f t="shared" si="4"/>
        <v>2.2799999999999985</v>
      </c>
      <c r="R15" s="3">
        <v>15</v>
      </c>
      <c r="S15" s="3"/>
      <c r="T15" s="3">
        <v>11</v>
      </c>
      <c r="U15" s="3">
        <v>0.49</v>
      </c>
      <c r="V15" s="3"/>
      <c r="W15" s="3"/>
      <c r="X15" s="3">
        <v>0</v>
      </c>
      <c r="Y15" s="3">
        <v>0.44</v>
      </c>
      <c r="Z15" s="3">
        <v>0.28000000000000003</v>
      </c>
      <c r="AA15" s="3">
        <v>30</v>
      </c>
      <c r="AB15" s="3">
        <v>9</v>
      </c>
      <c r="AC15" s="3">
        <v>4.1000000000000002E-2</v>
      </c>
      <c r="AD15" s="3">
        <v>4.7E-2</v>
      </c>
      <c r="AE15" s="3">
        <v>0</v>
      </c>
      <c r="AF15" s="3">
        <v>0</v>
      </c>
      <c r="AG15" s="3">
        <v>0</v>
      </c>
      <c r="AH15" s="3">
        <v>5.6000000000000001E-2</v>
      </c>
      <c r="AI15" s="3">
        <v>0</v>
      </c>
      <c r="AJ15" s="3">
        <v>2.3E-2</v>
      </c>
      <c r="AK15" s="3">
        <v>3.5999999999999997E-2</v>
      </c>
      <c r="AL15" s="3">
        <v>3.5999999999999997E-2</v>
      </c>
      <c r="AM15" s="3">
        <v>8.0000000000000002E-3</v>
      </c>
      <c r="AN15" s="3">
        <v>2.5000000000000001E-2</v>
      </c>
      <c r="AO15" s="3">
        <v>2.4E-2</v>
      </c>
      <c r="AP15" s="3">
        <v>7.0000000000000001E-3</v>
      </c>
      <c r="AQ15" s="3">
        <v>2.5000000000000001E-2</v>
      </c>
      <c r="AR15" s="3">
        <v>1.4999999999999999E-2</v>
      </c>
      <c r="AS15" s="3">
        <v>1.2999999999999999E-2</v>
      </c>
      <c r="AT15" s="3">
        <v>1.7000000000000001E-2</v>
      </c>
    </row>
    <row r="16" spans="1:46" ht="14.5" x14ac:dyDescent="0.35"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4.5" x14ac:dyDescent="0.35">
      <c r="A17" s="6">
        <v>4002</v>
      </c>
      <c r="B17" s="7" t="s">
        <v>10</v>
      </c>
      <c r="C17" s="33"/>
      <c r="D17" s="33"/>
      <c r="E17" s="34" t="s">
        <v>108</v>
      </c>
      <c r="F17" s="33"/>
      <c r="G17" s="39">
        <f>+SUM(G12*$F12,+G13*$F13+G14*$F14+G15*$F15)</f>
        <v>9</v>
      </c>
      <c r="H17" s="39">
        <f>+SUM(H12*$F12,+H13*$F13+H14*$F14+H15*$F15)</f>
        <v>7</v>
      </c>
      <c r="I17" s="39">
        <v>5</v>
      </c>
      <c r="J17" s="39">
        <f>+SUM(J12*$F12,+J13*$F13+J14*$F14+J15*$F15)</f>
        <v>94.39500000000001</v>
      </c>
      <c r="K17" s="39">
        <f t="shared" ref="K17:P17" si="5">+SUM(K12*$F12,+K13*$F13+K14*$F14+K15*$F15)</f>
        <v>0.54749999999999999</v>
      </c>
      <c r="L17" s="39">
        <f t="shared" si="5"/>
        <v>1.0549999999999999</v>
      </c>
      <c r="M17" s="39">
        <f t="shared" si="5"/>
        <v>0.21250000000000002</v>
      </c>
      <c r="N17" s="39">
        <f t="shared" si="5"/>
        <v>0.97499999999999998</v>
      </c>
      <c r="O17" s="39">
        <f t="shared" si="5"/>
        <v>0</v>
      </c>
      <c r="P17" s="39">
        <f t="shared" si="5"/>
        <v>3.7875000000000001</v>
      </c>
      <c r="Q17" s="55">
        <f>AVERAGE(Q12:Q15)</f>
        <v>2.8150000000000004</v>
      </c>
      <c r="R17" s="39">
        <f>+SUM(R12*$F12,+R13*$F13+R14*$F14+R15*$F15)</f>
        <v>18</v>
      </c>
      <c r="S17" s="33"/>
      <c r="T17" s="39">
        <f t="shared" ref="T17:U17" si="6">+SUM(T12*$F12,+T13*$F13+T14*$F14+T15*$F15)</f>
        <v>9.75</v>
      </c>
      <c r="U17" s="39">
        <f t="shared" si="6"/>
        <v>0.435</v>
      </c>
      <c r="V17" s="33"/>
      <c r="W17" s="33"/>
      <c r="X17" s="39">
        <f t="shared" ref="X17:Y17" si="7">+SUM(X12*$F12,+X13*$F13+X14*$F14+X15*$F15)</f>
        <v>0</v>
      </c>
      <c r="Y17" s="39">
        <f t="shared" si="7"/>
        <v>0.44</v>
      </c>
      <c r="Z17" s="39">
        <f t="shared" ref="Z17:AT17" si="8">+SUM(Z12*$F12,+Z13*$F13+Z14*$F14+Z15*$F15)</f>
        <v>0.18000000000000002</v>
      </c>
      <c r="AA17" s="39">
        <f t="shared" si="8"/>
        <v>20.75</v>
      </c>
      <c r="AB17" s="39">
        <f t="shared" si="8"/>
        <v>15.525</v>
      </c>
      <c r="AC17" s="39">
        <f t="shared" si="8"/>
        <v>4.5999999999999999E-2</v>
      </c>
      <c r="AD17" s="39">
        <f t="shared" si="8"/>
        <v>3.5000000000000003E-2</v>
      </c>
      <c r="AE17" s="39">
        <f t="shared" si="8"/>
        <v>0</v>
      </c>
      <c r="AF17" s="39">
        <f t="shared" si="8"/>
        <v>446.125</v>
      </c>
      <c r="AG17" s="39">
        <f t="shared" si="8"/>
        <v>37.25</v>
      </c>
      <c r="AH17" s="39">
        <f t="shared" si="8"/>
        <v>6.9250000000000006E-2</v>
      </c>
      <c r="AI17" s="39">
        <f t="shared" si="8"/>
        <v>0</v>
      </c>
      <c r="AJ17" s="39">
        <f t="shared" si="8"/>
        <v>2.4250000000000001E-2</v>
      </c>
      <c r="AK17" s="39">
        <f t="shared" si="8"/>
        <v>3.6750000000000005E-2</v>
      </c>
      <c r="AL17" s="39">
        <f t="shared" si="8"/>
        <v>3.7250000000000005E-2</v>
      </c>
      <c r="AM17" s="39">
        <f t="shared" si="8"/>
        <v>8.5000000000000006E-3</v>
      </c>
      <c r="AN17" s="39">
        <f t="shared" si="8"/>
        <v>2.8249999999999997E-2</v>
      </c>
      <c r="AO17" s="39">
        <f t="shared" si="8"/>
        <v>2.75E-2</v>
      </c>
      <c r="AP17" s="39">
        <f t="shared" si="8"/>
        <v>7.4999999999999997E-3</v>
      </c>
      <c r="AQ17" s="39">
        <f t="shared" si="8"/>
        <v>2.6000000000000002E-2</v>
      </c>
      <c r="AR17" s="39">
        <f t="shared" si="8"/>
        <v>1.6250000000000001E-2</v>
      </c>
      <c r="AS17" s="39">
        <f t="shared" si="8"/>
        <v>1.325E-2</v>
      </c>
      <c r="AT17" s="39">
        <f t="shared" si="8"/>
        <v>1.8000000000000002E-2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T190"/>
  <sheetViews>
    <sheetView topLeftCell="C1" zoomScale="60" zoomScaleNormal="60" zoomScalePageLayoutView="125" workbookViewId="0">
      <selection activeCell="W185" sqref="W185"/>
    </sheetView>
  </sheetViews>
  <sheetFormatPr defaultColWidth="8.81640625" defaultRowHeight="14.5" x14ac:dyDescent="0.35"/>
  <cols>
    <col min="1" max="1" width="12.6328125" style="1" customWidth="1"/>
    <col min="2" max="2" width="57.36328125" style="1" bestFit="1" customWidth="1"/>
    <col min="3" max="3" width="11.453125" style="1" bestFit="1" customWidth="1"/>
    <col min="4" max="4" width="7.36328125" style="1" bestFit="1" customWidth="1"/>
    <col min="5" max="5" width="66.6328125" style="1" bestFit="1" customWidth="1"/>
    <col min="6" max="6" width="11.1796875" style="1" bestFit="1" customWidth="1"/>
    <col min="7" max="7" width="11.90625" style="1" bestFit="1" customWidth="1"/>
    <col min="8" max="8" width="10.54296875" style="1" bestFit="1" customWidth="1"/>
    <col min="9" max="9" width="12.36328125" style="1" customWidth="1"/>
    <col min="10" max="11" width="7.1796875" style="1" bestFit="1" customWidth="1"/>
    <col min="12" max="12" width="7.7265625" style="1" bestFit="1" customWidth="1"/>
    <col min="13" max="15" width="7.1796875" style="1" bestFit="1" customWidth="1"/>
    <col min="16" max="16" width="13.26953125" style="1" bestFit="1" customWidth="1"/>
    <col min="17" max="17" width="10.6328125" style="1" customWidth="1"/>
    <col min="18" max="18" width="7.54296875" style="1" bestFit="1" customWidth="1"/>
    <col min="19" max="19" width="9.81640625" style="1" bestFit="1" customWidth="1"/>
    <col min="20" max="22" width="10.7265625" style="1" bestFit="1" customWidth="1"/>
    <col min="23" max="23" width="14.36328125" style="1" bestFit="1" customWidth="1"/>
    <col min="24" max="24" width="10.7265625" style="1" bestFit="1" customWidth="1"/>
    <col min="25" max="25" width="13.54296875" style="1" bestFit="1" customWidth="1"/>
    <col min="26" max="26" width="14.36328125" style="1" bestFit="1" customWidth="1"/>
    <col min="27" max="27" width="11.90625" style="1" bestFit="1" customWidth="1"/>
    <col min="28" max="29" width="10.7265625" style="1" bestFit="1" customWidth="1"/>
    <col min="30" max="30" width="8.6328125" style="1" bestFit="1" customWidth="1"/>
    <col min="31" max="31" width="8.81640625" style="1"/>
    <col min="32" max="32" width="8.81640625" style="1" customWidth="1"/>
    <col min="33" max="33" width="13.453125" style="1" customWidth="1"/>
    <col min="34" max="34" width="8.26953125" style="1" bestFit="1" customWidth="1"/>
    <col min="35" max="35" width="8.81640625" style="1"/>
    <col min="36" max="36" width="8.7265625" style="1" bestFit="1" customWidth="1"/>
    <col min="37" max="37" width="8.08984375" style="1" bestFit="1" customWidth="1"/>
    <col min="38" max="38" width="7.1796875" style="1" bestFit="1" customWidth="1"/>
    <col min="39" max="39" width="10.7265625" style="1" bestFit="1" customWidth="1"/>
    <col min="40" max="40" width="8" style="1" bestFit="1" customWidth="1"/>
    <col min="41" max="41" width="8.7265625" style="1" bestFit="1" customWidth="1"/>
    <col min="42" max="42" width="9.54296875" style="1" bestFit="1" customWidth="1"/>
    <col min="43" max="43" width="7.1796875" style="1" bestFit="1" customWidth="1"/>
    <col min="44" max="44" width="8.26953125" style="1" bestFit="1" customWidth="1"/>
    <col min="45" max="46" width="9" style="1" bestFit="1" customWidth="1"/>
    <col min="47" max="49" width="8.81640625" style="1"/>
    <col min="50" max="50" width="11.453125" style="1" customWidth="1"/>
    <col min="51" max="51" width="11.6328125" style="1" customWidth="1"/>
    <col min="52" max="16384" width="8.81640625" style="1"/>
  </cols>
  <sheetData>
    <row r="1" spans="1:46" x14ac:dyDescent="0.35">
      <c r="A1" s="18" t="s">
        <v>90</v>
      </c>
    </row>
    <row r="3" spans="1:46" ht="118.5" customHeight="1" x14ac:dyDescent="0.35">
      <c r="A3" s="2" t="s">
        <v>55</v>
      </c>
      <c r="B3" s="2" t="s">
        <v>56</v>
      </c>
      <c r="C3" s="2" t="s">
        <v>1</v>
      </c>
      <c r="D3" s="2" t="s">
        <v>2</v>
      </c>
      <c r="E3" s="2" t="s">
        <v>3</v>
      </c>
      <c r="F3" s="21" t="s">
        <v>93</v>
      </c>
      <c r="G3" s="2" t="s">
        <v>57</v>
      </c>
      <c r="H3" s="2" t="s">
        <v>58</v>
      </c>
      <c r="I3" s="2" t="s">
        <v>180</v>
      </c>
      <c r="J3" s="2" t="s">
        <v>5</v>
      </c>
      <c r="K3" s="2" t="s">
        <v>6</v>
      </c>
      <c r="L3" s="2" t="s">
        <v>59</v>
      </c>
      <c r="M3" s="2" t="s">
        <v>87</v>
      </c>
      <c r="N3" s="2" t="s">
        <v>88</v>
      </c>
      <c r="O3" s="2" t="s">
        <v>62</v>
      </c>
      <c r="P3" s="2" t="s">
        <v>4</v>
      </c>
      <c r="Q3" s="19" t="s">
        <v>63</v>
      </c>
      <c r="R3" s="2" t="s">
        <v>0</v>
      </c>
      <c r="S3" s="19" t="s">
        <v>64</v>
      </c>
      <c r="T3" s="2" t="s">
        <v>65</v>
      </c>
      <c r="U3" s="2" t="s">
        <v>66</v>
      </c>
      <c r="V3" s="19" t="s">
        <v>67</v>
      </c>
      <c r="W3" s="19" t="s">
        <v>68</v>
      </c>
      <c r="X3" s="2" t="s">
        <v>163</v>
      </c>
      <c r="Y3" s="2" t="s">
        <v>164</v>
      </c>
      <c r="Z3" s="2" t="s">
        <v>165</v>
      </c>
      <c r="AA3" s="2" t="s">
        <v>174</v>
      </c>
      <c r="AB3" s="2" t="s">
        <v>69</v>
      </c>
      <c r="AC3" s="2" t="s">
        <v>70</v>
      </c>
      <c r="AD3" s="2" t="s">
        <v>71</v>
      </c>
      <c r="AE3" s="2" t="s">
        <v>72</v>
      </c>
      <c r="AF3" s="2" t="s">
        <v>184</v>
      </c>
      <c r="AG3" s="2" t="s">
        <v>185</v>
      </c>
      <c r="AH3" s="2" t="s">
        <v>73</v>
      </c>
      <c r="AI3" s="2" t="s">
        <v>74</v>
      </c>
      <c r="AJ3" s="2" t="s">
        <v>75</v>
      </c>
      <c r="AK3" s="2" t="s">
        <v>76</v>
      </c>
      <c r="AL3" s="2" t="s">
        <v>77</v>
      </c>
      <c r="AM3" s="2" t="s">
        <v>78</v>
      </c>
      <c r="AN3" s="2" t="s">
        <v>79</v>
      </c>
      <c r="AO3" s="2" t="s">
        <v>80</v>
      </c>
      <c r="AP3" s="2" t="s">
        <v>81</v>
      </c>
      <c r="AQ3" s="2" t="s">
        <v>82</v>
      </c>
      <c r="AR3" s="2" t="s">
        <v>83</v>
      </c>
      <c r="AS3" s="2" t="s">
        <v>84</v>
      </c>
      <c r="AT3" s="2" t="s">
        <v>85</v>
      </c>
    </row>
    <row r="4" spans="1:46" x14ac:dyDescent="0.35">
      <c r="A4">
        <v>1111.01</v>
      </c>
      <c r="B4" t="s">
        <v>213</v>
      </c>
      <c r="C4" t="s">
        <v>214</v>
      </c>
      <c r="D4" t="s">
        <v>215</v>
      </c>
      <c r="E4" t="s">
        <v>216</v>
      </c>
      <c r="F4"/>
      <c r="G4">
        <v>0</v>
      </c>
      <c r="H4"/>
      <c r="T4">
        <v>12</v>
      </c>
      <c r="U4">
        <v>1.4</v>
      </c>
      <c r="Z4">
        <v>1.1599999999999999</v>
      </c>
      <c r="AA4">
        <v>20</v>
      </c>
      <c r="AB4">
        <v>0</v>
      </c>
      <c r="AC4">
        <v>7.0000000000000007E-2</v>
      </c>
      <c r="AD4">
        <v>0.04</v>
      </c>
      <c r="AE4">
        <v>0</v>
      </c>
      <c r="AF4">
        <v>0</v>
      </c>
      <c r="AG4">
        <v>0</v>
      </c>
      <c r="AH4">
        <v>0.2</v>
      </c>
      <c r="AI4">
        <v>0</v>
      </c>
    </row>
    <row r="5" spans="1:46" x14ac:dyDescent="0.35">
      <c r="A5">
        <v>1111.02</v>
      </c>
      <c r="B5" t="s">
        <v>217</v>
      </c>
      <c r="C5" t="s">
        <v>218</v>
      </c>
      <c r="D5">
        <v>8083</v>
      </c>
      <c r="E5" t="s">
        <v>219</v>
      </c>
      <c r="F5"/>
      <c r="G5">
        <v>0</v>
      </c>
      <c r="H5"/>
      <c r="T5">
        <v>5</v>
      </c>
      <c r="U5">
        <v>6.56</v>
      </c>
      <c r="Z5">
        <v>5.7</v>
      </c>
      <c r="AA5">
        <v>443</v>
      </c>
      <c r="AB5">
        <v>60.5</v>
      </c>
      <c r="AC5">
        <v>2.83</v>
      </c>
      <c r="AD5">
        <v>3.06</v>
      </c>
      <c r="AE5">
        <v>865</v>
      </c>
      <c r="AF5">
        <v>60</v>
      </c>
      <c r="AG5">
        <v>872</v>
      </c>
      <c r="AH5">
        <v>4.7</v>
      </c>
      <c r="AI5">
        <v>5.75</v>
      </c>
    </row>
    <row r="6" spans="1:46" x14ac:dyDescent="0.35">
      <c r="A6">
        <v>1112.01</v>
      </c>
      <c r="B6" t="s">
        <v>220</v>
      </c>
      <c r="C6" t="s">
        <v>214</v>
      </c>
      <c r="D6" t="s">
        <v>221</v>
      </c>
      <c r="E6" t="s">
        <v>222</v>
      </c>
      <c r="F6"/>
      <c r="G6">
        <v>0</v>
      </c>
      <c r="H6"/>
      <c r="T6">
        <v>28</v>
      </c>
      <c r="U6">
        <v>1.2</v>
      </c>
      <c r="Z6">
        <v>0.6</v>
      </c>
      <c r="AA6">
        <v>29</v>
      </c>
      <c r="AB6">
        <v>0</v>
      </c>
      <c r="AC6">
        <v>0.16</v>
      </c>
      <c r="AD6">
        <v>0.05</v>
      </c>
      <c r="AE6">
        <v>0</v>
      </c>
      <c r="AF6">
        <v>0</v>
      </c>
      <c r="AG6">
        <v>0</v>
      </c>
      <c r="AH6">
        <v>0.06</v>
      </c>
      <c r="AI6">
        <v>0</v>
      </c>
    </row>
    <row r="7" spans="1:46" x14ac:dyDescent="0.35">
      <c r="A7">
        <v>1112.02</v>
      </c>
      <c r="B7" t="s">
        <v>223</v>
      </c>
      <c r="C7" t="s">
        <v>214</v>
      </c>
      <c r="D7" t="s">
        <v>224</v>
      </c>
      <c r="E7" t="s">
        <v>225</v>
      </c>
      <c r="F7"/>
      <c r="G7">
        <v>0</v>
      </c>
      <c r="H7"/>
      <c r="T7">
        <v>26</v>
      </c>
      <c r="U7">
        <v>1.2</v>
      </c>
      <c r="Z7">
        <v>0.8</v>
      </c>
      <c r="AA7">
        <v>28</v>
      </c>
      <c r="AB7">
        <v>0</v>
      </c>
      <c r="AC7">
        <v>0.18</v>
      </c>
      <c r="AD7">
        <v>0.06</v>
      </c>
      <c r="AE7">
        <v>0</v>
      </c>
      <c r="AF7">
        <v>0</v>
      </c>
      <c r="AG7">
        <v>0</v>
      </c>
      <c r="AH7">
        <v>0.04</v>
      </c>
      <c r="AI7">
        <v>0</v>
      </c>
    </row>
    <row r="8" spans="1:46" x14ac:dyDescent="0.35">
      <c r="A8">
        <v>1112.03</v>
      </c>
      <c r="B8" t="s">
        <v>226</v>
      </c>
      <c r="C8" t="s">
        <v>214</v>
      </c>
      <c r="D8" t="s">
        <v>224</v>
      </c>
      <c r="E8" t="s">
        <v>225</v>
      </c>
      <c r="F8"/>
      <c r="G8">
        <v>0</v>
      </c>
      <c r="H8"/>
      <c r="T8">
        <v>26</v>
      </c>
      <c r="U8">
        <v>1.2</v>
      </c>
      <c r="Z8">
        <v>0.8</v>
      </c>
      <c r="AA8">
        <v>28</v>
      </c>
      <c r="AB8">
        <v>0</v>
      </c>
      <c r="AC8">
        <v>0.18</v>
      </c>
      <c r="AD8">
        <v>0.06</v>
      </c>
      <c r="AE8">
        <v>0</v>
      </c>
      <c r="AF8">
        <v>0</v>
      </c>
      <c r="AG8">
        <v>0</v>
      </c>
      <c r="AH8">
        <v>0.04</v>
      </c>
      <c r="AI8">
        <v>0</v>
      </c>
    </row>
    <row r="9" spans="1:46" x14ac:dyDescent="0.35">
      <c r="A9">
        <v>1112.04</v>
      </c>
      <c r="B9" t="s">
        <v>227</v>
      </c>
      <c r="C9" t="s">
        <v>214</v>
      </c>
      <c r="D9" t="s">
        <v>224</v>
      </c>
      <c r="E9" t="s">
        <v>225</v>
      </c>
      <c r="F9"/>
      <c r="G9">
        <v>0</v>
      </c>
      <c r="H9"/>
      <c r="T9">
        <v>26</v>
      </c>
      <c r="U9">
        <v>1.2</v>
      </c>
      <c r="Z9">
        <v>0.8</v>
      </c>
      <c r="AA9">
        <v>28</v>
      </c>
      <c r="AB9">
        <v>0</v>
      </c>
      <c r="AC9">
        <v>0.18</v>
      </c>
      <c r="AD9">
        <v>0.06</v>
      </c>
      <c r="AE9">
        <v>0</v>
      </c>
      <c r="AF9">
        <v>0</v>
      </c>
      <c r="AG9">
        <v>0</v>
      </c>
      <c r="AH9">
        <v>0.04</v>
      </c>
      <c r="AI9">
        <v>0</v>
      </c>
    </row>
    <row r="10" spans="1:46" x14ac:dyDescent="0.35">
      <c r="A10">
        <v>1112.0899999999999</v>
      </c>
      <c r="B10" t="s">
        <v>228</v>
      </c>
      <c r="C10" t="s">
        <v>214</v>
      </c>
      <c r="D10" t="s">
        <v>224</v>
      </c>
      <c r="E10" t="s">
        <v>225</v>
      </c>
      <c r="F10"/>
      <c r="G10">
        <v>0</v>
      </c>
      <c r="H10"/>
      <c r="T10">
        <v>26</v>
      </c>
      <c r="U10">
        <v>1.2</v>
      </c>
      <c r="Z10">
        <v>0.8</v>
      </c>
      <c r="AA10">
        <v>28</v>
      </c>
      <c r="AB10">
        <v>0</v>
      </c>
      <c r="AC10">
        <v>0.18</v>
      </c>
      <c r="AD10">
        <v>0.06</v>
      </c>
      <c r="AE10">
        <v>0</v>
      </c>
      <c r="AF10">
        <v>0</v>
      </c>
      <c r="AG10">
        <v>0</v>
      </c>
      <c r="AH10">
        <v>0.04</v>
      </c>
      <c r="AI10">
        <v>0</v>
      </c>
    </row>
    <row r="11" spans="1:46" x14ac:dyDescent="0.35">
      <c r="A11">
        <v>1113.01</v>
      </c>
      <c r="B11" t="s">
        <v>229</v>
      </c>
      <c r="C11" t="s">
        <v>214</v>
      </c>
      <c r="D11" t="s">
        <v>230</v>
      </c>
      <c r="E11" t="s">
        <v>231</v>
      </c>
      <c r="F11"/>
      <c r="G11">
        <v>0</v>
      </c>
      <c r="H11"/>
      <c r="T11">
        <v>10</v>
      </c>
      <c r="U11">
        <v>0.5</v>
      </c>
      <c r="Z11">
        <v>0.59</v>
      </c>
      <c r="AA11">
        <v>5</v>
      </c>
      <c r="AB11">
        <v>0</v>
      </c>
      <c r="AC11">
        <v>0.05</v>
      </c>
      <c r="AD11">
        <v>0.01</v>
      </c>
      <c r="AE11">
        <v>0</v>
      </c>
      <c r="AF11">
        <v>0</v>
      </c>
      <c r="AG11">
        <v>0</v>
      </c>
      <c r="AH11">
        <v>0.03</v>
      </c>
      <c r="AI11">
        <v>0</v>
      </c>
    </row>
    <row r="12" spans="1:46" x14ac:dyDescent="0.35">
      <c r="A12">
        <v>1114.01</v>
      </c>
      <c r="B12" t="s">
        <v>232</v>
      </c>
      <c r="C12" t="s">
        <v>218</v>
      </c>
      <c r="D12">
        <v>18110</v>
      </c>
      <c r="E12" t="s">
        <v>233</v>
      </c>
      <c r="F12"/>
      <c r="G12">
        <v>0</v>
      </c>
      <c r="H12"/>
      <c r="T12">
        <v>33</v>
      </c>
      <c r="U12">
        <v>2.0699999999999998</v>
      </c>
      <c r="Z12">
        <v>0.27</v>
      </c>
      <c r="AA12">
        <v>20</v>
      </c>
      <c r="AB12">
        <v>0.5</v>
      </c>
      <c r="AC12">
        <v>0.05</v>
      </c>
      <c r="AD12">
        <v>9.9000000000000005E-2</v>
      </c>
      <c r="AE12">
        <v>7</v>
      </c>
      <c r="AF12">
        <v>3</v>
      </c>
      <c r="AG12">
        <v>7</v>
      </c>
      <c r="AH12">
        <v>4.5999999999999999E-2</v>
      </c>
      <c r="AI12">
        <v>0.01</v>
      </c>
    </row>
    <row r="13" spans="1:46" x14ac:dyDescent="0.35">
      <c r="A13">
        <v>1114.02</v>
      </c>
      <c r="B13" t="s">
        <v>234</v>
      </c>
      <c r="C13" t="s">
        <v>218</v>
      </c>
      <c r="D13">
        <v>18946</v>
      </c>
      <c r="E13" t="s">
        <v>235</v>
      </c>
      <c r="F13"/>
      <c r="G13">
        <v>0</v>
      </c>
      <c r="H13"/>
      <c r="T13">
        <v>12</v>
      </c>
      <c r="U13">
        <v>1.1499999999999999</v>
      </c>
      <c r="Z13">
        <v>0.22</v>
      </c>
      <c r="AA13">
        <v>32</v>
      </c>
      <c r="AB13">
        <v>0</v>
      </c>
      <c r="AC13">
        <v>0.14000000000000001</v>
      </c>
      <c r="AD13">
        <v>3.6999999999999998E-2</v>
      </c>
      <c r="AE13">
        <v>0</v>
      </c>
      <c r="AF13">
        <v>0</v>
      </c>
      <c r="AG13">
        <v>0</v>
      </c>
      <c r="AH13">
        <v>0.02</v>
      </c>
      <c r="AI13">
        <v>0</v>
      </c>
    </row>
    <row r="14" spans="1:46" x14ac:dyDescent="0.35">
      <c r="A14">
        <v>1115.01</v>
      </c>
      <c r="B14" t="s">
        <v>236</v>
      </c>
      <c r="C14" t="s">
        <v>218</v>
      </c>
      <c r="D14">
        <v>8023</v>
      </c>
      <c r="E14" t="s">
        <v>237</v>
      </c>
      <c r="F14"/>
      <c r="G14">
        <v>0</v>
      </c>
      <c r="H14"/>
      <c r="T14">
        <v>60</v>
      </c>
      <c r="U14">
        <v>3.7</v>
      </c>
      <c r="Z14">
        <v>3.1</v>
      </c>
      <c r="AA14">
        <v>204</v>
      </c>
      <c r="AB14">
        <v>31</v>
      </c>
      <c r="AC14">
        <v>0.8</v>
      </c>
      <c r="AD14">
        <v>0.9</v>
      </c>
      <c r="AE14">
        <v>459</v>
      </c>
      <c r="AF14">
        <v>0</v>
      </c>
      <c r="AG14">
        <v>459</v>
      </c>
      <c r="AH14">
        <v>1</v>
      </c>
      <c r="AI14">
        <v>3.1</v>
      </c>
    </row>
    <row r="15" spans="1:46" x14ac:dyDescent="0.35">
      <c r="A15">
        <v>1115.02</v>
      </c>
      <c r="B15" t="s">
        <v>238</v>
      </c>
      <c r="C15" t="s">
        <v>214</v>
      </c>
      <c r="D15" t="s">
        <v>239</v>
      </c>
      <c r="E15" t="s">
        <v>240</v>
      </c>
      <c r="F15"/>
      <c r="G15">
        <v>0</v>
      </c>
      <c r="H15"/>
      <c r="T15">
        <v>810</v>
      </c>
      <c r="U15">
        <v>8.5</v>
      </c>
      <c r="Z15">
        <v>3.5</v>
      </c>
      <c r="AA15">
        <v>42</v>
      </c>
      <c r="AB15">
        <v>46</v>
      </c>
      <c r="AC15">
        <v>0.56999999999999995</v>
      </c>
      <c r="AD15">
        <v>0.85</v>
      </c>
      <c r="AE15">
        <v>488</v>
      </c>
      <c r="AF15">
        <v>0</v>
      </c>
      <c r="AG15">
        <v>488</v>
      </c>
      <c r="AH15">
        <v>0.34</v>
      </c>
      <c r="AI15">
        <v>0.9</v>
      </c>
    </row>
    <row r="16" spans="1:46" x14ac:dyDescent="0.35">
      <c r="A16">
        <v>1115.03</v>
      </c>
      <c r="B16" t="s">
        <v>241</v>
      </c>
      <c r="C16" t="s">
        <v>214</v>
      </c>
      <c r="D16" t="s">
        <v>242</v>
      </c>
      <c r="E16" t="s">
        <v>243</v>
      </c>
      <c r="F16"/>
      <c r="G16">
        <v>0</v>
      </c>
      <c r="H16"/>
      <c r="T16">
        <v>70</v>
      </c>
      <c r="U16">
        <v>0.7</v>
      </c>
      <c r="Z16">
        <v>0.76</v>
      </c>
      <c r="AA16">
        <v>17</v>
      </c>
      <c r="AB16">
        <v>0</v>
      </c>
      <c r="AC16">
        <v>0.16</v>
      </c>
      <c r="AD16">
        <v>0.18</v>
      </c>
      <c r="AE16">
        <v>0</v>
      </c>
      <c r="AF16">
        <v>534</v>
      </c>
      <c r="AG16">
        <v>45</v>
      </c>
      <c r="AH16">
        <v>0.05</v>
      </c>
      <c r="AI16">
        <v>0.6</v>
      </c>
    </row>
    <row r="17" spans="1:35" x14ac:dyDescent="0.35">
      <c r="A17">
        <v>1115.04</v>
      </c>
      <c r="B17" t="s">
        <v>244</v>
      </c>
      <c r="C17" t="s">
        <v>214</v>
      </c>
      <c r="D17" t="s">
        <v>245</v>
      </c>
      <c r="E17" t="s">
        <v>246</v>
      </c>
      <c r="F17"/>
      <c r="G17">
        <v>0</v>
      </c>
      <c r="H17"/>
      <c r="T17">
        <v>18</v>
      </c>
      <c r="U17">
        <v>3</v>
      </c>
      <c r="Z17">
        <v>1.51</v>
      </c>
      <c r="AA17">
        <v>25</v>
      </c>
      <c r="AB17">
        <v>0</v>
      </c>
      <c r="AC17">
        <v>0.34</v>
      </c>
      <c r="AD17">
        <v>0.1</v>
      </c>
      <c r="AE17">
        <v>0</v>
      </c>
      <c r="AF17">
        <v>0</v>
      </c>
      <c r="AG17">
        <v>0</v>
      </c>
      <c r="AH17">
        <v>0.2</v>
      </c>
      <c r="AI17">
        <v>0</v>
      </c>
    </row>
    <row r="18" spans="1:35" x14ac:dyDescent="0.35">
      <c r="A18">
        <v>1115.05</v>
      </c>
      <c r="B18" t="s">
        <v>247</v>
      </c>
      <c r="C18" t="s">
        <v>214</v>
      </c>
      <c r="D18" t="s">
        <v>248</v>
      </c>
      <c r="E18" t="s">
        <v>249</v>
      </c>
      <c r="F18"/>
      <c r="G18">
        <v>0</v>
      </c>
      <c r="H18"/>
      <c r="T18">
        <v>14</v>
      </c>
      <c r="U18">
        <v>7.6</v>
      </c>
      <c r="Z18">
        <v>2.83</v>
      </c>
      <c r="AA18">
        <v>30</v>
      </c>
      <c r="AB18">
        <v>0</v>
      </c>
      <c r="AC18">
        <v>0.32</v>
      </c>
      <c r="AD18">
        <v>0.27</v>
      </c>
      <c r="AE18">
        <v>0</v>
      </c>
      <c r="AF18">
        <v>3</v>
      </c>
      <c r="AG18">
        <v>0</v>
      </c>
      <c r="AH18">
        <v>0.74</v>
      </c>
      <c r="AI18">
        <v>0</v>
      </c>
    </row>
    <row r="19" spans="1:35" x14ac:dyDescent="0.35">
      <c r="A19">
        <v>1115.06</v>
      </c>
      <c r="B19" t="s">
        <v>250</v>
      </c>
      <c r="C19" t="s">
        <v>214</v>
      </c>
      <c r="D19" t="s">
        <v>251</v>
      </c>
      <c r="E19" t="s">
        <v>252</v>
      </c>
      <c r="F19"/>
      <c r="G19">
        <v>0</v>
      </c>
      <c r="H19"/>
      <c r="T19">
        <v>24</v>
      </c>
      <c r="U19">
        <v>3.7</v>
      </c>
      <c r="Z19">
        <v>1.79</v>
      </c>
      <c r="AA19">
        <v>29</v>
      </c>
      <c r="AB19">
        <v>0</v>
      </c>
      <c r="AC19">
        <v>0.36</v>
      </c>
      <c r="AD19">
        <v>0.16</v>
      </c>
      <c r="AE19">
        <v>0</v>
      </c>
      <c r="AF19">
        <v>17</v>
      </c>
      <c r="AG19">
        <v>1</v>
      </c>
      <c r="AH19">
        <v>0.25</v>
      </c>
      <c r="AI19">
        <v>0</v>
      </c>
    </row>
    <row r="20" spans="1:35" x14ac:dyDescent="0.35">
      <c r="A20">
        <v>1115.07</v>
      </c>
      <c r="B20" t="s">
        <v>253</v>
      </c>
      <c r="C20" t="s">
        <v>214</v>
      </c>
      <c r="D20" t="s">
        <v>254</v>
      </c>
      <c r="E20" t="s">
        <v>253</v>
      </c>
      <c r="F20"/>
      <c r="G20">
        <v>0</v>
      </c>
      <c r="H20"/>
      <c r="T20">
        <v>138</v>
      </c>
      <c r="U20">
        <v>1.5</v>
      </c>
      <c r="Z20">
        <v>0.74</v>
      </c>
      <c r="AA20">
        <v>47</v>
      </c>
      <c r="AB20">
        <v>4</v>
      </c>
      <c r="AC20">
        <v>7.0000000000000007E-2</v>
      </c>
      <c r="AD20">
        <v>0.11</v>
      </c>
      <c r="AE20">
        <v>0</v>
      </c>
      <c r="AF20">
        <v>0</v>
      </c>
      <c r="AG20">
        <v>0</v>
      </c>
      <c r="AH20">
        <v>0.17</v>
      </c>
      <c r="AI20">
        <v>0</v>
      </c>
    </row>
    <row r="21" spans="1:35" x14ac:dyDescent="0.35">
      <c r="A21">
        <v>1119.01</v>
      </c>
      <c r="B21" t="s">
        <v>255</v>
      </c>
      <c r="C21" t="s">
        <v>218</v>
      </c>
      <c r="D21">
        <v>8411</v>
      </c>
      <c r="E21" t="s">
        <v>256</v>
      </c>
      <c r="F21"/>
      <c r="G21">
        <v>0.25</v>
      </c>
      <c r="H21"/>
      <c r="T21">
        <v>220</v>
      </c>
      <c r="U21">
        <v>7.92</v>
      </c>
      <c r="Z21">
        <v>1.75</v>
      </c>
      <c r="AA21">
        <v>176</v>
      </c>
      <c r="AB21">
        <v>0</v>
      </c>
      <c r="AC21">
        <v>0.66</v>
      </c>
      <c r="AD21">
        <v>0.74</v>
      </c>
      <c r="AE21">
        <v>660</v>
      </c>
      <c r="AF21">
        <v>0</v>
      </c>
      <c r="AG21">
        <v>661</v>
      </c>
      <c r="AH21">
        <v>0.88</v>
      </c>
      <c r="AI21">
        <v>0</v>
      </c>
    </row>
    <row r="22" spans="1:35" x14ac:dyDescent="0.35">
      <c r="A22">
        <v>1121.01</v>
      </c>
      <c r="B22" t="s">
        <v>257</v>
      </c>
      <c r="C22" t="s">
        <v>214</v>
      </c>
      <c r="D22" t="s">
        <v>258</v>
      </c>
      <c r="E22" t="s">
        <v>259</v>
      </c>
      <c r="F22"/>
      <c r="G22">
        <v>0</v>
      </c>
      <c r="H22"/>
      <c r="T22">
        <v>11</v>
      </c>
      <c r="U22">
        <v>1.8</v>
      </c>
      <c r="Z22">
        <v>3.6</v>
      </c>
      <c r="AA22">
        <v>3</v>
      </c>
      <c r="AB22">
        <v>0</v>
      </c>
      <c r="AC22">
        <v>0.6</v>
      </c>
      <c r="AD22">
        <v>0.17</v>
      </c>
      <c r="AE22">
        <v>0</v>
      </c>
      <c r="AF22">
        <v>0</v>
      </c>
      <c r="AG22">
        <v>0</v>
      </c>
      <c r="AH22">
        <v>0.38</v>
      </c>
      <c r="AI22">
        <v>0.7</v>
      </c>
    </row>
    <row r="23" spans="1:35" x14ac:dyDescent="0.35">
      <c r="A23">
        <v>1122.01</v>
      </c>
      <c r="B23" t="s">
        <v>260</v>
      </c>
      <c r="C23" t="s">
        <v>214</v>
      </c>
      <c r="D23" t="s">
        <v>258</v>
      </c>
      <c r="E23" t="s">
        <v>261</v>
      </c>
      <c r="F23"/>
      <c r="G23">
        <v>0</v>
      </c>
      <c r="H23"/>
      <c r="T23">
        <v>11</v>
      </c>
      <c r="U23">
        <v>1.8</v>
      </c>
      <c r="Z23">
        <v>3.6</v>
      </c>
      <c r="AA23">
        <v>3</v>
      </c>
      <c r="AB23">
        <v>0</v>
      </c>
      <c r="AC23">
        <v>0.6</v>
      </c>
      <c r="AD23">
        <v>0.17</v>
      </c>
      <c r="AE23">
        <v>0</v>
      </c>
      <c r="AF23">
        <v>0</v>
      </c>
      <c r="AG23">
        <v>0</v>
      </c>
      <c r="AH23">
        <v>0.38</v>
      </c>
      <c r="AI23">
        <v>0.7</v>
      </c>
    </row>
    <row r="24" spans="1:35" x14ac:dyDescent="0.35">
      <c r="A24">
        <v>1123.01</v>
      </c>
      <c r="B24" t="s">
        <v>262</v>
      </c>
      <c r="C24" t="s">
        <v>214</v>
      </c>
      <c r="D24" t="s">
        <v>263</v>
      </c>
      <c r="E24" t="s">
        <v>264</v>
      </c>
      <c r="F24"/>
      <c r="G24">
        <v>0.26</v>
      </c>
      <c r="H24"/>
      <c r="T24">
        <v>11</v>
      </c>
      <c r="U24">
        <v>2.4</v>
      </c>
      <c r="Z24">
        <v>3.45</v>
      </c>
      <c r="AA24">
        <v>5</v>
      </c>
      <c r="AB24">
        <v>0</v>
      </c>
      <c r="AC24">
        <v>0.18</v>
      </c>
      <c r="AD24">
        <v>0.28999999999999998</v>
      </c>
      <c r="AE24">
        <v>0</v>
      </c>
      <c r="AF24">
        <v>0</v>
      </c>
      <c r="AG24">
        <v>0</v>
      </c>
      <c r="AH24">
        <v>0.4</v>
      </c>
      <c r="AI24">
        <v>1.1000000000000001</v>
      </c>
    </row>
    <row r="25" spans="1:35" x14ac:dyDescent="0.35">
      <c r="A25">
        <v>1123.02</v>
      </c>
      <c r="B25" t="s">
        <v>265</v>
      </c>
      <c r="C25" t="s">
        <v>214</v>
      </c>
      <c r="D25" t="s">
        <v>266</v>
      </c>
      <c r="E25" t="s">
        <v>267</v>
      </c>
      <c r="F25"/>
      <c r="G25">
        <v>0.25</v>
      </c>
      <c r="H25"/>
      <c r="T25">
        <v>12</v>
      </c>
      <c r="U25">
        <v>3.1</v>
      </c>
      <c r="Z25">
        <v>4.97</v>
      </c>
      <c r="AA25">
        <v>2</v>
      </c>
      <c r="AB25">
        <v>0</v>
      </c>
      <c r="AC25">
        <v>0.08</v>
      </c>
      <c r="AD25">
        <v>0.15</v>
      </c>
      <c r="AE25">
        <v>12</v>
      </c>
      <c r="AF25">
        <v>0</v>
      </c>
      <c r="AG25">
        <v>12</v>
      </c>
      <c r="AH25">
        <v>0.24</v>
      </c>
      <c r="AI25">
        <v>2.6</v>
      </c>
    </row>
    <row r="26" spans="1:35" x14ac:dyDescent="0.35">
      <c r="A26">
        <v>1124.02</v>
      </c>
      <c r="B26" t="s">
        <v>268</v>
      </c>
      <c r="C26" t="s">
        <v>218</v>
      </c>
      <c r="D26">
        <v>5306</v>
      </c>
      <c r="E26" t="s">
        <v>269</v>
      </c>
      <c r="F26"/>
      <c r="G26">
        <v>0</v>
      </c>
      <c r="H26"/>
      <c r="T26">
        <v>28</v>
      </c>
      <c r="U26">
        <v>1.52</v>
      </c>
      <c r="Z26">
        <v>3.11</v>
      </c>
      <c r="AA26">
        <v>7</v>
      </c>
      <c r="AB26">
        <v>0</v>
      </c>
      <c r="AC26">
        <v>7.6999999999999999E-2</v>
      </c>
      <c r="AD26">
        <v>0.21099999999999999</v>
      </c>
      <c r="AE26">
        <v>24</v>
      </c>
      <c r="AF26">
        <v>0</v>
      </c>
      <c r="AG26">
        <v>24</v>
      </c>
      <c r="AH26">
        <v>0.63300000000000001</v>
      </c>
      <c r="AI26">
        <v>1.34</v>
      </c>
    </row>
    <row r="27" spans="1:35" x14ac:dyDescent="0.35">
      <c r="A27">
        <v>1125.01</v>
      </c>
      <c r="B27" t="s">
        <v>270</v>
      </c>
      <c r="C27" t="s">
        <v>214</v>
      </c>
      <c r="D27" t="s">
        <v>258</v>
      </c>
      <c r="E27" t="s">
        <v>261</v>
      </c>
      <c r="F27"/>
      <c r="G27">
        <v>1</v>
      </c>
      <c r="H27"/>
      <c r="T27">
        <v>11</v>
      </c>
      <c r="U27">
        <v>1.8</v>
      </c>
      <c r="Z27">
        <v>3.6</v>
      </c>
      <c r="AA27">
        <v>3</v>
      </c>
      <c r="AB27">
        <v>0</v>
      </c>
      <c r="AC27">
        <v>0.6</v>
      </c>
      <c r="AD27">
        <v>0.17</v>
      </c>
      <c r="AE27">
        <v>0</v>
      </c>
      <c r="AF27">
        <v>0</v>
      </c>
      <c r="AG27">
        <v>0</v>
      </c>
      <c r="AH27">
        <v>0.38</v>
      </c>
      <c r="AI27">
        <v>0.7</v>
      </c>
    </row>
    <row r="28" spans="1:35" x14ac:dyDescent="0.35">
      <c r="A28">
        <v>1125.02</v>
      </c>
      <c r="B28" t="s">
        <v>271</v>
      </c>
      <c r="C28" t="s">
        <v>218</v>
      </c>
      <c r="D28">
        <v>7027</v>
      </c>
      <c r="E28" t="s">
        <v>272</v>
      </c>
      <c r="F28"/>
      <c r="G28">
        <v>0</v>
      </c>
      <c r="H28"/>
      <c r="T28">
        <v>7</v>
      </c>
      <c r="U28">
        <v>0.83</v>
      </c>
      <c r="Z28">
        <v>1.94</v>
      </c>
      <c r="AA28">
        <v>1</v>
      </c>
      <c r="AB28">
        <v>0</v>
      </c>
      <c r="AC28">
        <v>0.63200000000000001</v>
      </c>
      <c r="AD28">
        <v>0.20399999999999999</v>
      </c>
      <c r="AE28">
        <v>0</v>
      </c>
      <c r="AF28">
        <v>0</v>
      </c>
      <c r="AG28">
        <v>0</v>
      </c>
      <c r="AH28">
        <v>0.35</v>
      </c>
      <c r="AI28">
        <v>0.92</v>
      </c>
    </row>
    <row r="29" spans="1:35" x14ac:dyDescent="0.35">
      <c r="A29">
        <v>1125.03</v>
      </c>
      <c r="B29" t="s">
        <v>273</v>
      </c>
      <c r="C29" t="s">
        <v>214</v>
      </c>
      <c r="D29" t="s">
        <v>274</v>
      </c>
      <c r="E29" t="s">
        <v>275</v>
      </c>
      <c r="F29"/>
      <c r="G29">
        <v>0</v>
      </c>
      <c r="H29"/>
      <c r="T29">
        <v>5</v>
      </c>
      <c r="U29">
        <v>2.1</v>
      </c>
      <c r="Z29">
        <v>3.6</v>
      </c>
      <c r="AA29">
        <v>7</v>
      </c>
      <c r="AB29">
        <v>0</v>
      </c>
      <c r="AC29">
        <v>0.06</v>
      </c>
      <c r="AD29">
        <v>0.19</v>
      </c>
      <c r="AE29">
        <v>0</v>
      </c>
      <c r="AF29">
        <v>0</v>
      </c>
      <c r="AG29">
        <v>0</v>
      </c>
      <c r="AH29">
        <v>0.23</v>
      </c>
      <c r="AI29">
        <v>1.4</v>
      </c>
    </row>
    <row r="30" spans="1:35" x14ac:dyDescent="0.35">
      <c r="A30">
        <v>1125.04</v>
      </c>
      <c r="B30" t="s">
        <v>276</v>
      </c>
      <c r="C30" t="s">
        <v>214</v>
      </c>
      <c r="D30" t="s">
        <v>277</v>
      </c>
      <c r="E30" t="s">
        <v>278</v>
      </c>
      <c r="F30"/>
      <c r="G30">
        <v>0</v>
      </c>
      <c r="H30"/>
      <c r="T30">
        <v>10</v>
      </c>
      <c r="U30">
        <v>0.88</v>
      </c>
      <c r="Z30">
        <v>1.6</v>
      </c>
      <c r="AA30">
        <v>4</v>
      </c>
      <c r="AB30">
        <v>0</v>
      </c>
      <c r="AC30">
        <v>0.09</v>
      </c>
      <c r="AD30">
        <v>0.11</v>
      </c>
      <c r="AE30">
        <v>0</v>
      </c>
      <c r="AF30">
        <v>0</v>
      </c>
      <c r="AG30">
        <v>0</v>
      </c>
      <c r="AH30">
        <v>0.12</v>
      </c>
      <c r="AI30">
        <v>1</v>
      </c>
    </row>
    <row r="31" spans="1:35" x14ac:dyDescent="0.35">
      <c r="A31">
        <v>1125.05</v>
      </c>
      <c r="B31" t="s">
        <v>279</v>
      </c>
      <c r="C31" t="s">
        <v>218</v>
      </c>
      <c r="D31">
        <v>7027</v>
      </c>
      <c r="E31" t="s">
        <v>272</v>
      </c>
      <c r="F31"/>
      <c r="G31">
        <v>0</v>
      </c>
      <c r="H31"/>
      <c r="T31">
        <v>7</v>
      </c>
      <c r="U31">
        <v>0.83</v>
      </c>
      <c r="Z31">
        <v>1.94</v>
      </c>
      <c r="AA31">
        <v>1</v>
      </c>
      <c r="AB31">
        <v>0</v>
      </c>
      <c r="AC31">
        <v>0.63200000000000001</v>
      </c>
      <c r="AD31">
        <v>0.20399999999999999</v>
      </c>
      <c r="AE31">
        <v>0</v>
      </c>
      <c r="AF31">
        <v>0</v>
      </c>
      <c r="AG31">
        <v>0</v>
      </c>
      <c r="AH31">
        <v>0.35</v>
      </c>
      <c r="AI31">
        <v>0.92</v>
      </c>
    </row>
    <row r="32" spans="1:35" x14ac:dyDescent="0.35">
      <c r="A32">
        <v>1125.06</v>
      </c>
      <c r="B32" t="s">
        <v>280</v>
      </c>
      <c r="C32" t="s">
        <v>214</v>
      </c>
      <c r="D32" t="s">
        <v>277</v>
      </c>
      <c r="E32" t="s">
        <v>278</v>
      </c>
      <c r="F32"/>
      <c r="G32">
        <v>0</v>
      </c>
      <c r="H32"/>
      <c r="T32">
        <v>10</v>
      </c>
      <c r="U32">
        <v>0.88</v>
      </c>
      <c r="Z32">
        <v>1.6</v>
      </c>
      <c r="AA32">
        <v>4</v>
      </c>
      <c r="AB32">
        <v>0</v>
      </c>
      <c r="AC32">
        <v>0.09</v>
      </c>
      <c r="AD32">
        <v>0.11</v>
      </c>
      <c r="AE32">
        <v>0</v>
      </c>
      <c r="AF32">
        <v>0</v>
      </c>
      <c r="AG32">
        <v>0</v>
      </c>
      <c r="AH32">
        <v>0.12</v>
      </c>
      <c r="AI32">
        <v>1</v>
      </c>
    </row>
    <row r="33" spans="1:35" x14ac:dyDescent="0.35">
      <c r="A33">
        <v>1125.07</v>
      </c>
      <c r="B33" t="s">
        <v>281</v>
      </c>
      <c r="C33" t="s">
        <v>214</v>
      </c>
      <c r="D33" t="s">
        <v>282</v>
      </c>
      <c r="E33" t="s">
        <v>283</v>
      </c>
      <c r="F33"/>
      <c r="G33">
        <v>0</v>
      </c>
      <c r="H33"/>
      <c r="T33">
        <v>69</v>
      </c>
      <c r="U33">
        <v>0.6</v>
      </c>
      <c r="Z33">
        <v>1.42</v>
      </c>
      <c r="AA33">
        <v>5</v>
      </c>
      <c r="AB33">
        <v>0</v>
      </c>
      <c r="AC33">
        <v>0</v>
      </c>
      <c r="AD33">
        <v>0.06</v>
      </c>
      <c r="AE33">
        <v>0</v>
      </c>
      <c r="AF33">
        <v>0</v>
      </c>
      <c r="AG33">
        <v>0</v>
      </c>
      <c r="AH33">
        <v>0.01</v>
      </c>
      <c r="AI33">
        <v>1.4</v>
      </c>
    </row>
    <row r="34" spans="1:35" x14ac:dyDescent="0.35">
      <c r="A34">
        <v>1125.08</v>
      </c>
      <c r="B34" t="s">
        <v>284</v>
      </c>
      <c r="C34" t="s">
        <v>214</v>
      </c>
      <c r="D34" t="s">
        <v>285</v>
      </c>
      <c r="E34" t="s">
        <v>286</v>
      </c>
      <c r="F34"/>
      <c r="G34">
        <v>0</v>
      </c>
      <c r="H34"/>
      <c r="T34">
        <v>7</v>
      </c>
      <c r="U34">
        <v>8.8000000000000007</v>
      </c>
      <c r="Z34">
        <v>3.5</v>
      </c>
      <c r="AA34">
        <v>290</v>
      </c>
      <c r="AB34">
        <v>1.3</v>
      </c>
      <c r="AC34">
        <v>0.19</v>
      </c>
      <c r="AD34">
        <v>1.56</v>
      </c>
      <c r="AE34">
        <v>4950</v>
      </c>
      <c r="AF34">
        <v>245</v>
      </c>
      <c r="AG34">
        <v>4970</v>
      </c>
      <c r="AH34">
        <v>1.08</v>
      </c>
      <c r="AI34">
        <v>59.3</v>
      </c>
    </row>
    <row r="35" spans="1:35" x14ac:dyDescent="0.35">
      <c r="A35">
        <v>1126.01</v>
      </c>
      <c r="B35" t="s">
        <v>287</v>
      </c>
      <c r="C35" t="s">
        <v>214</v>
      </c>
      <c r="D35" t="s">
        <v>288</v>
      </c>
      <c r="E35" t="s">
        <v>289</v>
      </c>
      <c r="F35"/>
      <c r="G35">
        <v>0</v>
      </c>
      <c r="H35"/>
      <c r="T35">
        <v>12</v>
      </c>
      <c r="U35">
        <v>2.2000000000000002</v>
      </c>
      <c r="Z35">
        <v>4.79</v>
      </c>
      <c r="AA35">
        <v>6</v>
      </c>
      <c r="AB35">
        <v>0</v>
      </c>
      <c r="AC35">
        <v>0.04</v>
      </c>
      <c r="AD35">
        <v>0.16</v>
      </c>
      <c r="AE35">
        <v>0</v>
      </c>
      <c r="AF35">
        <v>0</v>
      </c>
      <c r="AG35">
        <v>0</v>
      </c>
      <c r="AH35">
        <v>0.37</v>
      </c>
      <c r="AI35">
        <v>2.2000000000000002</v>
      </c>
    </row>
    <row r="36" spans="1:35" x14ac:dyDescent="0.35">
      <c r="A36">
        <v>1126.02</v>
      </c>
      <c r="B36" t="s">
        <v>290</v>
      </c>
      <c r="C36" t="s">
        <v>214</v>
      </c>
      <c r="D36" t="s">
        <v>291</v>
      </c>
      <c r="E36" t="s">
        <v>292</v>
      </c>
      <c r="F36"/>
      <c r="G36">
        <v>0</v>
      </c>
      <c r="H36"/>
      <c r="T36">
        <v>12</v>
      </c>
      <c r="U36">
        <v>2.1</v>
      </c>
      <c r="Z36">
        <v>3.57</v>
      </c>
      <c r="AA36">
        <v>9</v>
      </c>
      <c r="AB36">
        <v>0</v>
      </c>
      <c r="AC36">
        <v>0.02</v>
      </c>
      <c r="AD36">
        <v>0.15</v>
      </c>
      <c r="AE36">
        <v>0</v>
      </c>
      <c r="AF36">
        <v>0</v>
      </c>
      <c r="AG36">
        <v>0</v>
      </c>
      <c r="AH36">
        <v>0.13</v>
      </c>
      <c r="AI36">
        <v>1.6</v>
      </c>
    </row>
    <row r="37" spans="1:35" x14ac:dyDescent="0.35">
      <c r="A37">
        <v>1127.01</v>
      </c>
      <c r="B37" t="s">
        <v>293</v>
      </c>
      <c r="C37" t="s">
        <v>218</v>
      </c>
      <c r="D37">
        <v>17164</v>
      </c>
      <c r="E37" t="s">
        <v>294</v>
      </c>
      <c r="F37"/>
      <c r="G37">
        <v>0</v>
      </c>
      <c r="H37"/>
      <c r="T37">
        <v>5</v>
      </c>
      <c r="U37">
        <v>3.4</v>
      </c>
      <c r="Z37">
        <v>2.09</v>
      </c>
      <c r="AA37">
        <v>4</v>
      </c>
      <c r="AB37">
        <v>0</v>
      </c>
      <c r="AC37">
        <v>0.22</v>
      </c>
      <c r="AD37">
        <v>0.48</v>
      </c>
      <c r="AE37">
        <v>0</v>
      </c>
      <c r="AF37">
        <v>0</v>
      </c>
      <c r="AG37">
        <v>0</v>
      </c>
      <c r="AH37">
        <v>0.37</v>
      </c>
      <c r="AI37">
        <v>6.31</v>
      </c>
    </row>
    <row r="38" spans="1:35" x14ac:dyDescent="0.35">
      <c r="A38">
        <v>1127.02</v>
      </c>
      <c r="B38" t="s">
        <v>295</v>
      </c>
      <c r="C38" t="s">
        <v>214</v>
      </c>
      <c r="D38" t="s">
        <v>258</v>
      </c>
      <c r="E38" t="s">
        <v>261</v>
      </c>
      <c r="F38"/>
      <c r="G38">
        <v>0</v>
      </c>
      <c r="H38"/>
      <c r="T38">
        <v>11</v>
      </c>
      <c r="U38">
        <v>1.8</v>
      </c>
      <c r="Z38">
        <v>3.6</v>
      </c>
      <c r="AA38">
        <v>3</v>
      </c>
      <c r="AB38">
        <v>0</v>
      </c>
      <c r="AC38">
        <v>0.6</v>
      </c>
      <c r="AD38">
        <v>0.17</v>
      </c>
      <c r="AE38">
        <v>0</v>
      </c>
      <c r="AF38">
        <v>0</v>
      </c>
      <c r="AG38">
        <v>0</v>
      </c>
      <c r="AH38">
        <v>0.38</v>
      </c>
      <c r="AI38">
        <v>0.7</v>
      </c>
    </row>
    <row r="39" spans="1:35" x14ac:dyDescent="0.35">
      <c r="A39">
        <v>1127.03</v>
      </c>
      <c r="B39" t="s">
        <v>296</v>
      </c>
      <c r="C39" t="s">
        <v>218</v>
      </c>
      <c r="D39">
        <v>17170</v>
      </c>
      <c r="E39" t="s">
        <v>297</v>
      </c>
      <c r="F39"/>
      <c r="G39">
        <v>0</v>
      </c>
      <c r="H39"/>
      <c r="T39">
        <v>6</v>
      </c>
      <c r="U39">
        <v>3.82</v>
      </c>
      <c r="Z39">
        <v>2.9</v>
      </c>
      <c r="AA39">
        <v>0</v>
      </c>
      <c r="AB39">
        <v>1</v>
      </c>
      <c r="AC39">
        <v>0.13</v>
      </c>
      <c r="AD39">
        <v>0.1</v>
      </c>
      <c r="AE39">
        <v>0</v>
      </c>
      <c r="AF39">
        <v>0</v>
      </c>
      <c r="AG39">
        <v>0</v>
      </c>
      <c r="AH39">
        <v>0.38</v>
      </c>
      <c r="AI39">
        <v>3</v>
      </c>
    </row>
    <row r="40" spans="1:35" x14ac:dyDescent="0.35">
      <c r="A40">
        <v>1127.04</v>
      </c>
      <c r="B40" t="s">
        <v>298</v>
      </c>
      <c r="C40" t="s">
        <v>218</v>
      </c>
      <c r="D40">
        <v>80200</v>
      </c>
      <c r="E40" t="s">
        <v>299</v>
      </c>
      <c r="F40"/>
      <c r="G40">
        <v>0</v>
      </c>
      <c r="H40"/>
      <c r="T40">
        <v>18</v>
      </c>
      <c r="U40">
        <v>1.5</v>
      </c>
      <c r="Z40">
        <v>1</v>
      </c>
      <c r="AA40">
        <v>15</v>
      </c>
      <c r="AB40">
        <v>0</v>
      </c>
      <c r="AC40">
        <v>0.14000000000000001</v>
      </c>
      <c r="AD40">
        <v>0.25</v>
      </c>
      <c r="AE40">
        <v>15</v>
      </c>
      <c r="AF40">
        <v>0</v>
      </c>
      <c r="AG40">
        <v>15</v>
      </c>
      <c r="AH40">
        <v>0.12</v>
      </c>
      <c r="AI40">
        <v>0.4</v>
      </c>
    </row>
    <row r="41" spans="1:35" x14ac:dyDescent="0.35">
      <c r="A41">
        <v>1128.01</v>
      </c>
      <c r="B41" t="s">
        <v>300</v>
      </c>
      <c r="C41" t="s">
        <v>214</v>
      </c>
      <c r="D41" t="s">
        <v>301</v>
      </c>
      <c r="E41" t="s">
        <v>302</v>
      </c>
      <c r="F41"/>
      <c r="G41">
        <v>0</v>
      </c>
      <c r="H41"/>
      <c r="T41">
        <v>39</v>
      </c>
      <c r="U41">
        <v>7</v>
      </c>
      <c r="Z41">
        <v>3.18</v>
      </c>
      <c r="AA41">
        <v>0</v>
      </c>
      <c r="AB41">
        <v>0</v>
      </c>
      <c r="AC41">
        <v>0.13</v>
      </c>
      <c r="AD41">
        <v>1.1299999999999999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>
        <v>1129.99</v>
      </c>
      <c r="B42" t="s">
        <v>303</v>
      </c>
      <c r="C42" t="s">
        <v>214</v>
      </c>
      <c r="D42" t="s">
        <v>304</v>
      </c>
      <c r="E42" t="s">
        <v>305</v>
      </c>
      <c r="F42"/>
      <c r="G42">
        <v>0</v>
      </c>
      <c r="H42"/>
      <c r="T42">
        <v>15</v>
      </c>
      <c r="U42">
        <v>9.9</v>
      </c>
      <c r="Z42">
        <v>6.06</v>
      </c>
      <c r="AA42">
        <v>12</v>
      </c>
      <c r="AB42">
        <v>0</v>
      </c>
      <c r="AC42">
        <v>0.64</v>
      </c>
      <c r="AD42">
        <v>1.39</v>
      </c>
      <c r="AE42">
        <v>0</v>
      </c>
      <c r="AF42">
        <v>0</v>
      </c>
      <c r="AG42">
        <v>0</v>
      </c>
      <c r="AH42">
        <v>1.07</v>
      </c>
      <c r="AI42">
        <v>18.3</v>
      </c>
    </row>
    <row r="43" spans="1:35" x14ac:dyDescent="0.35">
      <c r="A43">
        <v>1131.01</v>
      </c>
      <c r="B43" t="s">
        <v>306</v>
      </c>
      <c r="C43" t="s">
        <v>214</v>
      </c>
      <c r="D43" t="s">
        <v>307</v>
      </c>
      <c r="E43" t="s">
        <v>308</v>
      </c>
      <c r="F43"/>
      <c r="G43">
        <v>0.45</v>
      </c>
      <c r="H43"/>
      <c r="T43">
        <v>17</v>
      </c>
      <c r="U43">
        <v>1.3</v>
      </c>
      <c r="Z43">
        <v>0.83</v>
      </c>
      <c r="AA43">
        <v>24</v>
      </c>
      <c r="AB43">
        <v>0</v>
      </c>
      <c r="AC43">
        <v>0.04</v>
      </c>
      <c r="AD43">
        <v>0.06</v>
      </c>
      <c r="AE43">
        <v>26</v>
      </c>
      <c r="AF43">
        <v>0</v>
      </c>
      <c r="AG43">
        <v>26</v>
      </c>
      <c r="AH43">
        <v>0.24</v>
      </c>
      <c r="AI43">
        <v>1.6</v>
      </c>
    </row>
    <row r="44" spans="1:35" x14ac:dyDescent="0.35">
      <c r="A44">
        <v>1131.02</v>
      </c>
      <c r="B44" t="s">
        <v>309</v>
      </c>
      <c r="C44" t="s">
        <v>214</v>
      </c>
      <c r="D44" t="s">
        <v>310</v>
      </c>
      <c r="E44" t="s">
        <v>311</v>
      </c>
      <c r="F44"/>
      <c r="G44">
        <v>0.28999999999999998</v>
      </c>
      <c r="H44"/>
      <c r="T44">
        <v>28</v>
      </c>
      <c r="U44">
        <v>0.8</v>
      </c>
      <c r="Z44">
        <v>0.49</v>
      </c>
      <c r="AA44">
        <v>1</v>
      </c>
      <c r="AB44">
        <v>0</v>
      </c>
      <c r="AC44">
        <v>0.14000000000000001</v>
      </c>
      <c r="AD44">
        <v>0.14000000000000001</v>
      </c>
      <c r="AE44">
        <v>39</v>
      </c>
      <c r="AF44">
        <v>0</v>
      </c>
      <c r="AG44">
        <v>39</v>
      </c>
      <c r="AH44">
        <v>0.4</v>
      </c>
      <c r="AI44">
        <v>2.4</v>
      </c>
    </row>
    <row r="45" spans="1:35" x14ac:dyDescent="0.35">
      <c r="A45">
        <v>1132.01</v>
      </c>
      <c r="B45" t="s">
        <v>312</v>
      </c>
      <c r="C45" t="s">
        <v>218</v>
      </c>
      <c r="D45">
        <v>15145</v>
      </c>
      <c r="E45" t="s">
        <v>313</v>
      </c>
      <c r="F45"/>
      <c r="G45">
        <v>0</v>
      </c>
      <c r="H45"/>
      <c r="T45">
        <v>27</v>
      </c>
      <c r="U45">
        <v>0.84</v>
      </c>
      <c r="Z45">
        <v>1.3</v>
      </c>
      <c r="AA45">
        <v>37</v>
      </c>
      <c r="AB45">
        <v>1.2</v>
      </c>
      <c r="AC45">
        <v>7.0000000000000007E-2</v>
      </c>
      <c r="AD45">
        <v>3.2000000000000001E-2</v>
      </c>
      <c r="AE45">
        <v>16</v>
      </c>
      <c r="AF45">
        <v>0</v>
      </c>
      <c r="AG45">
        <v>16</v>
      </c>
      <c r="AH45">
        <v>0.108</v>
      </c>
      <c r="AI45">
        <v>2</v>
      </c>
    </row>
    <row r="46" spans="1:35" x14ac:dyDescent="0.35">
      <c r="A46">
        <v>1132.02</v>
      </c>
      <c r="B46" t="s">
        <v>314</v>
      </c>
      <c r="C46" t="s">
        <v>218</v>
      </c>
      <c r="D46">
        <v>15227</v>
      </c>
      <c r="E46" t="s">
        <v>315</v>
      </c>
      <c r="F46"/>
      <c r="G46">
        <v>0</v>
      </c>
      <c r="H46"/>
      <c r="T46">
        <v>33</v>
      </c>
      <c r="U46">
        <v>2.88</v>
      </c>
      <c r="Z46">
        <v>3.59</v>
      </c>
      <c r="AA46">
        <v>42</v>
      </c>
      <c r="AB46">
        <v>7.2</v>
      </c>
      <c r="AC46">
        <v>9.6999999999999906E-2</v>
      </c>
      <c r="AD46">
        <v>0.24399999999999999</v>
      </c>
      <c r="AE46">
        <v>52</v>
      </c>
      <c r="AF46">
        <v>0</v>
      </c>
      <c r="AG46">
        <v>52</v>
      </c>
      <c r="AH46">
        <v>0.17299999999999999</v>
      </c>
      <c r="AI46">
        <v>10.38</v>
      </c>
    </row>
    <row r="47" spans="1:35" x14ac:dyDescent="0.35">
      <c r="A47">
        <v>1132.03</v>
      </c>
      <c r="B47" t="s">
        <v>316</v>
      </c>
      <c r="C47" t="s">
        <v>218</v>
      </c>
      <c r="D47">
        <v>80200</v>
      </c>
      <c r="E47" t="s">
        <v>299</v>
      </c>
      <c r="F47"/>
      <c r="G47">
        <v>0</v>
      </c>
      <c r="H47"/>
      <c r="T47">
        <v>18</v>
      </c>
      <c r="U47">
        <v>1.5</v>
      </c>
      <c r="Z47">
        <v>1</v>
      </c>
      <c r="AA47">
        <v>15</v>
      </c>
      <c r="AB47">
        <v>0</v>
      </c>
      <c r="AC47">
        <v>0.14000000000000001</v>
      </c>
      <c r="AD47">
        <v>0.25</v>
      </c>
      <c r="AE47">
        <v>15</v>
      </c>
      <c r="AF47">
        <v>0</v>
      </c>
      <c r="AG47">
        <v>15</v>
      </c>
      <c r="AH47">
        <v>0.12</v>
      </c>
      <c r="AI47">
        <v>0.4</v>
      </c>
    </row>
    <row r="48" spans="1:35" x14ac:dyDescent="0.35">
      <c r="A48">
        <v>1133.01</v>
      </c>
      <c r="B48" t="s">
        <v>317</v>
      </c>
      <c r="C48" t="s">
        <v>218</v>
      </c>
      <c r="D48">
        <v>15035</v>
      </c>
      <c r="E48" t="s">
        <v>318</v>
      </c>
      <c r="F48"/>
      <c r="G48">
        <v>0</v>
      </c>
      <c r="H48"/>
      <c r="T48">
        <v>49</v>
      </c>
      <c r="U48">
        <v>1.4</v>
      </c>
      <c r="Z48">
        <v>0.5</v>
      </c>
      <c r="AA48">
        <v>15</v>
      </c>
      <c r="AB48">
        <v>0</v>
      </c>
      <c r="AC48">
        <v>4.7E-2</v>
      </c>
      <c r="AD48">
        <v>4.9000000000000002E-2</v>
      </c>
      <c r="AE48">
        <v>24</v>
      </c>
      <c r="AF48">
        <v>0</v>
      </c>
      <c r="AG48">
        <v>24</v>
      </c>
      <c r="AH48">
        <v>0.4</v>
      </c>
      <c r="AI48">
        <v>1.6</v>
      </c>
    </row>
    <row r="49" spans="1:35" x14ac:dyDescent="0.35">
      <c r="A49">
        <v>1133.02</v>
      </c>
      <c r="B49" t="s">
        <v>319</v>
      </c>
      <c r="C49" t="s">
        <v>214</v>
      </c>
      <c r="D49" t="s">
        <v>320</v>
      </c>
      <c r="E49" t="s">
        <v>321</v>
      </c>
      <c r="F49"/>
      <c r="G49">
        <v>0.48</v>
      </c>
      <c r="H49"/>
      <c r="T49">
        <v>71</v>
      </c>
      <c r="U49">
        <v>1.8</v>
      </c>
      <c r="Z49">
        <v>1.57</v>
      </c>
      <c r="AA49">
        <v>4</v>
      </c>
      <c r="AB49">
        <v>0</v>
      </c>
      <c r="AC49">
        <v>0.02</v>
      </c>
      <c r="AD49">
        <v>0.21</v>
      </c>
      <c r="AE49">
        <v>18</v>
      </c>
      <c r="AF49">
        <v>6</v>
      </c>
      <c r="AG49">
        <v>19</v>
      </c>
      <c r="AH49">
        <v>0.96</v>
      </c>
      <c r="AI49">
        <v>11</v>
      </c>
    </row>
    <row r="50" spans="1:35" x14ac:dyDescent="0.35">
      <c r="A50">
        <v>1133.03</v>
      </c>
      <c r="B50" t="s">
        <v>322</v>
      </c>
      <c r="C50" t="s">
        <v>218</v>
      </c>
      <c r="D50">
        <v>35165</v>
      </c>
      <c r="E50" t="s">
        <v>323</v>
      </c>
      <c r="F50"/>
      <c r="G50">
        <v>0</v>
      </c>
      <c r="H50"/>
      <c r="T50">
        <v>810</v>
      </c>
      <c r="U50">
        <v>4.0999999999999996</v>
      </c>
      <c r="Z50">
        <v>5</v>
      </c>
      <c r="AA50">
        <v>11</v>
      </c>
      <c r="AB50">
        <v>0</v>
      </c>
      <c r="AC50">
        <v>5.2999999999999999E-2</v>
      </c>
      <c r="AD50">
        <v>0.437999999999999</v>
      </c>
      <c r="AE50">
        <v>39</v>
      </c>
      <c r="AF50">
        <v>0</v>
      </c>
      <c r="AG50">
        <v>39</v>
      </c>
      <c r="AH50">
        <v>0.36499999999999999</v>
      </c>
      <c r="AI50">
        <v>18.399999999999999</v>
      </c>
    </row>
    <row r="51" spans="1:35" x14ac:dyDescent="0.35">
      <c r="A51">
        <v>1134.01</v>
      </c>
      <c r="B51" t="s">
        <v>324</v>
      </c>
      <c r="C51" t="s">
        <v>214</v>
      </c>
      <c r="D51" t="s">
        <v>325</v>
      </c>
      <c r="E51" t="s">
        <v>326</v>
      </c>
      <c r="F51"/>
      <c r="G51">
        <v>0</v>
      </c>
      <c r="H51"/>
      <c r="T51">
        <v>382</v>
      </c>
      <c r="U51">
        <v>2.9</v>
      </c>
      <c r="Z51">
        <v>1.31</v>
      </c>
      <c r="AA51">
        <v>10</v>
      </c>
      <c r="AB51">
        <v>0</v>
      </c>
      <c r="AC51">
        <v>0.08</v>
      </c>
      <c r="AD51">
        <v>0.23</v>
      </c>
      <c r="AE51">
        <v>32</v>
      </c>
      <c r="AF51">
        <v>0</v>
      </c>
      <c r="AG51">
        <v>32</v>
      </c>
      <c r="AH51">
        <v>0.17</v>
      </c>
      <c r="AI51">
        <v>8.9</v>
      </c>
    </row>
    <row r="52" spans="1:35" x14ac:dyDescent="0.35">
      <c r="A52">
        <v>1139.99</v>
      </c>
      <c r="B52" t="s">
        <v>327</v>
      </c>
      <c r="C52" t="s">
        <v>218</v>
      </c>
      <c r="D52">
        <v>80200</v>
      </c>
      <c r="E52" t="s">
        <v>299</v>
      </c>
      <c r="F52"/>
      <c r="G52">
        <v>0</v>
      </c>
      <c r="H52"/>
      <c r="T52">
        <v>18</v>
      </c>
      <c r="U52">
        <v>1.5</v>
      </c>
      <c r="Z52">
        <v>1</v>
      </c>
      <c r="AA52">
        <v>15</v>
      </c>
      <c r="AB52">
        <v>0</v>
      </c>
      <c r="AC52">
        <v>0.14000000000000001</v>
      </c>
      <c r="AD52">
        <v>0.25</v>
      </c>
      <c r="AE52">
        <v>15</v>
      </c>
      <c r="AF52">
        <v>0</v>
      </c>
      <c r="AG52">
        <v>15</v>
      </c>
      <c r="AH52">
        <v>0.12</v>
      </c>
      <c r="AI52">
        <v>0.4</v>
      </c>
    </row>
    <row r="53" spans="1:35" x14ac:dyDescent="0.35">
      <c r="A53">
        <v>1141.01</v>
      </c>
      <c r="B53" t="s">
        <v>328</v>
      </c>
      <c r="C53" t="s">
        <v>214</v>
      </c>
      <c r="D53" t="s">
        <v>329</v>
      </c>
      <c r="E53" t="s">
        <v>330</v>
      </c>
      <c r="F53"/>
      <c r="G53">
        <v>0</v>
      </c>
      <c r="H53"/>
      <c r="T53">
        <v>120</v>
      </c>
      <c r="U53">
        <v>0.05</v>
      </c>
      <c r="Z53">
        <v>0.39</v>
      </c>
      <c r="AA53">
        <v>10</v>
      </c>
      <c r="AB53">
        <v>1.5</v>
      </c>
      <c r="AC53">
        <v>0.04</v>
      </c>
      <c r="AD53">
        <v>0.18</v>
      </c>
      <c r="AE53">
        <v>31</v>
      </c>
      <c r="AF53">
        <v>18</v>
      </c>
      <c r="AG53">
        <v>33</v>
      </c>
      <c r="AH53">
        <v>0.05</v>
      </c>
      <c r="AI53">
        <v>0.6</v>
      </c>
    </row>
    <row r="54" spans="1:35" x14ac:dyDescent="0.35">
      <c r="A54">
        <v>1141.02</v>
      </c>
      <c r="B54" t="s">
        <v>331</v>
      </c>
      <c r="C54" t="s">
        <v>214</v>
      </c>
      <c r="D54" t="s">
        <v>329</v>
      </c>
      <c r="E54" t="s">
        <v>330</v>
      </c>
      <c r="F54"/>
      <c r="G54">
        <v>0</v>
      </c>
      <c r="H54"/>
      <c r="T54">
        <v>120</v>
      </c>
      <c r="U54">
        <v>0.05</v>
      </c>
      <c r="Z54">
        <v>0.39</v>
      </c>
      <c r="AA54">
        <v>10</v>
      </c>
      <c r="AB54">
        <v>1.5</v>
      </c>
      <c r="AC54">
        <v>0.04</v>
      </c>
      <c r="AD54">
        <v>0.18</v>
      </c>
      <c r="AE54">
        <v>31</v>
      </c>
      <c r="AF54">
        <v>18</v>
      </c>
      <c r="AG54">
        <v>33</v>
      </c>
      <c r="AH54">
        <v>0.05</v>
      </c>
      <c r="AI54">
        <v>0.6</v>
      </c>
    </row>
    <row r="55" spans="1:35" x14ac:dyDescent="0.35">
      <c r="A55">
        <v>1141.99</v>
      </c>
      <c r="B55" t="s">
        <v>332</v>
      </c>
      <c r="C55" t="s">
        <v>214</v>
      </c>
      <c r="D55" t="s">
        <v>333</v>
      </c>
      <c r="E55" t="s">
        <v>334</v>
      </c>
      <c r="F55"/>
      <c r="G55">
        <v>0</v>
      </c>
      <c r="H55"/>
      <c r="T55">
        <v>118</v>
      </c>
      <c r="U55">
        <v>0.1</v>
      </c>
      <c r="Z55">
        <v>0.47</v>
      </c>
      <c r="AA55">
        <v>23</v>
      </c>
      <c r="AB55">
        <v>0.7</v>
      </c>
      <c r="AC55">
        <v>0.04</v>
      </c>
      <c r="AD55">
        <v>0.16</v>
      </c>
      <c r="AE55">
        <v>27</v>
      </c>
      <c r="AF55">
        <v>14</v>
      </c>
      <c r="AG55">
        <v>28</v>
      </c>
      <c r="AH55">
        <v>0.04</v>
      </c>
      <c r="AI55">
        <v>0.2</v>
      </c>
    </row>
    <row r="56" spans="1:35" x14ac:dyDescent="0.35">
      <c r="A56">
        <v>1142.01</v>
      </c>
      <c r="B56" t="s">
        <v>335</v>
      </c>
      <c r="C56" t="s">
        <v>214</v>
      </c>
      <c r="D56" t="s">
        <v>336</v>
      </c>
      <c r="E56" t="s">
        <v>337</v>
      </c>
      <c r="F56"/>
      <c r="G56">
        <v>0</v>
      </c>
      <c r="H56"/>
      <c r="T56">
        <v>122</v>
      </c>
      <c r="U56">
        <v>0.03</v>
      </c>
      <c r="Z56">
        <v>0.41</v>
      </c>
      <c r="AA56">
        <v>12</v>
      </c>
      <c r="AB56">
        <v>1.3</v>
      </c>
      <c r="AC56">
        <v>0.05</v>
      </c>
      <c r="AD56">
        <v>0.18</v>
      </c>
      <c r="AE56">
        <v>13</v>
      </c>
      <c r="AF56">
        <v>7</v>
      </c>
      <c r="AG56">
        <v>14</v>
      </c>
      <c r="AH56">
        <v>0.05</v>
      </c>
      <c r="AI56">
        <v>0.5</v>
      </c>
    </row>
    <row r="57" spans="1:35" x14ac:dyDescent="0.35">
      <c r="A57">
        <v>1142.02</v>
      </c>
      <c r="B57" t="s">
        <v>338</v>
      </c>
      <c r="C57" t="s">
        <v>214</v>
      </c>
      <c r="D57" t="s">
        <v>339</v>
      </c>
      <c r="E57" t="s">
        <v>340</v>
      </c>
      <c r="F57"/>
      <c r="G57">
        <v>0</v>
      </c>
      <c r="H57"/>
      <c r="T57">
        <v>124</v>
      </c>
      <c r="U57">
        <v>0.03</v>
      </c>
      <c r="Z57">
        <v>0.41</v>
      </c>
      <c r="AA57">
        <v>6</v>
      </c>
      <c r="AB57">
        <v>1.3</v>
      </c>
      <c r="AC57">
        <v>0.04</v>
      </c>
      <c r="AD57">
        <v>0.17</v>
      </c>
      <c r="AE57">
        <v>4</v>
      </c>
      <c r="AF57">
        <v>2</v>
      </c>
      <c r="AG57">
        <v>4</v>
      </c>
      <c r="AH57">
        <v>0.05</v>
      </c>
      <c r="AI57">
        <v>0.5</v>
      </c>
    </row>
    <row r="58" spans="1:35" x14ac:dyDescent="0.35">
      <c r="A58">
        <v>1143.01</v>
      </c>
      <c r="B58" t="s">
        <v>341</v>
      </c>
      <c r="C58" t="s">
        <v>214</v>
      </c>
      <c r="D58" t="s">
        <v>342</v>
      </c>
      <c r="E58" t="s">
        <v>343</v>
      </c>
      <c r="F58"/>
      <c r="G58">
        <v>0</v>
      </c>
      <c r="H58"/>
      <c r="T58">
        <v>284</v>
      </c>
      <c r="U58">
        <v>0.2</v>
      </c>
      <c r="Z58">
        <v>0.94</v>
      </c>
      <c r="AA58">
        <v>11</v>
      </c>
      <c r="AB58">
        <v>2.6</v>
      </c>
      <c r="AC58">
        <v>0.09</v>
      </c>
      <c r="AD58">
        <v>0.42</v>
      </c>
      <c r="AE58">
        <v>73</v>
      </c>
      <c r="AF58">
        <v>14</v>
      </c>
      <c r="AG58">
        <v>74</v>
      </c>
      <c r="AH58">
        <v>0.05</v>
      </c>
      <c r="AI58">
        <v>0.4</v>
      </c>
    </row>
    <row r="59" spans="1:35" x14ac:dyDescent="0.35">
      <c r="A59">
        <v>1143.02</v>
      </c>
      <c r="B59" t="s">
        <v>344</v>
      </c>
      <c r="C59" t="s">
        <v>214</v>
      </c>
      <c r="D59" t="s">
        <v>345</v>
      </c>
      <c r="E59" t="s">
        <v>346</v>
      </c>
      <c r="F59" t="s">
        <v>107</v>
      </c>
      <c r="G59">
        <v>0</v>
      </c>
      <c r="H59"/>
      <c r="T59">
        <v>1260</v>
      </c>
      <c r="U59">
        <v>0.3</v>
      </c>
      <c r="Z59">
        <v>4.08</v>
      </c>
      <c r="AA59">
        <v>50</v>
      </c>
      <c r="AB59">
        <v>6.8</v>
      </c>
      <c r="AC59">
        <v>0.42</v>
      </c>
      <c r="AD59">
        <v>1.55</v>
      </c>
      <c r="AE59">
        <v>15</v>
      </c>
      <c r="AF59">
        <v>7</v>
      </c>
      <c r="AG59">
        <v>15</v>
      </c>
      <c r="AH59">
        <v>0.36</v>
      </c>
      <c r="AI59">
        <v>4</v>
      </c>
    </row>
    <row r="60" spans="1:35" x14ac:dyDescent="0.35">
      <c r="A60">
        <v>1143.03</v>
      </c>
      <c r="B60" t="s">
        <v>347</v>
      </c>
      <c r="C60" t="s">
        <v>214</v>
      </c>
      <c r="D60" t="s">
        <v>345</v>
      </c>
      <c r="E60" t="s">
        <v>346</v>
      </c>
      <c r="F60" t="s">
        <v>348</v>
      </c>
      <c r="G60">
        <v>0</v>
      </c>
      <c r="H60"/>
      <c r="T60">
        <v>1260</v>
      </c>
      <c r="U60">
        <v>0.3</v>
      </c>
      <c r="Z60">
        <v>4.08</v>
      </c>
      <c r="AA60">
        <v>50</v>
      </c>
      <c r="AB60">
        <v>6.8</v>
      </c>
      <c r="AC60">
        <v>0.42</v>
      </c>
      <c r="AD60">
        <v>1.55</v>
      </c>
      <c r="AE60">
        <v>15</v>
      </c>
      <c r="AF60">
        <v>7</v>
      </c>
      <c r="AG60">
        <v>15</v>
      </c>
      <c r="AH60">
        <v>0.36</v>
      </c>
      <c r="AI60">
        <v>4</v>
      </c>
    </row>
    <row r="61" spans="1:35" x14ac:dyDescent="0.35">
      <c r="A61">
        <v>1143.04</v>
      </c>
      <c r="B61" t="s">
        <v>349</v>
      </c>
      <c r="C61" t="s">
        <v>214</v>
      </c>
      <c r="D61" t="s">
        <v>350</v>
      </c>
      <c r="E61" t="s">
        <v>351</v>
      </c>
      <c r="F61" t="s">
        <v>348</v>
      </c>
      <c r="G61">
        <v>0</v>
      </c>
      <c r="H61"/>
      <c r="T61">
        <v>358</v>
      </c>
      <c r="U61">
        <v>9.3000000000000007</v>
      </c>
      <c r="Z61">
        <v>3.9</v>
      </c>
      <c r="AA61">
        <v>39</v>
      </c>
      <c r="AB61">
        <v>43</v>
      </c>
      <c r="AC61">
        <v>0.52</v>
      </c>
      <c r="AD61">
        <v>0.78</v>
      </c>
      <c r="AE61">
        <v>467</v>
      </c>
      <c r="AF61">
        <v>0</v>
      </c>
      <c r="AG61">
        <v>467</v>
      </c>
      <c r="AH61">
        <v>0.33</v>
      </c>
      <c r="AI61">
        <v>1</v>
      </c>
    </row>
    <row r="62" spans="1:35" x14ac:dyDescent="0.35">
      <c r="A62">
        <v>1144.01</v>
      </c>
      <c r="B62" t="s">
        <v>352</v>
      </c>
      <c r="C62" t="s">
        <v>214</v>
      </c>
      <c r="D62" t="s">
        <v>353</v>
      </c>
      <c r="E62" t="s">
        <v>354</v>
      </c>
      <c r="F62" t="s">
        <v>348</v>
      </c>
      <c r="G62">
        <v>0</v>
      </c>
      <c r="H62"/>
      <c r="T62">
        <v>142</v>
      </c>
      <c r="U62">
        <v>0.1</v>
      </c>
      <c r="Z62">
        <v>0.3</v>
      </c>
      <c r="AA62">
        <v>1</v>
      </c>
      <c r="AB62">
        <v>1.5</v>
      </c>
      <c r="AC62">
        <v>0.06</v>
      </c>
      <c r="AD62">
        <v>0.17</v>
      </c>
      <c r="AE62">
        <v>33</v>
      </c>
      <c r="AF62">
        <v>0</v>
      </c>
      <c r="AG62">
        <v>33</v>
      </c>
      <c r="AH62">
        <v>0.04</v>
      </c>
      <c r="AI62">
        <v>0.1</v>
      </c>
    </row>
    <row r="63" spans="1:35" x14ac:dyDescent="0.35">
      <c r="A63">
        <v>1144.02</v>
      </c>
      <c r="B63" t="s">
        <v>355</v>
      </c>
      <c r="C63" t="s">
        <v>214</v>
      </c>
      <c r="D63" t="s">
        <v>356</v>
      </c>
      <c r="E63" t="s">
        <v>357</v>
      </c>
      <c r="F63" t="s">
        <v>109</v>
      </c>
      <c r="G63">
        <v>0</v>
      </c>
      <c r="H63"/>
      <c r="T63">
        <v>152</v>
      </c>
      <c r="U63">
        <v>0.1</v>
      </c>
      <c r="Z63">
        <v>0.57999999999999996</v>
      </c>
      <c r="AA63">
        <v>12</v>
      </c>
      <c r="AB63">
        <v>0.7</v>
      </c>
      <c r="AC63">
        <v>0.04</v>
      </c>
      <c r="AD63">
        <v>0.2</v>
      </c>
      <c r="AE63">
        <v>29</v>
      </c>
      <c r="AF63">
        <v>16</v>
      </c>
      <c r="AG63">
        <v>30</v>
      </c>
      <c r="AH63">
        <v>0.04</v>
      </c>
      <c r="AI63">
        <v>0.3</v>
      </c>
    </row>
    <row r="64" spans="1:35" x14ac:dyDescent="0.35">
      <c r="A64">
        <v>1144.03</v>
      </c>
      <c r="B64" t="s">
        <v>358</v>
      </c>
      <c r="C64" t="s">
        <v>214</v>
      </c>
      <c r="D64" t="s">
        <v>336</v>
      </c>
      <c r="E64" t="s">
        <v>330</v>
      </c>
      <c r="F64" t="s">
        <v>107</v>
      </c>
      <c r="G64">
        <v>0</v>
      </c>
      <c r="H64"/>
      <c r="T64">
        <v>122</v>
      </c>
      <c r="U64">
        <v>0.03</v>
      </c>
      <c r="Z64">
        <v>0.41</v>
      </c>
      <c r="AA64">
        <v>12</v>
      </c>
      <c r="AB64">
        <v>1.3</v>
      </c>
      <c r="AC64">
        <v>0.05</v>
      </c>
      <c r="AD64">
        <v>0.18</v>
      </c>
      <c r="AE64">
        <v>13</v>
      </c>
      <c r="AF64">
        <v>7</v>
      </c>
      <c r="AG64">
        <v>14</v>
      </c>
      <c r="AH64">
        <v>0.05</v>
      </c>
      <c r="AI64">
        <v>0.5</v>
      </c>
    </row>
    <row r="65" spans="1:35" x14ac:dyDescent="0.35">
      <c r="A65">
        <v>1145.01</v>
      </c>
      <c r="B65" t="s">
        <v>359</v>
      </c>
      <c r="C65" t="s">
        <v>214</v>
      </c>
      <c r="D65" t="s">
        <v>360</v>
      </c>
      <c r="E65" t="s">
        <v>361</v>
      </c>
      <c r="F65" t="s">
        <v>107</v>
      </c>
      <c r="G65">
        <v>0</v>
      </c>
      <c r="H65"/>
      <c r="T65">
        <v>753</v>
      </c>
      <c r="U65">
        <v>0.5</v>
      </c>
      <c r="Z65">
        <v>3.82</v>
      </c>
      <c r="AA65">
        <v>21</v>
      </c>
      <c r="AB65">
        <v>0</v>
      </c>
      <c r="AC65">
        <v>0.04</v>
      </c>
      <c r="AD65">
        <v>0.33</v>
      </c>
      <c r="AE65">
        <v>164</v>
      </c>
      <c r="AF65">
        <v>0</v>
      </c>
      <c r="AG65">
        <v>165</v>
      </c>
      <c r="AH65">
        <v>0.08</v>
      </c>
      <c r="AI65">
        <v>1.5</v>
      </c>
    </row>
    <row r="66" spans="1:35" x14ac:dyDescent="0.35">
      <c r="A66">
        <v>1146.01</v>
      </c>
      <c r="B66" t="s">
        <v>362</v>
      </c>
      <c r="C66" t="s">
        <v>214</v>
      </c>
      <c r="D66" t="s">
        <v>363</v>
      </c>
      <c r="E66" t="s">
        <v>364</v>
      </c>
      <c r="F66" t="s">
        <v>107</v>
      </c>
      <c r="G66">
        <v>0</v>
      </c>
      <c r="H66"/>
      <c r="T66">
        <v>104</v>
      </c>
      <c r="U66">
        <v>0.04</v>
      </c>
      <c r="Z66">
        <v>0.37</v>
      </c>
      <c r="AA66">
        <v>12</v>
      </c>
      <c r="AB66">
        <v>1</v>
      </c>
      <c r="AC66">
        <v>0.04</v>
      </c>
      <c r="AD66">
        <v>0.19</v>
      </c>
      <c r="AE66">
        <v>115</v>
      </c>
      <c r="AF66">
        <v>59</v>
      </c>
      <c r="AG66">
        <v>120</v>
      </c>
      <c r="AH66">
        <v>0.05</v>
      </c>
      <c r="AI66">
        <v>0.4</v>
      </c>
    </row>
    <row r="67" spans="1:35" x14ac:dyDescent="0.35">
      <c r="A67">
        <v>1147.01</v>
      </c>
      <c r="B67" t="s">
        <v>365</v>
      </c>
      <c r="C67" t="s">
        <v>214</v>
      </c>
      <c r="D67" t="s">
        <v>366</v>
      </c>
      <c r="E67" t="s">
        <v>367</v>
      </c>
      <c r="F67" t="s">
        <v>107</v>
      </c>
      <c r="G67">
        <v>0</v>
      </c>
      <c r="H67"/>
      <c r="T67">
        <v>56</v>
      </c>
      <c r="U67">
        <v>1.8</v>
      </c>
      <c r="Z67">
        <v>1.29</v>
      </c>
      <c r="AA67">
        <v>47</v>
      </c>
      <c r="AB67">
        <v>0</v>
      </c>
      <c r="AC67">
        <v>0.04</v>
      </c>
      <c r="AD67">
        <v>0.46</v>
      </c>
      <c r="AE67">
        <v>160</v>
      </c>
      <c r="AF67">
        <v>5</v>
      </c>
      <c r="AG67">
        <v>160</v>
      </c>
      <c r="AH67">
        <v>0.17</v>
      </c>
      <c r="AI67">
        <v>0.9</v>
      </c>
    </row>
    <row r="68" spans="1:35" x14ac:dyDescent="0.35">
      <c r="A68">
        <v>1151.01</v>
      </c>
      <c r="B68" t="s">
        <v>368</v>
      </c>
      <c r="C68" t="s">
        <v>214</v>
      </c>
      <c r="D68" t="s">
        <v>369</v>
      </c>
      <c r="E68" t="s">
        <v>370</v>
      </c>
      <c r="F68" t="s">
        <v>348</v>
      </c>
      <c r="G68">
        <v>0</v>
      </c>
      <c r="H68"/>
      <c r="T68">
        <v>17</v>
      </c>
      <c r="U68">
        <v>0.03</v>
      </c>
      <c r="Z68">
        <v>0.12</v>
      </c>
      <c r="AA68">
        <v>3</v>
      </c>
      <c r="AB68">
        <v>0</v>
      </c>
      <c r="AC68">
        <v>0.01</v>
      </c>
      <c r="AD68">
        <v>0.03</v>
      </c>
      <c r="AE68">
        <v>675</v>
      </c>
      <c r="AF68">
        <v>262</v>
      </c>
      <c r="AG68">
        <v>696</v>
      </c>
      <c r="AH68">
        <v>0</v>
      </c>
      <c r="AI68">
        <v>0.1</v>
      </c>
    </row>
    <row r="69" spans="1:35" x14ac:dyDescent="0.35">
      <c r="A69">
        <v>1152.01</v>
      </c>
      <c r="B69" t="s">
        <v>371</v>
      </c>
      <c r="C69" t="s">
        <v>214</v>
      </c>
      <c r="D69" t="s">
        <v>372</v>
      </c>
      <c r="E69" t="s">
        <v>373</v>
      </c>
      <c r="F69" t="s">
        <v>348</v>
      </c>
      <c r="G69">
        <v>0</v>
      </c>
      <c r="H69"/>
      <c r="T69">
        <v>3</v>
      </c>
      <c r="U69">
        <v>0.1</v>
      </c>
      <c r="Z69">
        <v>0</v>
      </c>
      <c r="AA69">
        <v>1</v>
      </c>
      <c r="AB69">
        <v>0.2</v>
      </c>
      <c r="AC69">
        <v>0.01</v>
      </c>
      <c r="AD69">
        <v>0.04</v>
      </c>
      <c r="AE69">
        <v>768</v>
      </c>
      <c r="AF69">
        <v>610</v>
      </c>
      <c r="AG69">
        <v>819</v>
      </c>
      <c r="AH69">
        <v>0.01</v>
      </c>
      <c r="AI69">
        <v>0.1</v>
      </c>
    </row>
    <row r="70" spans="1:35" x14ac:dyDescent="0.35">
      <c r="A70">
        <v>1152.02</v>
      </c>
      <c r="B70" t="s">
        <v>374</v>
      </c>
      <c r="C70" t="s">
        <v>214</v>
      </c>
      <c r="D70" t="s">
        <v>375</v>
      </c>
      <c r="E70" t="s">
        <v>376</v>
      </c>
      <c r="F70" t="s">
        <v>377</v>
      </c>
      <c r="G70">
        <v>0</v>
      </c>
      <c r="H70"/>
      <c r="T70">
        <v>51</v>
      </c>
      <c r="U70">
        <v>6.2</v>
      </c>
      <c r="Z70">
        <v>2.5</v>
      </c>
      <c r="AA70">
        <v>109</v>
      </c>
      <c r="AB70">
        <v>0</v>
      </c>
      <c r="AC70">
        <v>0.87</v>
      </c>
      <c r="AD70">
        <v>0.13</v>
      </c>
      <c r="AE70">
        <v>0</v>
      </c>
      <c r="AF70">
        <v>0</v>
      </c>
      <c r="AG70">
        <v>0</v>
      </c>
      <c r="AH70">
        <v>0.57999999999999996</v>
      </c>
      <c r="AI70">
        <v>0</v>
      </c>
    </row>
    <row r="71" spans="1:35" x14ac:dyDescent="0.35">
      <c r="A71">
        <v>1154.01</v>
      </c>
      <c r="B71" t="s">
        <v>378</v>
      </c>
      <c r="C71" t="s">
        <v>214</v>
      </c>
      <c r="D71" t="s">
        <v>379</v>
      </c>
      <c r="E71" t="s">
        <v>380</v>
      </c>
      <c r="F71"/>
      <c r="G71">
        <v>0</v>
      </c>
      <c r="H71"/>
      <c r="T71">
        <v>0</v>
      </c>
      <c r="U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>
        <v>1154.02</v>
      </c>
      <c r="B72" t="s">
        <v>381</v>
      </c>
      <c r="C72" t="s">
        <v>214</v>
      </c>
      <c r="D72" t="s">
        <v>379</v>
      </c>
      <c r="E72" t="s">
        <v>380</v>
      </c>
      <c r="F72" t="s">
        <v>109</v>
      </c>
      <c r="G72">
        <v>0</v>
      </c>
      <c r="H72"/>
      <c r="T72">
        <v>0</v>
      </c>
      <c r="U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>
        <v>1155.01</v>
      </c>
      <c r="B73" t="s">
        <v>382</v>
      </c>
      <c r="C73" t="s">
        <v>214</v>
      </c>
      <c r="D73" t="s">
        <v>379</v>
      </c>
      <c r="E73" t="s">
        <v>380</v>
      </c>
      <c r="F73"/>
      <c r="G73">
        <v>0</v>
      </c>
      <c r="H73"/>
      <c r="T73">
        <v>0</v>
      </c>
      <c r="U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>
        <v>1155.02</v>
      </c>
      <c r="B74" t="s">
        <v>383</v>
      </c>
      <c r="C74" t="s">
        <v>214</v>
      </c>
      <c r="D74" t="s">
        <v>369</v>
      </c>
      <c r="E74" t="s">
        <v>370</v>
      </c>
      <c r="F74"/>
      <c r="G74">
        <v>0</v>
      </c>
      <c r="H74"/>
      <c r="T74">
        <v>17</v>
      </c>
      <c r="U74">
        <v>0.03</v>
      </c>
      <c r="Z74">
        <v>0.12</v>
      </c>
      <c r="AA74">
        <v>3</v>
      </c>
      <c r="AB74">
        <v>0</v>
      </c>
      <c r="AC74">
        <v>0.01</v>
      </c>
      <c r="AD74">
        <v>0.03</v>
      </c>
      <c r="AE74">
        <v>675</v>
      </c>
      <c r="AF74">
        <v>262</v>
      </c>
      <c r="AG74">
        <v>696</v>
      </c>
      <c r="AH74">
        <v>0</v>
      </c>
      <c r="AI74">
        <v>0.1</v>
      </c>
    </row>
    <row r="75" spans="1:35" x14ac:dyDescent="0.35">
      <c r="A75">
        <v>1155.03</v>
      </c>
      <c r="B75" t="s">
        <v>384</v>
      </c>
      <c r="C75" t="s">
        <v>214</v>
      </c>
      <c r="D75" t="s">
        <v>385</v>
      </c>
      <c r="E75" t="s">
        <v>386</v>
      </c>
      <c r="F75"/>
      <c r="G75">
        <v>0</v>
      </c>
      <c r="H75"/>
      <c r="T75">
        <v>0</v>
      </c>
      <c r="U75">
        <v>0.03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>
        <v>1159.99</v>
      </c>
      <c r="B76" t="s">
        <v>387</v>
      </c>
      <c r="C76" t="s">
        <v>214</v>
      </c>
      <c r="D76" t="s">
        <v>385</v>
      </c>
      <c r="E76" t="s">
        <v>386</v>
      </c>
      <c r="F76"/>
      <c r="G76">
        <v>0</v>
      </c>
      <c r="H76"/>
      <c r="T76">
        <v>0</v>
      </c>
      <c r="U76">
        <v>0.03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>
        <v>1161.01</v>
      </c>
      <c r="B77" t="s">
        <v>388</v>
      </c>
      <c r="C77" t="s">
        <v>214</v>
      </c>
      <c r="D77" t="s">
        <v>389</v>
      </c>
      <c r="E77" t="s">
        <v>390</v>
      </c>
      <c r="F77"/>
      <c r="G77">
        <v>0.27</v>
      </c>
      <c r="H77"/>
      <c r="T77">
        <v>31</v>
      </c>
      <c r="U77">
        <v>0.2</v>
      </c>
      <c r="Z77">
        <v>0.1</v>
      </c>
      <c r="AA77">
        <v>33</v>
      </c>
      <c r="AB77">
        <v>46.8</v>
      </c>
      <c r="AC77">
        <v>0.04</v>
      </c>
      <c r="AD77">
        <v>0.03</v>
      </c>
      <c r="AE77">
        <v>0</v>
      </c>
      <c r="AF77">
        <v>90</v>
      </c>
      <c r="AG77">
        <v>8</v>
      </c>
      <c r="AH77">
        <v>7.0000000000000007E-2</v>
      </c>
      <c r="AI77">
        <v>0</v>
      </c>
    </row>
    <row r="78" spans="1:35" x14ac:dyDescent="0.35">
      <c r="A78">
        <v>1162.01</v>
      </c>
      <c r="B78" t="s">
        <v>391</v>
      </c>
      <c r="C78" t="s">
        <v>214</v>
      </c>
      <c r="D78" t="s">
        <v>392</v>
      </c>
      <c r="E78" t="s">
        <v>393</v>
      </c>
      <c r="F78"/>
      <c r="G78">
        <v>0.36</v>
      </c>
      <c r="H78"/>
      <c r="T78">
        <v>7</v>
      </c>
      <c r="U78">
        <v>0.3</v>
      </c>
      <c r="Z78">
        <v>0.17</v>
      </c>
      <c r="AA78">
        <v>19</v>
      </c>
      <c r="AB78">
        <v>10.4</v>
      </c>
      <c r="AC78">
        <v>0.04</v>
      </c>
      <c r="AD78">
        <v>0.04</v>
      </c>
      <c r="AE78">
        <v>0</v>
      </c>
      <c r="AF78">
        <v>50</v>
      </c>
      <c r="AG78">
        <v>4</v>
      </c>
      <c r="AH78">
        <v>0.34</v>
      </c>
      <c r="AI78">
        <v>0</v>
      </c>
    </row>
    <row r="79" spans="1:35" x14ac:dyDescent="0.35">
      <c r="A79">
        <v>1163.01</v>
      </c>
      <c r="B79" t="s">
        <v>394</v>
      </c>
      <c r="C79" t="s">
        <v>214</v>
      </c>
      <c r="D79" t="s">
        <v>395</v>
      </c>
      <c r="E79" t="s">
        <v>396</v>
      </c>
      <c r="F79"/>
      <c r="G79">
        <v>0.1</v>
      </c>
      <c r="H79"/>
      <c r="T79">
        <v>6</v>
      </c>
      <c r="U79">
        <v>0.1</v>
      </c>
      <c r="Z79">
        <v>0.04</v>
      </c>
      <c r="AA79">
        <v>3</v>
      </c>
      <c r="AB79">
        <v>4.5999999999999996</v>
      </c>
      <c r="AC79">
        <v>0.02</v>
      </c>
      <c r="AD79">
        <v>0.03</v>
      </c>
      <c r="AE79">
        <v>0</v>
      </c>
      <c r="AF79">
        <v>33</v>
      </c>
      <c r="AG79">
        <v>3</v>
      </c>
      <c r="AH79">
        <v>0.04</v>
      </c>
      <c r="AI79">
        <v>0</v>
      </c>
    </row>
    <row r="80" spans="1:35" x14ac:dyDescent="0.35">
      <c r="A80">
        <v>1164.01</v>
      </c>
      <c r="B80" t="s">
        <v>397</v>
      </c>
      <c r="C80" t="s">
        <v>218</v>
      </c>
      <c r="D80">
        <v>9252</v>
      </c>
      <c r="E80" t="s">
        <v>398</v>
      </c>
      <c r="F80"/>
      <c r="G80">
        <v>0</v>
      </c>
      <c r="H80"/>
      <c r="T80">
        <v>9</v>
      </c>
      <c r="U80">
        <v>0.17</v>
      </c>
      <c r="Z80">
        <v>0.1</v>
      </c>
      <c r="AA80">
        <v>7</v>
      </c>
      <c r="AB80">
        <v>4.2</v>
      </c>
      <c r="AC80">
        <v>1.2E-2</v>
      </c>
      <c r="AD80">
        <v>2.5000000000000001E-2</v>
      </c>
      <c r="AE80">
        <v>0</v>
      </c>
      <c r="AF80">
        <v>13</v>
      </c>
      <c r="AG80">
        <v>1</v>
      </c>
      <c r="AH80">
        <v>2.79999999999999E-2</v>
      </c>
      <c r="AI80">
        <v>0</v>
      </c>
    </row>
    <row r="81" spans="1:35" x14ac:dyDescent="0.35">
      <c r="A81">
        <v>1165.01</v>
      </c>
      <c r="B81" t="s">
        <v>399</v>
      </c>
      <c r="C81" t="s">
        <v>218</v>
      </c>
      <c r="D81">
        <v>9021</v>
      </c>
      <c r="E81" t="s">
        <v>400</v>
      </c>
      <c r="F81"/>
      <c r="G81">
        <v>0</v>
      </c>
      <c r="H81"/>
      <c r="T81">
        <v>13</v>
      </c>
      <c r="U81">
        <v>0.39</v>
      </c>
      <c r="Z81">
        <v>0.2</v>
      </c>
      <c r="AA81">
        <v>9</v>
      </c>
      <c r="AB81">
        <v>10</v>
      </c>
      <c r="AC81">
        <v>0.03</v>
      </c>
      <c r="AD81">
        <v>0.04</v>
      </c>
      <c r="AE81">
        <v>0</v>
      </c>
      <c r="AF81">
        <v>1094</v>
      </c>
      <c r="AG81">
        <v>96</v>
      </c>
      <c r="AH81">
        <v>5.3999999999999999E-2</v>
      </c>
      <c r="AI81">
        <v>0</v>
      </c>
    </row>
    <row r="82" spans="1:35" x14ac:dyDescent="0.35">
      <c r="A82">
        <v>1165.02</v>
      </c>
      <c r="B82" t="s">
        <v>401</v>
      </c>
      <c r="C82" t="s">
        <v>402</v>
      </c>
      <c r="D82">
        <v>5003</v>
      </c>
      <c r="E82" t="s">
        <v>403</v>
      </c>
      <c r="F82"/>
      <c r="G82">
        <v>0.28999999999999998</v>
      </c>
      <c r="H82"/>
      <c r="T82">
        <v>19</v>
      </c>
      <c r="U82">
        <v>1</v>
      </c>
      <c r="Z82">
        <v>0.39</v>
      </c>
      <c r="AA82">
        <v>67</v>
      </c>
      <c r="AB82">
        <v>14</v>
      </c>
      <c r="AC82">
        <v>7.0000000000000007E-2</v>
      </c>
      <c r="AD82">
        <v>0.15</v>
      </c>
      <c r="AE82">
        <v>0</v>
      </c>
      <c r="AF82">
        <v>27</v>
      </c>
      <c r="AG82">
        <v>2</v>
      </c>
      <c r="AH82">
        <v>0</v>
      </c>
      <c r="AI82">
        <v>0</v>
      </c>
    </row>
    <row r="83" spans="1:35" x14ac:dyDescent="0.35">
      <c r="A83">
        <v>1165.03</v>
      </c>
      <c r="B83" t="s">
        <v>404</v>
      </c>
      <c r="C83" t="s">
        <v>218</v>
      </c>
      <c r="D83">
        <v>9070</v>
      </c>
      <c r="E83" t="s">
        <v>405</v>
      </c>
      <c r="F83"/>
      <c r="G83">
        <v>0</v>
      </c>
      <c r="H83"/>
      <c r="T83">
        <v>13</v>
      </c>
      <c r="U83">
        <v>0.36</v>
      </c>
      <c r="Z83">
        <v>7.0000000000000007E-2</v>
      </c>
      <c r="AA83">
        <v>4</v>
      </c>
      <c r="AB83">
        <v>7</v>
      </c>
      <c r="AC83">
        <v>2.7E-2</v>
      </c>
      <c r="AD83">
        <v>3.3000000000000002E-2</v>
      </c>
      <c r="AE83">
        <v>0</v>
      </c>
      <c r="AF83">
        <v>38</v>
      </c>
      <c r="AG83">
        <v>3</v>
      </c>
      <c r="AH83">
        <v>4.9000000000000002E-2</v>
      </c>
      <c r="AI83">
        <v>0</v>
      </c>
    </row>
    <row r="84" spans="1:35" x14ac:dyDescent="0.35">
      <c r="A84">
        <v>1165.04</v>
      </c>
      <c r="B84" t="s">
        <v>406</v>
      </c>
      <c r="C84" t="s">
        <v>214</v>
      </c>
      <c r="D84" t="s">
        <v>407</v>
      </c>
      <c r="E84" t="s">
        <v>408</v>
      </c>
      <c r="F84" t="s">
        <v>109</v>
      </c>
      <c r="G84">
        <v>0.28999999999999998</v>
      </c>
      <c r="H84"/>
      <c r="T84">
        <v>12</v>
      </c>
      <c r="U84">
        <v>0.7</v>
      </c>
      <c r="Z84">
        <v>0.1</v>
      </c>
      <c r="AA84">
        <v>29</v>
      </c>
      <c r="AB84">
        <v>65.5</v>
      </c>
      <c r="AC84">
        <v>0.09</v>
      </c>
      <c r="AD84">
        <v>0.03</v>
      </c>
      <c r="AE84">
        <v>0</v>
      </c>
      <c r="AF84">
        <v>4720</v>
      </c>
      <c r="AG84">
        <v>393</v>
      </c>
      <c r="AH84">
        <v>0.13</v>
      </c>
      <c r="AI84">
        <v>0</v>
      </c>
    </row>
    <row r="85" spans="1:35" x14ac:dyDescent="0.35">
      <c r="A85">
        <v>1165.05</v>
      </c>
      <c r="B85" t="s">
        <v>409</v>
      </c>
      <c r="C85" t="s">
        <v>218</v>
      </c>
      <c r="D85">
        <v>9279</v>
      </c>
      <c r="E85" t="s">
        <v>410</v>
      </c>
      <c r="F85"/>
      <c r="G85">
        <v>0</v>
      </c>
      <c r="H85"/>
      <c r="T85">
        <v>6</v>
      </c>
      <c r="U85">
        <v>0.17</v>
      </c>
      <c r="Z85">
        <v>0.1</v>
      </c>
      <c r="AA85">
        <v>5</v>
      </c>
      <c r="AB85">
        <v>9.5</v>
      </c>
      <c r="AC85">
        <v>2.79999999999999E-2</v>
      </c>
      <c r="AD85">
        <v>2.5999999999999999E-2</v>
      </c>
      <c r="AE85">
        <v>0</v>
      </c>
      <c r="AF85">
        <v>190</v>
      </c>
      <c r="AG85">
        <v>17</v>
      </c>
      <c r="AH85">
        <v>2.8999999999999901E-2</v>
      </c>
      <c r="AI85">
        <v>0</v>
      </c>
    </row>
    <row r="86" spans="1:35" x14ac:dyDescent="0.35">
      <c r="A86">
        <v>1165.06</v>
      </c>
      <c r="B86" t="s">
        <v>411</v>
      </c>
      <c r="C86" t="s">
        <v>402</v>
      </c>
      <c r="D86">
        <v>5027</v>
      </c>
      <c r="E86" t="s">
        <v>412</v>
      </c>
      <c r="F86"/>
      <c r="G86">
        <v>0.12</v>
      </c>
      <c r="H86"/>
      <c r="T86">
        <v>5</v>
      </c>
      <c r="U86">
        <v>0.3</v>
      </c>
      <c r="Z86">
        <v>0.11</v>
      </c>
      <c r="AA86">
        <v>0</v>
      </c>
      <c r="AB86">
        <v>8</v>
      </c>
      <c r="AC86">
        <v>0.01</v>
      </c>
      <c r="AD86">
        <v>0.03</v>
      </c>
      <c r="AE86">
        <v>0</v>
      </c>
      <c r="AF86">
        <v>157</v>
      </c>
      <c r="AG86">
        <v>13</v>
      </c>
      <c r="AH86">
        <v>0</v>
      </c>
      <c r="AI86">
        <v>0</v>
      </c>
    </row>
    <row r="87" spans="1:35" x14ac:dyDescent="0.35">
      <c r="A87">
        <v>1166.01</v>
      </c>
      <c r="B87" t="s">
        <v>413</v>
      </c>
      <c r="C87" t="s">
        <v>402</v>
      </c>
      <c r="D87">
        <v>5034</v>
      </c>
      <c r="E87" t="s">
        <v>414</v>
      </c>
      <c r="F87"/>
      <c r="G87">
        <v>0.04</v>
      </c>
      <c r="H87"/>
      <c r="T87">
        <v>19</v>
      </c>
      <c r="U87">
        <v>0.6</v>
      </c>
      <c r="Z87">
        <v>0.18</v>
      </c>
      <c r="AA87">
        <v>39</v>
      </c>
      <c r="AB87">
        <v>49</v>
      </c>
      <c r="AC87">
        <v>0.03</v>
      </c>
      <c r="AD87">
        <v>0.02</v>
      </c>
      <c r="AE87">
        <v>0</v>
      </c>
      <c r="AF87">
        <v>1</v>
      </c>
      <c r="AG87">
        <v>0</v>
      </c>
      <c r="AH87">
        <v>0</v>
      </c>
      <c r="AI87">
        <v>0</v>
      </c>
    </row>
    <row r="88" spans="1:35" x14ac:dyDescent="0.35">
      <c r="A88">
        <v>1166.02</v>
      </c>
      <c r="B88" t="s">
        <v>415</v>
      </c>
      <c r="C88" t="s">
        <v>402</v>
      </c>
      <c r="D88">
        <v>5021</v>
      </c>
      <c r="E88" t="s">
        <v>416</v>
      </c>
      <c r="F88"/>
      <c r="G88">
        <v>0.01</v>
      </c>
      <c r="H88"/>
      <c r="T88">
        <v>55</v>
      </c>
      <c r="U88">
        <v>1.2</v>
      </c>
      <c r="Z88">
        <v>0.2</v>
      </c>
      <c r="AA88">
        <v>33</v>
      </c>
      <c r="AB88">
        <v>11</v>
      </c>
      <c r="AC88">
        <v>0.03</v>
      </c>
      <c r="AD88">
        <v>7.0000000000000007E-2</v>
      </c>
      <c r="AE88">
        <v>0</v>
      </c>
      <c r="AF88">
        <v>10</v>
      </c>
      <c r="AG88">
        <v>1</v>
      </c>
      <c r="AH88">
        <v>0</v>
      </c>
      <c r="AI88">
        <v>0</v>
      </c>
    </row>
    <row r="89" spans="1:35" x14ac:dyDescent="0.35">
      <c r="A89">
        <v>1166.03</v>
      </c>
      <c r="B89" t="s">
        <v>417</v>
      </c>
      <c r="C89" t="s">
        <v>218</v>
      </c>
      <c r="D89">
        <v>9089</v>
      </c>
      <c r="E89" t="s">
        <v>418</v>
      </c>
      <c r="F89"/>
      <c r="G89">
        <v>0</v>
      </c>
      <c r="H89"/>
      <c r="T89">
        <v>35</v>
      </c>
      <c r="U89">
        <v>0.37</v>
      </c>
      <c r="Z89">
        <v>0.15</v>
      </c>
      <c r="AA89">
        <v>6</v>
      </c>
      <c r="AB89">
        <v>2</v>
      </c>
      <c r="AC89">
        <v>0.06</v>
      </c>
      <c r="AD89">
        <v>0.05</v>
      </c>
      <c r="AE89">
        <v>0</v>
      </c>
      <c r="AF89">
        <v>85</v>
      </c>
      <c r="AG89">
        <v>7</v>
      </c>
      <c r="AH89">
        <v>0.113</v>
      </c>
      <c r="AI89">
        <v>0</v>
      </c>
    </row>
    <row r="90" spans="1:35" x14ac:dyDescent="0.35">
      <c r="A90">
        <v>1166.04</v>
      </c>
      <c r="B90" t="s">
        <v>419</v>
      </c>
      <c r="C90" t="s">
        <v>214</v>
      </c>
      <c r="D90" t="s">
        <v>420</v>
      </c>
      <c r="E90" t="s">
        <v>421</v>
      </c>
      <c r="F90"/>
      <c r="G90">
        <v>0</v>
      </c>
      <c r="H90"/>
      <c r="T90">
        <v>20</v>
      </c>
      <c r="U90">
        <v>0.3</v>
      </c>
      <c r="Z90">
        <v>7.0000000000000007E-2</v>
      </c>
      <c r="AA90">
        <v>12</v>
      </c>
      <c r="AB90">
        <v>36.1</v>
      </c>
      <c r="AC90">
        <v>0.05</v>
      </c>
      <c r="AD90">
        <v>0.02</v>
      </c>
      <c r="AE90">
        <v>0</v>
      </c>
      <c r="AF90">
        <v>18</v>
      </c>
      <c r="AG90">
        <v>1</v>
      </c>
      <c r="AH90">
        <v>0.04</v>
      </c>
      <c r="AI90">
        <v>0</v>
      </c>
    </row>
    <row r="91" spans="1:35" x14ac:dyDescent="0.35">
      <c r="A91">
        <v>1166.05</v>
      </c>
      <c r="B91" t="s">
        <v>422</v>
      </c>
      <c r="C91" t="s">
        <v>214</v>
      </c>
      <c r="D91" t="s">
        <v>423</v>
      </c>
      <c r="E91" t="s">
        <v>424</v>
      </c>
      <c r="F91"/>
      <c r="G91">
        <v>0.22</v>
      </c>
      <c r="H91"/>
      <c r="T91">
        <v>23</v>
      </c>
      <c r="U91">
        <v>0.7</v>
      </c>
      <c r="Z91">
        <v>0.32</v>
      </c>
      <c r="AA91">
        <v>7</v>
      </c>
      <c r="AB91">
        <v>261</v>
      </c>
      <c r="AC91">
        <v>0.05</v>
      </c>
      <c r="AD91">
        <v>0.04</v>
      </c>
      <c r="AE91">
        <v>0</v>
      </c>
      <c r="AF91">
        <v>419</v>
      </c>
      <c r="AG91">
        <v>35</v>
      </c>
      <c r="AH91">
        <v>0.14000000000000001</v>
      </c>
      <c r="AI91">
        <v>0</v>
      </c>
    </row>
    <row r="92" spans="1:35" x14ac:dyDescent="0.35">
      <c r="A92">
        <v>1166.06</v>
      </c>
      <c r="B92" t="s">
        <v>425</v>
      </c>
      <c r="C92" t="s">
        <v>218</v>
      </c>
      <c r="D92">
        <v>9195</v>
      </c>
      <c r="E92" t="s">
        <v>426</v>
      </c>
      <c r="F92"/>
      <c r="G92">
        <v>0</v>
      </c>
      <c r="H92"/>
      <c r="T92">
        <v>52</v>
      </c>
      <c r="U92">
        <v>0.49</v>
      </c>
      <c r="Z92">
        <v>0.04</v>
      </c>
      <c r="AA92">
        <v>3</v>
      </c>
      <c r="AB92">
        <v>0</v>
      </c>
      <c r="AC92">
        <v>2.1000000000000001E-2</v>
      </c>
      <c r="AD92">
        <v>6.9999999999999897E-3</v>
      </c>
      <c r="AE92">
        <v>0</v>
      </c>
      <c r="AF92">
        <v>231</v>
      </c>
      <c r="AG92">
        <v>20</v>
      </c>
      <c r="AH92">
        <v>3.1E-2</v>
      </c>
      <c r="AI92">
        <v>0</v>
      </c>
    </row>
    <row r="93" spans="1:35" x14ac:dyDescent="0.35">
      <c r="A93">
        <v>1166.07</v>
      </c>
      <c r="B93" t="s">
        <v>427</v>
      </c>
      <c r="C93" t="s">
        <v>218</v>
      </c>
      <c r="D93">
        <v>2054</v>
      </c>
      <c r="E93" t="s">
        <v>428</v>
      </c>
      <c r="F93"/>
      <c r="G93">
        <v>0</v>
      </c>
      <c r="H93"/>
      <c r="T93">
        <v>40</v>
      </c>
      <c r="U93">
        <v>1.67</v>
      </c>
      <c r="Z93">
        <v>0.32</v>
      </c>
      <c r="AA93">
        <v>23</v>
      </c>
      <c r="AB93">
        <v>4.3</v>
      </c>
      <c r="AC93">
        <v>1.7999999999999999E-2</v>
      </c>
      <c r="AD93">
        <v>0.13900000000000001</v>
      </c>
      <c r="AE93">
        <v>0</v>
      </c>
      <c r="AF93">
        <v>83</v>
      </c>
      <c r="AG93">
        <v>7</v>
      </c>
      <c r="AH93">
        <v>2.3E-2</v>
      </c>
      <c r="AI93">
        <v>0</v>
      </c>
    </row>
    <row r="94" spans="1:35" x14ac:dyDescent="0.35">
      <c r="A94">
        <v>1167.01</v>
      </c>
      <c r="B94" t="s">
        <v>429</v>
      </c>
      <c r="C94" t="s">
        <v>214</v>
      </c>
      <c r="D94" t="s">
        <v>430</v>
      </c>
      <c r="E94" t="s">
        <v>431</v>
      </c>
      <c r="F94"/>
      <c r="G94">
        <v>0.54</v>
      </c>
      <c r="H94"/>
      <c r="T94">
        <v>7</v>
      </c>
      <c r="U94">
        <v>0.3</v>
      </c>
      <c r="Z94">
        <v>0.09</v>
      </c>
      <c r="AA94">
        <v>12</v>
      </c>
      <c r="AB94">
        <v>14.2</v>
      </c>
      <c r="AC94">
        <v>0.03</v>
      </c>
      <c r="AD94">
        <v>0.01</v>
      </c>
      <c r="AE94">
        <v>0</v>
      </c>
      <c r="AF94">
        <v>31</v>
      </c>
      <c r="AG94">
        <v>3</v>
      </c>
      <c r="AH94">
        <v>7.0000000000000007E-2</v>
      </c>
      <c r="AI94">
        <v>0</v>
      </c>
    </row>
    <row r="95" spans="1:35" x14ac:dyDescent="0.35">
      <c r="A95">
        <v>1167.02</v>
      </c>
      <c r="B95" t="s">
        <v>432</v>
      </c>
      <c r="C95" t="s">
        <v>214</v>
      </c>
      <c r="D95" t="s">
        <v>430</v>
      </c>
      <c r="E95" t="s">
        <v>431</v>
      </c>
      <c r="F95"/>
      <c r="G95">
        <v>0.54</v>
      </c>
      <c r="H95"/>
      <c r="T95">
        <v>7</v>
      </c>
      <c r="U95">
        <v>0.3</v>
      </c>
      <c r="Z95">
        <v>0.09</v>
      </c>
      <c r="AA95">
        <v>12</v>
      </c>
      <c r="AB95">
        <v>14.2</v>
      </c>
      <c r="AC95">
        <v>0.03</v>
      </c>
      <c r="AD95">
        <v>0.01</v>
      </c>
      <c r="AE95">
        <v>0</v>
      </c>
      <c r="AF95">
        <v>31</v>
      </c>
      <c r="AG95">
        <v>3</v>
      </c>
      <c r="AH95">
        <v>7.0000000000000007E-2</v>
      </c>
      <c r="AI95">
        <v>0</v>
      </c>
    </row>
    <row r="96" spans="1:35" x14ac:dyDescent="0.35">
      <c r="A96">
        <v>1167.03</v>
      </c>
      <c r="B96" t="s">
        <v>433</v>
      </c>
      <c r="C96" t="s">
        <v>214</v>
      </c>
      <c r="D96" t="s">
        <v>434</v>
      </c>
      <c r="E96" t="s">
        <v>435</v>
      </c>
      <c r="F96"/>
      <c r="G96">
        <v>0.49</v>
      </c>
      <c r="H96"/>
      <c r="T96">
        <v>20</v>
      </c>
      <c r="U96">
        <v>0.5</v>
      </c>
      <c r="Z96">
        <v>0.11</v>
      </c>
      <c r="AA96">
        <v>12</v>
      </c>
      <c r="AB96">
        <v>29.8</v>
      </c>
      <c r="AC96">
        <v>7.0000000000000007E-2</v>
      </c>
      <c r="AD96">
        <v>0.03</v>
      </c>
      <c r="AE96">
        <v>0</v>
      </c>
      <c r="AF96">
        <v>61</v>
      </c>
      <c r="AG96">
        <v>5</v>
      </c>
      <c r="AH96">
        <v>0.09</v>
      </c>
      <c r="AI96">
        <v>0</v>
      </c>
    </row>
    <row r="97" spans="1:35" x14ac:dyDescent="0.35">
      <c r="A97">
        <v>1167.99</v>
      </c>
      <c r="B97" t="s">
        <v>436</v>
      </c>
      <c r="C97" t="s">
        <v>402</v>
      </c>
      <c r="D97">
        <v>5025</v>
      </c>
      <c r="E97" t="s">
        <v>437</v>
      </c>
      <c r="F97"/>
      <c r="G97">
        <v>0.48</v>
      </c>
      <c r="H97"/>
      <c r="T97">
        <v>10</v>
      </c>
      <c r="U97">
        <v>0.6</v>
      </c>
      <c r="Z97">
        <v>0.8</v>
      </c>
      <c r="AA97">
        <v>7</v>
      </c>
      <c r="AB97">
        <v>29</v>
      </c>
      <c r="AC97">
        <v>0.03</v>
      </c>
      <c r="AD97">
        <v>0.14000000000000001</v>
      </c>
      <c r="AE97">
        <v>0</v>
      </c>
      <c r="AF97">
        <v>764</v>
      </c>
      <c r="AG97">
        <v>64</v>
      </c>
      <c r="AH97">
        <v>0</v>
      </c>
      <c r="AI97">
        <v>0</v>
      </c>
    </row>
    <row r="98" spans="1:35" x14ac:dyDescent="0.35">
      <c r="A98">
        <v>1168.01</v>
      </c>
      <c r="B98" t="s">
        <v>438</v>
      </c>
      <c r="C98" t="s">
        <v>214</v>
      </c>
      <c r="D98" t="s">
        <v>439</v>
      </c>
      <c r="E98" t="s">
        <v>440</v>
      </c>
      <c r="F98" t="s">
        <v>377</v>
      </c>
      <c r="G98">
        <v>0</v>
      </c>
      <c r="H98"/>
      <c r="T98">
        <v>91</v>
      </c>
      <c r="U98">
        <v>9</v>
      </c>
      <c r="Z98">
        <v>2.37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>
        <v>1168.02</v>
      </c>
      <c r="B99" t="s">
        <v>441</v>
      </c>
      <c r="C99" t="s">
        <v>214</v>
      </c>
      <c r="D99" t="s">
        <v>442</v>
      </c>
      <c r="E99" t="s">
        <v>443</v>
      </c>
      <c r="F99" t="s">
        <v>377</v>
      </c>
      <c r="G99">
        <v>7.0000000000000007E-2</v>
      </c>
      <c r="H99"/>
      <c r="T99">
        <v>23</v>
      </c>
      <c r="U99">
        <v>3</v>
      </c>
      <c r="Z99">
        <v>0</v>
      </c>
      <c r="AA99">
        <v>0</v>
      </c>
      <c r="AB99">
        <v>51.5</v>
      </c>
      <c r="AC99">
        <v>0.03</v>
      </c>
      <c r="AD99">
        <v>0.04</v>
      </c>
      <c r="AE99">
        <v>0</v>
      </c>
      <c r="AF99">
        <v>360</v>
      </c>
      <c r="AG99">
        <v>30</v>
      </c>
      <c r="AH99">
        <v>0</v>
      </c>
      <c r="AI99">
        <v>0</v>
      </c>
    </row>
    <row r="100" spans="1:35" x14ac:dyDescent="0.35">
      <c r="A100">
        <v>1168.03</v>
      </c>
      <c r="B100" t="s">
        <v>444</v>
      </c>
      <c r="C100" t="s">
        <v>214</v>
      </c>
      <c r="D100" t="s">
        <v>395</v>
      </c>
      <c r="E100" t="s">
        <v>396</v>
      </c>
      <c r="F100"/>
      <c r="G100">
        <v>0.1</v>
      </c>
      <c r="H100"/>
      <c r="T100">
        <v>6</v>
      </c>
      <c r="U100">
        <v>0.1</v>
      </c>
      <c r="Z100">
        <v>0.04</v>
      </c>
      <c r="AA100">
        <v>3</v>
      </c>
      <c r="AB100">
        <v>4.5999999999999996</v>
      </c>
      <c r="AC100">
        <v>0.02</v>
      </c>
      <c r="AD100">
        <v>0.03</v>
      </c>
      <c r="AE100">
        <v>0</v>
      </c>
      <c r="AF100">
        <v>33</v>
      </c>
      <c r="AG100">
        <v>3</v>
      </c>
      <c r="AH100">
        <v>0.04</v>
      </c>
      <c r="AI100">
        <v>0</v>
      </c>
    </row>
    <row r="101" spans="1:35" x14ac:dyDescent="0.35">
      <c r="A101">
        <v>1168.04</v>
      </c>
      <c r="B101" t="s">
        <v>445</v>
      </c>
      <c r="C101" t="s">
        <v>214</v>
      </c>
      <c r="D101" t="s">
        <v>389</v>
      </c>
      <c r="E101" t="s">
        <v>390</v>
      </c>
      <c r="F101"/>
      <c r="G101">
        <v>0.27</v>
      </c>
      <c r="H101"/>
      <c r="T101">
        <v>31</v>
      </c>
      <c r="U101">
        <v>0.2</v>
      </c>
      <c r="Z101">
        <v>0.1</v>
      </c>
      <c r="AA101">
        <v>33</v>
      </c>
      <c r="AB101">
        <v>46.8</v>
      </c>
      <c r="AC101">
        <v>0.04</v>
      </c>
      <c r="AD101">
        <v>0.03</v>
      </c>
      <c r="AE101">
        <v>0</v>
      </c>
      <c r="AF101">
        <v>90</v>
      </c>
      <c r="AG101">
        <v>8</v>
      </c>
      <c r="AH101">
        <v>7.0000000000000007E-2</v>
      </c>
      <c r="AI101">
        <v>0</v>
      </c>
    </row>
    <row r="102" spans="1:35" x14ac:dyDescent="0.35">
      <c r="A102">
        <v>1168.05</v>
      </c>
      <c r="B102" t="s">
        <v>446</v>
      </c>
      <c r="C102" t="s">
        <v>214</v>
      </c>
      <c r="D102" t="s">
        <v>395</v>
      </c>
      <c r="E102" t="s">
        <v>396</v>
      </c>
      <c r="F102"/>
      <c r="G102">
        <v>0.1</v>
      </c>
      <c r="H102"/>
      <c r="T102">
        <v>6</v>
      </c>
      <c r="U102">
        <v>0.1</v>
      </c>
      <c r="Z102">
        <v>0.04</v>
      </c>
      <c r="AA102">
        <v>3</v>
      </c>
      <c r="AB102">
        <v>4.5999999999999996</v>
      </c>
      <c r="AC102">
        <v>0.02</v>
      </c>
      <c r="AD102">
        <v>0.03</v>
      </c>
      <c r="AE102">
        <v>0</v>
      </c>
      <c r="AF102">
        <v>33</v>
      </c>
      <c r="AG102">
        <v>3</v>
      </c>
      <c r="AH102">
        <v>0.04</v>
      </c>
      <c r="AI102">
        <v>0</v>
      </c>
    </row>
    <row r="103" spans="1:35" x14ac:dyDescent="0.35">
      <c r="A103">
        <v>1168.08</v>
      </c>
      <c r="B103" t="s">
        <v>447</v>
      </c>
      <c r="C103" t="s">
        <v>214</v>
      </c>
      <c r="D103" t="s">
        <v>448</v>
      </c>
      <c r="E103" t="s">
        <v>449</v>
      </c>
      <c r="F103"/>
      <c r="G103">
        <v>0</v>
      </c>
      <c r="H103"/>
      <c r="T103">
        <v>65</v>
      </c>
      <c r="U103">
        <v>3.3</v>
      </c>
      <c r="Z103">
        <v>3.38</v>
      </c>
      <c r="AA103">
        <v>0</v>
      </c>
      <c r="AB103">
        <v>0</v>
      </c>
      <c r="AC103">
        <v>0.38</v>
      </c>
      <c r="AD103">
        <v>0.12</v>
      </c>
      <c r="AE103">
        <v>0</v>
      </c>
      <c r="AF103">
        <v>20</v>
      </c>
      <c r="AG103">
        <v>2</v>
      </c>
      <c r="AH103">
        <v>0</v>
      </c>
      <c r="AI103">
        <v>0</v>
      </c>
    </row>
    <row r="104" spans="1:35" x14ac:dyDescent="0.35">
      <c r="A104">
        <v>1168.0899999999999</v>
      </c>
      <c r="B104" t="s">
        <v>450</v>
      </c>
      <c r="C104" t="s">
        <v>214</v>
      </c>
      <c r="D104" t="s">
        <v>451</v>
      </c>
      <c r="E104" t="s">
        <v>452</v>
      </c>
      <c r="F104"/>
      <c r="G104">
        <v>0</v>
      </c>
      <c r="H104"/>
      <c r="T104">
        <v>47</v>
      </c>
      <c r="U104">
        <v>3.9</v>
      </c>
      <c r="Z104">
        <v>2.5</v>
      </c>
      <c r="AA104">
        <v>110</v>
      </c>
      <c r="AB104">
        <v>0</v>
      </c>
      <c r="AC104">
        <v>0.87</v>
      </c>
      <c r="AD104">
        <v>0.14000000000000001</v>
      </c>
      <c r="AE104">
        <v>0</v>
      </c>
      <c r="AF104">
        <v>0</v>
      </c>
      <c r="AG104">
        <v>0</v>
      </c>
      <c r="AH104">
        <v>0.59</v>
      </c>
      <c r="AI104">
        <v>0</v>
      </c>
    </row>
    <row r="105" spans="1:35" x14ac:dyDescent="0.35">
      <c r="A105">
        <v>1168.0999999999999</v>
      </c>
      <c r="B105" t="s">
        <v>453</v>
      </c>
      <c r="C105" t="s">
        <v>214</v>
      </c>
      <c r="D105" t="s">
        <v>451</v>
      </c>
      <c r="E105" t="s">
        <v>452</v>
      </c>
      <c r="F105"/>
      <c r="G105">
        <v>0</v>
      </c>
      <c r="H105"/>
      <c r="T105">
        <v>47</v>
      </c>
      <c r="U105">
        <v>3.9</v>
      </c>
      <c r="Z105">
        <v>2.5</v>
      </c>
      <c r="AA105">
        <v>110</v>
      </c>
      <c r="AB105">
        <v>0</v>
      </c>
      <c r="AC105">
        <v>0.87</v>
      </c>
      <c r="AD105">
        <v>0.14000000000000001</v>
      </c>
      <c r="AE105">
        <v>0</v>
      </c>
      <c r="AF105">
        <v>0</v>
      </c>
      <c r="AG105">
        <v>0</v>
      </c>
      <c r="AH105">
        <v>0.59</v>
      </c>
      <c r="AI105">
        <v>0</v>
      </c>
    </row>
    <row r="106" spans="1:35" x14ac:dyDescent="0.35">
      <c r="A106">
        <v>1168.1099999999999</v>
      </c>
      <c r="B106" t="s">
        <v>454</v>
      </c>
      <c r="C106" t="s">
        <v>214</v>
      </c>
      <c r="D106" t="s">
        <v>455</v>
      </c>
      <c r="E106" t="s">
        <v>456</v>
      </c>
      <c r="F106"/>
      <c r="G106">
        <v>0.28000000000000003</v>
      </c>
      <c r="H106"/>
      <c r="T106">
        <v>276</v>
      </c>
      <c r="U106">
        <v>5.5</v>
      </c>
      <c r="Z106">
        <v>3.6</v>
      </c>
      <c r="AA106">
        <v>0</v>
      </c>
      <c r="AB106">
        <v>247</v>
      </c>
      <c r="AC106">
        <v>0.37</v>
      </c>
      <c r="AD106">
        <v>0.06</v>
      </c>
      <c r="AE106">
        <v>0</v>
      </c>
      <c r="AF106">
        <v>70</v>
      </c>
      <c r="AG106">
        <v>6</v>
      </c>
      <c r="AH106">
        <v>0.02</v>
      </c>
      <c r="AI106">
        <v>0</v>
      </c>
    </row>
    <row r="107" spans="1:35" x14ac:dyDescent="0.35">
      <c r="A107">
        <v>1168.1400000000001</v>
      </c>
      <c r="B107" t="s">
        <v>457</v>
      </c>
      <c r="C107" t="s">
        <v>214</v>
      </c>
      <c r="D107" t="s">
        <v>442</v>
      </c>
      <c r="E107" t="s">
        <v>458</v>
      </c>
      <c r="F107"/>
      <c r="G107">
        <v>0.43</v>
      </c>
      <c r="H107"/>
      <c r="T107">
        <v>23</v>
      </c>
      <c r="U107">
        <v>3</v>
      </c>
      <c r="Z107">
        <v>0</v>
      </c>
      <c r="AA107">
        <v>0</v>
      </c>
      <c r="AB107">
        <v>51.5</v>
      </c>
      <c r="AC107">
        <v>0.03</v>
      </c>
      <c r="AD107">
        <v>0.04</v>
      </c>
      <c r="AE107">
        <v>0</v>
      </c>
      <c r="AF107">
        <v>360</v>
      </c>
      <c r="AG107">
        <v>30</v>
      </c>
      <c r="AH107">
        <v>0</v>
      </c>
      <c r="AI107">
        <v>0</v>
      </c>
    </row>
    <row r="108" spans="1:35" x14ac:dyDescent="0.35">
      <c r="A108">
        <v>1168.1500000000001</v>
      </c>
      <c r="B108" t="s">
        <v>459</v>
      </c>
      <c r="C108" t="s">
        <v>218</v>
      </c>
      <c r="D108">
        <v>12635</v>
      </c>
      <c r="E108" t="s">
        <v>460</v>
      </c>
      <c r="F108"/>
      <c r="G108">
        <v>0</v>
      </c>
      <c r="H108"/>
      <c r="T108">
        <v>70</v>
      </c>
      <c r="U108">
        <v>3.7</v>
      </c>
      <c r="Z108">
        <v>3.8</v>
      </c>
      <c r="AA108">
        <v>50</v>
      </c>
      <c r="AB108">
        <v>0.4</v>
      </c>
      <c r="AC108">
        <v>0.2</v>
      </c>
      <c r="AD108">
        <v>0.2</v>
      </c>
      <c r="AE108">
        <v>0</v>
      </c>
      <c r="AF108">
        <v>3</v>
      </c>
      <c r="AG108">
        <v>0</v>
      </c>
      <c r="AH108">
        <v>0.29599999999999999</v>
      </c>
      <c r="AI108">
        <v>0</v>
      </c>
    </row>
    <row r="109" spans="1:35" x14ac:dyDescent="0.35">
      <c r="A109">
        <v>1168.1600000000001</v>
      </c>
      <c r="B109" t="s">
        <v>461</v>
      </c>
      <c r="C109" t="s">
        <v>218</v>
      </c>
      <c r="D109">
        <v>12104</v>
      </c>
      <c r="E109" t="s">
        <v>462</v>
      </c>
      <c r="F109"/>
      <c r="G109">
        <v>0</v>
      </c>
      <c r="H109"/>
      <c r="T109">
        <v>14</v>
      </c>
      <c r="U109">
        <v>2.4300000000000002</v>
      </c>
      <c r="Z109">
        <v>1.1000000000000001</v>
      </c>
      <c r="AA109">
        <v>26</v>
      </c>
      <c r="AB109">
        <v>3.3</v>
      </c>
      <c r="AC109">
        <v>6.6000000000000003E-2</v>
      </c>
      <c r="AD109">
        <v>0.02</v>
      </c>
      <c r="AE109">
        <v>0</v>
      </c>
      <c r="AF109">
        <v>0</v>
      </c>
      <c r="AG109">
        <v>0</v>
      </c>
      <c r="AH109">
        <v>5.3999999999999999E-2</v>
      </c>
      <c r="AI109">
        <v>0</v>
      </c>
    </row>
    <row r="110" spans="1:35" x14ac:dyDescent="0.35">
      <c r="A110">
        <v>1168.17</v>
      </c>
      <c r="B110" t="s">
        <v>463</v>
      </c>
      <c r="C110" t="s">
        <v>218</v>
      </c>
      <c r="D110">
        <v>12135</v>
      </c>
      <c r="E110" t="s">
        <v>464</v>
      </c>
      <c r="F110"/>
      <c r="G110">
        <v>0</v>
      </c>
      <c r="H110"/>
      <c r="T110">
        <v>70</v>
      </c>
      <c r="U110">
        <v>3.7</v>
      </c>
      <c r="Z110">
        <v>3.8</v>
      </c>
      <c r="AA110">
        <v>50</v>
      </c>
      <c r="AB110">
        <v>0.4</v>
      </c>
      <c r="AC110">
        <v>0.2</v>
      </c>
      <c r="AD110">
        <v>0.2</v>
      </c>
      <c r="AE110">
        <v>0</v>
      </c>
      <c r="AF110">
        <v>0</v>
      </c>
      <c r="AG110">
        <v>1</v>
      </c>
      <c r="AH110">
        <v>0.29599999999999999</v>
      </c>
      <c r="AI110">
        <v>0</v>
      </c>
    </row>
    <row r="111" spans="1:35" x14ac:dyDescent="0.35">
      <c r="A111">
        <v>1168.19</v>
      </c>
      <c r="B111" t="s">
        <v>465</v>
      </c>
      <c r="C111" t="s">
        <v>218</v>
      </c>
      <c r="D111">
        <v>9094</v>
      </c>
      <c r="E111" t="s">
        <v>466</v>
      </c>
      <c r="F111"/>
      <c r="G111">
        <v>0</v>
      </c>
      <c r="H111"/>
      <c r="T111">
        <v>162</v>
      </c>
      <c r="U111">
        <v>2.0299999999999998</v>
      </c>
      <c r="Z111">
        <v>0.55000000000000004</v>
      </c>
      <c r="AA111">
        <v>9</v>
      </c>
      <c r="AB111">
        <v>1.2</v>
      </c>
      <c r="AC111">
        <v>8.5000000000000006E-2</v>
      </c>
      <c r="AD111">
        <v>8.1999999999999906E-2</v>
      </c>
      <c r="AE111">
        <v>0</v>
      </c>
      <c r="AF111">
        <v>6</v>
      </c>
      <c r="AG111">
        <v>0</v>
      </c>
      <c r="AH111">
        <v>0.106</v>
      </c>
      <c r="AI111">
        <v>0</v>
      </c>
    </row>
    <row r="112" spans="1:35" x14ac:dyDescent="0.35">
      <c r="A112">
        <v>1168.2</v>
      </c>
      <c r="B112" t="s">
        <v>467</v>
      </c>
      <c r="C112" t="s">
        <v>218</v>
      </c>
      <c r="D112">
        <v>9259</v>
      </c>
      <c r="E112" t="s">
        <v>468</v>
      </c>
      <c r="F112"/>
      <c r="G112">
        <v>0</v>
      </c>
      <c r="H112"/>
      <c r="T112">
        <v>34</v>
      </c>
      <c r="U112">
        <v>2.1</v>
      </c>
      <c r="Z112">
        <v>0.39</v>
      </c>
      <c r="AA112">
        <v>0</v>
      </c>
      <c r="AB112">
        <v>7</v>
      </c>
      <c r="AC112">
        <v>8.0000000000000002E-3</v>
      </c>
      <c r="AD112">
        <v>0.14499999999999999</v>
      </c>
      <c r="AE112">
        <v>0</v>
      </c>
      <c r="AF112">
        <v>2</v>
      </c>
      <c r="AG112">
        <v>0</v>
      </c>
      <c r="AH112">
        <v>7.1999999999999995E-2</v>
      </c>
      <c r="AI112">
        <v>0</v>
      </c>
    </row>
    <row r="113" spans="1:35" x14ac:dyDescent="0.35">
      <c r="A113">
        <v>1168.22</v>
      </c>
      <c r="B113" t="s">
        <v>469</v>
      </c>
      <c r="C113" t="s">
        <v>214</v>
      </c>
      <c r="D113" t="s">
        <v>470</v>
      </c>
      <c r="E113" t="s">
        <v>471</v>
      </c>
      <c r="F113"/>
      <c r="G113">
        <v>0</v>
      </c>
      <c r="H113"/>
      <c r="T113">
        <v>46</v>
      </c>
      <c r="U113">
        <v>1.1000000000000001</v>
      </c>
      <c r="Z113">
        <v>0.36</v>
      </c>
      <c r="AA113">
        <v>36</v>
      </c>
      <c r="AB113">
        <v>3</v>
      </c>
      <c r="AC113">
        <v>0.06</v>
      </c>
      <c r="AD113">
        <v>0.08</v>
      </c>
      <c r="AE113">
        <v>0</v>
      </c>
      <c r="AF113">
        <v>7</v>
      </c>
      <c r="AG113">
        <v>1</v>
      </c>
      <c r="AH113">
        <v>0.2</v>
      </c>
      <c r="AI113">
        <v>0</v>
      </c>
    </row>
    <row r="114" spans="1:35" x14ac:dyDescent="0.35">
      <c r="A114">
        <v>1168.99</v>
      </c>
      <c r="B114" t="s">
        <v>472</v>
      </c>
      <c r="C114" t="s">
        <v>218</v>
      </c>
      <c r="D114">
        <v>9188</v>
      </c>
      <c r="E114" t="s">
        <v>473</v>
      </c>
      <c r="F114"/>
      <c r="G114">
        <v>0</v>
      </c>
      <c r="H114"/>
      <c r="T114">
        <v>38</v>
      </c>
      <c r="U114">
        <v>2.71</v>
      </c>
      <c r="Z114">
        <v>0.5</v>
      </c>
      <c r="AA114">
        <v>4</v>
      </c>
      <c r="AB114">
        <v>3.8</v>
      </c>
      <c r="AC114">
        <v>4.3999999999999997E-2</v>
      </c>
      <c r="AD114">
        <v>0.157</v>
      </c>
      <c r="AE114">
        <v>0</v>
      </c>
      <c r="AF114">
        <v>0</v>
      </c>
      <c r="AG114">
        <v>122</v>
      </c>
      <c r="AH114">
        <v>0.159</v>
      </c>
      <c r="AI114">
        <v>0</v>
      </c>
    </row>
    <row r="115" spans="1:35" x14ac:dyDescent="0.35">
      <c r="A115">
        <v>1169.01</v>
      </c>
      <c r="B115" t="s">
        <v>474</v>
      </c>
      <c r="C115" t="s">
        <v>218</v>
      </c>
      <c r="D115">
        <v>9187</v>
      </c>
      <c r="E115" t="s">
        <v>475</v>
      </c>
      <c r="F115"/>
      <c r="G115">
        <v>0</v>
      </c>
      <c r="H115"/>
      <c r="T115">
        <v>1</v>
      </c>
      <c r="U115">
        <v>0.36</v>
      </c>
      <c r="Z115">
        <v>7.0000000000000007E-2</v>
      </c>
      <c r="AA115">
        <v>3</v>
      </c>
      <c r="AB115">
        <v>69</v>
      </c>
      <c r="AC115">
        <v>1.4999999999999999E-2</v>
      </c>
      <c r="AD115">
        <v>0.04</v>
      </c>
      <c r="AE115">
        <v>0</v>
      </c>
      <c r="AF115">
        <v>0</v>
      </c>
      <c r="AG115">
        <v>10</v>
      </c>
      <c r="AH115">
        <v>3.5999999999999997E-2</v>
      </c>
      <c r="AI115">
        <v>0</v>
      </c>
    </row>
    <row r="116" spans="1:35" x14ac:dyDescent="0.35">
      <c r="A116">
        <v>1169.02</v>
      </c>
      <c r="B116" t="s">
        <v>476</v>
      </c>
      <c r="C116" t="s">
        <v>218</v>
      </c>
      <c r="D116">
        <v>9189</v>
      </c>
      <c r="E116" t="s">
        <v>477</v>
      </c>
      <c r="F116"/>
      <c r="G116">
        <v>0</v>
      </c>
      <c r="H116"/>
      <c r="T116">
        <v>7</v>
      </c>
      <c r="U116">
        <v>0.28000000000000003</v>
      </c>
      <c r="Z116">
        <v>0.05</v>
      </c>
      <c r="AA116">
        <v>8</v>
      </c>
      <c r="AB116">
        <v>75</v>
      </c>
      <c r="AC116">
        <v>1.7000000000000001E-2</v>
      </c>
      <c r="AD116">
        <v>3.5000000000000003E-2</v>
      </c>
      <c r="AE116">
        <v>0</v>
      </c>
      <c r="AF116">
        <v>0</v>
      </c>
      <c r="AG116">
        <v>16</v>
      </c>
      <c r="AH116">
        <v>2.5000000000000001E-2</v>
      </c>
      <c r="AI116">
        <v>0</v>
      </c>
    </row>
    <row r="117" spans="1:35" x14ac:dyDescent="0.35">
      <c r="A117">
        <v>1169.08</v>
      </c>
      <c r="B117" t="s">
        <v>478</v>
      </c>
      <c r="C117" t="s">
        <v>218</v>
      </c>
      <c r="D117">
        <v>9187</v>
      </c>
      <c r="E117" t="s">
        <v>475</v>
      </c>
      <c r="F117"/>
      <c r="G117">
        <v>0</v>
      </c>
      <c r="H117"/>
      <c r="T117">
        <v>1</v>
      </c>
      <c r="U117">
        <v>0.36</v>
      </c>
      <c r="Z117">
        <v>7.0000000000000007E-2</v>
      </c>
      <c r="AA117">
        <v>3</v>
      </c>
      <c r="AB117">
        <v>69</v>
      </c>
      <c r="AC117">
        <v>1.4999999999999999E-2</v>
      </c>
      <c r="AD117">
        <v>0.04</v>
      </c>
      <c r="AE117">
        <v>0</v>
      </c>
      <c r="AF117">
        <v>0</v>
      </c>
      <c r="AG117">
        <v>10</v>
      </c>
      <c r="AH117">
        <v>3.5999999999999997E-2</v>
      </c>
      <c r="AI117">
        <v>0</v>
      </c>
    </row>
    <row r="118" spans="1:35" x14ac:dyDescent="0.35">
      <c r="A118">
        <v>1169.99</v>
      </c>
      <c r="B118" t="s">
        <v>479</v>
      </c>
      <c r="C118" t="s">
        <v>218</v>
      </c>
      <c r="D118">
        <v>12635</v>
      </c>
      <c r="E118" t="s">
        <v>480</v>
      </c>
      <c r="F118"/>
      <c r="G118">
        <v>0</v>
      </c>
      <c r="H118"/>
      <c r="T118">
        <v>70</v>
      </c>
      <c r="U118">
        <v>3.7</v>
      </c>
      <c r="Z118">
        <v>3.8</v>
      </c>
      <c r="AA118">
        <v>50</v>
      </c>
      <c r="AB118">
        <v>0.4</v>
      </c>
      <c r="AC118">
        <v>0.2</v>
      </c>
      <c r="AD118">
        <v>0.2</v>
      </c>
      <c r="AE118">
        <v>0</v>
      </c>
      <c r="AF118">
        <v>3</v>
      </c>
      <c r="AG118">
        <v>0</v>
      </c>
      <c r="AH118">
        <v>0.29599999999999999</v>
      </c>
      <c r="AI118">
        <v>0</v>
      </c>
    </row>
    <row r="119" spans="1:35" x14ac:dyDescent="0.35">
      <c r="A119">
        <v>1171.01</v>
      </c>
      <c r="B119" t="s">
        <v>481</v>
      </c>
      <c r="C119" t="s">
        <v>214</v>
      </c>
      <c r="D119" t="s">
        <v>482</v>
      </c>
      <c r="E119" t="s">
        <v>483</v>
      </c>
      <c r="F119"/>
      <c r="G119">
        <v>0.3</v>
      </c>
      <c r="H119"/>
      <c r="T119">
        <v>27</v>
      </c>
      <c r="U119">
        <v>0.8</v>
      </c>
      <c r="Z119">
        <v>0.28999999999999998</v>
      </c>
      <c r="AA119">
        <v>89</v>
      </c>
      <c r="AB119">
        <v>5.3</v>
      </c>
      <c r="AC119">
        <v>0.06</v>
      </c>
      <c r="AD119">
        <v>0.15</v>
      </c>
      <c r="AE119">
        <v>0</v>
      </c>
      <c r="AF119">
        <v>1120</v>
      </c>
      <c r="AG119">
        <v>93</v>
      </c>
      <c r="AH119">
        <v>0.2</v>
      </c>
      <c r="AI119">
        <v>0</v>
      </c>
    </row>
    <row r="120" spans="1:35" x14ac:dyDescent="0.35">
      <c r="A120">
        <v>1171.02</v>
      </c>
      <c r="B120" t="s">
        <v>484</v>
      </c>
      <c r="C120" t="s">
        <v>214</v>
      </c>
      <c r="D120" t="s">
        <v>485</v>
      </c>
      <c r="E120" t="s">
        <v>486</v>
      </c>
      <c r="F120"/>
      <c r="G120">
        <v>0.28000000000000003</v>
      </c>
      <c r="H120"/>
      <c r="T120">
        <v>133</v>
      </c>
      <c r="U120">
        <v>3.1</v>
      </c>
      <c r="Z120">
        <v>0.8</v>
      </c>
      <c r="AA120">
        <v>176</v>
      </c>
      <c r="AB120">
        <v>36</v>
      </c>
      <c r="AC120">
        <v>0.08</v>
      </c>
      <c r="AD120">
        <v>0.17</v>
      </c>
      <c r="AE120">
        <v>0</v>
      </c>
      <c r="AF120">
        <v>6040</v>
      </c>
      <c r="AG120">
        <v>409</v>
      </c>
      <c r="AH120">
        <v>0.19</v>
      </c>
      <c r="AI120">
        <v>0</v>
      </c>
    </row>
    <row r="121" spans="1:35" x14ac:dyDescent="0.35">
      <c r="A121">
        <v>1171.03</v>
      </c>
      <c r="B121" t="s">
        <v>487</v>
      </c>
      <c r="C121" t="s">
        <v>218</v>
      </c>
      <c r="D121">
        <v>11143</v>
      </c>
      <c r="E121" t="s">
        <v>488</v>
      </c>
      <c r="F121"/>
      <c r="G121">
        <v>0</v>
      </c>
      <c r="H121"/>
      <c r="T121">
        <v>40</v>
      </c>
      <c r="U121">
        <v>0.2</v>
      </c>
      <c r="Z121">
        <v>0.13</v>
      </c>
      <c r="AA121">
        <v>36</v>
      </c>
      <c r="AB121">
        <v>3.1</v>
      </c>
      <c r="AC121">
        <v>2.1000000000000001E-2</v>
      </c>
      <c r="AD121">
        <v>5.7000000000000002E-2</v>
      </c>
      <c r="AE121">
        <v>0</v>
      </c>
      <c r="AF121">
        <v>270</v>
      </c>
      <c r="AG121">
        <v>22</v>
      </c>
      <c r="AH121">
        <v>7.3999999999999996E-2</v>
      </c>
      <c r="AI121">
        <v>0</v>
      </c>
    </row>
    <row r="122" spans="1:35" x14ac:dyDescent="0.35">
      <c r="A122">
        <v>1171.99</v>
      </c>
      <c r="B122" t="s">
        <v>489</v>
      </c>
      <c r="C122" t="s">
        <v>218</v>
      </c>
      <c r="D122">
        <v>11291</v>
      </c>
      <c r="E122" t="s">
        <v>490</v>
      </c>
      <c r="F122"/>
      <c r="G122">
        <v>0</v>
      </c>
      <c r="H122"/>
      <c r="T122">
        <v>72</v>
      </c>
      <c r="U122">
        <v>1.48</v>
      </c>
      <c r="Z122">
        <v>0.39</v>
      </c>
      <c r="AA122">
        <v>64</v>
      </c>
      <c r="AB122">
        <v>18.8</v>
      </c>
      <c r="AC122">
        <v>5.5E-2</v>
      </c>
      <c r="AD122">
        <v>0.08</v>
      </c>
      <c r="AE122">
        <v>0</v>
      </c>
      <c r="AF122">
        <v>598</v>
      </c>
      <c r="AG122">
        <v>50</v>
      </c>
      <c r="AH122">
        <v>6.0999999999999999E-2</v>
      </c>
      <c r="AI122">
        <v>0</v>
      </c>
    </row>
    <row r="123" spans="1:35" x14ac:dyDescent="0.35">
      <c r="A123">
        <v>1172.01</v>
      </c>
      <c r="B123" t="s">
        <v>491</v>
      </c>
      <c r="C123" t="s">
        <v>218</v>
      </c>
      <c r="D123">
        <v>11090</v>
      </c>
      <c r="E123" t="s">
        <v>492</v>
      </c>
      <c r="F123"/>
      <c r="G123">
        <v>0</v>
      </c>
      <c r="H123"/>
      <c r="T123">
        <v>47</v>
      </c>
      <c r="U123">
        <v>0.73</v>
      </c>
      <c r="Z123">
        <v>0.41</v>
      </c>
      <c r="AA123">
        <v>63</v>
      </c>
      <c r="AB123">
        <v>89.2</v>
      </c>
      <c r="AC123">
        <v>7.0999999999999994E-2</v>
      </c>
      <c r="AD123">
        <v>0.11699999999999899</v>
      </c>
      <c r="AE123">
        <v>0</v>
      </c>
      <c r="AF123">
        <v>361</v>
      </c>
      <c r="AG123">
        <v>31</v>
      </c>
      <c r="AH123">
        <v>0.17499999999999999</v>
      </c>
      <c r="AI123">
        <v>0</v>
      </c>
    </row>
    <row r="124" spans="1:35" x14ac:dyDescent="0.35">
      <c r="A124">
        <v>1172.02</v>
      </c>
      <c r="B124" t="s">
        <v>493</v>
      </c>
      <c r="C124" t="s">
        <v>214</v>
      </c>
      <c r="D124" t="s">
        <v>494</v>
      </c>
      <c r="E124" t="s">
        <v>495</v>
      </c>
      <c r="F124"/>
      <c r="G124">
        <v>0.2</v>
      </c>
      <c r="H124"/>
      <c r="T124">
        <v>41</v>
      </c>
      <c r="U124">
        <v>0.6</v>
      </c>
      <c r="Z124">
        <v>0.2</v>
      </c>
      <c r="AA124">
        <v>48</v>
      </c>
      <c r="AB124">
        <v>54</v>
      </c>
      <c r="AC124">
        <v>0.05</v>
      </c>
      <c r="AD124">
        <v>0.04</v>
      </c>
      <c r="AE124">
        <v>0</v>
      </c>
      <c r="AF124">
        <v>100</v>
      </c>
      <c r="AG124">
        <v>8</v>
      </c>
      <c r="AH124">
        <v>0.1</v>
      </c>
      <c r="AI124">
        <v>0</v>
      </c>
    </row>
    <row r="125" spans="1:35" x14ac:dyDescent="0.35">
      <c r="A125">
        <v>1172.03</v>
      </c>
      <c r="B125" t="s">
        <v>496</v>
      </c>
      <c r="C125" t="s">
        <v>218</v>
      </c>
      <c r="D125">
        <v>1135</v>
      </c>
      <c r="E125" t="s">
        <v>497</v>
      </c>
      <c r="F125"/>
      <c r="G125">
        <v>0</v>
      </c>
      <c r="H125"/>
      <c r="T125">
        <v>83</v>
      </c>
      <c r="U125">
        <v>0.23</v>
      </c>
      <c r="Z125">
        <v>0.15</v>
      </c>
      <c r="AA125">
        <v>89</v>
      </c>
      <c r="AB125">
        <v>0</v>
      </c>
      <c r="AC125">
        <v>3.5000000000000003E-2</v>
      </c>
      <c r="AD125">
        <v>2.1619999999999999</v>
      </c>
      <c r="AE125">
        <v>0</v>
      </c>
      <c r="AF125">
        <v>0</v>
      </c>
      <c r="AG125">
        <v>0</v>
      </c>
      <c r="AH125">
        <v>2.3E-2</v>
      </c>
      <c r="AI125">
        <v>0.49</v>
      </c>
    </row>
    <row r="126" spans="1:35" x14ac:dyDescent="0.35">
      <c r="A126">
        <v>1173.01</v>
      </c>
      <c r="B126" t="s">
        <v>498</v>
      </c>
      <c r="C126" t="s">
        <v>218</v>
      </c>
      <c r="D126">
        <v>11209</v>
      </c>
      <c r="E126" t="s">
        <v>499</v>
      </c>
      <c r="F126"/>
      <c r="G126">
        <v>0</v>
      </c>
      <c r="H126"/>
      <c r="T126">
        <v>9</v>
      </c>
      <c r="U126">
        <v>0.24</v>
      </c>
      <c r="Z126">
        <v>0.16</v>
      </c>
      <c r="AA126">
        <v>22</v>
      </c>
      <c r="AB126">
        <v>2.2000000000000002</v>
      </c>
      <c r="AC126">
        <v>3.9E-2</v>
      </c>
      <c r="AD126">
        <v>3.6999999999999998E-2</v>
      </c>
      <c r="AE126">
        <v>0</v>
      </c>
      <c r="AF126">
        <v>16</v>
      </c>
      <c r="AG126">
        <v>1</v>
      </c>
      <c r="AH126">
        <v>8.4000000000000005E-2</v>
      </c>
      <c r="AI126">
        <v>0</v>
      </c>
    </row>
    <row r="127" spans="1:35" x14ac:dyDescent="0.35">
      <c r="A127">
        <v>1173.02</v>
      </c>
      <c r="B127" t="s">
        <v>500</v>
      </c>
      <c r="C127" t="s">
        <v>214</v>
      </c>
      <c r="D127" t="s">
        <v>501</v>
      </c>
      <c r="E127" t="s">
        <v>502</v>
      </c>
      <c r="F127"/>
      <c r="G127">
        <v>0.17</v>
      </c>
      <c r="H127"/>
      <c r="T127">
        <v>47</v>
      </c>
      <c r="U127">
        <v>1.1000000000000001</v>
      </c>
      <c r="Z127">
        <v>0.27</v>
      </c>
      <c r="AA127">
        <v>62</v>
      </c>
      <c r="AB127">
        <v>17.5</v>
      </c>
      <c r="AC127">
        <v>0.1</v>
      </c>
      <c r="AD127">
        <v>0.1</v>
      </c>
      <c r="AE127">
        <v>0</v>
      </c>
      <c r="AF127">
        <v>286</v>
      </c>
      <c r="AG127">
        <v>24</v>
      </c>
      <c r="AH127">
        <v>0.2</v>
      </c>
      <c r="AI127">
        <v>0</v>
      </c>
    </row>
    <row r="128" spans="1:35" x14ac:dyDescent="0.35">
      <c r="A128">
        <v>1173.03</v>
      </c>
      <c r="B128" t="s">
        <v>503</v>
      </c>
      <c r="C128" t="s">
        <v>214</v>
      </c>
      <c r="D128" t="s">
        <v>504</v>
      </c>
      <c r="E128" t="s">
        <v>505</v>
      </c>
      <c r="F128"/>
      <c r="G128">
        <v>0.19</v>
      </c>
      <c r="H128"/>
      <c r="T128">
        <v>13</v>
      </c>
      <c r="U128">
        <v>0.5</v>
      </c>
      <c r="Z128">
        <v>0.17</v>
      </c>
      <c r="AA128">
        <v>6</v>
      </c>
      <c r="AB128">
        <v>14</v>
      </c>
      <c r="AC128">
        <v>0.02</v>
      </c>
      <c r="AD128">
        <v>0.01</v>
      </c>
      <c r="AE128">
        <v>0</v>
      </c>
      <c r="AF128">
        <v>35</v>
      </c>
      <c r="AG128">
        <v>3</v>
      </c>
      <c r="AH128">
        <v>0.04</v>
      </c>
      <c r="AI128">
        <v>0</v>
      </c>
    </row>
    <row r="129" spans="1:35" x14ac:dyDescent="0.35">
      <c r="A129">
        <v>1173.04</v>
      </c>
      <c r="B129" t="s">
        <v>506</v>
      </c>
      <c r="C129" t="s">
        <v>214</v>
      </c>
      <c r="D129" t="s">
        <v>507</v>
      </c>
      <c r="E129" t="s">
        <v>508</v>
      </c>
      <c r="F129"/>
      <c r="G129">
        <v>0.17</v>
      </c>
      <c r="H129"/>
      <c r="T129">
        <v>17</v>
      </c>
      <c r="U129">
        <v>0.3</v>
      </c>
      <c r="Z129">
        <v>0.12</v>
      </c>
      <c r="AA129">
        <v>26</v>
      </c>
      <c r="AB129">
        <v>112.9</v>
      </c>
      <c r="AC129">
        <v>0.08</v>
      </c>
      <c r="AD129">
        <v>0.09</v>
      </c>
      <c r="AE129">
        <v>0</v>
      </c>
      <c r="AF129">
        <v>353</v>
      </c>
      <c r="AG129">
        <v>29</v>
      </c>
      <c r="AH129">
        <v>0.28000000000000003</v>
      </c>
      <c r="AI129">
        <v>0</v>
      </c>
    </row>
    <row r="130" spans="1:35" x14ac:dyDescent="0.35">
      <c r="A130">
        <v>1173.05</v>
      </c>
      <c r="B130" t="s">
        <v>509</v>
      </c>
      <c r="C130" t="s">
        <v>214</v>
      </c>
      <c r="D130" t="s">
        <v>510</v>
      </c>
      <c r="E130" t="s">
        <v>511</v>
      </c>
      <c r="F130"/>
      <c r="G130">
        <v>0.73</v>
      </c>
      <c r="H130"/>
      <c r="T130">
        <v>16</v>
      </c>
      <c r="U130">
        <v>1.1000000000000001</v>
      </c>
      <c r="Z130">
        <v>0.28999999999999998</v>
      </c>
      <c r="AA130">
        <v>23</v>
      </c>
      <c r="AB130">
        <v>193.1</v>
      </c>
      <c r="AC130">
        <v>0.08</v>
      </c>
      <c r="AD130">
        <v>0.09</v>
      </c>
      <c r="AE130">
        <v>0</v>
      </c>
      <c r="AF130">
        <v>640</v>
      </c>
      <c r="AG130">
        <v>53</v>
      </c>
      <c r="AH130">
        <v>0.39</v>
      </c>
      <c r="AI130">
        <v>0</v>
      </c>
    </row>
    <row r="131" spans="1:35" x14ac:dyDescent="0.35">
      <c r="A131">
        <v>1173.06</v>
      </c>
      <c r="B131" t="s">
        <v>512</v>
      </c>
      <c r="C131" t="s">
        <v>218</v>
      </c>
      <c r="D131">
        <v>11900</v>
      </c>
      <c r="E131" t="s">
        <v>513</v>
      </c>
      <c r="F131"/>
      <c r="G131">
        <v>0</v>
      </c>
      <c r="H131"/>
      <c r="T131">
        <v>2</v>
      </c>
      <c r="U131">
        <v>0.52</v>
      </c>
      <c r="Z131">
        <v>0.45</v>
      </c>
      <c r="AA131">
        <v>46</v>
      </c>
      <c r="AB131">
        <v>6.8</v>
      </c>
      <c r="AC131">
        <v>0.2</v>
      </c>
      <c r="AD131">
        <v>0.06</v>
      </c>
      <c r="AE131">
        <v>0</v>
      </c>
      <c r="AF131">
        <v>1</v>
      </c>
      <c r="AG131">
        <v>0</v>
      </c>
      <c r="AH131">
        <v>5.5E-2</v>
      </c>
      <c r="AI131">
        <v>0</v>
      </c>
    </row>
    <row r="132" spans="1:35" x14ac:dyDescent="0.35">
      <c r="A132">
        <v>1173.07</v>
      </c>
      <c r="B132" t="s">
        <v>514</v>
      </c>
      <c r="C132" t="s">
        <v>218</v>
      </c>
      <c r="D132">
        <v>11304</v>
      </c>
      <c r="E132" t="s">
        <v>515</v>
      </c>
      <c r="F132"/>
      <c r="G132">
        <v>0</v>
      </c>
      <c r="H132"/>
      <c r="T132">
        <v>25</v>
      </c>
      <c r="U132">
        <v>1.47</v>
      </c>
      <c r="Z132">
        <v>1.24</v>
      </c>
      <c r="AA132">
        <v>65</v>
      </c>
      <c r="AB132">
        <v>40</v>
      </c>
      <c r="AC132">
        <v>0.26600000000000001</v>
      </c>
      <c r="AD132">
        <v>0.13200000000000001</v>
      </c>
      <c r="AE132">
        <v>0</v>
      </c>
      <c r="AF132">
        <v>449</v>
      </c>
      <c r="AG132">
        <v>38</v>
      </c>
      <c r="AH132">
        <v>0.16899999999999901</v>
      </c>
      <c r="AI132">
        <v>0</v>
      </c>
    </row>
    <row r="133" spans="1:35" x14ac:dyDescent="0.35">
      <c r="A133">
        <v>1173.08</v>
      </c>
      <c r="B133" t="s">
        <v>516</v>
      </c>
      <c r="C133" t="s">
        <v>214</v>
      </c>
      <c r="D133" t="s">
        <v>517</v>
      </c>
      <c r="E133" t="s">
        <v>518</v>
      </c>
      <c r="F133"/>
      <c r="G133">
        <v>0.7</v>
      </c>
      <c r="H133"/>
      <c r="T133">
        <v>19</v>
      </c>
      <c r="U133">
        <v>1.2</v>
      </c>
      <c r="Z133">
        <v>0.32</v>
      </c>
      <c r="AA133">
        <v>8</v>
      </c>
      <c r="AB133">
        <v>8</v>
      </c>
      <c r="AC133">
        <v>0.05</v>
      </c>
      <c r="AD133">
        <v>0.02</v>
      </c>
      <c r="AE133">
        <v>0</v>
      </c>
      <c r="AF133">
        <v>1200</v>
      </c>
      <c r="AG133">
        <v>100</v>
      </c>
      <c r="AH133">
        <v>0.1</v>
      </c>
      <c r="AI133">
        <v>0</v>
      </c>
    </row>
    <row r="134" spans="1:35" x14ac:dyDescent="0.35">
      <c r="A134">
        <v>1173.0899999999999</v>
      </c>
      <c r="B134" t="s">
        <v>519</v>
      </c>
      <c r="C134" t="s">
        <v>214</v>
      </c>
      <c r="D134" t="s">
        <v>520</v>
      </c>
      <c r="E134" t="s">
        <v>521</v>
      </c>
      <c r="F134"/>
      <c r="G134">
        <v>0.09</v>
      </c>
      <c r="H134"/>
      <c r="T134">
        <v>13</v>
      </c>
      <c r="U134">
        <v>0.6</v>
      </c>
      <c r="Z134">
        <v>0.7</v>
      </c>
      <c r="AA134">
        <v>21</v>
      </c>
      <c r="AB134">
        <v>29.6</v>
      </c>
      <c r="AC134">
        <v>0.06</v>
      </c>
      <c r="AD134">
        <v>0.04</v>
      </c>
      <c r="AE134">
        <v>0</v>
      </c>
      <c r="AF134">
        <v>624</v>
      </c>
      <c r="AG134">
        <v>52</v>
      </c>
      <c r="AH134">
        <v>0.09</v>
      </c>
      <c r="AI134">
        <v>0</v>
      </c>
    </row>
    <row r="135" spans="1:35" x14ac:dyDescent="0.35">
      <c r="A135">
        <v>1174.01</v>
      </c>
      <c r="B135" t="s">
        <v>522</v>
      </c>
      <c r="C135" t="s">
        <v>218</v>
      </c>
      <c r="D135">
        <v>11011</v>
      </c>
      <c r="E135" t="s">
        <v>523</v>
      </c>
      <c r="F135"/>
      <c r="G135">
        <v>0</v>
      </c>
      <c r="H135"/>
      <c r="T135">
        <v>24</v>
      </c>
      <c r="U135">
        <v>2.14</v>
      </c>
      <c r="Z135">
        <v>0.54</v>
      </c>
      <c r="AA135">
        <v>52</v>
      </c>
      <c r="AB135">
        <v>5.6</v>
      </c>
      <c r="AC135">
        <v>0.14299999999999999</v>
      </c>
      <c r="AD135">
        <v>0.14099999999999999</v>
      </c>
      <c r="AE135">
        <v>0</v>
      </c>
      <c r="AF135">
        <v>449</v>
      </c>
      <c r="AG135">
        <v>38</v>
      </c>
      <c r="AH135">
        <v>9.0999999999999998E-2</v>
      </c>
      <c r="AI135">
        <v>0</v>
      </c>
    </row>
    <row r="136" spans="1:35" x14ac:dyDescent="0.35">
      <c r="A136">
        <v>1174.02</v>
      </c>
      <c r="B136" t="s">
        <v>524</v>
      </c>
      <c r="C136" t="s">
        <v>402</v>
      </c>
      <c r="D136">
        <v>2005</v>
      </c>
      <c r="E136" t="s">
        <v>525</v>
      </c>
      <c r="F136"/>
      <c r="G136">
        <v>0.15</v>
      </c>
      <c r="H136"/>
      <c r="T136">
        <v>13</v>
      </c>
      <c r="U136">
        <v>0.8</v>
      </c>
      <c r="Z136">
        <v>0.55000000000000004</v>
      </c>
      <c r="AA136">
        <v>110</v>
      </c>
      <c r="AB136">
        <v>5.3</v>
      </c>
      <c r="AC136">
        <v>0.01</v>
      </c>
      <c r="AD136">
        <v>0.02</v>
      </c>
      <c r="AE136">
        <v>0</v>
      </c>
      <c r="AF136">
        <v>10</v>
      </c>
      <c r="AG136">
        <v>1</v>
      </c>
      <c r="AH136">
        <v>0</v>
      </c>
      <c r="AI136">
        <v>0</v>
      </c>
    </row>
    <row r="137" spans="1:35" x14ac:dyDescent="0.35">
      <c r="A137">
        <v>1174.03</v>
      </c>
      <c r="B137" t="s">
        <v>526</v>
      </c>
      <c r="C137" t="s">
        <v>214</v>
      </c>
      <c r="D137" t="s">
        <v>527</v>
      </c>
      <c r="E137" t="s">
        <v>528</v>
      </c>
      <c r="F137"/>
      <c r="G137">
        <v>0.11</v>
      </c>
      <c r="H137"/>
      <c r="T137">
        <v>35</v>
      </c>
      <c r="U137">
        <v>0.7</v>
      </c>
      <c r="Z137">
        <v>0.26</v>
      </c>
      <c r="AA137">
        <v>31</v>
      </c>
      <c r="AB137">
        <v>7</v>
      </c>
      <c r="AC137">
        <v>0.06</v>
      </c>
      <c r="AD137">
        <v>0.05</v>
      </c>
      <c r="AE137">
        <v>0</v>
      </c>
      <c r="AF137">
        <v>8560</v>
      </c>
      <c r="AG137">
        <v>713</v>
      </c>
      <c r="AH137">
        <v>0.23</v>
      </c>
      <c r="AI137">
        <v>0</v>
      </c>
    </row>
    <row r="138" spans="1:35" x14ac:dyDescent="0.35">
      <c r="A138">
        <v>1174.05</v>
      </c>
      <c r="B138" t="s">
        <v>529</v>
      </c>
      <c r="C138" t="s">
        <v>402</v>
      </c>
      <c r="D138">
        <v>4021</v>
      </c>
      <c r="E138" t="s">
        <v>530</v>
      </c>
      <c r="F138"/>
      <c r="G138">
        <v>0.45</v>
      </c>
      <c r="H138"/>
      <c r="T138">
        <v>78</v>
      </c>
      <c r="U138">
        <v>1.8</v>
      </c>
      <c r="Z138">
        <v>0.3</v>
      </c>
      <c r="AA138">
        <v>64</v>
      </c>
      <c r="AB138">
        <v>21</v>
      </c>
      <c r="AC138">
        <v>0.14000000000000001</v>
      </c>
      <c r="AD138">
        <v>0</v>
      </c>
      <c r="AE138">
        <v>0</v>
      </c>
      <c r="AF138">
        <v>242</v>
      </c>
      <c r="AG138">
        <v>20</v>
      </c>
      <c r="AH138">
        <v>0</v>
      </c>
      <c r="AI138">
        <v>0</v>
      </c>
    </row>
    <row r="139" spans="1:35" x14ac:dyDescent="0.35">
      <c r="A139">
        <v>1174.06</v>
      </c>
      <c r="B139" t="s">
        <v>531</v>
      </c>
      <c r="C139" t="s">
        <v>214</v>
      </c>
      <c r="D139" t="s">
        <v>532</v>
      </c>
      <c r="E139" t="s">
        <v>533</v>
      </c>
      <c r="F139"/>
      <c r="G139">
        <v>0.09</v>
      </c>
      <c r="H139"/>
      <c r="T139">
        <v>25</v>
      </c>
      <c r="U139">
        <v>0.3</v>
      </c>
      <c r="Z139">
        <v>0.26</v>
      </c>
      <c r="AA139">
        <v>16</v>
      </c>
      <c r="AB139">
        <v>10.3</v>
      </c>
      <c r="AC139">
        <v>0.05</v>
      </c>
      <c r="AD139">
        <v>0.04</v>
      </c>
      <c r="AE139">
        <v>0</v>
      </c>
      <c r="AF139">
        <v>1</v>
      </c>
      <c r="AG139">
        <v>0</v>
      </c>
      <c r="AH139">
        <v>0.1</v>
      </c>
      <c r="AI139">
        <v>0</v>
      </c>
    </row>
    <row r="140" spans="1:35" x14ac:dyDescent="0.35">
      <c r="A140">
        <v>1174.08</v>
      </c>
      <c r="B140" t="s">
        <v>534</v>
      </c>
      <c r="C140" t="s">
        <v>214</v>
      </c>
      <c r="D140" t="s">
        <v>535</v>
      </c>
      <c r="E140" t="s">
        <v>536</v>
      </c>
      <c r="F140"/>
      <c r="G140">
        <v>0</v>
      </c>
      <c r="H140"/>
      <c r="T140">
        <v>41</v>
      </c>
      <c r="U140">
        <v>0.3</v>
      </c>
      <c r="Z140">
        <v>0.22</v>
      </c>
      <c r="AA140">
        <v>24</v>
      </c>
      <c r="AB140">
        <v>23.7</v>
      </c>
      <c r="AC140">
        <v>0.04</v>
      </c>
      <c r="AD140">
        <v>0.04</v>
      </c>
      <c r="AE140">
        <v>0</v>
      </c>
      <c r="AF140">
        <v>36</v>
      </c>
      <c r="AG140">
        <v>3</v>
      </c>
      <c r="AH140">
        <v>0.08</v>
      </c>
      <c r="AI140">
        <v>0</v>
      </c>
    </row>
    <row r="141" spans="1:35" x14ac:dyDescent="0.35">
      <c r="A141">
        <v>1174.0899999999999</v>
      </c>
      <c r="B141" t="s">
        <v>537</v>
      </c>
      <c r="C141" t="s">
        <v>218</v>
      </c>
      <c r="D141">
        <v>11238</v>
      </c>
      <c r="E141" t="s">
        <v>538</v>
      </c>
      <c r="F141"/>
      <c r="G141">
        <v>0</v>
      </c>
      <c r="H141"/>
      <c r="T141">
        <v>2</v>
      </c>
      <c r="U141">
        <v>0.41</v>
      </c>
      <c r="Z141">
        <v>1.03</v>
      </c>
      <c r="AA141">
        <v>13</v>
      </c>
      <c r="AB141">
        <v>0</v>
      </c>
      <c r="AC141">
        <v>1.4999999999999999E-2</v>
      </c>
      <c r="AD141">
        <v>0.217</v>
      </c>
      <c r="AE141">
        <v>0</v>
      </c>
      <c r="AF141">
        <v>0</v>
      </c>
      <c r="AG141">
        <v>0</v>
      </c>
      <c r="AH141">
        <v>0.29299999999999998</v>
      </c>
      <c r="AI141">
        <v>0</v>
      </c>
    </row>
    <row r="142" spans="1:35" x14ac:dyDescent="0.35">
      <c r="A142">
        <v>1175.01</v>
      </c>
      <c r="B142" t="s">
        <v>539</v>
      </c>
      <c r="C142" t="s">
        <v>214</v>
      </c>
      <c r="D142" t="s">
        <v>540</v>
      </c>
      <c r="E142" t="s">
        <v>541</v>
      </c>
      <c r="F142"/>
      <c r="G142">
        <v>0</v>
      </c>
      <c r="H142"/>
      <c r="T142">
        <v>74</v>
      </c>
      <c r="U142">
        <v>5.7</v>
      </c>
      <c r="Z142">
        <v>3.77</v>
      </c>
      <c r="AA142">
        <v>395</v>
      </c>
      <c r="AB142">
        <v>0</v>
      </c>
      <c r="AC142">
        <v>0.89</v>
      </c>
      <c r="AD142">
        <v>0.11</v>
      </c>
      <c r="AE142">
        <v>0</v>
      </c>
      <c r="AF142">
        <v>179</v>
      </c>
      <c r="AG142">
        <v>15</v>
      </c>
      <c r="AH142">
        <v>0.51</v>
      </c>
      <c r="AI142">
        <v>0</v>
      </c>
    </row>
    <row r="143" spans="1:35" x14ac:dyDescent="0.35">
      <c r="A143">
        <v>1175.02</v>
      </c>
      <c r="B143" t="s">
        <v>542</v>
      </c>
      <c r="C143" t="s">
        <v>402</v>
      </c>
      <c r="D143">
        <v>3010</v>
      </c>
      <c r="E143" t="s">
        <v>543</v>
      </c>
      <c r="F143"/>
      <c r="G143">
        <v>0</v>
      </c>
      <c r="H143"/>
      <c r="T143">
        <v>235</v>
      </c>
      <c r="U143">
        <v>6.8</v>
      </c>
      <c r="Z143">
        <v>3.37</v>
      </c>
      <c r="AA143">
        <v>400</v>
      </c>
      <c r="AB143">
        <v>8</v>
      </c>
      <c r="AC143">
        <v>0.48</v>
      </c>
      <c r="AD143">
        <v>0.16</v>
      </c>
      <c r="AE143">
        <v>0</v>
      </c>
      <c r="AF143">
        <v>175</v>
      </c>
      <c r="AG143">
        <v>15</v>
      </c>
      <c r="AH143">
        <v>0</v>
      </c>
      <c r="AI143">
        <v>0</v>
      </c>
    </row>
    <row r="144" spans="1:35" x14ac:dyDescent="0.35">
      <c r="A144">
        <v>1175.03</v>
      </c>
      <c r="B144" t="s">
        <v>544</v>
      </c>
      <c r="C144" t="s">
        <v>214</v>
      </c>
      <c r="D144" t="s">
        <v>545</v>
      </c>
      <c r="E144" t="s">
        <v>544</v>
      </c>
      <c r="F144"/>
      <c r="G144">
        <v>0.19</v>
      </c>
      <c r="H144"/>
      <c r="T144">
        <v>61</v>
      </c>
      <c r="U144">
        <v>7</v>
      </c>
      <c r="Z144">
        <v>3.9</v>
      </c>
      <c r="AA144">
        <v>295</v>
      </c>
      <c r="AB144">
        <v>0</v>
      </c>
      <c r="AC144">
        <v>0.59</v>
      </c>
      <c r="AD144">
        <v>0.23</v>
      </c>
      <c r="AE144">
        <v>0</v>
      </c>
      <c r="AF144">
        <v>42</v>
      </c>
      <c r="AG144">
        <v>3</v>
      </c>
      <c r="AH144">
        <v>0.68</v>
      </c>
      <c r="AI144">
        <v>0</v>
      </c>
    </row>
    <row r="145" spans="1:35" x14ac:dyDescent="0.35">
      <c r="A145">
        <v>1175.0899999999999</v>
      </c>
      <c r="B145" t="s">
        <v>546</v>
      </c>
      <c r="C145" t="s">
        <v>214</v>
      </c>
      <c r="D145" t="s">
        <v>547</v>
      </c>
      <c r="E145" t="s">
        <v>548</v>
      </c>
      <c r="F145"/>
      <c r="G145">
        <v>0</v>
      </c>
      <c r="H145"/>
      <c r="T145">
        <v>1060</v>
      </c>
      <c r="U145">
        <v>34</v>
      </c>
      <c r="Z145">
        <v>3.35</v>
      </c>
      <c r="AA145">
        <v>673</v>
      </c>
      <c r="AB145">
        <v>38</v>
      </c>
      <c r="AC145">
        <v>1.1499999999999999</v>
      </c>
      <c r="AD145">
        <v>2.35</v>
      </c>
      <c r="AE145">
        <v>0</v>
      </c>
      <c r="AF145">
        <v>2407</v>
      </c>
      <c r="AG145">
        <v>201</v>
      </c>
      <c r="AH145">
        <v>1.49</v>
      </c>
      <c r="AI145">
        <v>0</v>
      </c>
    </row>
    <row r="146" spans="1:35" x14ac:dyDescent="0.35">
      <c r="A146">
        <v>1176.01</v>
      </c>
      <c r="B146" t="s">
        <v>549</v>
      </c>
      <c r="C146" t="s">
        <v>218</v>
      </c>
      <c r="D146">
        <v>11941</v>
      </c>
      <c r="E146" t="s">
        <v>550</v>
      </c>
      <c r="F146"/>
      <c r="G146">
        <v>0</v>
      </c>
      <c r="H146"/>
      <c r="T146">
        <v>0</v>
      </c>
      <c r="U146">
        <v>0.4</v>
      </c>
      <c r="Z146">
        <v>0.02</v>
      </c>
      <c r="AA146">
        <v>1</v>
      </c>
      <c r="AB146">
        <v>1</v>
      </c>
      <c r="AC146">
        <v>0</v>
      </c>
      <c r="AD146">
        <v>0.01</v>
      </c>
      <c r="AE146">
        <v>0</v>
      </c>
      <c r="AF146">
        <v>81</v>
      </c>
      <c r="AG146">
        <v>10</v>
      </c>
      <c r="AH146">
        <v>8.9999999999999993E-3</v>
      </c>
      <c r="AI146">
        <v>0</v>
      </c>
    </row>
    <row r="147" spans="1:35" x14ac:dyDescent="0.35">
      <c r="A147">
        <v>1177.01</v>
      </c>
      <c r="B147" t="s">
        <v>551</v>
      </c>
      <c r="C147" t="s">
        <v>214</v>
      </c>
      <c r="D147" t="s">
        <v>552</v>
      </c>
      <c r="E147" t="s">
        <v>553</v>
      </c>
      <c r="F147"/>
      <c r="G147">
        <v>0.16</v>
      </c>
      <c r="H147"/>
      <c r="T147">
        <v>11</v>
      </c>
      <c r="U147">
        <v>0.9</v>
      </c>
      <c r="Z147">
        <v>0.35</v>
      </c>
      <c r="AA147">
        <v>18</v>
      </c>
      <c r="AB147">
        <v>17.3</v>
      </c>
      <c r="AC147">
        <v>0.08</v>
      </c>
      <c r="AD147">
        <v>0.12</v>
      </c>
      <c r="AE147">
        <v>0</v>
      </c>
      <c r="AF147">
        <v>14</v>
      </c>
      <c r="AG147">
        <v>1</v>
      </c>
      <c r="AH147">
        <v>0.27</v>
      </c>
      <c r="AI147">
        <v>0</v>
      </c>
    </row>
    <row r="148" spans="1:35" x14ac:dyDescent="0.35">
      <c r="A148">
        <v>1178.01</v>
      </c>
      <c r="B148" t="s">
        <v>554</v>
      </c>
      <c r="C148" t="s">
        <v>214</v>
      </c>
      <c r="D148" t="s">
        <v>555</v>
      </c>
      <c r="E148" t="s">
        <v>556</v>
      </c>
      <c r="F148"/>
      <c r="G148">
        <v>0.16</v>
      </c>
      <c r="H148"/>
      <c r="T148">
        <v>27</v>
      </c>
      <c r="U148">
        <v>1.1000000000000001</v>
      </c>
      <c r="Z148">
        <v>0.39</v>
      </c>
      <c r="AA148">
        <v>52</v>
      </c>
      <c r="AB148">
        <v>22.3</v>
      </c>
      <c r="AC148">
        <v>0.09</v>
      </c>
      <c r="AD148">
        <v>0.04</v>
      </c>
      <c r="AE148">
        <v>0</v>
      </c>
      <c r="AF148">
        <v>39</v>
      </c>
      <c r="AG148">
        <v>3</v>
      </c>
      <c r="AH148">
        <v>0.27</v>
      </c>
      <c r="AI148">
        <v>0</v>
      </c>
    </row>
    <row r="149" spans="1:35" x14ac:dyDescent="0.35">
      <c r="A149">
        <v>1178.02</v>
      </c>
      <c r="B149" t="s">
        <v>557</v>
      </c>
      <c r="C149" t="s">
        <v>402</v>
      </c>
      <c r="D149">
        <v>15110</v>
      </c>
      <c r="E149" t="s">
        <v>558</v>
      </c>
      <c r="F149"/>
      <c r="G149">
        <v>0</v>
      </c>
      <c r="H149"/>
      <c r="T149">
        <v>17</v>
      </c>
      <c r="U149">
        <v>2.7</v>
      </c>
      <c r="Z149">
        <v>0.63</v>
      </c>
      <c r="AA149">
        <v>82</v>
      </c>
      <c r="AB149">
        <v>12</v>
      </c>
      <c r="AC149">
        <v>0.11</v>
      </c>
      <c r="AD149">
        <v>7.0000000000000007E-2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>
        <v>1178.03</v>
      </c>
      <c r="B150" t="s">
        <v>559</v>
      </c>
      <c r="C150" t="s">
        <v>218</v>
      </c>
      <c r="D150">
        <v>11134</v>
      </c>
      <c r="E150" t="s">
        <v>560</v>
      </c>
      <c r="F150"/>
      <c r="G150">
        <v>0</v>
      </c>
      <c r="H150"/>
      <c r="T150">
        <v>16</v>
      </c>
      <c r="U150">
        <v>0.27</v>
      </c>
      <c r="Z150">
        <v>0.34</v>
      </c>
      <c r="AA150">
        <v>27</v>
      </c>
      <c r="AB150">
        <v>20.6</v>
      </c>
      <c r="AC150">
        <v>8.6999999999999994E-2</v>
      </c>
      <c r="AD150">
        <v>4.8000000000000001E-2</v>
      </c>
      <c r="AE150">
        <v>0</v>
      </c>
      <c r="AF150">
        <v>8</v>
      </c>
      <c r="AG150">
        <v>1</v>
      </c>
      <c r="AH150">
        <v>8.7999999999999995E-2</v>
      </c>
      <c r="AI150">
        <v>0</v>
      </c>
    </row>
    <row r="151" spans="1:35" x14ac:dyDescent="0.35">
      <c r="A151">
        <v>1178.05</v>
      </c>
      <c r="B151" t="s">
        <v>561</v>
      </c>
      <c r="C151" t="s">
        <v>218</v>
      </c>
      <c r="D151">
        <v>11584</v>
      </c>
      <c r="E151" t="s">
        <v>562</v>
      </c>
      <c r="F151"/>
      <c r="G151">
        <v>0</v>
      </c>
      <c r="H151"/>
      <c r="T151">
        <v>25</v>
      </c>
      <c r="U151">
        <v>0.82</v>
      </c>
      <c r="Z151">
        <v>0.49</v>
      </c>
      <c r="AA151">
        <v>19</v>
      </c>
      <c r="AB151">
        <v>3.2</v>
      </c>
      <c r="AC151">
        <v>7.0999999999999994E-2</v>
      </c>
      <c r="AD151">
        <v>0.12</v>
      </c>
      <c r="AE151">
        <v>0</v>
      </c>
      <c r="AF151">
        <v>2082</v>
      </c>
      <c r="AG151">
        <v>214</v>
      </c>
      <c r="AH151">
        <v>7.3999999999999996E-2</v>
      </c>
      <c r="AI151">
        <v>0</v>
      </c>
    </row>
    <row r="152" spans="1:35" x14ac:dyDescent="0.35">
      <c r="A152">
        <v>1179.08</v>
      </c>
      <c r="B152" t="s">
        <v>563</v>
      </c>
      <c r="C152" t="s">
        <v>218</v>
      </c>
      <c r="D152">
        <v>43312</v>
      </c>
      <c r="E152" t="s">
        <v>564</v>
      </c>
      <c r="F152"/>
      <c r="G152">
        <v>0</v>
      </c>
      <c r="H152"/>
      <c r="T152">
        <v>21</v>
      </c>
      <c r="U152">
        <v>0.65</v>
      </c>
      <c r="Z152">
        <v>0.51</v>
      </c>
      <c r="AA152">
        <v>18</v>
      </c>
      <c r="AB152">
        <v>3.8</v>
      </c>
      <c r="AC152">
        <v>0.03</v>
      </c>
      <c r="AD152">
        <v>0.04</v>
      </c>
      <c r="AE152">
        <v>0</v>
      </c>
      <c r="AF152">
        <v>5670</v>
      </c>
      <c r="AG152">
        <v>583</v>
      </c>
      <c r="AH152">
        <v>0.08</v>
      </c>
      <c r="AI152">
        <v>0</v>
      </c>
    </row>
    <row r="153" spans="1:35" x14ac:dyDescent="0.35">
      <c r="A153">
        <v>1179.99</v>
      </c>
      <c r="B153" t="s">
        <v>565</v>
      </c>
      <c r="C153" t="s">
        <v>214</v>
      </c>
      <c r="D153" t="s">
        <v>547</v>
      </c>
      <c r="E153" t="s">
        <v>548</v>
      </c>
      <c r="F153"/>
      <c r="G153">
        <v>0</v>
      </c>
      <c r="H153"/>
      <c r="T153">
        <v>1060</v>
      </c>
      <c r="U153">
        <v>34</v>
      </c>
      <c r="Z153">
        <v>3.35</v>
      </c>
      <c r="AA153">
        <v>673</v>
      </c>
      <c r="AB153">
        <v>38</v>
      </c>
      <c r="AC153">
        <v>1.1499999999999999</v>
      </c>
      <c r="AD153">
        <v>2.35</v>
      </c>
      <c r="AE153">
        <v>0</v>
      </c>
      <c r="AF153">
        <v>2407</v>
      </c>
      <c r="AG153">
        <v>201</v>
      </c>
      <c r="AH153">
        <v>1.49</v>
      </c>
      <c r="AI153">
        <v>0</v>
      </c>
    </row>
    <row r="154" spans="1:35" x14ac:dyDescent="0.35">
      <c r="A154">
        <v>1181.01</v>
      </c>
      <c r="B154" t="s">
        <v>566</v>
      </c>
      <c r="C154" t="s">
        <v>214</v>
      </c>
      <c r="D154" t="s">
        <v>567</v>
      </c>
      <c r="E154" t="s">
        <v>566</v>
      </c>
      <c r="F154"/>
      <c r="G154">
        <v>0</v>
      </c>
      <c r="H154"/>
      <c r="T154">
        <v>1</v>
      </c>
      <c r="U154">
        <v>0.1</v>
      </c>
      <c r="Z154">
        <v>0.01</v>
      </c>
      <c r="AA154">
        <v>0</v>
      </c>
      <c r="AB154">
        <v>0</v>
      </c>
      <c r="AC154">
        <v>0</v>
      </c>
      <c r="AD154">
        <v>0.02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>
        <v>1181.02</v>
      </c>
      <c r="B155" t="s">
        <v>568</v>
      </c>
      <c r="C155" t="s">
        <v>402</v>
      </c>
      <c r="D155">
        <v>11002</v>
      </c>
      <c r="E155" t="s">
        <v>569</v>
      </c>
      <c r="F155"/>
      <c r="G155">
        <v>0</v>
      </c>
      <c r="H155"/>
      <c r="T155">
        <v>10</v>
      </c>
      <c r="U155">
        <v>1.1000000000000001</v>
      </c>
      <c r="Z155">
        <v>0.14000000000000001</v>
      </c>
      <c r="AA155">
        <v>45</v>
      </c>
      <c r="AB155">
        <v>6.7</v>
      </c>
      <c r="AC155">
        <v>0.03</v>
      </c>
      <c r="AD155">
        <v>0.04</v>
      </c>
      <c r="AE155">
        <v>0</v>
      </c>
      <c r="AF155">
        <v>10.34</v>
      </c>
      <c r="AG155">
        <v>1</v>
      </c>
      <c r="AH155">
        <v>0</v>
      </c>
      <c r="AI155">
        <v>0</v>
      </c>
    </row>
    <row r="156" spans="1:35" x14ac:dyDescent="0.35">
      <c r="A156">
        <v>1181.03</v>
      </c>
      <c r="B156" t="s">
        <v>570</v>
      </c>
      <c r="C156" t="s">
        <v>218</v>
      </c>
      <c r="D156">
        <v>19336</v>
      </c>
      <c r="E156" t="s">
        <v>571</v>
      </c>
      <c r="F156"/>
      <c r="G156">
        <v>0</v>
      </c>
      <c r="H156"/>
      <c r="T156">
        <v>1</v>
      </c>
      <c r="U156">
        <v>0.06</v>
      </c>
      <c r="Z156">
        <v>0.01</v>
      </c>
      <c r="AA156">
        <v>0</v>
      </c>
      <c r="AB156">
        <v>0</v>
      </c>
      <c r="AC156">
        <v>0</v>
      </c>
      <c r="AD156">
        <v>1.9E-2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>
        <v>1181.0899999999999</v>
      </c>
      <c r="B157" t="s">
        <v>572</v>
      </c>
      <c r="C157" t="s">
        <v>402</v>
      </c>
      <c r="D157">
        <v>11002</v>
      </c>
      <c r="E157" t="s">
        <v>569</v>
      </c>
      <c r="F157"/>
      <c r="G157">
        <v>0</v>
      </c>
      <c r="H157"/>
      <c r="T157">
        <v>10</v>
      </c>
      <c r="U157">
        <v>1.1000000000000001</v>
      </c>
      <c r="Z157">
        <v>0.14000000000000001</v>
      </c>
      <c r="AA157">
        <v>45</v>
      </c>
      <c r="AB157">
        <v>6.7</v>
      </c>
      <c r="AC157">
        <v>0.03</v>
      </c>
      <c r="AD157">
        <v>0.04</v>
      </c>
      <c r="AE157">
        <v>0</v>
      </c>
      <c r="AF157">
        <v>10.34</v>
      </c>
      <c r="AG157">
        <v>1</v>
      </c>
      <c r="AH157">
        <v>0</v>
      </c>
      <c r="AI157">
        <v>0</v>
      </c>
    </row>
    <row r="158" spans="1:35" x14ac:dyDescent="0.35">
      <c r="A158">
        <v>1182.01</v>
      </c>
      <c r="B158" t="s">
        <v>573</v>
      </c>
      <c r="C158" t="s">
        <v>214</v>
      </c>
      <c r="D158" t="s">
        <v>574</v>
      </c>
      <c r="E158" t="s">
        <v>573</v>
      </c>
      <c r="F158"/>
      <c r="G158">
        <v>0</v>
      </c>
      <c r="H158"/>
      <c r="T158">
        <v>9</v>
      </c>
      <c r="U158">
        <v>0.5</v>
      </c>
      <c r="Z158">
        <v>0.22</v>
      </c>
      <c r="AA158">
        <v>2</v>
      </c>
      <c r="AB158">
        <v>0.5</v>
      </c>
      <c r="AC158">
        <v>0</v>
      </c>
      <c r="AD158">
        <v>0.04</v>
      </c>
      <c r="AE158">
        <v>0</v>
      </c>
      <c r="AF158">
        <v>0</v>
      </c>
      <c r="AG158">
        <v>0</v>
      </c>
      <c r="AH158">
        <v>0.02</v>
      </c>
      <c r="AI158">
        <v>0</v>
      </c>
    </row>
    <row r="159" spans="1:35" x14ac:dyDescent="0.35">
      <c r="A159">
        <v>1182.02</v>
      </c>
      <c r="B159" t="s">
        <v>575</v>
      </c>
      <c r="C159" t="s">
        <v>218</v>
      </c>
      <c r="D159">
        <v>19297</v>
      </c>
      <c r="E159" t="s">
        <v>576</v>
      </c>
      <c r="F159"/>
      <c r="G159">
        <v>0</v>
      </c>
      <c r="H159"/>
      <c r="T159">
        <v>20</v>
      </c>
      <c r="U159">
        <v>0.49</v>
      </c>
      <c r="Z159">
        <v>0.06</v>
      </c>
      <c r="AA159">
        <v>11</v>
      </c>
      <c r="AB159">
        <v>8.8000000000000007</v>
      </c>
      <c r="AC159">
        <v>1.6E-2</v>
      </c>
      <c r="AD159">
        <v>7.5999999999999998E-2</v>
      </c>
      <c r="AE159">
        <v>0</v>
      </c>
      <c r="AF159">
        <v>0</v>
      </c>
      <c r="AG159">
        <v>0</v>
      </c>
      <c r="AH159">
        <v>0.02</v>
      </c>
      <c r="AI159">
        <v>0</v>
      </c>
    </row>
    <row r="160" spans="1:35" x14ac:dyDescent="0.35">
      <c r="A160">
        <v>1183.01</v>
      </c>
      <c r="B160" t="s">
        <v>577</v>
      </c>
      <c r="C160" t="s">
        <v>218</v>
      </c>
      <c r="D160">
        <v>19081</v>
      </c>
      <c r="E160" t="s">
        <v>578</v>
      </c>
      <c r="F160"/>
      <c r="G160">
        <v>0</v>
      </c>
      <c r="H160"/>
      <c r="T160">
        <v>24</v>
      </c>
      <c r="U160">
        <v>2.76</v>
      </c>
      <c r="Z160">
        <v>1.5</v>
      </c>
      <c r="AA160">
        <v>3</v>
      </c>
      <c r="AB160">
        <v>0</v>
      </c>
      <c r="AC160">
        <v>0.02</v>
      </c>
      <c r="AD160">
        <v>0.24</v>
      </c>
      <c r="AE160">
        <v>0</v>
      </c>
      <c r="AF160">
        <v>0</v>
      </c>
      <c r="AG160">
        <v>0</v>
      </c>
      <c r="AH160">
        <v>4.2999999999999997E-2</v>
      </c>
      <c r="AI160">
        <v>0</v>
      </c>
    </row>
    <row r="161" spans="1:35" x14ac:dyDescent="0.35">
      <c r="A161">
        <v>1184.01</v>
      </c>
      <c r="B161" t="s">
        <v>579</v>
      </c>
      <c r="C161" t="s">
        <v>218</v>
      </c>
      <c r="D161">
        <v>19074</v>
      </c>
      <c r="E161" t="s">
        <v>580</v>
      </c>
      <c r="F161"/>
      <c r="G161">
        <v>0</v>
      </c>
      <c r="H161"/>
      <c r="T161">
        <v>138</v>
      </c>
      <c r="U161">
        <v>0.14000000000000001</v>
      </c>
      <c r="Z161">
        <v>0.44</v>
      </c>
      <c r="AA161">
        <v>4</v>
      </c>
      <c r="AB161">
        <v>0.4</v>
      </c>
      <c r="AC161">
        <v>0.10299999999999999</v>
      </c>
      <c r="AD161">
        <v>0.25600000000000001</v>
      </c>
      <c r="AE161">
        <v>11</v>
      </c>
      <c r="AF161">
        <v>2</v>
      </c>
      <c r="AG161">
        <v>12</v>
      </c>
      <c r="AH161">
        <v>5.5999999999999897E-2</v>
      </c>
      <c r="AI161">
        <v>0.3</v>
      </c>
    </row>
    <row r="162" spans="1:35" x14ac:dyDescent="0.35">
      <c r="A162">
        <v>1185.01</v>
      </c>
      <c r="B162" t="s">
        <v>581</v>
      </c>
      <c r="C162" t="s">
        <v>214</v>
      </c>
      <c r="D162" t="s">
        <v>363</v>
      </c>
      <c r="E162" t="s">
        <v>364</v>
      </c>
      <c r="F162"/>
      <c r="G162">
        <v>0</v>
      </c>
      <c r="H162"/>
      <c r="T162">
        <v>104</v>
      </c>
      <c r="U162">
        <v>0.04</v>
      </c>
      <c r="Z162">
        <v>0.37</v>
      </c>
      <c r="AA162">
        <v>12</v>
      </c>
      <c r="AB162">
        <v>1</v>
      </c>
      <c r="AC162">
        <v>0.04</v>
      </c>
      <c r="AD162">
        <v>0.19</v>
      </c>
      <c r="AE162">
        <v>115</v>
      </c>
      <c r="AF162">
        <v>59</v>
      </c>
      <c r="AG162">
        <v>120</v>
      </c>
      <c r="AH162">
        <v>0.05</v>
      </c>
      <c r="AI162">
        <v>0.4</v>
      </c>
    </row>
    <row r="163" spans="1:35" x14ac:dyDescent="0.35">
      <c r="A163">
        <v>1186.99</v>
      </c>
      <c r="B163" t="s">
        <v>582</v>
      </c>
      <c r="C163" t="s">
        <v>218</v>
      </c>
      <c r="D163">
        <v>19906</v>
      </c>
      <c r="E163" t="s">
        <v>583</v>
      </c>
      <c r="F163"/>
      <c r="G163">
        <v>0</v>
      </c>
      <c r="H163"/>
      <c r="T163">
        <v>63</v>
      </c>
      <c r="U163">
        <v>1.64</v>
      </c>
      <c r="Z163">
        <v>0.08</v>
      </c>
      <c r="AA163">
        <v>0</v>
      </c>
      <c r="AB163">
        <v>0</v>
      </c>
      <c r="AC163">
        <v>1.4999999999999999E-2</v>
      </c>
      <c r="AD163">
        <v>1.4999999999999999E-2</v>
      </c>
      <c r="AE163">
        <v>0</v>
      </c>
      <c r="AF163">
        <v>0</v>
      </c>
      <c r="AG163">
        <v>0</v>
      </c>
      <c r="AH163">
        <v>0.04</v>
      </c>
      <c r="AI163">
        <v>0</v>
      </c>
    </row>
    <row r="164" spans="1:35" x14ac:dyDescent="0.35">
      <c r="A164">
        <v>1191.01</v>
      </c>
      <c r="B164" t="s">
        <v>584</v>
      </c>
      <c r="C164" t="s">
        <v>218</v>
      </c>
      <c r="D164">
        <v>43598</v>
      </c>
      <c r="E164" t="s">
        <v>585</v>
      </c>
      <c r="F164"/>
      <c r="G164">
        <v>0</v>
      </c>
      <c r="H164"/>
      <c r="T164">
        <v>7</v>
      </c>
      <c r="U164">
        <v>0.23</v>
      </c>
      <c r="Z164">
        <v>0.13</v>
      </c>
      <c r="AA164">
        <v>0</v>
      </c>
      <c r="AB164">
        <v>0</v>
      </c>
      <c r="AC164">
        <v>0.01</v>
      </c>
      <c r="AD164">
        <v>0.06</v>
      </c>
      <c r="AE164">
        <v>0</v>
      </c>
      <c r="AF164">
        <v>0</v>
      </c>
      <c r="AG164">
        <v>0</v>
      </c>
      <c r="AH164">
        <v>0.01</v>
      </c>
      <c r="AI164">
        <v>0</v>
      </c>
    </row>
    <row r="165" spans="1:35" x14ac:dyDescent="0.35">
      <c r="A165">
        <v>1191.02</v>
      </c>
      <c r="B165" t="s">
        <v>586</v>
      </c>
      <c r="C165" t="s">
        <v>218</v>
      </c>
      <c r="D165">
        <v>6973</v>
      </c>
      <c r="E165" t="s">
        <v>587</v>
      </c>
      <c r="F165"/>
      <c r="G165">
        <v>0</v>
      </c>
      <c r="H165"/>
      <c r="T165">
        <v>20</v>
      </c>
      <c r="U165">
        <v>0.8</v>
      </c>
      <c r="Z165">
        <v>0.16</v>
      </c>
      <c r="AA165">
        <v>10</v>
      </c>
      <c r="AB165">
        <v>16</v>
      </c>
      <c r="AC165">
        <v>0.09</v>
      </c>
      <c r="AD165">
        <v>7.0000000000000007E-2</v>
      </c>
      <c r="AE165">
        <v>0</v>
      </c>
      <c r="AF165">
        <v>119</v>
      </c>
      <c r="AG165">
        <v>10</v>
      </c>
      <c r="AH165">
        <v>0.16</v>
      </c>
      <c r="AI165">
        <v>0</v>
      </c>
    </row>
    <row r="166" spans="1:35" x14ac:dyDescent="0.35">
      <c r="A166">
        <v>1191.03</v>
      </c>
      <c r="B166" t="s">
        <v>588</v>
      </c>
      <c r="C166" t="s">
        <v>214</v>
      </c>
      <c r="D166" t="s">
        <v>589</v>
      </c>
      <c r="E166" t="s">
        <v>588</v>
      </c>
      <c r="F166"/>
      <c r="G166">
        <v>0</v>
      </c>
      <c r="H166"/>
      <c r="T166">
        <v>12</v>
      </c>
      <c r="U166">
        <v>0.5</v>
      </c>
      <c r="Z166">
        <v>0.01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>
        <v>1191.08</v>
      </c>
      <c r="B167" t="s">
        <v>590</v>
      </c>
      <c r="C167" t="s">
        <v>218</v>
      </c>
      <c r="D167">
        <v>43599</v>
      </c>
      <c r="E167" t="s">
        <v>591</v>
      </c>
      <c r="F167"/>
      <c r="G167">
        <v>0</v>
      </c>
      <c r="H167"/>
      <c r="T167">
        <v>14</v>
      </c>
      <c r="U167">
        <v>0.2</v>
      </c>
      <c r="Z167">
        <v>0.18</v>
      </c>
      <c r="AA167">
        <v>0</v>
      </c>
      <c r="AB167">
        <v>0</v>
      </c>
      <c r="AC167">
        <v>1.2999999999999999E-2</v>
      </c>
      <c r="AD167">
        <v>2.4E-2</v>
      </c>
      <c r="AE167">
        <v>12</v>
      </c>
      <c r="AF167">
        <v>94</v>
      </c>
      <c r="AG167">
        <v>21</v>
      </c>
      <c r="AH167">
        <v>1.7000000000000001E-2</v>
      </c>
      <c r="AI167">
        <v>0.21</v>
      </c>
    </row>
    <row r="168" spans="1:35" x14ac:dyDescent="0.35">
      <c r="A168">
        <v>1192.01</v>
      </c>
      <c r="B168" t="s">
        <v>592</v>
      </c>
      <c r="C168" t="s">
        <v>214</v>
      </c>
      <c r="D168" t="s">
        <v>593</v>
      </c>
      <c r="E168" t="s">
        <v>592</v>
      </c>
      <c r="F168"/>
      <c r="G168">
        <v>0</v>
      </c>
      <c r="H168"/>
      <c r="T168">
        <v>216</v>
      </c>
      <c r="U168">
        <v>1.2</v>
      </c>
      <c r="Z168">
        <v>0.1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>
        <v>1192.02</v>
      </c>
      <c r="B169" t="s">
        <v>594</v>
      </c>
      <c r="C169" t="s">
        <v>214</v>
      </c>
      <c r="D169" t="s">
        <v>595</v>
      </c>
      <c r="E169" t="s">
        <v>596</v>
      </c>
      <c r="F169"/>
      <c r="G169">
        <v>0</v>
      </c>
      <c r="H169"/>
      <c r="T169">
        <v>661</v>
      </c>
      <c r="U169">
        <v>7.1</v>
      </c>
      <c r="Z169">
        <v>1.01</v>
      </c>
      <c r="AA169">
        <v>36</v>
      </c>
      <c r="AB169">
        <v>39.200000000000003</v>
      </c>
      <c r="AC169">
        <v>0.1</v>
      </c>
      <c r="AD169">
        <v>0.06</v>
      </c>
      <c r="AE169">
        <v>0</v>
      </c>
      <c r="AF169">
        <v>324</v>
      </c>
      <c r="AG169">
        <v>27</v>
      </c>
      <c r="AH169">
        <v>0.21</v>
      </c>
      <c r="AI169">
        <v>0</v>
      </c>
    </row>
    <row r="170" spans="1:35" x14ac:dyDescent="0.35">
      <c r="A170">
        <v>1192.03</v>
      </c>
      <c r="B170" t="s">
        <v>597</v>
      </c>
      <c r="C170" t="s">
        <v>214</v>
      </c>
      <c r="D170" t="s">
        <v>598</v>
      </c>
      <c r="E170" t="s">
        <v>599</v>
      </c>
      <c r="F170"/>
      <c r="G170">
        <v>0.13</v>
      </c>
      <c r="H170"/>
      <c r="T170">
        <v>32</v>
      </c>
      <c r="U170">
        <v>1.6</v>
      </c>
      <c r="Z170">
        <v>0.79</v>
      </c>
      <c r="AA170">
        <v>0.45</v>
      </c>
      <c r="AB170">
        <v>0.3</v>
      </c>
      <c r="AC170">
        <v>0.17</v>
      </c>
      <c r="AD170">
        <v>0.06</v>
      </c>
      <c r="AE170">
        <v>0</v>
      </c>
      <c r="AF170">
        <v>0</v>
      </c>
      <c r="AG170">
        <v>0</v>
      </c>
      <c r="AH170">
        <v>0.17</v>
      </c>
      <c r="AI170">
        <v>1.2</v>
      </c>
    </row>
    <row r="171" spans="1:35" x14ac:dyDescent="0.35">
      <c r="A171">
        <v>1193.02</v>
      </c>
      <c r="B171" t="s">
        <v>600</v>
      </c>
      <c r="C171" t="s">
        <v>214</v>
      </c>
      <c r="D171" t="s">
        <v>601</v>
      </c>
      <c r="E171" t="s">
        <v>602</v>
      </c>
      <c r="F171"/>
      <c r="G171">
        <v>0</v>
      </c>
      <c r="H171"/>
      <c r="T171">
        <v>80</v>
      </c>
      <c r="U171">
        <v>20</v>
      </c>
      <c r="Z171">
        <v>8</v>
      </c>
      <c r="AA171">
        <v>4000</v>
      </c>
      <c r="AB171">
        <v>0</v>
      </c>
      <c r="AC171">
        <v>2.33</v>
      </c>
      <c r="AD171">
        <v>4</v>
      </c>
      <c r="AE171">
        <v>0</v>
      </c>
      <c r="AF171">
        <v>0</v>
      </c>
      <c r="AG171">
        <v>0</v>
      </c>
      <c r="AH171">
        <v>2</v>
      </c>
      <c r="AI171">
        <v>0</v>
      </c>
    </row>
    <row r="172" spans="1:35" x14ac:dyDescent="0.35">
      <c r="A172">
        <v>1193.05</v>
      </c>
      <c r="B172" t="s">
        <v>603</v>
      </c>
      <c r="C172" t="s">
        <v>218</v>
      </c>
      <c r="D172">
        <v>18969</v>
      </c>
      <c r="E172" t="s">
        <v>604</v>
      </c>
      <c r="F172"/>
      <c r="G172">
        <v>0</v>
      </c>
      <c r="H172"/>
      <c r="T172">
        <v>35</v>
      </c>
      <c r="U172">
        <v>0.95</v>
      </c>
      <c r="Z172">
        <v>0.45</v>
      </c>
      <c r="AA172">
        <v>66</v>
      </c>
      <c r="AB172">
        <v>0</v>
      </c>
      <c r="AC172">
        <v>0.26300000000000001</v>
      </c>
      <c r="AD172">
        <v>0.24099999999999999</v>
      </c>
      <c r="AE172">
        <v>22</v>
      </c>
      <c r="AF172">
        <v>1</v>
      </c>
      <c r="AG172">
        <v>23</v>
      </c>
      <c r="AH172">
        <v>4.0999999999999898E-2</v>
      </c>
      <c r="AI172">
        <v>0.17</v>
      </c>
    </row>
    <row r="173" spans="1:35" x14ac:dyDescent="0.35">
      <c r="A173">
        <v>1193.06</v>
      </c>
      <c r="B173" t="s">
        <v>605</v>
      </c>
      <c r="C173" t="s">
        <v>218</v>
      </c>
      <c r="D173">
        <v>6147</v>
      </c>
      <c r="E173" t="s">
        <v>606</v>
      </c>
      <c r="F173"/>
      <c r="G173">
        <v>0</v>
      </c>
      <c r="H173"/>
      <c r="T173">
        <v>4</v>
      </c>
      <c r="U173">
        <v>0.7</v>
      </c>
      <c r="Z173">
        <v>1.1000000000000001</v>
      </c>
      <c r="AA173">
        <v>7</v>
      </c>
      <c r="AB173">
        <v>0</v>
      </c>
      <c r="AC173">
        <v>0.02</v>
      </c>
      <c r="AD173">
        <v>0.06</v>
      </c>
      <c r="AE173">
        <v>0</v>
      </c>
      <c r="AF173">
        <v>0</v>
      </c>
      <c r="AG173">
        <v>0</v>
      </c>
      <c r="AH173">
        <v>0.04</v>
      </c>
      <c r="AI173">
        <v>0.16</v>
      </c>
    </row>
    <row r="174" spans="1:35" x14ac:dyDescent="0.35">
      <c r="A174">
        <v>1193.07</v>
      </c>
      <c r="B174" t="s">
        <v>607</v>
      </c>
      <c r="C174" t="s">
        <v>218</v>
      </c>
      <c r="D174">
        <v>6147</v>
      </c>
      <c r="E174" t="s">
        <v>606</v>
      </c>
      <c r="F174"/>
      <c r="G174">
        <v>0</v>
      </c>
      <c r="H174"/>
      <c r="T174">
        <v>4</v>
      </c>
      <c r="U174">
        <v>0.7</v>
      </c>
      <c r="Z174">
        <v>1.1000000000000001</v>
      </c>
      <c r="AA174">
        <v>7</v>
      </c>
      <c r="AB174">
        <v>0</v>
      </c>
      <c r="AC174">
        <v>0.02</v>
      </c>
      <c r="AD174">
        <v>0.06</v>
      </c>
      <c r="AE174">
        <v>0</v>
      </c>
      <c r="AF174">
        <v>0</v>
      </c>
      <c r="AG174">
        <v>0</v>
      </c>
      <c r="AH174">
        <v>0.04</v>
      </c>
      <c r="AI174">
        <v>0.16</v>
      </c>
    </row>
    <row r="175" spans="1:35" x14ac:dyDescent="0.35">
      <c r="A175">
        <v>1195.99</v>
      </c>
      <c r="B175" t="s">
        <v>608</v>
      </c>
      <c r="C175" t="s">
        <v>218</v>
      </c>
      <c r="D175">
        <v>6147</v>
      </c>
      <c r="E175" t="s">
        <v>606</v>
      </c>
      <c r="F175"/>
      <c r="G175">
        <v>0</v>
      </c>
      <c r="H175"/>
      <c r="T175">
        <v>4</v>
      </c>
      <c r="U175">
        <v>0.7</v>
      </c>
      <c r="Z175">
        <v>1.1000000000000001</v>
      </c>
      <c r="AA175">
        <v>7</v>
      </c>
      <c r="AB175">
        <v>0</v>
      </c>
      <c r="AC175">
        <v>0.02</v>
      </c>
      <c r="AD175">
        <v>0.06</v>
      </c>
      <c r="AE175">
        <v>0</v>
      </c>
      <c r="AF175">
        <v>0</v>
      </c>
      <c r="AG175">
        <v>0</v>
      </c>
      <c r="AH175">
        <v>0.04</v>
      </c>
      <c r="AI175">
        <v>0.16</v>
      </c>
    </row>
    <row r="176" spans="1:35" x14ac:dyDescent="0.35">
      <c r="A176">
        <v>1211.01</v>
      </c>
      <c r="B176" t="s">
        <v>609</v>
      </c>
      <c r="C176" t="s">
        <v>214</v>
      </c>
      <c r="D176" t="s">
        <v>610</v>
      </c>
      <c r="E176" t="s">
        <v>611</v>
      </c>
      <c r="F176" t="s">
        <v>109</v>
      </c>
      <c r="G176">
        <v>0</v>
      </c>
      <c r="H176"/>
      <c r="T176">
        <v>146</v>
      </c>
      <c r="U176">
        <v>4.4000000000000004</v>
      </c>
      <c r="Z176">
        <v>0.73</v>
      </c>
      <c r="AA176">
        <v>2</v>
      </c>
      <c r="AB176">
        <v>0</v>
      </c>
      <c r="AC176">
        <v>0.02</v>
      </c>
      <c r="AD176">
        <v>0.08</v>
      </c>
      <c r="AE176">
        <v>0</v>
      </c>
      <c r="AF176">
        <v>0</v>
      </c>
      <c r="AG176">
        <v>0</v>
      </c>
      <c r="AH176">
        <v>0.03</v>
      </c>
      <c r="AI176">
        <v>0</v>
      </c>
    </row>
    <row r="177" spans="1:35" x14ac:dyDescent="0.35">
      <c r="A177">
        <v>1212.01</v>
      </c>
      <c r="B177" t="s">
        <v>612</v>
      </c>
      <c r="C177" t="s">
        <v>214</v>
      </c>
      <c r="D177" t="s">
        <v>613</v>
      </c>
      <c r="E177" t="s">
        <v>614</v>
      </c>
      <c r="F177" t="s">
        <v>109</v>
      </c>
      <c r="G177">
        <v>0</v>
      </c>
      <c r="H177"/>
      <c r="T177">
        <v>7</v>
      </c>
      <c r="U177">
        <v>0.2</v>
      </c>
      <c r="Z177">
        <v>0.08</v>
      </c>
      <c r="AA177">
        <v>14</v>
      </c>
      <c r="AB177">
        <v>40.6</v>
      </c>
      <c r="AC177">
        <v>0.03</v>
      </c>
      <c r="AD177">
        <v>0.01</v>
      </c>
      <c r="AE177">
        <v>0</v>
      </c>
      <c r="AF177">
        <v>7</v>
      </c>
      <c r="AG177">
        <v>1</v>
      </c>
      <c r="AH177">
        <v>0.05</v>
      </c>
      <c r="AI177">
        <v>0</v>
      </c>
    </row>
    <row r="178" spans="1:35" x14ac:dyDescent="0.35">
      <c r="A178">
        <v>1213.01</v>
      </c>
      <c r="B178" t="s">
        <v>615</v>
      </c>
      <c r="C178" t="s">
        <v>214</v>
      </c>
      <c r="D178" t="s">
        <v>613</v>
      </c>
      <c r="E178" t="s">
        <v>614</v>
      </c>
      <c r="F178" t="s">
        <v>109</v>
      </c>
      <c r="G178">
        <v>0</v>
      </c>
      <c r="H178"/>
      <c r="T178">
        <v>7</v>
      </c>
      <c r="U178">
        <v>0.2</v>
      </c>
      <c r="Z178">
        <v>0.08</v>
      </c>
      <c r="AA178">
        <v>14</v>
      </c>
      <c r="AB178">
        <v>40.6</v>
      </c>
      <c r="AC178">
        <v>0.03</v>
      </c>
      <c r="AD178">
        <v>0.01</v>
      </c>
      <c r="AE178">
        <v>0</v>
      </c>
      <c r="AF178">
        <v>7</v>
      </c>
      <c r="AG178">
        <v>1</v>
      </c>
      <c r="AH178">
        <v>0.05</v>
      </c>
      <c r="AI178">
        <v>0</v>
      </c>
    </row>
    <row r="179" spans="1:35" x14ac:dyDescent="0.35">
      <c r="A179">
        <v>1219.99</v>
      </c>
      <c r="B179" t="s">
        <v>616</v>
      </c>
      <c r="C179" t="s">
        <v>214</v>
      </c>
      <c r="D179" t="s">
        <v>613</v>
      </c>
      <c r="E179" t="s">
        <v>614</v>
      </c>
      <c r="F179" t="s">
        <v>109</v>
      </c>
      <c r="G179">
        <v>0</v>
      </c>
      <c r="H179"/>
      <c r="T179">
        <v>7</v>
      </c>
      <c r="U179">
        <v>0.2</v>
      </c>
      <c r="Z179">
        <v>0.08</v>
      </c>
      <c r="AA179">
        <v>14</v>
      </c>
      <c r="AB179">
        <v>40.6</v>
      </c>
      <c r="AC179">
        <v>0.03</v>
      </c>
      <c r="AD179">
        <v>0.01</v>
      </c>
      <c r="AE179">
        <v>0</v>
      </c>
      <c r="AF179">
        <v>7</v>
      </c>
      <c r="AG179">
        <v>1</v>
      </c>
      <c r="AH179">
        <v>0.05</v>
      </c>
      <c r="AI179">
        <v>0</v>
      </c>
    </row>
    <row r="180" spans="1:35" x14ac:dyDescent="0.35">
      <c r="A180">
        <v>1221.01</v>
      </c>
      <c r="B180" t="s">
        <v>617</v>
      </c>
      <c r="C180" t="s">
        <v>214</v>
      </c>
      <c r="D180" t="s">
        <v>618</v>
      </c>
      <c r="E180" t="s">
        <v>619</v>
      </c>
      <c r="F180" t="s">
        <v>109</v>
      </c>
      <c r="G180">
        <v>0</v>
      </c>
      <c r="H180"/>
      <c r="T180">
        <v>1</v>
      </c>
      <c r="U180">
        <v>0</v>
      </c>
      <c r="Z180">
        <v>0.01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>
        <v>1222.01</v>
      </c>
      <c r="B181" t="s">
        <v>620</v>
      </c>
      <c r="C181" t="s">
        <v>214</v>
      </c>
      <c r="D181" t="s">
        <v>621</v>
      </c>
      <c r="E181" t="s">
        <v>622</v>
      </c>
      <c r="F181" t="s">
        <v>109</v>
      </c>
      <c r="G181">
        <v>0</v>
      </c>
      <c r="H181"/>
      <c r="T181">
        <v>12</v>
      </c>
      <c r="U181">
        <v>0.3</v>
      </c>
      <c r="Z181">
        <v>0.05</v>
      </c>
      <c r="AA181">
        <v>34</v>
      </c>
      <c r="AB181">
        <v>42.7</v>
      </c>
      <c r="AC181">
        <v>0.08</v>
      </c>
      <c r="AD181">
        <v>0.03</v>
      </c>
      <c r="AE181">
        <v>0</v>
      </c>
      <c r="AF181">
        <v>100</v>
      </c>
      <c r="AG181">
        <v>8</v>
      </c>
      <c r="AH181">
        <v>0.06</v>
      </c>
      <c r="AI181">
        <v>0</v>
      </c>
    </row>
    <row r="182" spans="1:35" x14ac:dyDescent="0.35">
      <c r="A182">
        <v>1222.99</v>
      </c>
      <c r="B182" t="s">
        <v>623</v>
      </c>
      <c r="C182" t="s">
        <v>214</v>
      </c>
      <c r="D182" t="s">
        <v>621</v>
      </c>
      <c r="E182" t="s">
        <v>622</v>
      </c>
      <c r="F182" t="s">
        <v>109</v>
      </c>
      <c r="G182">
        <v>0</v>
      </c>
      <c r="H182"/>
      <c r="T182">
        <v>12</v>
      </c>
      <c r="U182">
        <v>0.3</v>
      </c>
      <c r="Z182">
        <v>0.05</v>
      </c>
      <c r="AA182">
        <v>34</v>
      </c>
      <c r="AB182">
        <v>42.7</v>
      </c>
      <c r="AC182">
        <v>0.08</v>
      </c>
      <c r="AD182">
        <v>0.03</v>
      </c>
      <c r="AE182">
        <v>0</v>
      </c>
      <c r="AF182">
        <v>100</v>
      </c>
      <c r="AG182">
        <v>8</v>
      </c>
      <c r="AH182">
        <v>0.06</v>
      </c>
      <c r="AI182">
        <v>0</v>
      </c>
    </row>
    <row r="183" spans="1:35" x14ac:dyDescent="0.35">
      <c r="A183">
        <v>1223.01</v>
      </c>
      <c r="B183" t="s">
        <v>624</v>
      </c>
      <c r="C183" t="s">
        <v>214</v>
      </c>
      <c r="D183" t="s">
        <v>621</v>
      </c>
      <c r="E183" t="s">
        <v>622</v>
      </c>
      <c r="F183" t="s">
        <v>109</v>
      </c>
      <c r="G183">
        <v>0</v>
      </c>
      <c r="H183"/>
      <c r="T183">
        <v>12</v>
      </c>
      <c r="U183">
        <v>0.3</v>
      </c>
      <c r="Z183">
        <v>0.05</v>
      </c>
      <c r="AA183">
        <v>34</v>
      </c>
      <c r="AB183">
        <v>42.7</v>
      </c>
      <c r="AC183">
        <v>0.08</v>
      </c>
      <c r="AD183">
        <v>0.03</v>
      </c>
      <c r="AE183">
        <v>0</v>
      </c>
      <c r="AF183">
        <v>100</v>
      </c>
      <c r="AG183">
        <v>8</v>
      </c>
      <c r="AH183">
        <v>0.06</v>
      </c>
      <c r="AI183">
        <v>0</v>
      </c>
    </row>
    <row r="184" spans="1:35" x14ac:dyDescent="0.35">
      <c r="A184">
        <v>1223.02</v>
      </c>
      <c r="B184" t="s">
        <v>625</v>
      </c>
      <c r="C184" t="s">
        <v>214</v>
      </c>
      <c r="D184" t="s">
        <v>626</v>
      </c>
      <c r="E184" t="s">
        <v>627</v>
      </c>
      <c r="F184" t="s">
        <v>348</v>
      </c>
      <c r="G184">
        <v>0</v>
      </c>
      <c r="H184"/>
      <c r="T184">
        <v>1</v>
      </c>
      <c r="U184">
        <v>0.04</v>
      </c>
      <c r="Z184">
        <v>0.06</v>
      </c>
      <c r="AA184">
        <v>1</v>
      </c>
      <c r="AB184">
        <v>0</v>
      </c>
      <c r="AC184">
        <v>0.01</v>
      </c>
      <c r="AD184">
        <v>0.02</v>
      </c>
      <c r="AE184">
        <v>0</v>
      </c>
      <c r="AF184">
        <v>0</v>
      </c>
      <c r="AG184">
        <v>0</v>
      </c>
      <c r="AH184">
        <v>0.01</v>
      </c>
      <c r="AI184">
        <v>0</v>
      </c>
    </row>
    <row r="185" spans="1:35" x14ac:dyDescent="0.35">
      <c r="A185">
        <v>1223.99</v>
      </c>
      <c r="B185" t="s">
        <v>628</v>
      </c>
      <c r="C185" t="s">
        <v>214</v>
      </c>
      <c r="D185" t="s">
        <v>621</v>
      </c>
      <c r="E185" t="s">
        <v>622</v>
      </c>
      <c r="F185" t="s">
        <v>109</v>
      </c>
      <c r="G185">
        <v>0</v>
      </c>
      <c r="H185"/>
      <c r="T185">
        <v>12</v>
      </c>
      <c r="U185">
        <v>0.3</v>
      </c>
      <c r="Z185">
        <v>0.05</v>
      </c>
      <c r="AA185">
        <v>34</v>
      </c>
      <c r="AB185">
        <v>42.7</v>
      </c>
      <c r="AC185">
        <v>0.08</v>
      </c>
      <c r="AD185">
        <v>0.03</v>
      </c>
      <c r="AE185">
        <v>0</v>
      </c>
      <c r="AF185">
        <v>100</v>
      </c>
      <c r="AG185">
        <v>8</v>
      </c>
      <c r="AH185">
        <v>0.06</v>
      </c>
      <c r="AI185">
        <v>0</v>
      </c>
    </row>
    <row r="186" spans="1:35" x14ac:dyDescent="0.35">
      <c r="A186">
        <v>2111.04</v>
      </c>
      <c r="B186" t="s">
        <v>629</v>
      </c>
      <c r="C186" t="s">
        <v>214</v>
      </c>
      <c r="D186" t="s">
        <v>630</v>
      </c>
      <c r="E186" t="s">
        <v>631</v>
      </c>
      <c r="F186"/>
      <c r="G186">
        <v>0</v>
      </c>
      <c r="H186"/>
      <c r="T186">
        <v>8</v>
      </c>
      <c r="U186">
        <v>0.2</v>
      </c>
      <c r="Z186">
        <v>0.14000000000000001</v>
      </c>
      <c r="AA186">
        <v>0</v>
      </c>
      <c r="AB186">
        <v>0</v>
      </c>
      <c r="AC186">
        <v>0.02</v>
      </c>
      <c r="AD186">
        <v>0.04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>
        <v>2121.0100000000002</v>
      </c>
      <c r="B187" t="s">
        <v>632</v>
      </c>
      <c r="C187" t="s">
        <v>214</v>
      </c>
      <c r="D187" t="s">
        <v>633</v>
      </c>
      <c r="E187" t="s">
        <v>634</v>
      </c>
      <c r="F187"/>
      <c r="G187">
        <v>0</v>
      </c>
      <c r="H187"/>
      <c r="T187">
        <v>2</v>
      </c>
      <c r="U187">
        <v>0.5</v>
      </c>
      <c r="Z187">
        <v>0</v>
      </c>
      <c r="AA187">
        <v>0</v>
      </c>
      <c r="AB187">
        <v>4</v>
      </c>
      <c r="AC187">
        <v>0.03</v>
      </c>
      <c r="AD187">
        <v>0.01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>
        <v>2129.9899999999998</v>
      </c>
      <c r="B188" t="s">
        <v>635</v>
      </c>
      <c r="C188" t="s">
        <v>214</v>
      </c>
      <c r="D188" t="s">
        <v>636</v>
      </c>
      <c r="E188" t="s">
        <v>637</v>
      </c>
      <c r="F188"/>
      <c r="G188">
        <v>0</v>
      </c>
      <c r="H188"/>
      <c r="T188">
        <v>8</v>
      </c>
      <c r="U188">
        <v>0.2</v>
      </c>
      <c r="Z188">
        <v>0.14000000000000001</v>
      </c>
      <c r="AA188">
        <v>0</v>
      </c>
      <c r="AB188">
        <v>0</v>
      </c>
      <c r="AC188">
        <v>0.02</v>
      </c>
      <c r="AD188">
        <v>0.04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>
        <v>2131.0100000000002</v>
      </c>
      <c r="B189" t="s">
        <v>638</v>
      </c>
      <c r="C189" t="s">
        <v>214</v>
      </c>
      <c r="D189" t="s">
        <v>639</v>
      </c>
      <c r="E189" t="s">
        <v>640</v>
      </c>
      <c r="F189"/>
      <c r="G189">
        <v>0</v>
      </c>
      <c r="H189"/>
      <c r="T189">
        <v>8</v>
      </c>
      <c r="U189">
        <v>0.1</v>
      </c>
      <c r="Z189">
        <v>0.01</v>
      </c>
      <c r="AA189">
        <v>5</v>
      </c>
      <c r="AB189">
        <v>0</v>
      </c>
      <c r="AC189">
        <v>0</v>
      </c>
      <c r="AD189">
        <v>0.03</v>
      </c>
      <c r="AE189">
        <v>0</v>
      </c>
      <c r="AF189">
        <v>0</v>
      </c>
      <c r="AG189">
        <v>0</v>
      </c>
      <c r="AH189">
        <v>7.0000000000000007E-2</v>
      </c>
      <c r="AI189">
        <v>0</v>
      </c>
    </row>
    <row r="190" spans="1:35" x14ac:dyDescent="0.35">
      <c r="A190">
        <v>2131.9899999999998</v>
      </c>
      <c r="B190" t="s">
        <v>641</v>
      </c>
      <c r="C190" t="s">
        <v>214</v>
      </c>
      <c r="D190" t="s">
        <v>630</v>
      </c>
      <c r="E190" t="s">
        <v>631</v>
      </c>
      <c r="F190"/>
      <c r="G190">
        <v>0</v>
      </c>
      <c r="H190"/>
      <c r="T190">
        <v>8</v>
      </c>
      <c r="U190">
        <v>0.2</v>
      </c>
      <c r="Z190">
        <v>0.14000000000000001</v>
      </c>
      <c r="AA190">
        <v>0</v>
      </c>
      <c r="AB190">
        <v>0</v>
      </c>
      <c r="AC190">
        <v>0.02</v>
      </c>
      <c r="AD190">
        <v>0.04</v>
      </c>
      <c r="AE190">
        <v>0</v>
      </c>
      <c r="AF190">
        <v>0</v>
      </c>
      <c r="AG190">
        <v>0</v>
      </c>
      <c r="AH190">
        <v>0</v>
      </c>
      <c r="AI190">
        <v>0</v>
      </c>
    </row>
  </sheetData>
  <phoneticPr fontId="1" type="noConversion"/>
  <pageMargins left="0.75" right="0.75" top="1" bottom="1" header="0.5" footer="0.5"/>
  <pageSetup paperSize="9" orientation="portrait"/>
  <headerFooter alignWithMargins="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AT190"/>
  <sheetViews>
    <sheetView tabSelected="1" zoomScale="50" zoomScaleNormal="50" workbookViewId="0">
      <selection activeCell="E1" sqref="E1:E1048576"/>
    </sheetView>
  </sheetViews>
  <sheetFormatPr defaultColWidth="11.453125" defaultRowHeight="14.5" x14ac:dyDescent="0.35"/>
  <cols>
    <col min="1" max="4" width="11.453125" style="1" customWidth="1"/>
    <col min="5" max="5" width="79.81640625" style="1" customWidth="1"/>
    <col min="6" max="6" width="16.54296875" style="1" customWidth="1"/>
    <col min="7" max="8" width="11.453125" style="1" customWidth="1"/>
    <col min="9" max="9" width="12.6328125" style="1" customWidth="1"/>
    <col min="10" max="30" width="11.453125" style="1" customWidth="1"/>
    <col min="31" max="31" width="13.1796875" style="1" customWidth="1"/>
    <col min="32" max="32" width="12.453125" style="1" customWidth="1"/>
    <col min="33" max="34" width="11.453125" style="1" customWidth="1"/>
    <col min="35" max="35" width="12.453125" style="1" customWidth="1"/>
    <col min="36" max="16384" width="11.453125" style="1"/>
  </cols>
  <sheetData>
    <row r="1" spans="1:46" x14ac:dyDescent="0.35">
      <c r="A1" s="18" t="s">
        <v>91</v>
      </c>
    </row>
    <row r="3" spans="1:46" ht="116.25" customHeight="1" x14ac:dyDescent="0.35">
      <c r="A3" s="2" t="s">
        <v>55</v>
      </c>
      <c r="B3" s="2" t="s">
        <v>56</v>
      </c>
      <c r="C3" s="2" t="s">
        <v>1</v>
      </c>
      <c r="D3" s="2" t="s">
        <v>2</v>
      </c>
      <c r="E3" s="2" t="s">
        <v>3</v>
      </c>
      <c r="F3" s="21" t="s">
        <v>93</v>
      </c>
      <c r="G3" s="2" t="s">
        <v>57</v>
      </c>
      <c r="H3" s="2" t="s">
        <v>58</v>
      </c>
      <c r="I3" s="2" t="s">
        <v>181</v>
      </c>
      <c r="J3" s="2" t="s">
        <v>5</v>
      </c>
      <c r="K3" s="2" t="s">
        <v>6</v>
      </c>
      <c r="L3" s="2" t="s">
        <v>59</v>
      </c>
      <c r="M3" s="2" t="s">
        <v>87</v>
      </c>
      <c r="N3" s="2" t="s">
        <v>88</v>
      </c>
      <c r="O3" s="2" t="s">
        <v>62</v>
      </c>
      <c r="P3" s="2" t="s">
        <v>4</v>
      </c>
      <c r="Q3" s="19" t="s">
        <v>63</v>
      </c>
      <c r="R3" s="2" t="s">
        <v>0</v>
      </c>
      <c r="S3" s="19" t="s">
        <v>64</v>
      </c>
      <c r="T3" s="2" t="s">
        <v>65</v>
      </c>
      <c r="U3" s="2" t="s">
        <v>66</v>
      </c>
      <c r="V3" s="19" t="s">
        <v>67</v>
      </c>
      <c r="W3" s="19" t="s">
        <v>68</v>
      </c>
      <c r="X3" s="54" t="s">
        <v>175</v>
      </c>
      <c r="Y3" s="54" t="s">
        <v>176</v>
      </c>
      <c r="Z3" s="54" t="s">
        <v>177</v>
      </c>
      <c r="AA3" s="54" t="s">
        <v>178</v>
      </c>
      <c r="AB3" s="2" t="s">
        <v>69</v>
      </c>
      <c r="AC3" s="2" t="s">
        <v>70</v>
      </c>
      <c r="AD3" s="2" t="s">
        <v>71</v>
      </c>
      <c r="AE3" s="2" t="s">
        <v>72</v>
      </c>
      <c r="AF3" s="2" t="s">
        <v>184</v>
      </c>
      <c r="AG3" s="2" t="s">
        <v>186</v>
      </c>
      <c r="AH3" s="2" t="s">
        <v>73</v>
      </c>
      <c r="AI3" s="2" t="s">
        <v>74</v>
      </c>
      <c r="AJ3" s="2" t="s">
        <v>75</v>
      </c>
      <c r="AK3" s="2" t="s">
        <v>76</v>
      </c>
      <c r="AL3" s="2" t="s">
        <v>77</v>
      </c>
      <c r="AM3" s="2" t="s">
        <v>78</v>
      </c>
      <c r="AN3" s="2" t="s">
        <v>79</v>
      </c>
      <c r="AO3" s="2" t="s">
        <v>80</v>
      </c>
      <c r="AP3" s="2" t="s">
        <v>81</v>
      </c>
      <c r="AQ3" s="2" t="s">
        <v>82</v>
      </c>
      <c r="AR3" s="2" t="s">
        <v>83</v>
      </c>
      <c r="AS3" s="2" t="s">
        <v>84</v>
      </c>
      <c r="AT3" s="2" t="s">
        <v>85</v>
      </c>
    </row>
    <row r="4" spans="1:46" x14ac:dyDescent="0.35">
      <c r="A4">
        <v>1111.01</v>
      </c>
      <c r="B4" t="s">
        <v>213</v>
      </c>
      <c r="C4" t="s">
        <v>214</v>
      </c>
      <c r="D4" t="s">
        <v>215</v>
      </c>
      <c r="E4" t="s">
        <v>216</v>
      </c>
      <c r="F4"/>
      <c r="G4">
        <v>0</v>
      </c>
      <c r="H4"/>
      <c r="T4">
        <v>12</v>
      </c>
      <c r="U4">
        <v>1.4</v>
      </c>
      <c r="V4" s="1">
        <v>0</v>
      </c>
      <c r="W4" s="1">
        <v>1.4</v>
      </c>
      <c r="Z4">
        <v>1.1599999999999999</v>
      </c>
      <c r="AA4">
        <v>20</v>
      </c>
      <c r="AB4">
        <v>0</v>
      </c>
      <c r="AC4">
        <v>7.0000000000000007E-2</v>
      </c>
      <c r="AD4">
        <v>0.04</v>
      </c>
      <c r="AE4">
        <v>0</v>
      </c>
      <c r="AF4">
        <v>0</v>
      </c>
      <c r="AG4">
        <v>0</v>
      </c>
      <c r="AH4">
        <v>0.2</v>
      </c>
      <c r="AI4">
        <v>0</v>
      </c>
    </row>
    <row r="5" spans="1:46" x14ac:dyDescent="0.35">
      <c r="A5">
        <v>1111.02</v>
      </c>
      <c r="B5" t="s">
        <v>217</v>
      </c>
      <c r="C5" t="s">
        <v>218</v>
      </c>
      <c r="D5">
        <v>8083</v>
      </c>
      <c r="E5" t="s">
        <v>219</v>
      </c>
      <c r="F5"/>
      <c r="G5">
        <v>0</v>
      </c>
      <c r="H5"/>
      <c r="T5">
        <v>5</v>
      </c>
      <c r="U5">
        <v>6.56</v>
      </c>
      <c r="V5" s="1">
        <v>0</v>
      </c>
      <c r="W5" s="1">
        <v>6.56</v>
      </c>
      <c r="Z5">
        <v>5.7</v>
      </c>
      <c r="AA5">
        <v>443</v>
      </c>
      <c r="AB5">
        <v>60.5</v>
      </c>
      <c r="AC5">
        <v>2.83</v>
      </c>
      <c r="AD5">
        <v>3.06</v>
      </c>
      <c r="AE5">
        <v>865</v>
      </c>
      <c r="AF5">
        <v>60</v>
      </c>
      <c r="AG5">
        <v>872</v>
      </c>
      <c r="AH5">
        <v>4.7</v>
      </c>
      <c r="AI5">
        <v>5.75</v>
      </c>
    </row>
    <row r="6" spans="1:46" x14ac:dyDescent="0.35">
      <c r="A6">
        <v>1112.01</v>
      </c>
      <c r="B6" t="s">
        <v>220</v>
      </c>
      <c r="C6" t="s">
        <v>214</v>
      </c>
      <c r="D6" t="s">
        <v>221</v>
      </c>
      <c r="E6" t="s">
        <v>222</v>
      </c>
      <c r="F6"/>
      <c r="G6">
        <v>0</v>
      </c>
      <c r="H6"/>
      <c r="T6">
        <v>28</v>
      </c>
      <c r="U6">
        <v>1.2</v>
      </c>
      <c r="V6" s="1">
        <v>0</v>
      </c>
      <c r="W6" s="1">
        <v>1.2</v>
      </c>
      <c r="Z6">
        <v>0.6</v>
      </c>
      <c r="AA6">
        <v>29</v>
      </c>
      <c r="AB6">
        <v>0</v>
      </c>
      <c r="AC6">
        <v>0.16</v>
      </c>
      <c r="AD6">
        <v>0.05</v>
      </c>
      <c r="AE6">
        <v>0</v>
      </c>
      <c r="AF6">
        <v>0</v>
      </c>
      <c r="AG6">
        <v>0</v>
      </c>
      <c r="AH6">
        <v>0.06</v>
      </c>
      <c r="AI6">
        <v>0</v>
      </c>
    </row>
    <row r="7" spans="1:46" x14ac:dyDescent="0.35">
      <c r="A7">
        <v>1112.02</v>
      </c>
      <c r="B7" t="s">
        <v>223</v>
      </c>
      <c r="C7" t="s">
        <v>214</v>
      </c>
      <c r="D7" t="s">
        <v>224</v>
      </c>
      <c r="E7" t="s">
        <v>225</v>
      </c>
      <c r="F7"/>
      <c r="G7">
        <v>0</v>
      </c>
      <c r="H7"/>
      <c r="T7">
        <v>26</v>
      </c>
      <c r="U7">
        <v>1.2</v>
      </c>
      <c r="V7" s="1">
        <v>0</v>
      </c>
      <c r="W7" s="1">
        <v>1.2</v>
      </c>
      <c r="Z7">
        <v>0.8</v>
      </c>
      <c r="AA7">
        <v>28</v>
      </c>
      <c r="AB7">
        <v>0</v>
      </c>
      <c r="AC7">
        <v>0.18</v>
      </c>
      <c r="AD7">
        <v>0.06</v>
      </c>
      <c r="AE7">
        <v>0</v>
      </c>
      <c r="AF7">
        <v>0</v>
      </c>
      <c r="AG7">
        <v>0</v>
      </c>
      <c r="AH7">
        <v>0.04</v>
      </c>
      <c r="AI7">
        <v>0</v>
      </c>
    </row>
    <row r="8" spans="1:46" x14ac:dyDescent="0.35">
      <c r="A8">
        <v>1112.03</v>
      </c>
      <c r="B8" t="s">
        <v>226</v>
      </c>
      <c r="C8" t="s">
        <v>214</v>
      </c>
      <c r="D8" t="s">
        <v>224</v>
      </c>
      <c r="E8" t="s">
        <v>225</v>
      </c>
      <c r="F8"/>
      <c r="G8">
        <v>0</v>
      </c>
      <c r="H8"/>
      <c r="T8">
        <v>26</v>
      </c>
      <c r="U8">
        <v>1.2</v>
      </c>
      <c r="V8" s="1">
        <v>0</v>
      </c>
      <c r="W8" s="1">
        <v>1.2</v>
      </c>
      <c r="Z8">
        <v>0.8</v>
      </c>
      <c r="AA8">
        <v>28</v>
      </c>
      <c r="AB8">
        <v>0</v>
      </c>
      <c r="AC8">
        <v>0.18</v>
      </c>
      <c r="AD8">
        <v>0.06</v>
      </c>
      <c r="AE8">
        <v>0</v>
      </c>
      <c r="AF8">
        <v>0</v>
      </c>
      <c r="AG8">
        <v>0</v>
      </c>
      <c r="AH8">
        <v>0.04</v>
      </c>
      <c r="AI8">
        <v>0</v>
      </c>
    </row>
    <row r="9" spans="1:46" x14ac:dyDescent="0.35">
      <c r="A9">
        <v>1112.04</v>
      </c>
      <c r="B9" t="s">
        <v>227</v>
      </c>
      <c r="C9" t="s">
        <v>214</v>
      </c>
      <c r="D9" t="s">
        <v>224</v>
      </c>
      <c r="E9" t="s">
        <v>225</v>
      </c>
      <c r="F9"/>
      <c r="G9">
        <v>0</v>
      </c>
      <c r="H9"/>
      <c r="T9">
        <v>26</v>
      </c>
      <c r="U9">
        <v>1.2</v>
      </c>
      <c r="V9" s="1">
        <v>0</v>
      </c>
      <c r="W9" s="1">
        <v>1.2</v>
      </c>
      <c r="Z9">
        <v>0.8</v>
      </c>
      <c r="AA9">
        <v>28</v>
      </c>
      <c r="AB9">
        <v>0</v>
      </c>
      <c r="AC9">
        <v>0.18</v>
      </c>
      <c r="AD9">
        <v>0.06</v>
      </c>
      <c r="AE9">
        <v>0</v>
      </c>
      <c r="AF9">
        <v>0</v>
      </c>
      <c r="AG9">
        <v>0</v>
      </c>
      <c r="AH9">
        <v>0.04</v>
      </c>
      <c r="AI9">
        <v>0</v>
      </c>
    </row>
    <row r="10" spans="1:46" x14ac:dyDescent="0.35">
      <c r="A10">
        <v>1112.0899999999999</v>
      </c>
      <c r="B10" t="s">
        <v>228</v>
      </c>
      <c r="C10" t="s">
        <v>214</v>
      </c>
      <c r="D10" t="s">
        <v>224</v>
      </c>
      <c r="E10" t="s">
        <v>225</v>
      </c>
      <c r="F10"/>
      <c r="G10">
        <v>0</v>
      </c>
      <c r="H10"/>
      <c r="T10">
        <v>26</v>
      </c>
      <c r="U10">
        <v>1.2</v>
      </c>
      <c r="V10" s="1">
        <v>0</v>
      </c>
      <c r="W10" s="1">
        <v>1.2</v>
      </c>
      <c r="Z10">
        <v>0.8</v>
      </c>
      <c r="AA10">
        <v>28</v>
      </c>
      <c r="AB10">
        <v>0</v>
      </c>
      <c r="AC10">
        <v>0.18</v>
      </c>
      <c r="AD10">
        <v>0.06</v>
      </c>
      <c r="AE10">
        <v>0</v>
      </c>
      <c r="AF10">
        <v>0</v>
      </c>
      <c r="AG10">
        <v>0</v>
      </c>
      <c r="AH10">
        <v>0.04</v>
      </c>
      <c r="AI10">
        <v>0</v>
      </c>
    </row>
    <row r="11" spans="1:46" x14ac:dyDescent="0.35">
      <c r="A11">
        <v>1113.01</v>
      </c>
      <c r="B11" t="s">
        <v>229</v>
      </c>
      <c r="C11" t="s">
        <v>214</v>
      </c>
      <c r="D11" t="s">
        <v>230</v>
      </c>
      <c r="E11" t="s">
        <v>231</v>
      </c>
      <c r="F11"/>
      <c r="G11">
        <v>0</v>
      </c>
      <c r="H11"/>
      <c r="T11">
        <v>10</v>
      </c>
      <c r="U11">
        <v>0.5</v>
      </c>
      <c r="V11" s="1">
        <v>0</v>
      </c>
      <c r="W11" s="1">
        <v>0.5</v>
      </c>
      <c r="Z11">
        <v>0.59</v>
      </c>
      <c r="AA11">
        <v>5</v>
      </c>
      <c r="AB11">
        <v>0</v>
      </c>
      <c r="AC11">
        <v>0.05</v>
      </c>
      <c r="AD11">
        <v>0.01</v>
      </c>
      <c r="AE11">
        <v>0</v>
      </c>
      <c r="AF11">
        <v>0</v>
      </c>
      <c r="AG11">
        <v>0</v>
      </c>
      <c r="AH11">
        <v>0.03</v>
      </c>
      <c r="AI11">
        <v>0</v>
      </c>
    </row>
    <row r="12" spans="1:46" x14ac:dyDescent="0.35">
      <c r="A12">
        <v>1114.01</v>
      </c>
      <c r="B12" t="s">
        <v>232</v>
      </c>
      <c r="C12" t="s">
        <v>218</v>
      </c>
      <c r="D12">
        <v>18110</v>
      </c>
      <c r="E12" t="s">
        <v>233</v>
      </c>
      <c r="F12"/>
      <c r="G12">
        <v>0</v>
      </c>
      <c r="H12"/>
      <c r="T12">
        <v>33</v>
      </c>
      <c r="U12">
        <v>2.0699999999999998</v>
      </c>
      <c r="V12" s="1">
        <v>0</v>
      </c>
      <c r="W12" s="1">
        <v>2.0699999999999998</v>
      </c>
      <c r="Z12">
        <v>0.27</v>
      </c>
      <c r="AA12">
        <v>20</v>
      </c>
      <c r="AB12">
        <v>0.5</v>
      </c>
      <c r="AC12">
        <v>0.05</v>
      </c>
      <c r="AD12">
        <v>9.9000000000000005E-2</v>
      </c>
      <c r="AE12">
        <v>7</v>
      </c>
      <c r="AF12">
        <v>3</v>
      </c>
      <c r="AG12">
        <v>7</v>
      </c>
      <c r="AH12">
        <v>4.5999999999999999E-2</v>
      </c>
      <c r="AI12">
        <v>0.01</v>
      </c>
    </row>
    <row r="13" spans="1:46" x14ac:dyDescent="0.35">
      <c r="A13">
        <v>1114.02</v>
      </c>
      <c r="B13" t="s">
        <v>234</v>
      </c>
      <c r="C13" t="s">
        <v>218</v>
      </c>
      <c r="D13">
        <v>18946</v>
      </c>
      <c r="E13" t="s">
        <v>235</v>
      </c>
      <c r="F13"/>
      <c r="G13">
        <v>0</v>
      </c>
      <c r="H13"/>
      <c r="T13">
        <v>12</v>
      </c>
      <c r="U13">
        <v>1.1499999999999999</v>
      </c>
      <c r="V13" s="1">
        <v>0</v>
      </c>
      <c r="W13" s="1">
        <v>1.1499999999999999</v>
      </c>
      <c r="Z13">
        <v>0.22</v>
      </c>
      <c r="AA13">
        <v>32</v>
      </c>
      <c r="AB13">
        <v>0</v>
      </c>
      <c r="AC13">
        <v>0.14000000000000001</v>
      </c>
      <c r="AD13">
        <v>3.6999999999999998E-2</v>
      </c>
      <c r="AE13">
        <v>0</v>
      </c>
      <c r="AF13">
        <v>0</v>
      </c>
      <c r="AG13">
        <v>0</v>
      </c>
      <c r="AH13">
        <v>0.02</v>
      </c>
      <c r="AI13">
        <v>0</v>
      </c>
    </row>
    <row r="14" spans="1:46" x14ac:dyDescent="0.35">
      <c r="A14">
        <v>1115.01</v>
      </c>
      <c r="B14" t="s">
        <v>236</v>
      </c>
      <c r="C14" t="s">
        <v>218</v>
      </c>
      <c r="D14">
        <v>8023</v>
      </c>
      <c r="E14" t="s">
        <v>237</v>
      </c>
      <c r="F14"/>
      <c r="G14">
        <v>0</v>
      </c>
      <c r="H14"/>
      <c r="T14">
        <v>60</v>
      </c>
      <c r="U14">
        <v>3.7</v>
      </c>
      <c r="V14" s="1">
        <v>0</v>
      </c>
      <c r="W14" s="1">
        <v>3.7</v>
      </c>
      <c r="Z14">
        <v>3.1</v>
      </c>
      <c r="AA14">
        <v>204</v>
      </c>
      <c r="AB14">
        <v>31</v>
      </c>
      <c r="AC14">
        <v>0.8</v>
      </c>
      <c r="AD14">
        <v>0.9</v>
      </c>
      <c r="AE14">
        <v>459</v>
      </c>
      <c r="AF14">
        <v>0</v>
      </c>
      <c r="AG14">
        <v>459</v>
      </c>
      <c r="AH14">
        <v>1</v>
      </c>
      <c r="AI14">
        <v>3.1</v>
      </c>
    </row>
    <row r="15" spans="1:46" x14ac:dyDescent="0.35">
      <c r="A15">
        <v>1115.02</v>
      </c>
      <c r="B15" t="s">
        <v>238</v>
      </c>
      <c r="C15" t="s">
        <v>214</v>
      </c>
      <c r="D15" t="s">
        <v>239</v>
      </c>
      <c r="E15" t="s">
        <v>240</v>
      </c>
      <c r="F15"/>
      <c r="G15">
        <v>0</v>
      </c>
      <c r="H15"/>
      <c r="T15">
        <v>810</v>
      </c>
      <c r="U15">
        <v>8.5</v>
      </c>
      <c r="V15" s="1">
        <v>8.5</v>
      </c>
      <c r="W15" s="1">
        <v>0</v>
      </c>
      <c r="Z15">
        <v>3.5</v>
      </c>
      <c r="AA15">
        <v>42</v>
      </c>
      <c r="AB15">
        <v>46</v>
      </c>
      <c r="AC15">
        <v>0.56999999999999995</v>
      </c>
      <c r="AD15">
        <v>0.85</v>
      </c>
      <c r="AE15">
        <v>488</v>
      </c>
      <c r="AF15">
        <v>0</v>
      </c>
      <c r="AG15">
        <v>488</v>
      </c>
      <c r="AH15">
        <v>0.34</v>
      </c>
      <c r="AI15">
        <v>0.9</v>
      </c>
    </row>
    <row r="16" spans="1:46" x14ac:dyDescent="0.35">
      <c r="A16">
        <v>1115.03</v>
      </c>
      <c r="B16" t="s">
        <v>241</v>
      </c>
      <c r="C16" t="s">
        <v>214</v>
      </c>
      <c r="D16" t="s">
        <v>242</v>
      </c>
      <c r="E16" t="s">
        <v>243</v>
      </c>
      <c r="F16"/>
      <c r="G16">
        <v>0</v>
      </c>
      <c r="H16"/>
      <c r="T16">
        <v>70</v>
      </c>
      <c r="U16">
        <v>0.7</v>
      </c>
      <c r="V16" s="1">
        <v>0</v>
      </c>
      <c r="W16" s="1">
        <v>0.7</v>
      </c>
      <c r="Z16">
        <v>0.76</v>
      </c>
      <c r="AA16">
        <v>17</v>
      </c>
      <c r="AB16">
        <v>0</v>
      </c>
      <c r="AC16">
        <v>0.16</v>
      </c>
      <c r="AD16">
        <v>0.18</v>
      </c>
      <c r="AE16">
        <v>0</v>
      </c>
      <c r="AF16">
        <v>534</v>
      </c>
      <c r="AG16">
        <v>45</v>
      </c>
      <c r="AH16">
        <v>0.05</v>
      </c>
      <c r="AI16">
        <v>0.6</v>
      </c>
    </row>
    <row r="17" spans="1:35" x14ac:dyDescent="0.35">
      <c r="A17">
        <v>1115.04</v>
      </c>
      <c r="B17" t="s">
        <v>244</v>
      </c>
      <c r="C17" t="s">
        <v>214</v>
      </c>
      <c r="D17" t="s">
        <v>245</v>
      </c>
      <c r="E17" t="s">
        <v>246</v>
      </c>
      <c r="F17"/>
      <c r="G17">
        <v>0</v>
      </c>
      <c r="H17"/>
      <c r="T17">
        <v>18</v>
      </c>
      <c r="U17">
        <v>3</v>
      </c>
      <c r="V17" s="1">
        <v>0</v>
      </c>
      <c r="W17" s="1">
        <v>3</v>
      </c>
      <c r="Z17">
        <v>1.51</v>
      </c>
      <c r="AA17">
        <v>25</v>
      </c>
      <c r="AB17">
        <v>0</v>
      </c>
      <c r="AC17">
        <v>0.34</v>
      </c>
      <c r="AD17">
        <v>0.1</v>
      </c>
      <c r="AE17">
        <v>0</v>
      </c>
      <c r="AF17">
        <v>0</v>
      </c>
      <c r="AG17">
        <v>0</v>
      </c>
      <c r="AH17">
        <v>0.2</v>
      </c>
      <c r="AI17">
        <v>0</v>
      </c>
    </row>
    <row r="18" spans="1:35" x14ac:dyDescent="0.35">
      <c r="A18">
        <v>1115.05</v>
      </c>
      <c r="B18" t="s">
        <v>247</v>
      </c>
      <c r="C18" t="s">
        <v>214</v>
      </c>
      <c r="D18" t="s">
        <v>248</v>
      </c>
      <c r="E18" t="s">
        <v>249</v>
      </c>
      <c r="F18"/>
      <c r="G18">
        <v>0</v>
      </c>
      <c r="H18"/>
      <c r="T18">
        <v>14</v>
      </c>
      <c r="U18">
        <v>7.6</v>
      </c>
      <c r="V18" s="1">
        <v>0</v>
      </c>
      <c r="W18" s="1">
        <v>7.6</v>
      </c>
      <c r="Z18">
        <v>2.83</v>
      </c>
      <c r="AA18">
        <v>30</v>
      </c>
      <c r="AB18">
        <v>0</v>
      </c>
      <c r="AC18">
        <v>0.32</v>
      </c>
      <c r="AD18">
        <v>0.27</v>
      </c>
      <c r="AE18">
        <v>0</v>
      </c>
      <c r="AF18">
        <v>3</v>
      </c>
      <c r="AG18">
        <v>0</v>
      </c>
      <c r="AH18">
        <v>0.74</v>
      </c>
      <c r="AI18">
        <v>0</v>
      </c>
    </row>
    <row r="19" spans="1:35" x14ac:dyDescent="0.35">
      <c r="A19">
        <v>1115.06</v>
      </c>
      <c r="B19" t="s">
        <v>250</v>
      </c>
      <c r="C19" t="s">
        <v>214</v>
      </c>
      <c r="D19" t="s">
        <v>251</v>
      </c>
      <c r="E19" t="s">
        <v>252</v>
      </c>
      <c r="F19"/>
      <c r="G19">
        <v>0</v>
      </c>
      <c r="H19"/>
      <c r="T19">
        <v>24</v>
      </c>
      <c r="U19">
        <v>3.7</v>
      </c>
      <c r="V19" s="1">
        <v>0</v>
      </c>
      <c r="W19" s="1">
        <v>3.7</v>
      </c>
      <c r="Z19">
        <v>1.79</v>
      </c>
      <c r="AA19">
        <v>29</v>
      </c>
      <c r="AB19">
        <v>0</v>
      </c>
      <c r="AC19">
        <v>0.36</v>
      </c>
      <c r="AD19">
        <v>0.16</v>
      </c>
      <c r="AE19">
        <v>0</v>
      </c>
      <c r="AF19">
        <v>17</v>
      </c>
      <c r="AG19">
        <v>1</v>
      </c>
      <c r="AH19">
        <v>0.25</v>
      </c>
      <c r="AI19">
        <v>0</v>
      </c>
    </row>
    <row r="20" spans="1:35" x14ac:dyDescent="0.35">
      <c r="A20">
        <v>1115.07</v>
      </c>
      <c r="B20" t="s">
        <v>253</v>
      </c>
      <c r="C20" t="s">
        <v>214</v>
      </c>
      <c r="D20" t="s">
        <v>254</v>
      </c>
      <c r="E20" t="s">
        <v>253</v>
      </c>
      <c r="F20"/>
      <c r="G20">
        <v>0</v>
      </c>
      <c r="H20"/>
      <c r="T20">
        <v>138</v>
      </c>
      <c r="U20">
        <v>1.5</v>
      </c>
      <c r="V20" s="1">
        <v>0</v>
      </c>
      <c r="W20" s="1">
        <v>1.5</v>
      </c>
      <c r="Z20">
        <v>0.74</v>
      </c>
      <c r="AA20">
        <v>47</v>
      </c>
      <c r="AB20">
        <v>4</v>
      </c>
      <c r="AC20">
        <v>7.0000000000000007E-2</v>
      </c>
      <c r="AD20">
        <v>0.11</v>
      </c>
      <c r="AE20">
        <v>0</v>
      </c>
      <c r="AF20">
        <v>0</v>
      </c>
      <c r="AG20">
        <v>0</v>
      </c>
      <c r="AH20">
        <v>0.17</v>
      </c>
      <c r="AI20">
        <v>0</v>
      </c>
    </row>
    <row r="21" spans="1:35" x14ac:dyDescent="0.35">
      <c r="A21">
        <v>1119.01</v>
      </c>
      <c r="B21" t="s">
        <v>255</v>
      </c>
      <c r="C21" t="s">
        <v>218</v>
      </c>
      <c r="D21">
        <v>8411</v>
      </c>
      <c r="E21" t="s">
        <v>256</v>
      </c>
      <c r="F21"/>
      <c r="G21">
        <v>0.25</v>
      </c>
      <c r="H21"/>
      <c r="T21">
        <v>220</v>
      </c>
      <c r="U21">
        <v>7.92</v>
      </c>
      <c r="V21" s="1">
        <v>0</v>
      </c>
      <c r="W21" s="1">
        <v>7.92</v>
      </c>
      <c r="Z21">
        <v>1.75</v>
      </c>
      <c r="AA21">
        <v>176</v>
      </c>
      <c r="AB21">
        <v>0</v>
      </c>
      <c r="AC21">
        <v>0.66</v>
      </c>
      <c r="AD21">
        <v>0.74</v>
      </c>
      <c r="AE21">
        <v>660</v>
      </c>
      <c r="AF21">
        <v>0</v>
      </c>
      <c r="AG21">
        <v>661</v>
      </c>
      <c r="AH21">
        <v>0.88</v>
      </c>
      <c r="AI21">
        <v>0</v>
      </c>
    </row>
    <row r="22" spans="1:35" x14ac:dyDescent="0.35">
      <c r="A22">
        <v>1121.01</v>
      </c>
      <c r="B22" t="s">
        <v>257</v>
      </c>
      <c r="C22" t="s">
        <v>214</v>
      </c>
      <c r="D22" t="s">
        <v>258</v>
      </c>
      <c r="E22" t="s">
        <v>259</v>
      </c>
      <c r="F22"/>
      <c r="G22">
        <v>0</v>
      </c>
      <c r="H22"/>
      <c r="T22">
        <v>11</v>
      </c>
      <c r="U22">
        <v>1.8</v>
      </c>
      <c r="V22" s="1">
        <v>1.8</v>
      </c>
      <c r="W22" s="1">
        <v>0</v>
      </c>
      <c r="Z22">
        <v>3.6</v>
      </c>
      <c r="AA22">
        <v>3</v>
      </c>
      <c r="AB22">
        <v>0</v>
      </c>
      <c r="AC22">
        <v>0.6</v>
      </c>
      <c r="AD22">
        <v>0.17</v>
      </c>
      <c r="AE22">
        <v>0</v>
      </c>
      <c r="AF22">
        <v>0</v>
      </c>
      <c r="AG22">
        <v>0</v>
      </c>
      <c r="AH22">
        <v>0.38</v>
      </c>
      <c r="AI22">
        <v>0.7</v>
      </c>
    </row>
    <row r="23" spans="1:35" x14ac:dyDescent="0.35">
      <c r="A23">
        <v>1122.01</v>
      </c>
      <c r="B23" t="s">
        <v>260</v>
      </c>
      <c r="C23" t="s">
        <v>214</v>
      </c>
      <c r="D23" t="s">
        <v>258</v>
      </c>
      <c r="E23" t="s">
        <v>261</v>
      </c>
      <c r="F23"/>
      <c r="G23">
        <v>0</v>
      </c>
      <c r="H23"/>
      <c r="T23">
        <v>11</v>
      </c>
      <c r="U23">
        <v>1.8</v>
      </c>
      <c r="V23" s="1">
        <v>1.8</v>
      </c>
      <c r="W23" s="1">
        <v>0</v>
      </c>
      <c r="Z23">
        <v>3.6</v>
      </c>
      <c r="AA23">
        <v>3</v>
      </c>
      <c r="AB23">
        <v>0</v>
      </c>
      <c r="AC23">
        <v>0.6</v>
      </c>
      <c r="AD23">
        <v>0.17</v>
      </c>
      <c r="AE23">
        <v>0</v>
      </c>
      <c r="AF23">
        <v>0</v>
      </c>
      <c r="AG23">
        <v>0</v>
      </c>
      <c r="AH23">
        <v>0.38</v>
      </c>
      <c r="AI23">
        <v>0.7</v>
      </c>
    </row>
    <row r="24" spans="1:35" x14ac:dyDescent="0.35">
      <c r="A24">
        <v>1123.01</v>
      </c>
      <c r="B24" t="s">
        <v>262</v>
      </c>
      <c r="C24" t="s">
        <v>214</v>
      </c>
      <c r="D24" t="s">
        <v>263</v>
      </c>
      <c r="E24" t="s">
        <v>264</v>
      </c>
      <c r="F24"/>
      <c r="G24">
        <v>0.26</v>
      </c>
      <c r="H24"/>
      <c r="T24">
        <v>11</v>
      </c>
      <c r="U24">
        <v>2.4</v>
      </c>
      <c r="V24" s="1">
        <v>2.4</v>
      </c>
      <c r="W24" s="1">
        <v>0</v>
      </c>
      <c r="Z24">
        <v>3.45</v>
      </c>
      <c r="AA24">
        <v>5</v>
      </c>
      <c r="AB24">
        <v>0</v>
      </c>
      <c r="AC24">
        <v>0.18</v>
      </c>
      <c r="AD24">
        <v>0.28999999999999998</v>
      </c>
      <c r="AE24">
        <v>0</v>
      </c>
      <c r="AF24">
        <v>0</v>
      </c>
      <c r="AG24">
        <v>0</v>
      </c>
      <c r="AH24">
        <v>0.4</v>
      </c>
      <c r="AI24">
        <v>1.1000000000000001</v>
      </c>
    </row>
    <row r="25" spans="1:35" x14ac:dyDescent="0.35">
      <c r="A25">
        <v>1123.02</v>
      </c>
      <c r="B25" t="s">
        <v>265</v>
      </c>
      <c r="C25" t="s">
        <v>214</v>
      </c>
      <c r="D25" t="s">
        <v>266</v>
      </c>
      <c r="E25" t="s">
        <v>267</v>
      </c>
      <c r="F25"/>
      <c r="G25">
        <v>0.25</v>
      </c>
      <c r="H25"/>
      <c r="T25">
        <v>12</v>
      </c>
      <c r="U25">
        <v>3.1</v>
      </c>
      <c r="V25" s="1">
        <v>3.1</v>
      </c>
      <c r="W25" s="1">
        <v>0</v>
      </c>
      <c r="Z25">
        <v>4.97</v>
      </c>
      <c r="AA25">
        <v>2</v>
      </c>
      <c r="AB25">
        <v>0</v>
      </c>
      <c r="AC25">
        <v>0.08</v>
      </c>
      <c r="AD25">
        <v>0.15</v>
      </c>
      <c r="AE25">
        <v>12</v>
      </c>
      <c r="AF25">
        <v>0</v>
      </c>
      <c r="AG25">
        <v>12</v>
      </c>
      <c r="AH25">
        <v>0.24</v>
      </c>
      <c r="AI25">
        <v>2.6</v>
      </c>
    </row>
    <row r="26" spans="1:35" x14ac:dyDescent="0.35">
      <c r="A26">
        <v>1124.02</v>
      </c>
      <c r="B26" t="s">
        <v>268</v>
      </c>
      <c r="C26" t="s">
        <v>218</v>
      </c>
      <c r="D26">
        <v>5306</v>
      </c>
      <c r="E26" t="s">
        <v>269</v>
      </c>
      <c r="F26"/>
      <c r="G26">
        <v>0</v>
      </c>
      <c r="H26"/>
      <c r="T26">
        <v>28</v>
      </c>
      <c r="U26">
        <v>1.52</v>
      </c>
      <c r="V26" s="1">
        <v>1.52</v>
      </c>
      <c r="W26" s="1">
        <v>0</v>
      </c>
      <c r="Z26">
        <v>3.11</v>
      </c>
      <c r="AA26">
        <v>7</v>
      </c>
      <c r="AB26">
        <v>0</v>
      </c>
      <c r="AC26">
        <v>7.6999999999999999E-2</v>
      </c>
      <c r="AD26">
        <v>0.21099999999999999</v>
      </c>
      <c r="AE26">
        <v>24</v>
      </c>
      <c r="AF26">
        <v>0</v>
      </c>
      <c r="AG26">
        <v>24</v>
      </c>
      <c r="AH26">
        <v>0.63300000000000001</v>
      </c>
      <c r="AI26">
        <v>1.34</v>
      </c>
    </row>
    <row r="27" spans="1:35" x14ac:dyDescent="0.35">
      <c r="A27">
        <v>1125.01</v>
      </c>
      <c r="B27" t="s">
        <v>270</v>
      </c>
      <c r="C27" t="s">
        <v>214</v>
      </c>
      <c r="D27" t="s">
        <v>258</v>
      </c>
      <c r="E27" t="s">
        <v>261</v>
      </c>
      <c r="F27"/>
      <c r="G27">
        <v>1</v>
      </c>
      <c r="H27"/>
      <c r="T27">
        <v>11</v>
      </c>
      <c r="U27">
        <v>1.8</v>
      </c>
      <c r="V27" s="1">
        <v>1.8</v>
      </c>
      <c r="W27" s="1">
        <v>0</v>
      </c>
      <c r="Z27">
        <v>3.6</v>
      </c>
      <c r="AA27">
        <v>3</v>
      </c>
      <c r="AB27">
        <v>0</v>
      </c>
      <c r="AC27">
        <v>0.6</v>
      </c>
      <c r="AD27">
        <v>0.17</v>
      </c>
      <c r="AE27">
        <v>0</v>
      </c>
      <c r="AF27">
        <v>0</v>
      </c>
      <c r="AG27">
        <v>0</v>
      </c>
      <c r="AH27">
        <v>0.38</v>
      </c>
      <c r="AI27">
        <v>0.7</v>
      </c>
    </row>
    <row r="28" spans="1:35" x14ac:dyDescent="0.35">
      <c r="A28">
        <v>1125.02</v>
      </c>
      <c r="B28" t="s">
        <v>271</v>
      </c>
      <c r="C28" t="s">
        <v>218</v>
      </c>
      <c r="D28">
        <v>7027</v>
      </c>
      <c r="E28" t="s">
        <v>272</v>
      </c>
      <c r="F28"/>
      <c r="G28">
        <v>0</v>
      </c>
      <c r="H28"/>
      <c r="T28">
        <v>7</v>
      </c>
      <c r="U28">
        <v>0.83</v>
      </c>
      <c r="V28" s="1">
        <v>0.83</v>
      </c>
      <c r="W28" s="1">
        <v>0</v>
      </c>
      <c r="Z28">
        <v>1.94</v>
      </c>
      <c r="AA28">
        <v>1</v>
      </c>
      <c r="AB28">
        <v>0</v>
      </c>
      <c r="AC28">
        <v>0.63200000000000001</v>
      </c>
      <c r="AD28">
        <v>0.20399999999999999</v>
      </c>
      <c r="AE28">
        <v>0</v>
      </c>
      <c r="AF28">
        <v>0</v>
      </c>
      <c r="AG28">
        <v>0</v>
      </c>
      <c r="AH28">
        <v>0.35</v>
      </c>
      <c r="AI28">
        <v>0.92</v>
      </c>
    </row>
    <row r="29" spans="1:35" x14ac:dyDescent="0.35">
      <c r="A29">
        <v>1125.03</v>
      </c>
      <c r="B29" t="s">
        <v>273</v>
      </c>
      <c r="C29" t="s">
        <v>214</v>
      </c>
      <c r="D29" t="s">
        <v>274</v>
      </c>
      <c r="E29" t="s">
        <v>275</v>
      </c>
      <c r="F29"/>
      <c r="G29">
        <v>0</v>
      </c>
      <c r="H29"/>
      <c r="T29">
        <v>5</v>
      </c>
      <c r="U29">
        <v>2.1</v>
      </c>
      <c r="V29" s="1">
        <v>2.1</v>
      </c>
      <c r="W29" s="1">
        <v>0</v>
      </c>
      <c r="Z29">
        <v>3.6</v>
      </c>
      <c r="AA29">
        <v>7</v>
      </c>
      <c r="AB29">
        <v>0</v>
      </c>
      <c r="AC29">
        <v>0.06</v>
      </c>
      <c r="AD29">
        <v>0.19</v>
      </c>
      <c r="AE29">
        <v>0</v>
      </c>
      <c r="AF29">
        <v>0</v>
      </c>
      <c r="AG29">
        <v>0</v>
      </c>
      <c r="AH29">
        <v>0.23</v>
      </c>
      <c r="AI29">
        <v>1.4</v>
      </c>
    </row>
    <row r="30" spans="1:35" x14ac:dyDescent="0.35">
      <c r="A30">
        <v>1125.04</v>
      </c>
      <c r="B30" t="s">
        <v>276</v>
      </c>
      <c r="C30" t="s">
        <v>214</v>
      </c>
      <c r="D30" t="s">
        <v>277</v>
      </c>
      <c r="E30" t="s">
        <v>278</v>
      </c>
      <c r="F30"/>
      <c r="G30">
        <v>0</v>
      </c>
      <c r="H30"/>
      <c r="T30">
        <v>10</v>
      </c>
      <c r="U30">
        <v>0.88</v>
      </c>
      <c r="V30" s="1">
        <v>0.88</v>
      </c>
      <c r="W30" s="1">
        <v>0</v>
      </c>
      <c r="Z30">
        <v>1.6</v>
      </c>
      <c r="AA30">
        <v>4</v>
      </c>
      <c r="AB30">
        <v>0</v>
      </c>
      <c r="AC30">
        <v>0.09</v>
      </c>
      <c r="AD30">
        <v>0.11</v>
      </c>
      <c r="AE30">
        <v>0</v>
      </c>
      <c r="AF30">
        <v>0</v>
      </c>
      <c r="AG30">
        <v>0</v>
      </c>
      <c r="AH30">
        <v>0.12</v>
      </c>
      <c r="AI30">
        <v>1</v>
      </c>
    </row>
    <row r="31" spans="1:35" x14ac:dyDescent="0.35">
      <c r="A31">
        <v>1125.05</v>
      </c>
      <c r="B31" t="s">
        <v>279</v>
      </c>
      <c r="C31" t="s">
        <v>218</v>
      </c>
      <c r="D31">
        <v>7027</v>
      </c>
      <c r="E31" t="s">
        <v>272</v>
      </c>
      <c r="F31"/>
      <c r="G31">
        <v>0</v>
      </c>
      <c r="H31"/>
      <c r="T31">
        <v>7</v>
      </c>
      <c r="U31">
        <v>0.83</v>
      </c>
      <c r="V31" s="1">
        <v>0.83</v>
      </c>
      <c r="W31" s="1">
        <v>0</v>
      </c>
      <c r="Z31">
        <v>1.94</v>
      </c>
      <c r="AA31">
        <v>1</v>
      </c>
      <c r="AB31">
        <v>0</v>
      </c>
      <c r="AC31">
        <v>0.63200000000000001</v>
      </c>
      <c r="AD31">
        <v>0.20399999999999999</v>
      </c>
      <c r="AE31">
        <v>0</v>
      </c>
      <c r="AF31">
        <v>0</v>
      </c>
      <c r="AG31">
        <v>0</v>
      </c>
      <c r="AH31">
        <v>0.35</v>
      </c>
      <c r="AI31">
        <v>0.92</v>
      </c>
    </row>
    <row r="32" spans="1:35" x14ac:dyDescent="0.35">
      <c r="A32">
        <v>1125.06</v>
      </c>
      <c r="B32" t="s">
        <v>280</v>
      </c>
      <c r="C32" t="s">
        <v>214</v>
      </c>
      <c r="D32" t="s">
        <v>277</v>
      </c>
      <c r="E32" t="s">
        <v>278</v>
      </c>
      <c r="F32"/>
      <c r="G32">
        <v>0</v>
      </c>
      <c r="H32"/>
      <c r="T32">
        <v>10</v>
      </c>
      <c r="U32">
        <v>0.88</v>
      </c>
      <c r="V32" s="1">
        <v>0.88</v>
      </c>
      <c r="W32" s="1">
        <v>0</v>
      </c>
      <c r="Z32">
        <v>1.6</v>
      </c>
      <c r="AA32">
        <v>4</v>
      </c>
      <c r="AB32">
        <v>0</v>
      </c>
      <c r="AC32">
        <v>0.09</v>
      </c>
      <c r="AD32">
        <v>0.11</v>
      </c>
      <c r="AE32">
        <v>0</v>
      </c>
      <c r="AF32">
        <v>0</v>
      </c>
      <c r="AG32">
        <v>0</v>
      </c>
      <c r="AH32">
        <v>0.12</v>
      </c>
      <c r="AI32">
        <v>1</v>
      </c>
    </row>
    <row r="33" spans="1:35" x14ac:dyDescent="0.35">
      <c r="A33">
        <v>1125.07</v>
      </c>
      <c r="B33" t="s">
        <v>281</v>
      </c>
      <c r="C33" t="s">
        <v>214</v>
      </c>
      <c r="D33" t="s">
        <v>282</v>
      </c>
      <c r="E33" t="s">
        <v>283</v>
      </c>
      <c r="F33"/>
      <c r="G33">
        <v>0</v>
      </c>
      <c r="H33"/>
      <c r="T33">
        <v>69</v>
      </c>
      <c r="U33">
        <v>0.6</v>
      </c>
      <c r="V33" s="1">
        <v>0.6</v>
      </c>
      <c r="W33" s="1">
        <v>0</v>
      </c>
      <c r="Z33">
        <v>1.42</v>
      </c>
      <c r="AA33">
        <v>5</v>
      </c>
      <c r="AB33">
        <v>0</v>
      </c>
      <c r="AC33">
        <v>0</v>
      </c>
      <c r="AD33">
        <v>0.06</v>
      </c>
      <c r="AE33">
        <v>0</v>
      </c>
      <c r="AF33">
        <v>0</v>
      </c>
      <c r="AG33">
        <v>0</v>
      </c>
      <c r="AH33">
        <v>0.01</v>
      </c>
      <c r="AI33">
        <v>1.4</v>
      </c>
    </row>
    <row r="34" spans="1:35" x14ac:dyDescent="0.35">
      <c r="A34">
        <v>1125.08</v>
      </c>
      <c r="B34" t="s">
        <v>284</v>
      </c>
      <c r="C34" t="s">
        <v>214</v>
      </c>
      <c r="D34" t="s">
        <v>285</v>
      </c>
      <c r="E34" t="s">
        <v>286</v>
      </c>
      <c r="F34"/>
      <c r="G34">
        <v>0</v>
      </c>
      <c r="H34"/>
      <c r="T34">
        <v>7</v>
      </c>
      <c r="U34">
        <v>8.8000000000000007</v>
      </c>
      <c r="V34" s="1">
        <v>8.8000000000000007</v>
      </c>
      <c r="W34" s="1">
        <v>0</v>
      </c>
      <c r="Z34">
        <v>3.5</v>
      </c>
      <c r="AA34">
        <v>290</v>
      </c>
      <c r="AB34">
        <v>1.3</v>
      </c>
      <c r="AC34">
        <v>0.19</v>
      </c>
      <c r="AD34">
        <v>1.56</v>
      </c>
      <c r="AE34">
        <v>4950</v>
      </c>
      <c r="AF34">
        <v>245</v>
      </c>
      <c r="AG34">
        <v>4970</v>
      </c>
      <c r="AH34">
        <v>1.08</v>
      </c>
      <c r="AI34">
        <v>59.3</v>
      </c>
    </row>
    <row r="35" spans="1:35" x14ac:dyDescent="0.35">
      <c r="A35">
        <v>1126.01</v>
      </c>
      <c r="B35" t="s">
        <v>287</v>
      </c>
      <c r="C35" t="s">
        <v>214</v>
      </c>
      <c r="D35" t="s">
        <v>288</v>
      </c>
      <c r="E35" t="s">
        <v>289</v>
      </c>
      <c r="F35"/>
      <c r="G35">
        <v>0</v>
      </c>
      <c r="H35"/>
      <c r="T35">
        <v>12</v>
      </c>
      <c r="U35">
        <v>2.2000000000000002</v>
      </c>
      <c r="V35" s="1">
        <v>2.2000000000000002</v>
      </c>
      <c r="W35" s="1">
        <v>0</v>
      </c>
      <c r="Z35">
        <v>4.79</v>
      </c>
      <c r="AA35">
        <v>6</v>
      </c>
      <c r="AB35">
        <v>0</v>
      </c>
      <c r="AC35">
        <v>0.04</v>
      </c>
      <c r="AD35">
        <v>0.16</v>
      </c>
      <c r="AE35">
        <v>0</v>
      </c>
      <c r="AF35">
        <v>0</v>
      </c>
      <c r="AG35">
        <v>0</v>
      </c>
      <c r="AH35">
        <v>0.37</v>
      </c>
      <c r="AI35">
        <v>2.2000000000000002</v>
      </c>
    </row>
    <row r="36" spans="1:35" x14ac:dyDescent="0.35">
      <c r="A36">
        <v>1126.02</v>
      </c>
      <c r="B36" t="s">
        <v>290</v>
      </c>
      <c r="C36" t="s">
        <v>214</v>
      </c>
      <c r="D36" t="s">
        <v>291</v>
      </c>
      <c r="E36" t="s">
        <v>292</v>
      </c>
      <c r="F36"/>
      <c r="G36">
        <v>0</v>
      </c>
      <c r="H36"/>
      <c r="T36">
        <v>12</v>
      </c>
      <c r="U36">
        <v>2.1</v>
      </c>
      <c r="V36" s="1">
        <v>2.1</v>
      </c>
      <c r="W36" s="1">
        <v>0</v>
      </c>
      <c r="Z36">
        <v>3.57</v>
      </c>
      <c r="AA36">
        <v>9</v>
      </c>
      <c r="AB36">
        <v>0</v>
      </c>
      <c r="AC36">
        <v>0.02</v>
      </c>
      <c r="AD36">
        <v>0.15</v>
      </c>
      <c r="AE36">
        <v>0</v>
      </c>
      <c r="AF36">
        <v>0</v>
      </c>
      <c r="AG36">
        <v>0</v>
      </c>
      <c r="AH36">
        <v>0.13</v>
      </c>
      <c r="AI36">
        <v>1.6</v>
      </c>
    </row>
    <row r="37" spans="1:35" x14ac:dyDescent="0.35">
      <c r="A37">
        <v>1127.01</v>
      </c>
      <c r="B37" t="s">
        <v>293</v>
      </c>
      <c r="C37" t="s">
        <v>218</v>
      </c>
      <c r="D37">
        <v>17164</v>
      </c>
      <c r="E37" t="s">
        <v>294</v>
      </c>
      <c r="F37"/>
      <c r="G37">
        <v>0</v>
      </c>
      <c r="H37"/>
      <c r="T37">
        <v>5</v>
      </c>
      <c r="U37">
        <v>3.4</v>
      </c>
      <c r="V37" s="1">
        <v>3.4</v>
      </c>
      <c r="W37" s="1">
        <v>0</v>
      </c>
      <c r="Z37">
        <v>2.09</v>
      </c>
      <c r="AA37">
        <v>4</v>
      </c>
      <c r="AB37">
        <v>0</v>
      </c>
      <c r="AC37">
        <v>0.22</v>
      </c>
      <c r="AD37">
        <v>0.48</v>
      </c>
      <c r="AE37">
        <v>0</v>
      </c>
      <c r="AF37">
        <v>0</v>
      </c>
      <c r="AG37">
        <v>0</v>
      </c>
      <c r="AH37">
        <v>0.37</v>
      </c>
      <c r="AI37">
        <v>6.31</v>
      </c>
    </row>
    <row r="38" spans="1:35" x14ac:dyDescent="0.35">
      <c r="A38">
        <v>1127.02</v>
      </c>
      <c r="B38" t="s">
        <v>295</v>
      </c>
      <c r="C38" t="s">
        <v>214</v>
      </c>
      <c r="D38" t="s">
        <v>258</v>
      </c>
      <c r="E38" t="s">
        <v>261</v>
      </c>
      <c r="F38"/>
      <c r="G38">
        <v>0</v>
      </c>
      <c r="H38"/>
      <c r="T38">
        <v>11</v>
      </c>
      <c r="U38">
        <v>1.8</v>
      </c>
      <c r="V38" s="1">
        <v>1.8</v>
      </c>
      <c r="W38" s="1">
        <v>0</v>
      </c>
      <c r="Z38">
        <v>3.6</v>
      </c>
      <c r="AA38">
        <v>3</v>
      </c>
      <c r="AB38">
        <v>0</v>
      </c>
      <c r="AC38">
        <v>0.6</v>
      </c>
      <c r="AD38">
        <v>0.17</v>
      </c>
      <c r="AE38">
        <v>0</v>
      </c>
      <c r="AF38">
        <v>0</v>
      </c>
      <c r="AG38">
        <v>0</v>
      </c>
      <c r="AH38">
        <v>0.38</v>
      </c>
      <c r="AI38">
        <v>0.7</v>
      </c>
    </row>
    <row r="39" spans="1:35" x14ac:dyDescent="0.35">
      <c r="A39">
        <v>1127.03</v>
      </c>
      <c r="B39" t="s">
        <v>296</v>
      </c>
      <c r="C39" t="s">
        <v>218</v>
      </c>
      <c r="D39">
        <v>17170</v>
      </c>
      <c r="E39" t="s">
        <v>297</v>
      </c>
      <c r="F39"/>
      <c r="G39">
        <v>0</v>
      </c>
      <c r="H39"/>
      <c r="T39">
        <v>6</v>
      </c>
      <c r="U39">
        <v>3.82</v>
      </c>
      <c r="V39" s="1">
        <v>3.82</v>
      </c>
      <c r="W39" s="1">
        <v>0</v>
      </c>
      <c r="Z39">
        <v>2.9</v>
      </c>
      <c r="AA39">
        <v>0</v>
      </c>
      <c r="AB39">
        <v>1</v>
      </c>
      <c r="AC39">
        <v>0.13</v>
      </c>
      <c r="AD39">
        <v>0.1</v>
      </c>
      <c r="AE39">
        <v>0</v>
      </c>
      <c r="AF39">
        <v>0</v>
      </c>
      <c r="AG39">
        <v>0</v>
      </c>
      <c r="AH39">
        <v>0.38</v>
      </c>
      <c r="AI39">
        <v>3</v>
      </c>
    </row>
    <row r="40" spans="1:35" x14ac:dyDescent="0.35">
      <c r="A40">
        <v>1127.04</v>
      </c>
      <c r="B40" t="s">
        <v>298</v>
      </c>
      <c r="C40" t="s">
        <v>218</v>
      </c>
      <c r="D40">
        <v>80200</v>
      </c>
      <c r="E40" t="s">
        <v>299</v>
      </c>
      <c r="F40"/>
      <c r="G40">
        <v>0</v>
      </c>
      <c r="H40"/>
      <c r="T40">
        <v>18</v>
      </c>
      <c r="U40">
        <v>1.5</v>
      </c>
      <c r="V40" s="1">
        <v>1.5</v>
      </c>
      <c r="W40" s="1">
        <v>0</v>
      </c>
      <c r="Z40">
        <v>1</v>
      </c>
      <c r="AA40">
        <v>15</v>
      </c>
      <c r="AB40">
        <v>0</v>
      </c>
      <c r="AC40">
        <v>0.14000000000000001</v>
      </c>
      <c r="AD40">
        <v>0.25</v>
      </c>
      <c r="AE40">
        <v>15</v>
      </c>
      <c r="AF40">
        <v>0</v>
      </c>
      <c r="AG40">
        <v>15</v>
      </c>
      <c r="AH40">
        <v>0.12</v>
      </c>
      <c r="AI40">
        <v>0.4</v>
      </c>
    </row>
    <row r="41" spans="1:35" x14ac:dyDescent="0.35">
      <c r="A41">
        <v>1128.01</v>
      </c>
      <c r="B41" t="s">
        <v>300</v>
      </c>
      <c r="C41" t="s">
        <v>214</v>
      </c>
      <c r="D41" t="s">
        <v>301</v>
      </c>
      <c r="E41" t="s">
        <v>302</v>
      </c>
      <c r="F41"/>
      <c r="G41">
        <v>0</v>
      </c>
      <c r="H41"/>
      <c r="T41">
        <v>39</v>
      </c>
      <c r="U41">
        <v>7</v>
      </c>
      <c r="V41" s="1">
        <v>7</v>
      </c>
      <c r="W41" s="1">
        <v>0</v>
      </c>
      <c r="Z41">
        <v>3.18</v>
      </c>
      <c r="AA41">
        <v>0</v>
      </c>
      <c r="AB41">
        <v>0</v>
      </c>
      <c r="AC41">
        <v>0.13</v>
      </c>
      <c r="AD41">
        <v>1.1299999999999999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>
        <v>1129.99</v>
      </c>
      <c r="B42" t="s">
        <v>303</v>
      </c>
      <c r="C42" t="s">
        <v>214</v>
      </c>
      <c r="D42" t="s">
        <v>304</v>
      </c>
      <c r="E42" t="s">
        <v>305</v>
      </c>
      <c r="F42"/>
      <c r="G42">
        <v>0</v>
      </c>
      <c r="H42"/>
      <c r="T42">
        <v>15</v>
      </c>
      <c r="U42">
        <v>9.9</v>
      </c>
      <c r="V42" s="1">
        <v>9.9</v>
      </c>
      <c r="W42" s="1">
        <v>0</v>
      </c>
      <c r="Z42">
        <v>6.06</v>
      </c>
      <c r="AA42">
        <v>12</v>
      </c>
      <c r="AB42">
        <v>0</v>
      </c>
      <c r="AC42">
        <v>0.64</v>
      </c>
      <c r="AD42">
        <v>1.39</v>
      </c>
      <c r="AE42">
        <v>0</v>
      </c>
      <c r="AF42">
        <v>0</v>
      </c>
      <c r="AG42">
        <v>0</v>
      </c>
      <c r="AH42">
        <v>1.07</v>
      </c>
      <c r="AI42">
        <v>18.3</v>
      </c>
    </row>
    <row r="43" spans="1:35" x14ac:dyDescent="0.35">
      <c r="A43">
        <v>1131.01</v>
      </c>
      <c r="B43" t="s">
        <v>306</v>
      </c>
      <c r="C43" t="s">
        <v>214</v>
      </c>
      <c r="D43" t="s">
        <v>307</v>
      </c>
      <c r="E43" t="s">
        <v>308</v>
      </c>
      <c r="F43"/>
      <c r="G43">
        <v>0.45</v>
      </c>
      <c r="H43"/>
      <c r="T43">
        <v>17</v>
      </c>
      <c r="U43">
        <v>1.3</v>
      </c>
      <c r="V43" s="1">
        <v>1.3</v>
      </c>
      <c r="W43" s="1">
        <v>0</v>
      </c>
      <c r="Z43">
        <v>0.83</v>
      </c>
      <c r="AA43">
        <v>24</v>
      </c>
      <c r="AB43">
        <v>0</v>
      </c>
      <c r="AC43">
        <v>0.04</v>
      </c>
      <c r="AD43">
        <v>0.06</v>
      </c>
      <c r="AE43">
        <v>26</v>
      </c>
      <c r="AF43">
        <v>0</v>
      </c>
      <c r="AG43">
        <v>26</v>
      </c>
      <c r="AH43">
        <v>0.24</v>
      </c>
      <c r="AI43">
        <v>1.6</v>
      </c>
    </row>
    <row r="44" spans="1:35" x14ac:dyDescent="0.35">
      <c r="A44">
        <v>1131.02</v>
      </c>
      <c r="B44" t="s">
        <v>309</v>
      </c>
      <c r="C44" t="s">
        <v>214</v>
      </c>
      <c r="D44" t="s">
        <v>310</v>
      </c>
      <c r="E44" t="s">
        <v>311</v>
      </c>
      <c r="F44"/>
      <c r="G44">
        <v>0.28999999999999998</v>
      </c>
      <c r="H44"/>
      <c r="T44">
        <v>28</v>
      </c>
      <c r="U44">
        <v>0.8</v>
      </c>
      <c r="V44" s="1">
        <v>0.8</v>
      </c>
      <c r="W44" s="1">
        <v>0</v>
      </c>
      <c r="Z44">
        <v>0.49</v>
      </c>
      <c r="AA44">
        <v>1</v>
      </c>
      <c r="AB44">
        <v>0</v>
      </c>
      <c r="AC44">
        <v>0.14000000000000001</v>
      </c>
      <c r="AD44">
        <v>0.14000000000000001</v>
      </c>
      <c r="AE44">
        <v>39</v>
      </c>
      <c r="AF44">
        <v>0</v>
      </c>
      <c r="AG44">
        <v>39</v>
      </c>
      <c r="AH44">
        <v>0.4</v>
      </c>
      <c r="AI44">
        <v>2.4</v>
      </c>
    </row>
    <row r="45" spans="1:35" x14ac:dyDescent="0.35">
      <c r="A45">
        <v>1132.01</v>
      </c>
      <c r="B45" t="s">
        <v>312</v>
      </c>
      <c r="C45" t="s">
        <v>218</v>
      </c>
      <c r="D45">
        <v>15145</v>
      </c>
      <c r="E45" t="s">
        <v>313</v>
      </c>
      <c r="F45"/>
      <c r="G45">
        <v>0</v>
      </c>
      <c r="H45"/>
      <c r="T45">
        <v>27</v>
      </c>
      <c r="U45">
        <v>0.84</v>
      </c>
      <c r="V45" s="1">
        <v>0.84</v>
      </c>
      <c r="W45" s="1">
        <v>0</v>
      </c>
      <c r="Z45">
        <v>1.3</v>
      </c>
      <c r="AA45">
        <v>37</v>
      </c>
      <c r="AB45">
        <v>1.2</v>
      </c>
      <c r="AC45">
        <v>7.0000000000000007E-2</v>
      </c>
      <c r="AD45">
        <v>3.2000000000000001E-2</v>
      </c>
      <c r="AE45">
        <v>16</v>
      </c>
      <c r="AF45">
        <v>0</v>
      </c>
      <c r="AG45">
        <v>16</v>
      </c>
      <c r="AH45">
        <v>0.108</v>
      </c>
      <c r="AI45">
        <v>2</v>
      </c>
    </row>
    <row r="46" spans="1:35" x14ac:dyDescent="0.35">
      <c r="A46">
        <v>1132.02</v>
      </c>
      <c r="B46" t="s">
        <v>314</v>
      </c>
      <c r="C46" t="s">
        <v>218</v>
      </c>
      <c r="D46">
        <v>15227</v>
      </c>
      <c r="E46" t="s">
        <v>315</v>
      </c>
      <c r="F46"/>
      <c r="G46">
        <v>0</v>
      </c>
      <c r="H46"/>
      <c r="T46">
        <v>33</v>
      </c>
      <c r="U46">
        <v>2.88</v>
      </c>
      <c r="V46" s="1">
        <v>2.88</v>
      </c>
      <c r="W46" s="1">
        <v>0</v>
      </c>
      <c r="Z46">
        <v>3.59</v>
      </c>
      <c r="AA46">
        <v>42</v>
      </c>
      <c r="AB46">
        <v>7.2</v>
      </c>
      <c r="AC46">
        <v>9.6999999999999906E-2</v>
      </c>
      <c r="AD46">
        <v>0.24399999999999999</v>
      </c>
      <c r="AE46">
        <v>52</v>
      </c>
      <c r="AF46">
        <v>0</v>
      </c>
      <c r="AG46">
        <v>52</v>
      </c>
      <c r="AH46">
        <v>0.17299999999999999</v>
      </c>
      <c r="AI46">
        <v>10.38</v>
      </c>
    </row>
    <row r="47" spans="1:35" x14ac:dyDescent="0.35">
      <c r="A47">
        <v>1132.03</v>
      </c>
      <c r="B47" t="s">
        <v>316</v>
      </c>
      <c r="C47" t="s">
        <v>218</v>
      </c>
      <c r="D47">
        <v>80200</v>
      </c>
      <c r="E47" t="s">
        <v>299</v>
      </c>
      <c r="F47"/>
      <c r="G47">
        <v>0</v>
      </c>
      <c r="H47"/>
      <c r="T47">
        <v>18</v>
      </c>
      <c r="U47">
        <v>1.5</v>
      </c>
      <c r="V47" s="1">
        <v>1.5</v>
      </c>
      <c r="W47" s="1">
        <v>0</v>
      </c>
      <c r="Z47">
        <v>1</v>
      </c>
      <c r="AA47">
        <v>15</v>
      </c>
      <c r="AB47">
        <v>0</v>
      </c>
      <c r="AC47">
        <v>0.14000000000000001</v>
      </c>
      <c r="AD47">
        <v>0.25</v>
      </c>
      <c r="AE47">
        <v>15</v>
      </c>
      <c r="AF47">
        <v>0</v>
      </c>
      <c r="AG47">
        <v>15</v>
      </c>
      <c r="AH47">
        <v>0.12</v>
      </c>
      <c r="AI47">
        <v>0.4</v>
      </c>
    </row>
    <row r="48" spans="1:35" x14ac:dyDescent="0.35">
      <c r="A48">
        <v>1133.01</v>
      </c>
      <c r="B48" t="s">
        <v>317</v>
      </c>
      <c r="C48" t="s">
        <v>218</v>
      </c>
      <c r="D48">
        <v>15035</v>
      </c>
      <c r="E48" t="s">
        <v>318</v>
      </c>
      <c r="F48"/>
      <c r="G48">
        <v>0</v>
      </c>
      <c r="H48"/>
      <c r="T48">
        <v>49</v>
      </c>
      <c r="U48">
        <v>1.4</v>
      </c>
      <c r="V48" s="1">
        <v>1.4</v>
      </c>
      <c r="W48" s="1">
        <v>0</v>
      </c>
      <c r="Z48">
        <v>0.5</v>
      </c>
      <c r="AA48">
        <v>15</v>
      </c>
      <c r="AB48">
        <v>0</v>
      </c>
      <c r="AC48">
        <v>4.7E-2</v>
      </c>
      <c r="AD48">
        <v>4.9000000000000002E-2</v>
      </c>
      <c r="AE48">
        <v>24</v>
      </c>
      <c r="AF48">
        <v>0</v>
      </c>
      <c r="AG48">
        <v>24</v>
      </c>
      <c r="AH48">
        <v>0.4</v>
      </c>
      <c r="AI48">
        <v>1.6</v>
      </c>
    </row>
    <row r="49" spans="1:35" x14ac:dyDescent="0.35">
      <c r="A49">
        <v>1133.02</v>
      </c>
      <c r="B49" t="s">
        <v>319</v>
      </c>
      <c r="C49" t="s">
        <v>214</v>
      </c>
      <c r="D49" t="s">
        <v>320</v>
      </c>
      <c r="E49" t="s">
        <v>321</v>
      </c>
      <c r="F49"/>
      <c r="G49">
        <v>0.48</v>
      </c>
      <c r="H49"/>
      <c r="T49">
        <v>71</v>
      </c>
      <c r="U49">
        <v>1.8</v>
      </c>
      <c r="V49" s="1">
        <v>1.8</v>
      </c>
      <c r="W49" s="1">
        <v>0</v>
      </c>
      <c r="Z49">
        <v>1.57</v>
      </c>
      <c r="AA49">
        <v>4</v>
      </c>
      <c r="AB49">
        <v>0</v>
      </c>
      <c r="AC49">
        <v>0.02</v>
      </c>
      <c r="AD49">
        <v>0.21</v>
      </c>
      <c r="AE49">
        <v>18</v>
      </c>
      <c r="AF49">
        <v>6</v>
      </c>
      <c r="AG49">
        <v>19</v>
      </c>
      <c r="AH49">
        <v>0.96</v>
      </c>
      <c r="AI49">
        <v>11</v>
      </c>
    </row>
    <row r="50" spans="1:35" x14ac:dyDescent="0.35">
      <c r="A50">
        <v>1133.03</v>
      </c>
      <c r="B50" t="s">
        <v>322</v>
      </c>
      <c r="C50" t="s">
        <v>218</v>
      </c>
      <c r="D50">
        <v>35165</v>
      </c>
      <c r="E50" t="s">
        <v>323</v>
      </c>
      <c r="F50"/>
      <c r="G50">
        <v>0</v>
      </c>
      <c r="H50"/>
      <c r="T50">
        <v>810</v>
      </c>
      <c r="U50">
        <v>4.0999999999999996</v>
      </c>
      <c r="V50" s="1">
        <v>4.0999999999999996</v>
      </c>
      <c r="W50" s="1">
        <v>0</v>
      </c>
      <c r="Z50">
        <v>5</v>
      </c>
      <c r="AA50">
        <v>11</v>
      </c>
      <c r="AB50">
        <v>0</v>
      </c>
      <c r="AC50">
        <v>5.2999999999999999E-2</v>
      </c>
      <c r="AD50">
        <v>0.437999999999999</v>
      </c>
      <c r="AE50">
        <v>39</v>
      </c>
      <c r="AF50">
        <v>0</v>
      </c>
      <c r="AG50">
        <v>39</v>
      </c>
      <c r="AH50">
        <v>0.36499999999999999</v>
      </c>
      <c r="AI50">
        <v>18.399999999999999</v>
      </c>
    </row>
    <row r="51" spans="1:35" x14ac:dyDescent="0.35">
      <c r="A51">
        <v>1134.01</v>
      </c>
      <c r="B51" t="s">
        <v>324</v>
      </c>
      <c r="C51" t="s">
        <v>214</v>
      </c>
      <c r="D51" t="s">
        <v>325</v>
      </c>
      <c r="E51" t="s">
        <v>326</v>
      </c>
      <c r="F51"/>
      <c r="G51">
        <v>0</v>
      </c>
      <c r="H51"/>
      <c r="T51">
        <v>382</v>
      </c>
      <c r="U51">
        <v>2.9</v>
      </c>
      <c r="V51" s="1">
        <v>2.9</v>
      </c>
      <c r="W51" s="1">
        <v>0</v>
      </c>
      <c r="Z51">
        <v>1.31</v>
      </c>
      <c r="AA51">
        <v>10</v>
      </c>
      <c r="AB51">
        <v>0</v>
      </c>
      <c r="AC51">
        <v>0.08</v>
      </c>
      <c r="AD51">
        <v>0.23</v>
      </c>
      <c r="AE51">
        <v>32</v>
      </c>
      <c r="AF51">
        <v>0</v>
      </c>
      <c r="AG51">
        <v>32</v>
      </c>
      <c r="AH51">
        <v>0.17</v>
      </c>
      <c r="AI51">
        <v>8.9</v>
      </c>
    </row>
    <row r="52" spans="1:35" x14ac:dyDescent="0.35">
      <c r="A52">
        <v>1139.99</v>
      </c>
      <c r="B52" t="s">
        <v>327</v>
      </c>
      <c r="C52" t="s">
        <v>218</v>
      </c>
      <c r="D52">
        <v>80200</v>
      </c>
      <c r="E52" t="s">
        <v>299</v>
      </c>
      <c r="F52"/>
      <c r="G52">
        <v>0</v>
      </c>
      <c r="H52"/>
      <c r="T52">
        <v>18</v>
      </c>
      <c r="U52">
        <v>1.5</v>
      </c>
      <c r="V52" s="1">
        <v>1.5</v>
      </c>
      <c r="W52" s="1">
        <v>0</v>
      </c>
      <c r="Z52">
        <v>1</v>
      </c>
      <c r="AA52">
        <v>15</v>
      </c>
      <c r="AB52">
        <v>0</v>
      </c>
      <c r="AC52">
        <v>0.14000000000000001</v>
      </c>
      <c r="AD52">
        <v>0.25</v>
      </c>
      <c r="AE52">
        <v>15</v>
      </c>
      <c r="AF52">
        <v>0</v>
      </c>
      <c r="AG52">
        <v>15</v>
      </c>
      <c r="AH52">
        <v>0.12</v>
      </c>
      <c r="AI52">
        <v>0.4</v>
      </c>
    </row>
    <row r="53" spans="1:35" x14ac:dyDescent="0.35">
      <c r="A53">
        <v>1141.01</v>
      </c>
      <c r="B53" t="s">
        <v>328</v>
      </c>
      <c r="C53" t="s">
        <v>214</v>
      </c>
      <c r="D53" t="s">
        <v>329</v>
      </c>
      <c r="E53" t="s">
        <v>330</v>
      </c>
      <c r="F53"/>
      <c r="G53">
        <v>0</v>
      </c>
      <c r="H53"/>
      <c r="T53">
        <v>120</v>
      </c>
      <c r="U53">
        <v>0.05</v>
      </c>
      <c r="V53" s="1">
        <v>0.05</v>
      </c>
      <c r="W53" s="1">
        <v>0</v>
      </c>
      <c r="Z53">
        <v>0.39</v>
      </c>
      <c r="AA53">
        <v>10</v>
      </c>
      <c r="AB53">
        <v>1.5</v>
      </c>
      <c r="AC53">
        <v>0.04</v>
      </c>
      <c r="AD53">
        <v>0.18</v>
      </c>
      <c r="AE53">
        <v>31</v>
      </c>
      <c r="AF53">
        <v>18</v>
      </c>
      <c r="AG53">
        <v>33</v>
      </c>
      <c r="AH53">
        <v>0.05</v>
      </c>
      <c r="AI53">
        <v>0.6</v>
      </c>
    </row>
    <row r="54" spans="1:35" x14ac:dyDescent="0.35">
      <c r="A54">
        <v>1141.02</v>
      </c>
      <c r="B54" t="s">
        <v>331</v>
      </c>
      <c r="C54" t="s">
        <v>214</v>
      </c>
      <c r="D54" t="s">
        <v>329</v>
      </c>
      <c r="E54" t="s">
        <v>330</v>
      </c>
      <c r="F54"/>
      <c r="G54">
        <v>0</v>
      </c>
      <c r="H54"/>
      <c r="T54">
        <v>120</v>
      </c>
      <c r="U54">
        <v>0.05</v>
      </c>
      <c r="V54" s="1">
        <v>0.05</v>
      </c>
      <c r="W54" s="1">
        <v>0</v>
      </c>
      <c r="Z54">
        <v>0.39</v>
      </c>
      <c r="AA54">
        <v>10</v>
      </c>
      <c r="AB54">
        <v>1.5</v>
      </c>
      <c r="AC54">
        <v>0.04</v>
      </c>
      <c r="AD54">
        <v>0.18</v>
      </c>
      <c r="AE54">
        <v>31</v>
      </c>
      <c r="AF54">
        <v>18</v>
      </c>
      <c r="AG54">
        <v>33</v>
      </c>
      <c r="AH54">
        <v>0.05</v>
      </c>
      <c r="AI54">
        <v>0.6</v>
      </c>
    </row>
    <row r="55" spans="1:35" x14ac:dyDescent="0.35">
      <c r="A55">
        <v>1141.99</v>
      </c>
      <c r="B55" t="s">
        <v>332</v>
      </c>
      <c r="C55" t="s">
        <v>214</v>
      </c>
      <c r="D55" t="s">
        <v>333</v>
      </c>
      <c r="E55" t="s">
        <v>334</v>
      </c>
      <c r="F55"/>
      <c r="G55">
        <v>0</v>
      </c>
      <c r="H55"/>
      <c r="T55">
        <v>118</v>
      </c>
      <c r="U55">
        <v>0.1</v>
      </c>
      <c r="V55" s="1">
        <v>0.1</v>
      </c>
      <c r="W55" s="1">
        <v>0</v>
      </c>
      <c r="Z55">
        <v>0.47</v>
      </c>
      <c r="AA55">
        <v>23</v>
      </c>
      <c r="AB55">
        <v>0.7</v>
      </c>
      <c r="AC55">
        <v>0.04</v>
      </c>
      <c r="AD55">
        <v>0.16</v>
      </c>
      <c r="AE55">
        <v>27</v>
      </c>
      <c r="AF55">
        <v>14</v>
      </c>
      <c r="AG55">
        <v>28</v>
      </c>
      <c r="AH55">
        <v>0.04</v>
      </c>
      <c r="AI55">
        <v>0.2</v>
      </c>
    </row>
    <row r="56" spans="1:35" x14ac:dyDescent="0.35">
      <c r="A56">
        <v>1142.01</v>
      </c>
      <c r="B56" t="s">
        <v>335</v>
      </c>
      <c r="C56" t="s">
        <v>214</v>
      </c>
      <c r="D56" t="s">
        <v>336</v>
      </c>
      <c r="E56" t="s">
        <v>337</v>
      </c>
      <c r="F56"/>
      <c r="G56">
        <v>0</v>
      </c>
      <c r="H56"/>
      <c r="T56">
        <v>122</v>
      </c>
      <c r="U56">
        <v>0.03</v>
      </c>
      <c r="V56" s="1">
        <v>0.03</v>
      </c>
      <c r="W56" s="1">
        <v>0</v>
      </c>
      <c r="Z56">
        <v>0.41</v>
      </c>
      <c r="AA56">
        <v>12</v>
      </c>
      <c r="AB56">
        <v>1.3</v>
      </c>
      <c r="AC56">
        <v>0.05</v>
      </c>
      <c r="AD56">
        <v>0.18</v>
      </c>
      <c r="AE56">
        <v>13</v>
      </c>
      <c r="AF56">
        <v>7</v>
      </c>
      <c r="AG56">
        <v>14</v>
      </c>
      <c r="AH56">
        <v>0.05</v>
      </c>
      <c r="AI56">
        <v>0.5</v>
      </c>
    </row>
    <row r="57" spans="1:35" x14ac:dyDescent="0.35">
      <c r="A57">
        <v>1142.02</v>
      </c>
      <c r="B57" t="s">
        <v>338</v>
      </c>
      <c r="C57" t="s">
        <v>214</v>
      </c>
      <c r="D57" t="s">
        <v>339</v>
      </c>
      <c r="E57" t="s">
        <v>340</v>
      </c>
      <c r="F57"/>
      <c r="G57">
        <v>0</v>
      </c>
      <c r="H57"/>
      <c r="T57">
        <v>124</v>
      </c>
      <c r="U57">
        <v>0.03</v>
      </c>
      <c r="V57" s="1">
        <v>0.03</v>
      </c>
      <c r="W57" s="1">
        <v>0</v>
      </c>
      <c r="Z57">
        <v>0.41</v>
      </c>
      <c r="AA57">
        <v>6</v>
      </c>
      <c r="AB57">
        <v>1.3</v>
      </c>
      <c r="AC57">
        <v>0.04</v>
      </c>
      <c r="AD57">
        <v>0.17</v>
      </c>
      <c r="AE57">
        <v>4</v>
      </c>
      <c r="AF57">
        <v>2</v>
      </c>
      <c r="AG57">
        <v>4</v>
      </c>
      <c r="AH57">
        <v>0.05</v>
      </c>
      <c r="AI57">
        <v>0.5</v>
      </c>
    </row>
    <row r="58" spans="1:35" x14ac:dyDescent="0.35">
      <c r="A58">
        <v>1143.01</v>
      </c>
      <c r="B58" t="s">
        <v>341</v>
      </c>
      <c r="C58" t="s">
        <v>214</v>
      </c>
      <c r="D58" t="s">
        <v>342</v>
      </c>
      <c r="E58" t="s">
        <v>343</v>
      </c>
      <c r="F58"/>
      <c r="G58">
        <v>0</v>
      </c>
      <c r="H58"/>
      <c r="T58">
        <v>284</v>
      </c>
      <c r="U58">
        <v>0.2</v>
      </c>
      <c r="V58" s="1">
        <v>0.2</v>
      </c>
      <c r="W58" s="1">
        <v>0</v>
      </c>
      <c r="Z58">
        <v>0.94</v>
      </c>
      <c r="AA58">
        <v>11</v>
      </c>
      <c r="AB58">
        <v>2.6</v>
      </c>
      <c r="AC58">
        <v>0.09</v>
      </c>
      <c r="AD58">
        <v>0.42</v>
      </c>
      <c r="AE58">
        <v>73</v>
      </c>
      <c r="AF58">
        <v>14</v>
      </c>
      <c r="AG58">
        <v>74</v>
      </c>
      <c r="AH58">
        <v>0.05</v>
      </c>
      <c r="AI58">
        <v>0.4</v>
      </c>
    </row>
    <row r="59" spans="1:35" x14ac:dyDescent="0.35">
      <c r="A59">
        <v>1143.02</v>
      </c>
      <c r="B59" t="s">
        <v>344</v>
      </c>
      <c r="C59" t="s">
        <v>214</v>
      </c>
      <c r="D59" t="s">
        <v>345</v>
      </c>
      <c r="E59" t="s">
        <v>346</v>
      </c>
      <c r="F59" t="s">
        <v>107</v>
      </c>
      <c r="G59">
        <v>0</v>
      </c>
      <c r="H59"/>
      <c r="T59">
        <v>1260</v>
      </c>
      <c r="U59">
        <v>0.3</v>
      </c>
      <c r="V59" s="1">
        <v>0.3</v>
      </c>
      <c r="W59" s="1">
        <v>0</v>
      </c>
      <c r="Z59">
        <v>4.08</v>
      </c>
      <c r="AA59">
        <v>50</v>
      </c>
      <c r="AB59">
        <v>6.8</v>
      </c>
      <c r="AC59">
        <v>0.42</v>
      </c>
      <c r="AD59">
        <v>1.55</v>
      </c>
      <c r="AE59">
        <v>15</v>
      </c>
      <c r="AF59">
        <v>7</v>
      </c>
      <c r="AG59">
        <v>15</v>
      </c>
      <c r="AH59">
        <v>0.36</v>
      </c>
      <c r="AI59">
        <v>4</v>
      </c>
    </row>
    <row r="60" spans="1:35" x14ac:dyDescent="0.35">
      <c r="A60">
        <v>1143.03</v>
      </c>
      <c r="B60" t="s">
        <v>347</v>
      </c>
      <c r="C60" t="s">
        <v>214</v>
      </c>
      <c r="D60" t="s">
        <v>345</v>
      </c>
      <c r="E60" t="s">
        <v>346</v>
      </c>
      <c r="F60" t="s">
        <v>348</v>
      </c>
      <c r="G60">
        <v>0</v>
      </c>
      <c r="H60"/>
      <c r="T60">
        <v>1260</v>
      </c>
      <c r="U60">
        <v>0.3</v>
      </c>
      <c r="V60" s="1">
        <v>0.3</v>
      </c>
      <c r="W60" s="1">
        <v>0</v>
      </c>
      <c r="Z60">
        <v>4.08</v>
      </c>
      <c r="AA60">
        <v>50</v>
      </c>
      <c r="AB60">
        <v>6.8</v>
      </c>
      <c r="AC60">
        <v>0.42</v>
      </c>
      <c r="AD60">
        <v>1.55</v>
      </c>
      <c r="AE60">
        <v>15</v>
      </c>
      <c r="AF60">
        <v>7</v>
      </c>
      <c r="AG60">
        <v>15</v>
      </c>
      <c r="AH60">
        <v>0.36</v>
      </c>
      <c r="AI60">
        <v>4</v>
      </c>
    </row>
    <row r="61" spans="1:35" x14ac:dyDescent="0.35">
      <c r="A61">
        <v>1143.04</v>
      </c>
      <c r="B61" t="s">
        <v>349</v>
      </c>
      <c r="C61" t="s">
        <v>214</v>
      </c>
      <c r="D61" t="s">
        <v>350</v>
      </c>
      <c r="E61" t="s">
        <v>351</v>
      </c>
      <c r="F61" t="s">
        <v>348</v>
      </c>
      <c r="G61">
        <v>0</v>
      </c>
      <c r="H61"/>
      <c r="T61">
        <v>358</v>
      </c>
      <c r="U61">
        <v>9.3000000000000007</v>
      </c>
      <c r="V61" s="1">
        <v>9.3000000000000007</v>
      </c>
      <c r="W61" s="1">
        <v>0</v>
      </c>
      <c r="Z61">
        <v>3.9</v>
      </c>
      <c r="AA61">
        <v>39</v>
      </c>
      <c r="AB61">
        <v>43</v>
      </c>
      <c r="AC61">
        <v>0.52</v>
      </c>
      <c r="AD61">
        <v>0.78</v>
      </c>
      <c r="AE61">
        <v>467</v>
      </c>
      <c r="AF61">
        <v>0</v>
      </c>
      <c r="AG61">
        <v>467</v>
      </c>
      <c r="AH61">
        <v>0.33</v>
      </c>
      <c r="AI61">
        <v>1</v>
      </c>
    </row>
    <row r="62" spans="1:35" x14ac:dyDescent="0.35">
      <c r="A62">
        <v>1144.01</v>
      </c>
      <c r="B62" t="s">
        <v>352</v>
      </c>
      <c r="C62" t="s">
        <v>214</v>
      </c>
      <c r="D62" t="s">
        <v>353</v>
      </c>
      <c r="E62" t="s">
        <v>354</v>
      </c>
      <c r="F62" t="s">
        <v>348</v>
      </c>
      <c r="G62">
        <v>0</v>
      </c>
      <c r="H62"/>
      <c r="T62">
        <v>142</v>
      </c>
      <c r="U62">
        <v>0.1</v>
      </c>
      <c r="V62" s="1">
        <v>0.1</v>
      </c>
      <c r="W62" s="1">
        <v>0</v>
      </c>
      <c r="Z62">
        <v>0.3</v>
      </c>
      <c r="AA62">
        <v>1</v>
      </c>
      <c r="AB62">
        <v>1.5</v>
      </c>
      <c r="AC62">
        <v>0.06</v>
      </c>
      <c r="AD62">
        <v>0.17</v>
      </c>
      <c r="AE62">
        <v>33</v>
      </c>
      <c r="AF62">
        <v>0</v>
      </c>
      <c r="AG62">
        <v>33</v>
      </c>
      <c r="AH62">
        <v>0.04</v>
      </c>
      <c r="AI62">
        <v>0.1</v>
      </c>
    </row>
    <row r="63" spans="1:35" x14ac:dyDescent="0.35">
      <c r="A63">
        <v>1144.02</v>
      </c>
      <c r="B63" t="s">
        <v>355</v>
      </c>
      <c r="C63" t="s">
        <v>214</v>
      </c>
      <c r="D63" t="s">
        <v>356</v>
      </c>
      <c r="E63" t="s">
        <v>357</v>
      </c>
      <c r="F63" t="s">
        <v>109</v>
      </c>
      <c r="G63">
        <v>0</v>
      </c>
      <c r="H63"/>
      <c r="T63">
        <v>152</v>
      </c>
      <c r="U63">
        <v>0.1</v>
      </c>
      <c r="V63" s="1">
        <v>0.1</v>
      </c>
      <c r="W63" s="1">
        <v>0</v>
      </c>
      <c r="Z63">
        <v>0.57999999999999996</v>
      </c>
      <c r="AA63">
        <v>12</v>
      </c>
      <c r="AB63">
        <v>0.7</v>
      </c>
      <c r="AC63">
        <v>0.04</v>
      </c>
      <c r="AD63">
        <v>0.2</v>
      </c>
      <c r="AE63">
        <v>29</v>
      </c>
      <c r="AF63">
        <v>16</v>
      </c>
      <c r="AG63">
        <v>30</v>
      </c>
      <c r="AH63">
        <v>0.04</v>
      </c>
      <c r="AI63">
        <v>0.3</v>
      </c>
    </row>
    <row r="64" spans="1:35" x14ac:dyDescent="0.35">
      <c r="A64">
        <v>1144.03</v>
      </c>
      <c r="B64" t="s">
        <v>358</v>
      </c>
      <c r="C64" t="s">
        <v>214</v>
      </c>
      <c r="D64" t="s">
        <v>336</v>
      </c>
      <c r="E64" t="s">
        <v>330</v>
      </c>
      <c r="F64" t="s">
        <v>107</v>
      </c>
      <c r="G64">
        <v>0</v>
      </c>
      <c r="H64"/>
      <c r="T64">
        <v>122</v>
      </c>
      <c r="U64">
        <v>0.03</v>
      </c>
      <c r="V64" s="1">
        <v>0.03</v>
      </c>
      <c r="W64" s="1">
        <v>0</v>
      </c>
      <c r="Z64">
        <v>0.41</v>
      </c>
      <c r="AA64">
        <v>12</v>
      </c>
      <c r="AB64">
        <v>1.3</v>
      </c>
      <c r="AC64">
        <v>0.05</v>
      </c>
      <c r="AD64">
        <v>0.18</v>
      </c>
      <c r="AE64">
        <v>13</v>
      </c>
      <c r="AF64">
        <v>7</v>
      </c>
      <c r="AG64">
        <v>14</v>
      </c>
      <c r="AH64">
        <v>0.05</v>
      </c>
      <c r="AI64">
        <v>0.5</v>
      </c>
    </row>
    <row r="65" spans="1:35" x14ac:dyDescent="0.35">
      <c r="A65">
        <v>1145.01</v>
      </c>
      <c r="B65" t="s">
        <v>359</v>
      </c>
      <c r="C65" t="s">
        <v>214</v>
      </c>
      <c r="D65" t="s">
        <v>360</v>
      </c>
      <c r="E65" t="s">
        <v>361</v>
      </c>
      <c r="F65" t="s">
        <v>107</v>
      </c>
      <c r="G65">
        <v>0</v>
      </c>
      <c r="H65"/>
      <c r="T65">
        <v>753</v>
      </c>
      <c r="U65">
        <v>0.5</v>
      </c>
      <c r="V65" s="1">
        <v>0.5</v>
      </c>
      <c r="W65" s="1">
        <v>0</v>
      </c>
      <c r="Z65">
        <v>3.82</v>
      </c>
      <c r="AA65">
        <v>21</v>
      </c>
      <c r="AB65">
        <v>0</v>
      </c>
      <c r="AC65">
        <v>0.04</v>
      </c>
      <c r="AD65">
        <v>0.33</v>
      </c>
      <c r="AE65">
        <v>164</v>
      </c>
      <c r="AF65">
        <v>0</v>
      </c>
      <c r="AG65">
        <v>165</v>
      </c>
      <c r="AH65">
        <v>0.08</v>
      </c>
      <c r="AI65">
        <v>1.5</v>
      </c>
    </row>
    <row r="66" spans="1:35" x14ac:dyDescent="0.35">
      <c r="A66">
        <v>1146.01</v>
      </c>
      <c r="B66" t="s">
        <v>362</v>
      </c>
      <c r="C66" t="s">
        <v>214</v>
      </c>
      <c r="D66" t="s">
        <v>363</v>
      </c>
      <c r="E66" t="s">
        <v>364</v>
      </c>
      <c r="F66" t="s">
        <v>107</v>
      </c>
      <c r="G66">
        <v>0</v>
      </c>
      <c r="H66"/>
      <c r="T66">
        <v>104</v>
      </c>
      <c r="U66">
        <v>0.04</v>
      </c>
      <c r="V66" s="1">
        <v>0.04</v>
      </c>
      <c r="W66" s="1">
        <v>0</v>
      </c>
      <c r="Z66">
        <v>0.37</v>
      </c>
      <c r="AA66">
        <v>12</v>
      </c>
      <c r="AB66">
        <v>1</v>
      </c>
      <c r="AC66">
        <v>0.04</v>
      </c>
      <c r="AD66">
        <v>0.19</v>
      </c>
      <c r="AE66">
        <v>115</v>
      </c>
      <c r="AF66">
        <v>59</v>
      </c>
      <c r="AG66">
        <v>120</v>
      </c>
      <c r="AH66">
        <v>0.05</v>
      </c>
      <c r="AI66">
        <v>0.4</v>
      </c>
    </row>
    <row r="67" spans="1:35" x14ac:dyDescent="0.35">
      <c r="A67">
        <v>1147.01</v>
      </c>
      <c r="B67" t="s">
        <v>365</v>
      </c>
      <c r="C67" t="s">
        <v>214</v>
      </c>
      <c r="D67" t="s">
        <v>366</v>
      </c>
      <c r="E67" t="s">
        <v>367</v>
      </c>
      <c r="F67" t="s">
        <v>107</v>
      </c>
      <c r="G67">
        <v>0</v>
      </c>
      <c r="H67"/>
      <c r="T67">
        <v>56</v>
      </c>
      <c r="U67">
        <v>1.8</v>
      </c>
      <c r="V67" s="1">
        <v>1.8</v>
      </c>
      <c r="W67" s="1">
        <v>0</v>
      </c>
      <c r="Z67">
        <v>1.29</v>
      </c>
      <c r="AA67">
        <v>47</v>
      </c>
      <c r="AB67">
        <v>0</v>
      </c>
      <c r="AC67">
        <v>0.04</v>
      </c>
      <c r="AD67">
        <v>0.46</v>
      </c>
      <c r="AE67">
        <v>160</v>
      </c>
      <c r="AF67">
        <v>5</v>
      </c>
      <c r="AG67">
        <v>160</v>
      </c>
      <c r="AH67">
        <v>0.17</v>
      </c>
      <c r="AI67">
        <v>0.9</v>
      </c>
    </row>
    <row r="68" spans="1:35" x14ac:dyDescent="0.35">
      <c r="A68">
        <v>1151.01</v>
      </c>
      <c r="B68" t="s">
        <v>368</v>
      </c>
      <c r="C68" t="s">
        <v>214</v>
      </c>
      <c r="D68" t="s">
        <v>369</v>
      </c>
      <c r="E68" t="s">
        <v>370</v>
      </c>
      <c r="F68" t="s">
        <v>348</v>
      </c>
      <c r="G68">
        <v>0</v>
      </c>
      <c r="H68"/>
      <c r="T68">
        <v>17</v>
      </c>
      <c r="U68">
        <v>0.03</v>
      </c>
      <c r="V68" s="1">
        <v>0.03</v>
      </c>
      <c r="W68" s="1">
        <v>0</v>
      </c>
      <c r="Z68">
        <v>0.12</v>
      </c>
      <c r="AA68">
        <v>3</v>
      </c>
      <c r="AB68">
        <v>0</v>
      </c>
      <c r="AC68">
        <v>0.01</v>
      </c>
      <c r="AD68">
        <v>0.03</v>
      </c>
      <c r="AE68">
        <v>675</v>
      </c>
      <c r="AF68">
        <v>262</v>
      </c>
      <c r="AG68">
        <v>696</v>
      </c>
      <c r="AH68">
        <v>0</v>
      </c>
      <c r="AI68">
        <v>0.1</v>
      </c>
    </row>
    <row r="69" spans="1:35" x14ac:dyDescent="0.35">
      <c r="A69">
        <v>1152.01</v>
      </c>
      <c r="B69" t="s">
        <v>371</v>
      </c>
      <c r="C69" t="s">
        <v>214</v>
      </c>
      <c r="D69" t="s">
        <v>372</v>
      </c>
      <c r="E69" t="s">
        <v>373</v>
      </c>
      <c r="F69" t="s">
        <v>348</v>
      </c>
      <c r="G69">
        <v>0</v>
      </c>
      <c r="H69"/>
      <c r="T69">
        <v>3</v>
      </c>
      <c r="U69">
        <v>0.1</v>
      </c>
      <c r="V69" s="1">
        <v>0.1</v>
      </c>
      <c r="W69" s="1">
        <v>0</v>
      </c>
      <c r="Z69">
        <v>0</v>
      </c>
      <c r="AA69">
        <v>1</v>
      </c>
      <c r="AB69">
        <v>0.2</v>
      </c>
      <c r="AC69">
        <v>0.01</v>
      </c>
      <c r="AD69">
        <v>0.04</v>
      </c>
      <c r="AE69">
        <v>768</v>
      </c>
      <c r="AF69">
        <v>610</v>
      </c>
      <c r="AG69">
        <v>819</v>
      </c>
      <c r="AH69">
        <v>0.01</v>
      </c>
      <c r="AI69">
        <v>0.1</v>
      </c>
    </row>
    <row r="70" spans="1:35" x14ac:dyDescent="0.35">
      <c r="A70">
        <v>1152.02</v>
      </c>
      <c r="B70" t="s">
        <v>374</v>
      </c>
      <c r="C70" t="s">
        <v>214</v>
      </c>
      <c r="D70" t="s">
        <v>375</v>
      </c>
      <c r="E70" t="s">
        <v>376</v>
      </c>
      <c r="F70" t="s">
        <v>377</v>
      </c>
      <c r="G70">
        <v>0</v>
      </c>
      <c r="H70"/>
      <c r="T70">
        <v>51</v>
      </c>
      <c r="U70">
        <v>6.2</v>
      </c>
      <c r="V70" s="1">
        <v>0</v>
      </c>
      <c r="W70" s="1">
        <v>6.2</v>
      </c>
      <c r="Z70">
        <v>2.5</v>
      </c>
      <c r="AA70">
        <v>109</v>
      </c>
      <c r="AB70">
        <v>0</v>
      </c>
      <c r="AC70">
        <v>0.87</v>
      </c>
      <c r="AD70">
        <v>0.13</v>
      </c>
      <c r="AE70">
        <v>0</v>
      </c>
      <c r="AF70">
        <v>0</v>
      </c>
      <c r="AG70">
        <v>0</v>
      </c>
      <c r="AH70">
        <v>0.57999999999999996</v>
      </c>
      <c r="AI70">
        <v>0</v>
      </c>
    </row>
    <row r="71" spans="1:35" x14ac:dyDescent="0.35">
      <c r="A71">
        <v>1154.01</v>
      </c>
      <c r="B71" t="s">
        <v>378</v>
      </c>
      <c r="C71" t="s">
        <v>214</v>
      </c>
      <c r="D71" t="s">
        <v>379</v>
      </c>
      <c r="E71" t="s">
        <v>380</v>
      </c>
      <c r="F71"/>
      <c r="G71">
        <v>0</v>
      </c>
      <c r="H71"/>
      <c r="T71">
        <v>0</v>
      </c>
      <c r="U71">
        <v>0</v>
      </c>
      <c r="V71" s="1">
        <v>0</v>
      </c>
      <c r="W71" s="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>
        <v>1154.02</v>
      </c>
      <c r="B72" t="s">
        <v>381</v>
      </c>
      <c r="C72" t="s">
        <v>214</v>
      </c>
      <c r="D72" t="s">
        <v>379</v>
      </c>
      <c r="E72" t="s">
        <v>380</v>
      </c>
      <c r="F72" t="s">
        <v>109</v>
      </c>
      <c r="G72">
        <v>0</v>
      </c>
      <c r="H72"/>
      <c r="T72">
        <v>0</v>
      </c>
      <c r="U72">
        <v>0</v>
      </c>
      <c r="V72" s="1">
        <v>0</v>
      </c>
      <c r="W72" s="1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>
        <v>1155.01</v>
      </c>
      <c r="B73" t="s">
        <v>382</v>
      </c>
      <c r="C73" t="s">
        <v>214</v>
      </c>
      <c r="D73" t="s">
        <v>379</v>
      </c>
      <c r="E73" t="s">
        <v>380</v>
      </c>
      <c r="F73"/>
      <c r="G73">
        <v>0</v>
      </c>
      <c r="H73"/>
      <c r="T73">
        <v>0</v>
      </c>
      <c r="U73">
        <v>0</v>
      </c>
      <c r="V73" s="1">
        <v>0</v>
      </c>
      <c r="W73" s="1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>
        <v>1155.02</v>
      </c>
      <c r="B74" t="s">
        <v>383</v>
      </c>
      <c r="C74" t="s">
        <v>214</v>
      </c>
      <c r="D74" t="s">
        <v>369</v>
      </c>
      <c r="E74" t="s">
        <v>370</v>
      </c>
      <c r="F74"/>
      <c r="G74">
        <v>0</v>
      </c>
      <c r="H74"/>
      <c r="T74">
        <v>17</v>
      </c>
      <c r="U74">
        <v>0.03</v>
      </c>
      <c r="V74" s="1">
        <v>0.03</v>
      </c>
      <c r="W74" s="1">
        <v>0</v>
      </c>
      <c r="Z74">
        <v>0.12</v>
      </c>
      <c r="AA74">
        <v>3</v>
      </c>
      <c r="AB74">
        <v>0</v>
      </c>
      <c r="AC74">
        <v>0.01</v>
      </c>
      <c r="AD74">
        <v>0.03</v>
      </c>
      <c r="AE74">
        <v>675</v>
      </c>
      <c r="AF74">
        <v>262</v>
      </c>
      <c r="AG74">
        <v>696</v>
      </c>
      <c r="AH74">
        <v>0</v>
      </c>
      <c r="AI74">
        <v>0.1</v>
      </c>
    </row>
    <row r="75" spans="1:35" x14ac:dyDescent="0.35">
      <c r="A75">
        <v>1155.03</v>
      </c>
      <c r="B75" t="s">
        <v>384</v>
      </c>
      <c r="C75" t="s">
        <v>214</v>
      </c>
      <c r="D75" t="s">
        <v>385</v>
      </c>
      <c r="E75" t="s">
        <v>386</v>
      </c>
      <c r="F75"/>
      <c r="G75">
        <v>0</v>
      </c>
      <c r="H75"/>
      <c r="T75">
        <v>0</v>
      </c>
      <c r="U75">
        <v>0.03</v>
      </c>
      <c r="V75" s="1">
        <v>0</v>
      </c>
      <c r="W75" s="1">
        <v>0.03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>
        <v>1159.99</v>
      </c>
      <c r="B76" t="s">
        <v>387</v>
      </c>
      <c r="C76" t="s">
        <v>214</v>
      </c>
      <c r="D76" t="s">
        <v>385</v>
      </c>
      <c r="E76" t="s">
        <v>386</v>
      </c>
      <c r="F76"/>
      <c r="G76">
        <v>0</v>
      </c>
      <c r="H76"/>
      <c r="T76">
        <v>0</v>
      </c>
      <c r="U76">
        <v>0.03</v>
      </c>
      <c r="V76" s="1">
        <v>0</v>
      </c>
      <c r="W76" s="1">
        <v>0.03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>
        <v>1161.01</v>
      </c>
      <c r="B77" t="s">
        <v>388</v>
      </c>
      <c r="C77" t="s">
        <v>214</v>
      </c>
      <c r="D77" t="s">
        <v>389</v>
      </c>
      <c r="E77" t="s">
        <v>390</v>
      </c>
      <c r="F77"/>
      <c r="G77">
        <v>0.27</v>
      </c>
      <c r="H77"/>
      <c r="T77">
        <v>31</v>
      </c>
      <c r="U77">
        <v>0.2</v>
      </c>
      <c r="V77" s="1">
        <v>0</v>
      </c>
      <c r="W77" s="1">
        <v>0.2</v>
      </c>
      <c r="Z77">
        <v>0.1</v>
      </c>
      <c r="AA77">
        <v>33</v>
      </c>
      <c r="AB77">
        <v>46.8</v>
      </c>
      <c r="AC77">
        <v>0.04</v>
      </c>
      <c r="AD77">
        <v>0.03</v>
      </c>
      <c r="AE77">
        <v>0</v>
      </c>
      <c r="AF77">
        <v>90</v>
      </c>
      <c r="AG77">
        <v>8</v>
      </c>
      <c r="AH77">
        <v>7.0000000000000007E-2</v>
      </c>
      <c r="AI77">
        <v>0</v>
      </c>
    </row>
    <row r="78" spans="1:35" x14ac:dyDescent="0.35">
      <c r="A78">
        <v>1162.01</v>
      </c>
      <c r="B78" t="s">
        <v>391</v>
      </c>
      <c r="C78" t="s">
        <v>214</v>
      </c>
      <c r="D78" t="s">
        <v>392</v>
      </c>
      <c r="E78" t="s">
        <v>393</v>
      </c>
      <c r="F78"/>
      <c r="G78">
        <v>0.36</v>
      </c>
      <c r="H78"/>
      <c r="T78">
        <v>7</v>
      </c>
      <c r="U78">
        <v>0.3</v>
      </c>
      <c r="V78" s="1">
        <v>0</v>
      </c>
      <c r="W78" s="1">
        <v>0.3</v>
      </c>
      <c r="Z78">
        <v>0.17</v>
      </c>
      <c r="AA78">
        <v>19</v>
      </c>
      <c r="AB78">
        <v>10.4</v>
      </c>
      <c r="AC78">
        <v>0.04</v>
      </c>
      <c r="AD78">
        <v>0.04</v>
      </c>
      <c r="AE78">
        <v>0</v>
      </c>
      <c r="AF78">
        <v>50</v>
      </c>
      <c r="AG78">
        <v>4</v>
      </c>
      <c r="AH78">
        <v>0.34</v>
      </c>
      <c r="AI78">
        <v>0</v>
      </c>
    </row>
    <row r="79" spans="1:35" x14ac:dyDescent="0.35">
      <c r="A79">
        <v>1163.01</v>
      </c>
      <c r="B79" t="s">
        <v>394</v>
      </c>
      <c r="C79" t="s">
        <v>214</v>
      </c>
      <c r="D79" t="s">
        <v>395</v>
      </c>
      <c r="E79" t="s">
        <v>396</v>
      </c>
      <c r="F79"/>
      <c r="G79">
        <v>0.1</v>
      </c>
      <c r="H79"/>
      <c r="T79">
        <v>6</v>
      </c>
      <c r="U79">
        <v>0.1</v>
      </c>
      <c r="V79" s="1">
        <v>0</v>
      </c>
      <c r="W79" s="1">
        <v>0.1</v>
      </c>
      <c r="Z79">
        <v>0.04</v>
      </c>
      <c r="AA79">
        <v>3</v>
      </c>
      <c r="AB79">
        <v>4.5999999999999996</v>
      </c>
      <c r="AC79">
        <v>0.02</v>
      </c>
      <c r="AD79">
        <v>0.03</v>
      </c>
      <c r="AE79">
        <v>0</v>
      </c>
      <c r="AF79">
        <v>33</v>
      </c>
      <c r="AG79">
        <v>3</v>
      </c>
      <c r="AH79">
        <v>0.04</v>
      </c>
      <c r="AI79">
        <v>0</v>
      </c>
    </row>
    <row r="80" spans="1:35" x14ac:dyDescent="0.35">
      <c r="A80">
        <v>1164.01</v>
      </c>
      <c r="B80" t="s">
        <v>397</v>
      </c>
      <c r="C80" t="s">
        <v>218</v>
      </c>
      <c r="D80">
        <v>9252</v>
      </c>
      <c r="E80" t="s">
        <v>398</v>
      </c>
      <c r="F80"/>
      <c r="G80">
        <v>0</v>
      </c>
      <c r="H80"/>
      <c r="T80">
        <v>9</v>
      </c>
      <c r="U80">
        <v>0.17</v>
      </c>
      <c r="V80" s="1">
        <v>0</v>
      </c>
      <c r="W80" s="1">
        <v>0.17</v>
      </c>
      <c r="Z80">
        <v>0.1</v>
      </c>
      <c r="AA80">
        <v>7</v>
      </c>
      <c r="AB80">
        <v>4.2</v>
      </c>
      <c r="AC80">
        <v>1.2E-2</v>
      </c>
      <c r="AD80">
        <v>2.5000000000000001E-2</v>
      </c>
      <c r="AE80">
        <v>0</v>
      </c>
      <c r="AF80">
        <v>13</v>
      </c>
      <c r="AG80">
        <v>1</v>
      </c>
      <c r="AH80">
        <v>2.79999999999999E-2</v>
      </c>
      <c r="AI80">
        <v>0</v>
      </c>
    </row>
    <row r="81" spans="1:35" x14ac:dyDescent="0.35">
      <c r="A81">
        <v>1165.01</v>
      </c>
      <c r="B81" t="s">
        <v>399</v>
      </c>
      <c r="C81" t="s">
        <v>218</v>
      </c>
      <c r="D81">
        <v>9021</v>
      </c>
      <c r="E81" t="s">
        <v>400</v>
      </c>
      <c r="F81"/>
      <c r="G81">
        <v>0</v>
      </c>
      <c r="H81"/>
      <c r="T81">
        <v>13</v>
      </c>
      <c r="U81">
        <v>0.39</v>
      </c>
      <c r="V81" s="1">
        <v>0</v>
      </c>
      <c r="W81" s="1">
        <v>0.39</v>
      </c>
      <c r="Z81">
        <v>0.2</v>
      </c>
      <c r="AA81">
        <v>9</v>
      </c>
      <c r="AB81">
        <v>10</v>
      </c>
      <c r="AC81">
        <v>0.03</v>
      </c>
      <c r="AD81">
        <v>0.04</v>
      </c>
      <c r="AE81">
        <v>0</v>
      </c>
      <c r="AF81">
        <v>1094</v>
      </c>
      <c r="AG81">
        <v>96</v>
      </c>
      <c r="AH81">
        <v>5.3999999999999999E-2</v>
      </c>
      <c r="AI81">
        <v>0</v>
      </c>
    </row>
    <row r="82" spans="1:35" x14ac:dyDescent="0.35">
      <c r="A82">
        <v>1165.02</v>
      </c>
      <c r="B82" t="s">
        <v>401</v>
      </c>
      <c r="C82" t="s">
        <v>402</v>
      </c>
      <c r="D82">
        <v>5003</v>
      </c>
      <c r="E82" t="s">
        <v>403</v>
      </c>
      <c r="F82"/>
      <c r="G82">
        <v>0.28999999999999998</v>
      </c>
      <c r="H82"/>
      <c r="T82">
        <v>19</v>
      </c>
      <c r="U82">
        <v>1</v>
      </c>
      <c r="V82" s="1">
        <v>0</v>
      </c>
      <c r="W82" s="1">
        <v>1</v>
      </c>
      <c r="Z82">
        <v>0.39</v>
      </c>
      <c r="AA82">
        <v>67</v>
      </c>
      <c r="AB82">
        <v>14</v>
      </c>
      <c r="AC82">
        <v>7.0000000000000007E-2</v>
      </c>
      <c r="AD82">
        <v>0.15</v>
      </c>
      <c r="AE82">
        <v>0</v>
      </c>
      <c r="AF82">
        <v>27</v>
      </c>
      <c r="AG82">
        <v>2</v>
      </c>
      <c r="AH82">
        <v>0</v>
      </c>
      <c r="AI82">
        <v>0</v>
      </c>
    </row>
    <row r="83" spans="1:35" x14ac:dyDescent="0.35">
      <c r="A83">
        <v>1165.03</v>
      </c>
      <c r="B83" t="s">
        <v>404</v>
      </c>
      <c r="C83" t="s">
        <v>218</v>
      </c>
      <c r="D83">
        <v>9070</v>
      </c>
      <c r="E83" t="s">
        <v>405</v>
      </c>
      <c r="F83"/>
      <c r="G83">
        <v>0</v>
      </c>
      <c r="H83"/>
      <c r="T83">
        <v>13</v>
      </c>
      <c r="U83">
        <v>0.36</v>
      </c>
      <c r="V83" s="1">
        <v>0</v>
      </c>
      <c r="W83" s="1">
        <v>0.36</v>
      </c>
      <c r="Z83">
        <v>7.0000000000000007E-2</v>
      </c>
      <c r="AA83">
        <v>4</v>
      </c>
      <c r="AB83">
        <v>7</v>
      </c>
      <c r="AC83">
        <v>2.7E-2</v>
      </c>
      <c r="AD83">
        <v>3.3000000000000002E-2</v>
      </c>
      <c r="AE83">
        <v>0</v>
      </c>
      <c r="AF83">
        <v>38</v>
      </c>
      <c r="AG83">
        <v>3</v>
      </c>
      <c r="AH83">
        <v>4.9000000000000002E-2</v>
      </c>
      <c r="AI83">
        <v>0</v>
      </c>
    </row>
    <row r="84" spans="1:35" x14ac:dyDescent="0.35">
      <c r="A84">
        <v>1165.04</v>
      </c>
      <c r="B84" t="s">
        <v>406</v>
      </c>
      <c r="C84" t="s">
        <v>214</v>
      </c>
      <c r="D84" t="s">
        <v>407</v>
      </c>
      <c r="E84" t="s">
        <v>408</v>
      </c>
      <c r="F84" t="s">
        <v>109</v>
      </c>
      <c r="G84">
        <v>0.28999999999999998</v>
      </c>
      <c r="H84"/>
      <c r="T84">
        <v>12</v>
      </c>
      <c r="U84">
        <v>0.7</v>
      </c>
      <c r="V84" s="1">
        <v>0</v>
      </c>
      <c r="W84" s="1">
        <v>0.7</v>
      </c>
      <c r="Z84">
        <v>0.1</v>
      </c>
      <c r="AA84">
        <v>29</v>
      </c>
      <c r="AB84">
        <v>65.5</v>
      </c>
      <c r="AC84">
        <v>0.09</v>
      </c>
      <c r="AD84">
        <v>0.03</v>
      </c>
      <c r="AE84">
        <v>0</v>
      </c>
      <c r="AF84">
        <v>4720</v>
      </c>
      <c r="AG84">
        <v>393</v>
      </c>
      <c r="AH84">
        <v>0.13</v>
      </c>
      <c r="AI84">
        <v>0</v>
      </c>
    </row>
    <row r="85" spans="1:35" x14ac:dyDescent="0.35">
      <c r="A85">
        <v>1165.05</v>
      </c>
      <c r="B85" t="s">
        <v>409</v>
      </c>
      <c r="C85" t="s">
        <v>218</v>
      </c>
      <c r="D85">
        <v>9279</v>
      </c>
      <c r="E85" t="s">
        <v>410</v>
      </c>
      <c r="F85"/>
      <c r="G85">
        <v>0</v>
      </c>
      <c r="H85"/>
      <c r="T85">
        <v>6</v>
      </c>
      <c r="U85">
        <v>0.17</v>
      </c>
      <c r="V85" s="1">
        <v>0</v>
      </c>
      <c r="W85" s="1">
        <v>0.17</v>
      </c>
      <c r="Z85">
        <v>0.1</v>
      </c>
      <c r="AA85">
        <v>5</v>
      </c>
      <c r="AB85">
        <v>9.5</v>
      </c>
      <c r="AC85">
        <v>2.79999999999999E-2</v>
      </c>
      <c r="AD85">
        <v>2.5999999999999999E-2</v>
      </c>
      <c r="AE85">
        <v>0</v>
      </c>
      <c r="AF85">
        <v>190</v>
      </c>
      <c r="AG85">
        <v>17</v>
      </c>
      <c r="AH85">
        <v>2.8999999999999901E-2</v>
      </c>
      <c r="AI85">
        <v>0</v>
      </c>
    </row>
    <row r="86" spans="1:35" x14ac:dyDescent="0.35">
      <c r="A86">
        <v>1165.06</v>
      </c>
      <c r="B86" t="s">
        <v>411</v>
      </c>
      <c r="C86" t="s">
        <v>402</v>
      </c>
      <c r="D86">
        <v>5027</v>
      </c>
      <c r="E86" t="s">
        <v>412</v>
      </c>
      <c r="F86"/>
      <c r="G86">
        <v>0.12</v>
      </c>
      <c r="H86"/>
      <c r="T86">
        <v>5</v>
      </c>
      <c r="U86">
        <v>0.3</v>
      </c>
      <c r="V86" s="1">
        <v>0</v>
      </c>
      <c r="W86" s="1">
        <v>0.3</v>
      </c>
      <c r="Z86">
        <v>0.11</v>
      </c>
      <c r="AA86">
        <v>0</v>
      </c>
      <c r="AB86">
        <v>8</v>
      </c>
      <c r="AC86">
        <v>0.01</v>
      </c>
      <c r="AD86">
        <v>0.03</v>
      </c>
      <c r="AE86">
        <v>0</v>
      </c>
      <c r="AF86">
        <v>157</v>
      </c>
      <c r="AG86">
        <v>13</v>
      </c>
      <c r="AH86">
        <v>0</v>
      </c>
      <c r="AI86">
        <v>0</v>
      </c>
    </row>
    <row r="87" spans="1:35" x14ac:dyDescent="0.35">
      <c r="A87">
        <v>1166.01</v>
      </c>
      <c r="B87" t="s">
        <v>413</v>
      </c>
      <c r="C87" t="s">
        <v>402</v>
      </c>
      <c r="D87">
        <v>5034</v>
      </c>
      <c r="E87" t="s">
        <v>414</v>
      </c>
      <c r="F87"/>
      <c r="G87">
        <v>0.04</v>
      </c>
      <c r="H87"/>
      <c r="T87">
        <v>19</v>
      </c>
      <c r="U87">
        <v>0.6</v>
      </c>
      <c r="V87" s="1">
        <v>0</v>
      </c>
      <c r="W87" s="1">
        <v>0.6</v>
      </c>
      <c r="Z87">
        <v>0.18</v>
      </c>
      <c r="AA87">
        <v>39</v>
      </c>
      <c r="AB87">
        <v>49</v>
      </c>
      <c r="AC87">
        <v>0.03</v>
      </c>
      <c r="AD87">
        <v>0.02</v>
      </c>
      <c r="AE87">
        <v>0</v>
      </c>
      <c r="AF87">
        <v>1</v>
      </c>
      <c r="AG87">
        <v>0</v>
      </c>
      <c r="AH87">
        <v>0</v>
      </c>
      <c r="AI87">
        <v>0</v>
      </c>
    </row>
    <row r="88" spans="1:35" x14ac:dyDescent="0.35">
      <c r="A88">
        <v>1166.02</v>
      </c>
      <c r="B88" t="s">
        <v>415</v>
      </c>
      <c r="C88" t="s">
        <v>402</v>
      </c>
      <c r="D88">
        <v>5021</v>
      </c>
      <c r="E88" t="s">
        <v>416</v>
      </c>
      <c r="F88"/>
      <c r="G88">
        <v>0.01</v>
      </c>
      <c r="H88"/>
      <c r="T88">
        <v>55</v>
      </c>
      <c r="U88">
        <v>1.2</v>
      </c>
      <c r="V88" s="1">
        <v>0</v>
      </c>
      <c r="W88" s="1">
        <v>1.2</v>
      </c>
      <c r="Z88">
        <v>0.2</v>
      </c>
      <c r="AA88">
        <v>33</v>
      </c>
      <c r="AB88">
        <v>11</v>
      </c>
      <c r="AC88">
        <v>0.03</v>
      </c>
      <c r="AD88">
        <v>7.0000000000000007E-2</v>
      </c>
      <c r="AE88">
        <v>0</v>
      </c>
      <c r="AF88">
        <v>10</v>
      </c>
      <c r="AG88">
        <v>1</v>
      </c>
      <c r="AH88">
        <v>0</v>
      </c>
      <c r="AI88">
        <v>0</v>
      </c>
    </row>
    <row r="89" spans="1:35" x14ac:dyDescent="0.35">
      <c r="A89">
        <v>1166.03</v>
      </c>
      <c r="B89" t="s">
        <v>417</v>
      </c>
      <c r="C89" t="s">
        <v>218</v>
      </c>
      <c r="D89">
        <v>9089</v>
      </c>
      <c r="E89" t="s">
        <v>418</v>
      </c>
      <c r="F89"/>
      <c r="G89">
        <v>0</v>
      </c>
      <c r="H89"/>
      <c r="T89">
        <v>35</v>
      </c>
      <c r="U89">
        <v>0.37</v>
      </c>
      <c r="V89" s="1">
        <v>0</v>
      </c>
      <c r="W89" s="1">
        <v>0.37</v>
      </c>
      <c r="Z89">
        <v>0.15</v>
      </c>
      <c r="AA89">
        <v>6</v>
      </c>
      <c r="AB89">
        <v>2</v>
      </c>
      <c r="AC89">
        <v>0.06</v>
      </c>
      <c r="AD89">
        <v>0.05</v>
      </c>
      <c r="AE89">
        <v>0</v>
      </c>
      <c r="AF89">
        <v>85</v>
      </c>
      <c r="AG89">
        <v>7</v>
      </c>
      <c r="AH89">
        <v>0.113</v>
      </c>
      <c r="AI89">
        <v>0</v>
      </c>
    </row>
    <row r="90" spans="1:35" x14ac:dyDescent="0.35">
      <c r="A90">
        <v>1166.04</v>
      </c>
      <c r="B90" t="s">
        <v>419</v>
      </c>
      <c r="C90" t="s">
        <v>214</v>
      </c>
      <c r="D90" t="s">
        <v>420</v>
      </c>
      <c r="E90" t="s">
        <v>421</v>
      </c>
      <c r="F90"/>
      <c r="G90">
        <v>0</v>
      </c>
      <c r="H90"/>
      <c r="T90">
        <v>20</v>
      </c>
      <c r="U90">
        <v>0.3</v>
      </c>
      <c r="V90" s="1">
        <v>0</v>
      </c>
      <c r="W90" s="1">
        <v>0.3</v>
      </c>
      <c r="Z90">
        <v>7.0000000000000007E-2</v>
      </c>
      <c r="AA90">
        <v>12</v>
      </c>
      <c r="AB90">
        <v>36.1</v>
      </c>
      <c r="AC90">
        <v>0.05</v>
      </c>
      <c r="AD90">
        <v>0.02</v>
      </c>
      <c r="AE90">
        <v>0</v>
      </c>
      <c r="AF90">
        <v>18</v>
      </c>
      <c r="AG90">
        <v>1</v>
      </c>
      <c r="AH90">
        <v>0.04</v>
      </c>
      <c r="AI90">
        <v>0</v>
      </c>
    </row>
    <row r="91" spans="1:35" x14ac:dyDescent="0.35">
      <c r="A91">
        <v>1166.05</v>
      </c>
      <c r="B91" t="s">
        <v>422</v>
      </c>
      <c r="C91" t="s">
        <v>214</v>
      </c>
      <c r="D91" t="s">
        <v>423</v>
      </c>
      <c r="E91" t="s">
        <v>424</v>
      </c>
      <c r="F91"/>
      <c r="G91">
        <v>0.22</v>
      </c>
      <c r="H91"/>
      <c r="T91">
        <v>23</v>
      </c>
      <c r="U91">
        <v>0.7</v>
      </c>
      <c r="V91" s="1">
        <v>0</v>
      </c>
      <c r="W91" s="1">
        <v>0.7</v>
      </c>
      <c r="Z91">
        <v>0.32</v>
      </c>
      <c r="AA91">
        <v>7</v>
      </c>
      <c r="AB91">
        <v>261</v>
      </c>
      <c r="AC91">
        <v>0.05</v>
      </c>
      <c r="AD91">
        <v>0.04</v>
      </c>
      <c r="AE91">
        <v>0</v>
      </c>
      <c r="AF91">
        <v>419</v>
      </c>
      <c r="AG91">
        <v>35</v>
      </c>
      <c r="AH91">
        <v>0.14000000000000001</v>
      </c>
      <c r="AI91">
        <v>0</v>
      </c>
    </row>
    <row r="92" spans="1:35" x14ac:dyDescent="0.35">
      <c r="A92">
        <v>1166.06</v>
      </c>
      <c r="B92" t="s">
        <v>425</v>
      </c>
      <c r="C92" t="s">
        <v>218</v>
      </c>
      <c r="D92">
        <v>9195</v>
      </c>
      <c r="E92" t="s">
        <v>426</v>
      </c>
      <c r="F92"/>
      <c r="G92">
        <v>0</v>
      </c>
      <c r="H92"/>
      <c r="T92">
        <v>52</v>
      </c>
      <c r="U92">
        <v>0.49</v>
      </c>
      <c r="V92" s="1">
        <v>0</v>
      </c>
      <c r="W92" s="1">
        <v>0.49</v>
      </c>
      <c r="Z92">
        <v>0.04</v>
      </c>
      <c r="AA92">
        <v>3</v>
      </c>
      <c r="AB92">
        <v>0</v>
      </c>
      <c r="AC92">
        <v>2.1000000000000001E-2</v>
      </c>
      <c r="AD92">
        <v>6.9999999999999897E-3</v>
      </c>
      <c r="AE92">
        <v>0</v>
      </c>
      <c r="AF92">
        <v>231</v>
      </c>
      <c r="AG92">
        <v>20</v>
      </c>
      <c r="AH92">
        <v>3.1E-2</v>
      </c>
      <c r="AI92">
        <v>0</v>
      </c>
    </row>
    <row r="93" spans="1:35" x14ac:dyDescent="0.35">
      <c r="A93">
        <v>1166.07</v>
      </c>
      <c r="B93" t="s">
        <v>427</v>
      </c>
      <c r="C93" t="s">
        <v>218</v>
      </c>
      <c r="D93">
        <v>2054</v>
      </c>
      <c r="E93" t="s">
        <v>428</v>
      </c>
      <c r="F93"/>
      <c r="G93">
        <v>0</v>
      </c>
      <c r="H93"/>
      <c r="T93">
        <v>40</v>
      </c>
      <c r="U93">
        <v>1.67</v>
      </c>
      <c r="V93" s="1">
        <v>0</v>
      </c>
      <c r="W93" s="1">
        <v>1.67</v>
      </c>
      <c r="Z93">
        <v>0.32</v>
      </c>
      <c r="AA93">
        <v>23</v>
      </c>
      <c r="AB93">
        <v>4.3</v>
      </c>
      <c r="AC93">
        <v>1.7999999999999999E-2</v>
      </c>
      <c r="AD93">
        <v>0.13900000000000001</v>
      </c>
      <c r="AE93">
        <v>0</v>
      </c>
      <c r="AF93">
        <v>83</v>
      </c>
      <c r="AG93">
        <v>7</v>
      </c>
      <c r="AH93">
        <v>2.3E-2</v>
      </c>
      <c r="AI93">
        <v>0</v>
      </c>
    </row>
    <row r="94" spans="1:35" x14ac:dyDescent="0.35">
      <c r="A94">
        <v>1167.01</v>
      </c>
      <c r="B94" t="s">
        <v>429</v>
      </c>
      <c r="C94" t="s">
        <v>214</v>
      </c>
      <c r="D94" t="s">
        <v>430</v>
      </c>
      <c r="E94" t="s">
        <v>431</v>
      </c>
      <c r="F94"/>
      <c r="G94">
        <v>0.54</v>
      </c>
      <c r="H94"/>
      <c r="T94">
        <v>7</v>
      </c>
      <c r="U94">
        <v>0.3</v>
      </c>
      <c r="V94" s="1">
        <v>0</v>
      </c>
      <c r="W94" s="1">
        <v>0.3</v>
      </c>
      <c r="Z94">
        <v>0.09</v>
      </c>
      <c r="AA94">
        <v>12</v>
      </c>
      <c r="AB94">
        <v>14.2</v>
      </c>
      <c r="AC94">
        <v>0.03</v>
      </c>
      <c r="AD94">
        <v>0.01</v>
      </c>
      <c r="AE94">
        <v>0</v>
      </c>
      <c r="AF94">
        <v>31</v>
      </c>
      <c r="AG94">
        <v>3</v>
      </c>
      <c r="AH94">
        <v>7.0000000000000007E-2</v>
      </c>
      <c r="AI94">
        <v>0</v>
      </c>
    </row>
    <row r="95" spans="1:35" x14ac:dyDescent="0.35">
      <c r="A95">
        <v>1167.02</v>
      </c>
      <c r="B95" t="s">
        <v>432</v>
      </c>
      <c r="C95" t="s">
        <v>214</v>
      </c>
      <c r="D95" t="s">
        <v>430</v>
      </c>
      <c r="E95" t="s">
        <v>431</v>
      </c>
      <c r="F95"/>
      <c r="G95">
        <v>0.54</v>
      </c>
      <c r="H95"/>
      <c r="T95">
        <v>7</v>
      </c>
      <c r="U95">
        <v>0.3</v>
      </c>
      <c r="V95" s="1">
        <v>0</v>
      </c>
      <c r="W95" s="1">
        <v>0.3</v>
      </c>
      <c r="Z95">
        <v>0.09</v>
      </c>
      <c r="AA95">
        <v>12</v>
      </c>
      <c r="AB95">
        <v>14.2</v>
      </c>
      <c r="AC95">
        <v>0.03</v>
      </c>
      <c r="AD95">
        <v>0.01</v>
      </c>
      <c r="AE95">
        <v>0</v>
      </c>
      <c r="AF95">
        <v>31</v>
      </c>
      <c r="AG95">
        <v>3</v>
      </c>
      <c r="AH95">
        <v>7.0000000000000007E-2</v>
      </c>
      <c r="AI95">
        <v>0</v>
      </c>
    </row>
    <row r="96" spans="1:35" x14ac:dyDescent="0.35">
      <c r="A96">
        <v>1167.03</v>
      </c>
      <c r="B96" t="s">
        <v>433</v>
      </c>
      <c r="C96" t="s">
        <v>214</v>
      </c>
      <c r="D96" t="s">
        <v>434</v>
      </c>
      <c r="E96" t="s">
        <v>435</v>
      </c>
      <c r="F96"/>
      <c r="G96">
        <v>0.49</v>
      </c>
      <c r="H96"/>
      <c r="T96">
        <v>20</v>
      </c>
      <c r="U96">
        <v>0.5</v>
      </c>
      <c r="V96" s="1">
        <v>0</v>
      </c>
      <c r="W96" s="1">
        <v>0.5</v>
      </c>
      <c r="Z96">
        <v>0.11</v>
      </c>
      <c r="AA96">
        <v>12</v>
      </c>
      <c r="AB96">
        <v>29.8</v>
      </c>
      <c r="AC96">
        <v>7.0000000000000007E-2</v>
      </c>
      <c r="AD96">
        <v>0.03</v>
      </c>
      <c r="AE96">
        <v>0</v>
      </c>
      <c r="AF96">
        <v>61</v>
      </c>
      <c r="AG96">
        <v>5</v>
      </c>
      <c r="AH96">
        <v>0.09</v>
      </c>
      <c r="AI96">
        <v>0</v>
      </c>
    </row>
    <row r="97" spans="1:35" x14ac:dyDescent="0.35">
      <c r="A97">
        <v>1167.99</v>
      </c>
      <c r="B97" t="s">
        <v>436</v>
      </c>
      <c r="C97" t="s">
        <v>402</v>
      </c>
      <c r="D97">
        <v>5025</v>
      </c>
      <c r="E97" t="s">
        <v>437</v>
      </c>
      <c r="F97"/>
      <c r="G97">
        <v>0.48</v>
      </c>
      <c r="H97"/>
      <c r="T97">
        <v>10</v>
      </c>
      <c r="U97">
        <v>0.6</v>
      </c>
      <c r="V97" s="1">
        <v>0</v>
      </c>
      <c r="W97" s="1">
        <v>0.6</v>
      </c>
      <c r="Z97">
        <v>0.8</v>
      </c>
      <c r="AA97">
        <v>7</v>
      </c>
      <c r="AB97">
        <v>29</v>
      </c>
      <c r="AC97">
        <v>0.03</v>
      </c>
      <c r="AD97">
        <v>0.14000000000000001</v>
      </c>
      <c r="AE97">
        <v>0</v>
      </c>
      <c r="AF97">
        <v>764</v>
      </c>
      <c r="AG97">
        <v>64</v>
      </c>
      <c r="AH97">
        <v>0</v>
      </c>
      <c r="AI97">
        <v>0</v>
      </c>
    </row>
    <row r="98" spans="1:35" x14ac:dyDescent="0.35">
      <c r="A98">
        <v>1168.01</v>
      </c>
      <c r="B98" t="s">
        <v>438</v>
      </c>
      <c r="C98" t="s">
        <v>214</v>
      </c>
      <c r="D98" t="s">
        <v>439</v>
      </c>
      <c r="E98" t="s">
        <v>440</v>
      </c>
      <c r="F98" t="s">
        <v>377</v>
      </c>
      <c r="G98">
        <v>0</v>
      </c>
      <c r="H98"/>
      <c r="T98">
        <v>91</v>
      </c>
      <c r="U98">
        <v>9</v>
      </c>
      <c r="V98" s="1">
        <v>0</v>
      </c>
      <c r="W98" s="1">
        <v>9</v>
      </c>
      <c r="Z98">
        <v>2.37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>
        <v>1168.02</v>
      </c>
      <c r="B99" t="s">
        <v>441</v>
      </c>
      <c r="C99" t="s">
        <v>214</v>
      </c>
      <c r="D99" t="s">
        <v>442</v>
      </c>
      <c r="E99" t="s">
        <v>443</v>
      </c>
      <c r="F99" t="s">
        <v>377</v>
      </c>
      <c r="G99">
        <v>7.0000000000000007E-2</v>
      </c>
      <c r="H99"/>
      <c r="T99">
        <v>23</v>
      </c>
      <c r="U99">
        <v>3</v>
      </c>
      <c r="V99" s="1">
        <v>0</v>
      </c>
      <c r="W99" s="1">
        <v>3</v>
      </c>
      <c r="Z99">
        <v>0</v>
      </c>
      <c r="AA99">
        <v>0</v>
      </c>
      <c r="AB99">
        <v>51.5</v>
      </c>
      <c r="AC99">
        <v>0.03</v>
      </c>
      <c r="AD99">
        <v>0.04</v>
      </c>
      <c r="AE99">
        <v>0</v>
      </c>
      <c r="AF99">
        <v>360</v>
      </c>
      <c r="AG99">
        <v>30</v>
      </c>
      <c r="AH99">
        <v>0</v>
      </c>
      <c r="AI99">
        <v>0</v>
      </c>
    </row>
    <row r="100" spans="1:35" x14ac:dyDescent="0.35">
      <c r="A100">
        <v>1168.03</v>
      </c>
      <c r="B100" t="s">
        <v>444</v>
      </c>
      <c r="C100" t="s">
        <v>214</v>
      </c>
      <c r="D100" t="s">
        <v>395</v>
      </c>
      <c r="E100" t="s">
        <v>396</v>
      </c>
      <c r="F100"/>
      <c r="G100">
        <v>0.1</v>
      </c>
      <c r="H100"/>
      <c r="T100">
        <v>6</v>
      </c>
      <c r="U100">
        <v>0.1</v>
      </c>
      <c r="V100" s="1">
        <v>0</v>
      </c>
      <c r="W100" s="1">
        <v>0.1</v>
      </c>
      <c r="Z100">
        <v>0.04</v>
      </c>
      <c r="AA100">
        <v>3</v>
      </c>
      <c r="AB100">
        <v>4.5999999999999996</v>
      </c>
      <c r="AC100">
        <v>0.02</v>
      </c>
      <c r="AD100">
        <v>0.03</v>
      </c>
      <c r="AE100">
        <v>0</v>
      </c>
      <c r="AF100">
        <v>33</v>
      </c>
      <c r="AG100">
        <v>3</v>
      </c>
      <c r="AH100">
        <v>0.04</v>
      </c>
      <c r="AI100">
        <v>0</v>
      </c>
    </row>
    <row r="101" spans="1:35" x14ac:dyDescent="0.35">
      <c r="A101">
        <v>1168.04</v>
      </c>
      <c r="B101" t="s">
        <v>445</v>
      </c>
      <c r="C101" t="s">
        <v>214</v>
      </c>
      <c r="D101" t="s">
        <v>389</v>
      </c>
      <c r="E101" t="s">
        <v>390</v>
      </c>
      <c r="F101"/>
      <c r="G101">
        <v>0.27</v>
      </c>
      <c r="H101"/>
      <c r="T101">
        <v>31</v>
      </c>
      <c r="U101">
        <v>0.2</v>
      </c>
      <c r="V101" s="1">
        <v>0</v>
      </c>
      <c r="W101" s="1">
        <v>0.2</v>
      </c>
      <c r="Z101">
        <v>0.1</v>
      </c>
      <c r="AA101">
        <v>33</v>
      </c>
      <c r="AB101">
        <v>46.8</v>
      </c>
      <c r="AC101">
        <v>0.04</v>
      </c>
      <c r="AD101">
        <v>0.03</v>
      </c>
      <c r="AE101">
        <v>0</v>
      </c>
      <c r="AF101">
        <v>90</v>
      </c>
      <c r="AG101">
        <v>8</v>
      </c>
      <c r="AH101">
        <v>7.0000000000000007E-2</v>
      </c>
      <c r="AI101">
        <v>0</v>
      </c>
    </row>
    <row r="102" spans="1:35" x14ac:dyDescent="0.35">
      <c r="A102">
        <v>1168.05</v>
      </c>
      <c r="B102" t="s">
        <v>446</v>
      </c>
      <c r="C102" t="s">
        <v>214</v>
      </c>
      <c r="D102" t="s">
        <v>395</v>
      </c>
      <c r="E102" t="s">
        <v>396</v>
      </c>
      <c r="F102"/>
      <c r="G102">
        <v>0.1</v>
      </c>
      <c r="H102"/>
      <c r="T102">
        <v>6</v>
      </c>
      <c r="U102">
        <v>0.1</v>
      </c>
      <c r="V102" s="1">
        <v>0</v>
      </c>
      <c r="W102" s="1">
        <v>0.1</v>
      </c>
      <c r="Z102">
        <v>0.04</v>
      </c>
      <c r="AA102">
        <v>3</v>
      </c>
      <c r="AB102">
        <v>4.5999999999999996</v>
      </c>
      <c r="AC102">
        <v>0.02</v>
      </c>
      <c r="AD102">
        <v>0.03</v>
      </c>
      <c r="AE102">
        <v>0</v>
      </c>
      <c r="AF102">
        <v>33</v>
      </c>
      <c r="AG102">
        <v>3</v>
      </c>
      <c r="AH102">
        <v>0.04</v>
      </c>
      <c r="AI102">
        <v>0</v>
      </c>
    </row>
    <row r="103" spans="1:35" x14ac:dyDescent="0.35">
      <c r="A103">
        <v>1168.08</v>
      </c>
      <c r="B103" t="s">
        <v>447</v>
      </c>
      <c r="C103" t="s">
        <v>214</v>
      </c>
      <c r="D103" t="s">
        <v>448</v>
      </c>
      <c r="E103" t="s">
        <v>449</v>
      </c>
      <c r="F103"/>
      <c r="G103">
        <v>0</v>
      </c>
      <c r="H103"/>
      <c r="T103">
        <v>65</v>
      </c>
      <c r="U103">
        <v>3.3</v>
      </c>
      <c r="V103" s="1">
        <v>0</v>
      </c>
      <c r="W103" s="1">
        <v>3.3</v>
      </c>
      <c r="Z103">
        <v>3.38</v>
      </c>
      <c r="AA103">
        <v>0</v>
      </c>
      <c r="AB103">
        <v>0</v>
      </c>
      <c r="AC103">
        <v>0.38</v>
      </c>
      <c r="AD103">
        <v>0.12</v>
      </c>
      <c r="AE103">
        <v>0</v>
      </c>
      <c r="AF103">
        <v>20</v>
      </c>
      <c r="AG103">
        <v>2</v>
      </c>
      <c r="AH103">
        <v>0</v>
      </c>
      <c r="AI103">
        <v>0</v>
      </c>
    </row>
    <row r="104" spans="1:35" x14ac:dyDescent="0.35">
      <c r="A104">
        <v>1168.0899999999999</v>
      </c>
      <c r="B104" t="s">
        <v>450</v>
      </c>
      <c r="C104" t="s">
        <v>214</v>
      </c>
      <c r="D104" t="s">
        <v>451</v>
      </c>
      <c r="E104" t="s">
        <v>452</v>
      </c>
      <c r="F104"/>
      <c r="G104">
        <v>0</v>
      </c>
      <c r="H104"/>
      <c r="T104">
        <v>47</v>
      </c>
      <c r="U104">
        <v>3.9</v>
      </c>
      <c r="V104" s="1">
        <v>0</v>
      </c>
      <c r="W104" s="1">
        <v>3.9</v>
      </c>
      <c r="Z104">
        <v>2.5</v>
      </c>
      <c r="AA104">
        <v>110</v>
      </c>
      <c r="AB104">
        <v>0</v>
      </c>
      <c r="AC104">
        <v>0.87</v>
      </c>
      <c r="AD104">
        <v>0.14000000000000001</v>
      </c>
      <c r="AE104">
        <v>0</v>
      </c>
      <c r="AF104">
        <v>0</v>
      </c>
      <c r="AG104">
        <v>0</v>
      </c>
      <c r="AH104">
        <v>0.59</v>
      </c>
      <c r="AI104">
        <v>0</v>
      </c>
    </row>
    <row r="105" spans="1:35" x14ac:dyDescent="0.35">
      <c r="A105">
        <v>1168.0999999999999</v>
      </c>
      <c r="B105" t="s">
        <v>453</v>
      </c>
      <c r="C105" t="s">
        <v>214</v>
      </c>
      <c r="D105" t="s">
        <v>451</v>
      </c>
      <c r="E105" t="s">
        <v>452</v>
      </c>
      <c r="F105"/>
      <c r="G105">
        <v>0</v>
      </c>
      <c r="H105"/>
      <c r="T105">
        <v>47</v>
      </c>
      <c r="U105">
        <v>3.9</v>
      </c>
      <c r="V105" s="1">
        <v>0</v>
      </c>
      <c r="W105" s="1">
        <v>3.9</v>
      </c>
      <c r="Z105">
        <v>2.5</v>
      </c>
      <c r="AA105">
        <v>110</v>
      </c>
      <c r="AB105">
        <v>0</v>
      </c>
      <c r="AC105">
        <v>0.87</v>
      </c>
      <c r="AD105">
        <v>0.14000000000000001</v>
      </c>
      <c r="AE105">
        <v>0</v>
      </c>
      <c r="AF105">
        <v>0</v>
      </c>
      <c r="AG105">
        <v>0</v>
      </c>
      <c r="AH105">
        <v>0.59</v>
      </c>
      <c r="AI105">
        <v>0</v>
      </c>
    </row>
    <row r="106" spans="1:35" x14ac:dyDescent="0.35">
      <c r="A106">
        <v>1168.1099999999999</v>
      </c>
      <c r="B106" t="s">
        <v>454</v>
      </c>
      <c r="C106" t="s">
        <v>214</v>
      </c>
      <c r="D106" t="s">
        <v>455</v>
      </c>
      <c r="E106" t="s">
        <v>456</v>
      </c>
      <c r="F106"/>
      <c r="G106">
        <v>0.28000000000000003</v>
      </c>
      <c r="H106"/>
      <c r="T106">
        <v>276</v>
      </c>
      <c r="U106">
        <v>5.5</v>
      </c>
      <c r="V106" s="1">
        <v>0</v>
      </c>
      <c r="W106" s="1">
        <v>5.5</v>
      </c>
      <c r="Z106">
        <v>3.6</v>
      </c>
      <c r="AA106">
        <v>0</v>
      </c>
      <c r="AB106">
        <v>247</v>
      </c>
      <c r="AC106">
        <v>0.37</v>
      </c>
      <c r="AD106">
        <v>0.06</v>
      </c>
      <c r="AE106">
        <v>0</v>
      </c>
      <c r="AF106">
        <v>70</v>
      </c>
      <c r="AG106">
        <v>6</v>
      </c>
      <c r="AH106">
        <v>0.02</v>
      </c>
      <c r="AI106">
        <v>0</v>
      </c>
    </row>
    <row r="107" spans="1:35" x14ac:dyDescent="0.35">
      <c r="A107">
        <v>1168.1400000000001</v>
      </c>
      <c r="B107" t="s">
        <v>457</v>
      </c>
      <c r="C107" t="s">
        <v>214</v>
      </c>
      <c r="D107" t="s">
        <v>442</v>
      </c>
      <c r="E107" t="s">
        <v>458</v>
      </c>
      <c r="F107"/>
      <c r="G107">
        <v>0.43</v>
      </c>
      <c r="H107"/>
      <c r="T107">
        <v>23</v>
      </c>
      <c r="U107">
        <v>3</v>
      </c>
      <c r="V107" s="1">
        <v>0</v>
      </c>
      <c r="W107" s="1">
        <v>3</v>
      </c>
      <c r="Z107">
        <v>0</v>
      </c>
      <c r="AA107">
        <v>0</v>
      </c>
      <c r="AB107">
        <v>51.5</v>
      </c>
      <c r="AC107">
        <v>0.03</v>
      </c>
      <c r="AD107">
        <v>0.04</v>
      </c>
      <c r="AE107">
        <v>0</v>
      </c>
      <c r="AF107">
        <v>360</v>
      </c>
      <c r="AG107">
        <v>30</v>
      </c>
      <c r="AH107">
        <v>0</v>
      </c>
      <c r="AI107">
        <v>0</v>
      </c>
    </row>
    <row r="108" spans="1:35" x14ac:dyDescent="0.35">
      <c r="A108">
        <v>1168.1500000000001</v>
      </c>
      <c r="B108" t="s">
        <v>459</v>
      </c>
      <c r="C108" t="s">
        <v>218</v>
      </c>
      <c r="D108">
        <v>12635</v>
      </c>
      <c r="E108" t="s">
        <v>460</v>
      </c>
      <c r="F108"/>
      <c r="G108">
        <v>0</v>
      </c>
      <c r="H108"/>
      <c r="T108">
        <v>70</v>
      </c>
      <c r="U108">
        <v>3.7</v>
      </c>
      <c r="V108" s="1">
        <v>0</v>
      </c>
      <c r="W108" s="1">
        <v>3.7</v>
      </c>
      <c r="Z108">
        <v>3.8</v>
      </c>
      <c r="AA108">
        <v>50</v>
      </c>
      <c r="AB108">
        <v>0.4</v>
      </c>
      <c r="AC108">
        <v>0.2</v>
      </c>
      <c r="AD108">
        <v>0.2</v>
      </c>
      <c r="AE108">
        <v>0</v>
      </c>
      <c r="AF108">
        <v>3</v>
      </c>
      <c r="AG108">
        <v>0</v>
      </c>
      <c r="AH108">
        <v>0.29599999999999999</v>
      </c>
      <c r="AI108">
        <v>0</v>
      </c>
    </row>
    <row r="109" spans="1:35" x14ac:dyDescent="0.35">
      <c r="A109">
        <v>1168.1600000000001</v>
      </c>
      <c r="B109" t="s">
        <v>461</v>
      </c>
      <c r="C109" t="s">
        <v>218</v>
      </c>
      <c r="D109">
        <v>12104</v>
      </c>
      <c r="E109" t="s">
        <v>462</v>
      </c>
      <c r="F109"/>
      <c r="G109">
        <v>0</v>
      </c>
      <c r="H109"/>
      <c r="T109">
        <v>14</v>
      </c>
      <c r="U109">
        <v>2.4300000000000002</v>
      </c>
      <c r="V109" s="1">
        <v>0</v>
      </c>
      <c r="W109" s="1">
        <v>2.4300000000000002</v>
      </c>
      <c r="Z109">
        <v>1.1000000000000001</v>
      </c>
      <c r="AA109">
        <v>26</v>
      </c>
      <c r="AB109">
        <v>3.3</v>
      </c>
      <c r="AC109">
        <v>6.6000000000000003E-2</v>
      </c>
      <c r="AD109">
        <v>0.02</v>
      </c>
      <c r="AE109">
        <v>0</v>
      </c>
      <c r="AF109">
        <v>0</v>
      </c>
      <c r="AG109">
        <v>0</v>
      </c>
      <c r="AH109">
        <v>5.3999999999999999E-2</v>
      </c>
      <c r="AI109">
        <v>0</v>
      </c>
    </row>
    <row r="110" spans="1:35" x14ac:dyDescent="0.35">
      <c r="A110">
        <v>1168.17</v>
      </c>
      <c r="B110" t="s">
        <v>463</v>
      </c>
      <c r="C110" t="s">
        <v>218</v>
      </c>
      <c r="D110">
        <v>12135</v>
      </c>
      <c r="E110" t="s">
        <v>464</v>
      </c>
      <c r="F110"/>
      <c r="G110">
        <v>0</v>
      </c>
      <c r="H110"/>
      <c r="T110">
        <v>70</v>
      </c>
      <c r="U110">
        <v>3.7</v>
      </c>
      <c r="V110" s="1">
        <v>0</v>
      </c>
      <c r="W110" s="1">
        <v>3.7</v>
      </c>
      <c r="Z110">
        <v>3.8</v>
      </c>
      <c r="AA110">
        <v>50</v>
      </c>
      <c r="AB110">
        <v>0.4</v>
      </c>
      <c r="AC110">
        <v>0.2</v>
      </c>
      <c r="AD110">
        <v>0.2</v>
      </c>
      <c r="AE110">
        <v>0</v>
      </c>
      <c r="AF110">
        <v>0</v>
      </c>
      <c r="AG110">
        <v>1</v>
      </c>
      <c r="AH110">
        <v>0.29599999999999999</v>
      </c>
      <c r="AI110">
        <v>0</v>
      </c>
    </row>
    <row r="111" spans="1:35" x14ac:dyDescent="0.35">
      <c r="A111">
        <v>1168.19</v>
      </c>
      <c r="B111" t="s">
        <v>465</v>
      </c>
      <c r="C111" t="s">
        <v>218</v>
      </c>
      <c r="D111">
        <v>9094</v>
      </c>
      <c r="E111" t="s">
        <v>466</v>
      </c>
      <c r="F111"/>
      <c r="G111">
        <v>0</v>
      </c>
      <c r="H111"/>
      <c r="T111">
        <v>162</v>
      </c>
      <c r="U111">
        <v>2.0299999999999998</v>
      </c>
      <c r="V111" s="1">
        <v>0</v>
      </c>
      <c r="W111" s="1">
        <v>2.0299999999999998</v>
      </c>
      <c r="Z111">
        <v>0.55000000000000004</v>
      </c>
      <c r="AA111">
        <v>9</v>
      </c>
      <c r="AB111">
        <v>1.2</v>
      </c>
      <c r="AC111">
        <v>8.5000000000000006E-2</v>
      </c>
      <c r="AD111">
        <v>8.1999999999999906E-2</v>
      </c>
      <c r="AE111">
        <v>0</v>
      </c>
      <c r="AF111">
        <v>6</v>
      </c>
      <c r="AG111">
        <v>0</v>
      </c>
      <c r="AH111">
        <v>0.106</v>
      </c>
      <c r="AI111">
        <v>0</v>
      </c>
    </row>
    <row r="112" spans="1:35" x14ac:dyDescent="0.35">
      <c r="A112">
        <v>1168.2</v>
      </c>
      <c r="B112" t="s">
        <v>467</v>
      </c>
      <c r="C112" t="s">
        <v>218</v>
      </c>
      <c r="D112">
        <v>9259</v>
      </c>
      <c r="E112" t="s">
        <v>468</v>
      </c>
      <c r="F112"/>
      <c r="G112">
        <v>0</v>
      </c>
      <c r="H112"/>
      <c r="T112">
        <v>34</v>
      </c>
      <c r="U112">
        <v>2.1</v>
      </c>
      <c r="V112" s="1">
        <v>0</v>
      </c>
      <c r="W112" s="1">
        <v>2.1</v>
      </c>
      <c r="Z112">
        <v>0.39</v>
      </c>
      <c r="AA112">
        <v>0</v>
      </c>
      <c r="AB112">
        <v>7</v>
      </c>
      <c r="AC112">
        <v>8.0000000000000002E-3</v>
      </c>
      <c r="AD112">
        <v>0.14499999999999999</v>
      </c>
      <c r="AE112">
        <v>0</v>
      </c>
      <c r="AF112">
        <v>2</v>
      </c>
      <c r="AG112">
        <v>0</v>
      </c>
      <c r="AH112">
        <v>7.1999999999999995E-2</v>
      </c>
      <c r="AI112">
        <v>0</v>
      </c>
    </row>
    <row r="113" spans="1:35" x14ac:dyDescent="0.35">
      <c r="A113">
        <v>1168.22</v>
      </c>
      <c r="B113" t="s">
        <v>469</v>
      </c>
      <c r="C113" t="s">
        <v>214</v>
      </c>
      <c r="D113" t="s">
        <v>470</v>
      </c>
      <c r="E113" t="s">
        <v>471</v>
      </c>
      <c r="F113"/>
      <c r="G113">
        <v>0</v>
      </c>
      <c r="H113"/>
      <c r="T113">
        <v>46</v>
      </c>
      <c r="U113">
        <v>1.1000000000000001</v>
      </c>
      <c r="V113" s="1">
        <v>0</v>
      </c>
      <c r="W113" s="1">
        <v>1.1000000000000001</v>
      </c>
      <c r="Z113">
        <v>0.36</v>
      </c>
      <c r="AA113">
        <v>36</v>
      </c>
      <c r="AB113">
        <v>3</v>
      </c>
      <c r="AC113">
        <v>0.06</v>
      </c>
      <c r="AD113">
        <v>0.08</v>
      </c>
      <c r="AE113">
        <v>0</v>
      </c>
      <c r="AF113">
        <v>7</v>
      </c>
      <c r="AG113">
        <v>1</v>
      </c>
      <c r="AH113">
        <v>0.2</v>
      </c>
      <c r="AI113">
        <v>0</v>
      </c>
    </row>
    <row r="114" spans="1:35" x14ac:dyDescent="0.35">
      <c r="A114">
        <v>1168.99</v>
      </c>
      <c r="B114" t="s">
        <v>472</v>
      </c>
      <c r="C114" t="s">
        <v>218</v>
      </c>
      <c r="D114">
        <v>9188</v>
      </c>
      <c r="E114" t="s">
        <v>473</v>
      </c>
      <c r="F114"/>
      <c r="G114">
        <v>0</v>
      </c>
      <c r="H114"/>
      <c r="T114">
        <v>38</v>
      </c>
      <c r="U114">
        <v>2.71</v>
      </c>
      <c r="V114" s="1">
        <v>0</v>
      </c>
      <c r="W114" s="1">
        <v>2.71</v>
      </c>
      <c r="Z114">
        <v>0.5</v>
      </c>
      <c r="AA114">
        <v>4</v>
      </c>
      <c r="AB114">
        <v>3.8</v>
      </c>
      <c r="AC114">
        <v>4.3999999999999997E-2</v>
      </c>
      <c r="AD114">
        <v>0.157</v>
      </c>
      <c r="AE114">
        <v>0</v>
      </c>
      <c r="AF114">
        <v>0</v>
      </c>
      <c r="AG114">
        <v>122</v>
      </c>
      <c r="AH114">
        <v>0.159</v>
      </c>
      <c r="AI114">
        <v>0</v>
      </c>
    </row>
    <row r="115" spans="1:35" x14ac:dyDescent="0.35">
      <c r="A115">
        <v>1169.01</v>
      </c>
      <c r="B115" t="s">
        <v>474</v>
      </c>
      <c r="C115" t="s">
        <v>218</v>
      </c>
      <c r="D115">
        <v>9187</v>
      </c>
      <c r="E115" t="s">
        <v>475</v>
      </c>
      <c r="F115"/>
      <c r="G115">
        <v>0</v>
      </c>
      <c r="H115"/>
      <c r="T115">
        <v>1</v>
      </c>
      <c r="U115">
        <v>0.36</v>
      </c>
      <c r="V115" s="1">
        <v>0</v>
      </c>
      <c r="W115" s="1">
        <v>0.36</v>
      </c>
      <c r="Z115">
        <v>7.0000000000000007E-2</v>
      </c>
      <c r="AA115">
        <v>3</v>
      </c>
      <c r="AB115">
        <v>69</v>
      </c>
      <c r="AC115">
        <v>1.4999999999999999E-2</v>
      </c>
      <c r="AD115">
        <v>0.04</v>
      </c>
      <c r="AE115">
        <v>0</v>
      </c>
      <c r="AF115">
        <v>0</v>
      </c>
      <c r="AG115">
        <v>10</v>
      </c>
      <c r="AH115">
        <v>3.5999999999999997E-2</v>
      </c>
      <c r="AI115">
        <v>0</v>
      </c>
    </row>
    <row r="116" spans="1:35" x14ac:dyDescent="0.35">
      <c r="A116">
        <v>1169.02</v>
      </c>
      <c r="B116" t="s">
        <v>476</v>
      </c>
      <c r="C116" t="s">
        <v>218</v>
      </c>
      <c r="D116">
        <v>9189</v>
      </c>
      <c r="E116" t="s">
        <v>477</v>
      </c>
      <c r="F116"/>
      <c r="G116">
        <v>0</v>
      </c>
      <c r="H116"/>
      <c r="T116">
        <v>7</v>
      </c>
      <c r="U116">
        <v>0.28000000000000003</v>
      </c>
      <c r="V116" s="1">
        <v>0</v>
      </c>
      <c r="W116" s="1">
        <v>0.28000000000000003</v>
      </c>
      <c r="Z116">
        <v>0.05</v>
      </c>
      <c r="AA116">
        <v>8</v>
      </c>
      <c r="AB116">
        <v>75</v>
      </c>
      <c r="AC116">
        <v>1.7000000000000001E-2</v>
      </c>
      <c r="AD116">
        <v>3.5000000000000003E-2</v>
      </c>
      <c r="AE116">
        <v>0</v>
      </c>
      <c r="AF116">
        <v>0</v>
      </c>
      <c r="AG116">
        <v>16</v>
      </c>
      <c r="AH116">
        <v>2.5000000000000001E-2</v>
      </c>
      <c r="AI116">
        <v>0</v>
      </c>
    </row>
    <row r="117" spans="1:35" x14ac:dyDescent="0.35">
      <c r="A117">
        <v>1169.08</v>
      </c>
      <c r="B117" t="s">
        <v>478</v>
      </c>
      <c r="C117" t="s">
        <v>218</v>
      </c>
      <c r="D117">
        <v>9187</v>
      </c>
      <c r="E117" t="s">
        <v>475</v>
      </c>
      <c r="F117"/>
      <c r="G117">
        <v>0</v>
      </c>
      <c r="H117"/>
      <c r="T117">
        <v>1</v>
      </c>
      <c r="U117">
        <v>0.36</v>
      </c>
      <c r="V117" s="1">
        <v>0</v>
      </c>
      <c r="W117" s="1">
        <v>0.36</v>
      </c>
      <c r="Z117">
        <v>7.0000000000000007E-2</v>
      </c>
      <c r="AA117">
        <v>3</v>
      </c>
      <c r="AB117">
        <v>69</v>
      </c>
      <c r="AC117">
        <v>1.4999999999999999E-2</v>
      </c>
      <c r="AD117">
        <v>0.04</v>
      </c>
      <c r="AE117">
        <v>0</v>
      </c>
      <c r="AF117">
        <v>0</v>
      </c>
      <c r="AG117">
        <v>10</v>
      </c>
      <c r="AH117">
        <v>3.5999999999999997E-2</v>
      </c>
      <c r="AI117">
        <v>0</v>
      </c>
    </row>
    <row r="118" spans="1:35" x14ac:dyDescent="0.35">
      <c r="A118">
        <v>1169.99</v>
      </c>
      <c r="B118" t="s">
        <v>479</v>
      </c>
      <c r="C118" t="s">
        <v>218</v>
      </c>
      <c r="D118">
        <v>12635</v>
      </c>
      <c r="E118" t="s">
        <v>480</v>
      </c>
      <c r="F118"/>
      <c r="G118">
        <v>0</v>
      </c>
      <c r="H118"/>
      <c r="T118">
        <v>70</v>
      </c>
      <c r="U118">
        <v>3.7</v>
      </c>
      <c r="V118" s="1">
        <v>0</v>
      </c>
      <c r="W118" s="1">
        <v>3.7</v>
      </c>
      <c r="Z118">
        <v>3.8</v>
      </c>
      <c r="AA118">
        <v>50</v>
      </c>
      <c r="AB118">
        <v>0.4</v>
      </c>
      <c r="AC118">
        <v>0.2</v>
      </c>
      <c r="AD118">
        <v>0.2</v>
      </c>
      <c r="AE118">
        <v>0</v>
      </c>
      <c r="AF118">
        <v>3</v>
      </c>
      <c r="AG118">
        <v>0</v>
      </c>
      <c r="AH118">
        <v>0.29599999999999999</v>
      </c>
      <c r="AI118">
        <v>0</v>
      </c>
    </row>
    <row r="119" spans="1:35" x14ac:dyDescent="0.35">
      <c r="A119">
        <v>1171.01</v>
      </c>
      <c r="B119" t="s">
        <v>481</v>
      </c>
      <c r="C119" t="s">
        <v>214</v>
      </c>
      <c r="D119" t="s">
        <v>482</v>
      </c>
      <c r="E119" t="s">
        <v>483</v>
      </c>
      <c r="F119"/>
      <c r="G119">
        <v>0.3</v>
      </c>
      <c r="H119"/>
      <c r="T119">
        <v>27</v>
      </c>
      <c r="U119">
        <v>0.8</v>
      </c>
      <c r="V119" s="1">
        <v>0</v>
      </c>
      <c r="W119" s="1">
        <v>0.8</v>
      </c>
      <c r="Z119">
        <v>0.28999999999999998</v>
      </c>
      <c r="AA119">
        <v>89</v>
      </c>
      <c r="AB119">
        <v>5.3</v>
      </c>
      <c r="AC119">
        <v>0.06</v>
      </c>
      <c r="AD119">
        <v>0.15</v>
      </c>
      <c r="AE119">
        <v>0</v>
      </c>
      <c r="AF119">
        <v>1120</v>
      </c>
      <c r="AG119">
        <v>93</v>
      </c>
      <c r="AH119">
        <v>0.2</v>
      </c>
      <c r="AI119">
        <v>0</v>
      </c>
    </row>
    <row r="120" spans="1:35" x14ac:dyDescent="0.35">
      <c r="A120">
        <v>1171.02</v>
      </c>
      <c r="B120" t="s">
        <v>484</v>
      </c>
      <c r="C120" t="s">
        <v>214</v>
      </c>
      <c r="D120" t="s">
        <v>485</v>
      </c>
      <c r="E120" t="s">
        <v>486</v>
      </c>
      <c r="F120"/>
      <c r="G120">
        <v>0.28000000000000003</v>
      </c>
      <c r="H120"/>
      <c r="T120">
        <v>133</v>
      </c>
      <c r="U120">
        <v>3.1</v>
      </c>
      <c r="V120" s="1">
        <v>0</v>
      </c>
      <c r="W120" s="1">
        <v>3.1</v>
      </c>
      <c r="Z120">
        <v>0.8</v>
      </c>
      <c r="AA120">
        <v>176</v>
      </c>
      <c r="AB120">
        <v>36</v>
      </c>
      <c r="AC120">
        <v>0.08</v>
      </c>
      <c r="AD120">
        <v>0.17</v>
      </c>
      <c r="AE120">
        <v>0</v>
      </c>
      <c r="AF120">
        <v>6040</v>
      </c>
      <c r="AG120">
        <v>409</v>
      </c>
      <c r="AH120">
        <v>0.19</v>
      </c>
      <c r="AI120">
        <v>0</v>
      </c>
    </row>
    <row r="121" spans="1:35" x14ac:dyDescent="0.35">
      <c r="A121">
        <v>1171.03</v>
      </c>
      <c r="B121" t="s">
        <v>487</v>
      </c>
      <c r="C121" t="s">
        <v>218</v>
      </c>
      <c r="D121">
        <v>11143</v>
      </c>
      <c r="E121" t="s">
        <v>488</v>
      </c>
      <c r="F121"/>
      <c r="G121">
        <v>0</v>
      </c>
      <c r="H121"/>
      <c r="T121">
        <v>40</v>
      </c>
      <c r="U121">
        <v>0.2</v>
      </c>
      <c r="V121" s="1">
        <v>0</v>
      </c>
      <c r="W121" s="1">
        <v>0.2</v>
      </c>
      <c r="Z121">
        <v>0.13</v>
      </c>
      <c r="AA121">
        <v>36</v>
      </c>
      <c r="AB121">
        <v>3.1</v>
      </c>
      <c r="AC121">
        <v>2.1000000000000001E-2</v>
      </c>
      <c r="AD121">
        <v>5.7000000000000002E-2</v>
      </c>
      <c r="AE121">
        <v>0</v>
      </c>
      <c r="AF121">
        <v>270</v>
      </c>
      <c r="AG121">
        <v>22</v>
      </c>
      <c r="AH121">
        <v>7.3999999999999996E-2</v>
      </c>
      <c r="AI121">
        <v>0</v>
      </c>
    </row>
    <row r="122" spans="1:35" x14ac:dyDescent="0.35">
      <c r="A122">
        <v>1171.99</v>
      </c>
      <c r="B122" t="s">
        <v>489</v>
      </c>
      <c r="C122" t="s">
        <v>218</v>
      </c>
      <c r="D122">
        <v>11291</v>
      </c>
      <c r="E122" t="s">
        <v>490</v>
      </c>
      <c r="F122"/>
      <c r="G122">
        <v>0</v>
      </c>
      <c r="H122"/>
      <c r="T122">
        <v>72</v>
      </c>
      <c r="U122">
        <v>1.48</v>
      </c>
      <c r="V122" s="1">
        <v>0</v>
      </c>
      <c r="W122" s="1">
        <v>1.48</v>
      </c>
      <c r="Z122">
        <v>0.39</v>
      </c>
      <c r="AA122">
        <v>64</v>
      </c>
      <c r="AB122">
        <v>18.8</v>
      </c>
      <c r="AC122">
        <v>5.5E-2</v>
      </c>
      <c r="AD122">
        <v>0.08</v>
      </c>
      <c r="AE122">
        <v>0</v>
      </c>
      <c r="AF122">
        <v>598</v>
      </c>
      <c r="AG122">
        <v>50</v>
      </c>
      <c r="AH122">
        <v>6.0999999999999999E-2</v>
      </c>
      <c r="AI122">
        <v>0</v>
      </c>
    </row>
    <row r="123" spans="1:35" x14ac:dyDescent="0.35">
      <c r="A123">
        <v>1172.01</v>
      </c>
      <c r="B123" t="s">
        <v>491</v>
      </c>
      <c r="C123" t="s">
        <v>218</v>
      </c>
      <c r="D123">
        <v>11090</v>
      </c>
      <c r="E123" t="s">
        <v>492</v>
      </c>
      <c r="F123"/>
      <c r="G123">
        <v>0</v>
      </c>
      <c r="H123"/>
      <c r="T123">
        <v>47</v>
      </c>
      <c r="U123">
        <v>0.73</v>
      </c>
      <c r="V123" s="1">
        <v>0</v>
      </c>
      <c r="W123" s="1">
        <v>0.73</v>
      </c>
      <c r="Z123">
        <v>0.41</v>
      </c>
      <c r="AA123">
        <v>63</v>
      </c>
      <c r="AB123">
        <v>89.2</v>
      </c>
      <c r="AC123">
        <v>7.0999999999999994E-2</v>
      </c>
      <c r="AD123">
        <v>0.11699999999999899</v>
      </c>
      <c r="AE123">
        <v>0</v>
      </c>
      <c r="AF123">
        <v>361</v>
      </c>
      <c r="AG123">
        <v>31</v>
      </c>
      <c r="AH123">
        <v>0.17499999999999999</v>
      </c>
      <c r="AI123">
        <v>0</v>
      </c>
    </row>
    <row r="124" spans="1:35" x14ac:dyDescent="0.35">
      <c r="A124">
        <v>1172.02</v>
      </c>
      <c r="B124" t="s">
        <v>493</v>
      </c>
      <c r="C124" t="s">
        <v>214</v>
      </c>
      <c r="D124" t="s">
        <v>494</v>
      </c>
      <c r="E124" t="s">
        <v>495</v>
      </c>
      <c r="F124"/>
      <c r="G124">
        <v>0.2</v>
      </c>
      <c r="H124"/>
      <c r="T124">
        <v>41</v>
      </c>
      <c r="U124">
        <v>0.6</v>
      </c>
      <c r="V124" s="1">
        <v>0</v>
      </c>
      <c r="W124" s="1">
        <v>0.6</v>
      </c>
      <c r="Z124">
        <v>0.2</v>
      </c>
      <c r="AA124">
        <v>48</v>
      </c>
      <c r="AB124">
        <v>54</v>
      </c>
      <c r="AC124">
        <v>0.05</v>
      </c>
      <c r="AD124">
        <v>0.04</v>
      </c>
      <c r="AE124">
        <v>0</v>
      </c>
      <c r="AF124">
        <v>100</v>
      </c>
      <c r="AG124">
        <v>8</v>
      </c>
      <c r="AH124">
        <v>0.1</v>
      </c>
      <c r="AI124">
        <v>0</v>
      </c>
    </row>
    <row r="125" spans="1:35" x14ac:dyDescent="0.35">
      <c r="A125">
        <v>1172.03</v>
      </c>
      <c r="B125" t="s">
        <v>496</v>
      </c>
      <c r="C125" t="s">
        <v>218</v>
      </c>
      <c r="D125">
        <v>1135</v>
      </c>
      <c r="E125" t="s">
        <v>497</v>
      </c>
      <c r="F125"/>
      <c r="G125">
        <v>0</v>
      </c>
      <c r="H125"/>
      <c r="T125">
        <v>83</v>
      </c>
      <c r="U125">
        <v>0.23</v>
      </c>
      <c r="V125" s="1">
        <v>0</v>
      </c>
      <c r="W125" s="1">
        <v>0.23</v>
      </c>
      <c r="Z125">
        <v>0.15</v>
      </c>
      <c r="AA125">
        <v>89</v>
      </c>
      <c r="AB125">
        <v>0</v>
      </c>
      <c r="AC125">
        <v>3.5000000000000003E-2</v>
      </c>
      <c r="AD125">
        <v>2.1619999999999999</v>
      </c>
      <c r="AE125">
        <v>0</v>
      </c>
      <c r="AF125">
        <v>0</v>
      </c>
      <c r="AG125">
        <v>0</v>
      </c>
      <c r="AH125">
        <v>2.3E-2</v>
      </c>
      <c r="AI125">
        <v>0.49</v>
      </c>
    </row>
    <row r="126" spans="1:35" x14ac:dyDescent="0.35">
      <c r="A126">
        <v>1173.01</v>
      </c>
      <c r="B126" t="s">
        <v>498</v>
      </c>
      <c r="C126" t="s">
        <v>218</v>
      </c>
      <c r="D126">
        <v>11209</v>
      </c>
      <c r="E126" t="s">
        <v>499</v>
      </c>
      <c r="F126"/>
      <c r="G126">
        <v>0</v>
      </c>
      <c r="H126"/>
      <c r="T126">
        <v>9</v>
      </c>
      <c r="U126">
        <v>0.24</v>
      </c>
      <c r="V126" s="1">
        <v>0</v>
      </c>
      <c r="W126" s="1">
        <v>0.24</v>
      </c>
      <c r="Z126">
        <v>0.16</v>
      </c>
      <c r="AA126">
        <v>22</v>
      </c>
      <c r="AB126">
        <v>2.2000000000000002</v>
      </c>
      <c r="AC126">
        <v>3.9E-2</v>
      </c>
      <c r="AD126">
        <v>3.6999999999999998E-2</v>
      </c>
      <c r="AE126">
        <v>0</v>
      </c>
      <c r="AF126">
        <v>16</v>
      </c>
      <c r="AG126">
        <v>1</v>
      </c>
      <c r="AH126">
        <v>8.4000000000000005E-2</v>
      </c>
      <c r="AI126">
        <v>0</v>
      </c>
    </row>
    <row r="127" spans="1:35" x14ac:dyDescent="0.35">
      <c r="A127">
        <v>1173.02</v>
      </c>
      <c r="B127" t="s">
        <v>500</v>
      </c>
      <c r="C127" t="s">
        <v>214</v>
      </c>
      <c r="D127" t="s">
        <v>501</v>
      </c>
      <c r="E127" t="s">
        <v>502</v>
      </c>
      <c r="F127"/>
      <c r="G127">
        <v>0.17</v>
      </c>
      <c r="H127"/>
      <c r="T127">
        <v>47</v>
      </c>
      <c r="U127">
        <v>1.1000000000000001</v>
      </c>
      <c r="V127" s="1">
        <v>0</v>
      </c>
      <c r="W127" s="1">
        <v>1.1000000000000001</v>
      </c>
      <c r="Z127">
        <v>0.27</v>
      </c>
      <c r="AA127">
        <v>62</v>
      </c>
      <c r="AB127">
        <v>17.5</v>
      </c>
      <c r="AC127">
        <v>0.1</v>
      </c>
      <c r="AD127">
        <v>0.1</v>
      </c>
      <c r="AE127">
        <v>0</v>
      </c>
      <c r="AF127">
        <v>286</v>
      </c>
      <c r="AG127">
        <v>24</v>
      </c>
      <c r="AH127">
        <v>0.2</v>
      </c>
      <c r="AI127">
        <v>0</v>
      </c>
    </row>
    <row r="128" spans="1:35" x14ac:dyDescent="0.35">
      <c r="A128">
        <v>1173.03</v>
      </c>
      <c r="B128" t="s">
        <v>503</v>
      </c>
      <c r="C128" t="s">
        <v>214</v>
      </c>
      <c r="D128" t="s">
        <v>504</v>
      </c>
      <c r="E128" t="s">
        <v>505</v>
      </c>
      <c r="F128"/>
      <c r="G128">
        <v>0.19</v>
      </c>
      <c r="H128"/>
      <c r="T128">
        <v>13</v>
      </c>
      <c r="U128">
        <v>0.5</v>
      </c>
      <c r="V128" s="1">
        <v>0</v>
      </c>
      <c r="W128" s="1">
        <v>0.5</v>
      </c>
      <c r="Z128">
        <v>0.17</v>
      </c>
      <c r="AA128">
        <v>6</v>
      </c>
      <c r="AB128">
        <v>14</v>
      </c>
      <c r="AC128">
        <v>0.02</v>
      </c>
      <c r="AD128">
        <v>0.01</v>
      </c>
      <c r="AE128">
        <v>0</v>
      </c>
      <c r="AF128">
        <v>35</v>
      </c>
      <c r="AG128">
        <v>3</v>
      </c>
      <c r="AH128">
        <v>0.04</v>
      </c>
      <c r="AI128">
        <v>0</v>
      </c>
    </row>
    <row r="129" spans="1:35" x14ac:dyDescent="0.35">
      <c r="A129">
        <v>1173.04</v>
      </c>
      <c r="B129" t="s">
        <v>506</v>
      </c>
      <c r="C129" t="s">
        <v>214</v>
      </c>
      <c r="D129" t="s">
        <v>507</v>
      </c>
      <c r="E129" t="s">
        <v>508</v>
      </c>
      <c r="F129"/>
      <c r="G129">
        <v>0.17</v>
      </c>
      <c r="H129"/>
      <c r="T129">
        <v>17</v>
      </c>
      <c r="U129">
        <v>0.3</v>
      </c>
      <c r="V129" s="1">
        <v>0</v>
      </c>
      <c r="W129" s="1">
        <v>0.3</v>
      </c>
      <c r="Z129">
        <v>0.12</v>
      </c>
      <c r="AA129">
        <v>26</v>
      </c>
      <c r="AB129">
        <v>112.9</v>
      </c>
      <c r="AC129">
        <v>0.08</v>
      </c>
      <c r="AD129">
        <v>0.09</v>
      </c>
      <c r="AE129">
        <v>0</v>
      </c>
      <c r="AF129">
        <v>353</v>
      </c>
      <c r="AG129">
        <v>29</v>
      </c>
      <c r="AH129">
        <v>0.28000000000000003</v>
      </c>
      <c r="AI129">
        <v>0</v>
      </c>
    </row>
    <row r="130" spans="1:35" x14ac:dyDescent="0.35">
      <c r="A130">
        <v>1173.05</v>
      </c>
      <c r="B130" t="s">
        <v>509</v>
      </c>
      <c r="C130" t="s">
        <v>214</v>
      </c>
      <c r="D130" t="s">
        <v>510</v>
      </c>
      <c r="E130" t="s">
        <v>511</v>
      </c>
      <c r="F130"/>
      <c r="G130">
        <v>0.73</v>
      </c>
      <c r="H130"/>
      <c r="T130">
        <v>16</v>
      </c>
      <c r="U130">
        <v>1.1000000000000001</v>
      </c>
      <c r="V130" s="1">
        <v>0</v>
      </c>
      <c r="W130" s="1">
        <v>1.1000000000000001</v>
      </c>
      <c r="Z130">
        <v>0.28999999999999998</v>
      </c>
      <c r="AA130">
        <v>23</v>
      </c>
      <c r="AB130">
        <v>193.1</v>
      </c>
      <c r="AC130">
        <v>0.08</v>
      </c>
      <c r="AD130">
        <v>0.09</v>
      </c>
      <c r="AE130">
        <v>0</v>
      </c>
      <c r="AF130">
        <v>640</v>
      </c>
      <c r="AG130">
        <v>53</v>
      </c>
      <c r="AH130">
        <v>0.39</v>
      </c>
      <c r="AI130">
        <v>0</v>
      </c>
    </row>
    <row r="131" spans="1:35" x14ac:dyDescent="0.35">
      <c r="A131">
        <v>1173.06</v>
      </c>
      <c r="B131" t="s">
        <v>512</v>
      </c>
      <c r="C131" t="s">
        <v>218</v>
      </c>
      <c r="D131">
        <v>11900</v>
      </c>
      <c r="E131" t="s">
        <v>513</v>
      </c>
      <c r="F131"/>
      <c r="G131">
        <v>0</v>
      </c>
      <c r="H131"/>
      <c r="T131">
        <v>2</v>
      </c>
      <c r="U131">
        <v>0.52</v>
      </c>
      <c r="V131" s="1">
        <v>0</v>
      </c>
      <c r="W131" s="1">
        <v>0.52</v>
      </c>
      <c r="Z131">
        <v>0.45</v>
      </c>
      <c r="AA131">
        <v>46</v>
      </c>
      <c r="AB131">
        <v>6.8</v>
      </c>
      <c r="AC131">
        <v>0.2</v>
      </c>
      <c r="AD131">
        <v>0.06</v>
      </c>
      <c r="AE131">
        <v>0</v>
      </c>
      <c r="AF131">
        <v>1</v>
      </c>
      <c r="AG131">
        <v>0</v>
      </c>
      <c r="AH131">
        <v>5.5E-2</v>
      </c>
      <c r="AI131">
        <v>0</v>
      </c>
    </row>
    <row r="132" spans="1:35" x14ac:dyDescent="0.35">
      <c r="A132">
        <v>1173.07</v>
      </c>
      <c r="B132" t="s">
        <v>514</v>
      </c>
      <c r="C132" t="s">
        <v>218</v>
      </c>
      <c r="D132">
        <v>11304</v>
      </c>
      <c r="E132" t="s">
        <v>515</v>
      </c>
      <c r="F132"/>
      <c r="G132">
        <v>0</v>
      </c>
      <c r="H132"/>
      <c r="T132">
        <v>25</v>
      </c>
      <c r="U132">
        <v>1.47</v>
      </c>
      <c r="V132" s="1">
        <v>0</v>
      </c>
      <c r="W132" s="1">
        <v>1.47</v>
      </c>
      <c r="Z132">
        <v>1.24</v>
      </c>
      <c r="AA132">
        <v>65</v>
      </c>
      <c r="AB132">
        <v>40</v>
      </c>
      <c r="AC132">
        <v>0.26600000000000001</v>
      </c>
      <c r="AD132">
        <v>0.13200000000000001</v>
      </c>
      <c r="AE132">
        <v>0</v>
      </c>
      <c r="AF132">
        <v>449</v>
      </c>
      <c r="AG132">
        <v>38</v>
      </c>
      <c r="AH132">
        <v>0.16899999999999901</v>
      </c>
      <c r="AI132">
        <v>0</v>
      </c>
    </row>
    <row r="133" spans="1:35" x14ac:dyDescent="0.35">
      <c r="A133">
        <v>1173.08</v>
      </c>
      <c r="B133" t="s">
        <v>516</v>
      </c>
      <c r="C133" t="s">
        <v>214</v>
      </c>
      <c r="D133" t="s">
        <v>517</v>
      </c>
      <c r="E133" t="s">
        <v>518</v>
      </c>
      <c r="F133"/>
      <c r="G133">
        <v>0.7</v>
      </c>
      <c r="H133"/>
      <c r="T133">
        <v>19</v>
      </c>
      <c r="U133">
        <v>1.2</v>
      </c>
      <c r="V133" s="1">
        <v>0</v>
      </c>
      <c r="W133" s="1">
        <v>1.2</v>
      </c>
      <c r="Z133">
        <v>0.32</v>
      </c>
      <c r="AA133">
        <v>8</v>
      </c>
      <c r="AB133">
        <v>8</v>
      </c>
      <c r="AC133">
        <v>0.05</v>
      </c>
      <c r="AD133">
        <v>0.02</v>
      </c>
      <c r="AE133">
        <v>0</v>
      </c>
      <c r="AF133">
        <v>1200</v>
      </c>
      <c r="AG133">
        <v>100</v>
      </c>
      <c r="AH133">
        <v>0.1</v>
      </c>
      <c r="AI133">
        <v>0</v>
      </c>
    </row>
    <row r="134" spans="1:35" x14ac:dyDescent="0.35">
      <c r="A134">
        <v>1173.0899999999999</v>
      </c>
      <c r="B134" t="s">
        <v>519</v>
      </c>
      <c r="C134" t="s">
        <v>214</v>
      </c>
      <c r="D134" t="s">
        <v>520</v>
      </c>
      <c r="E134" t="s">
        <v>521</v>
      </c>
      <c r="F134"/>
      <c r="G134">
        <v>0.09</v>
      </c>
      <c r="H134"/>
      <c r="T134">
        <v>13</v>
      </c>
      <c r="U134">
        <v>0.6</v>
      </c>
      <c r="V134" s="1">
        <v>0</v>
      </c>
      <c r="W134" s="1">
        <v>0.6</v>
      </c>
      <c r="Z134">
        <v>0.7</v>
      </c>
      <c r="AA134">
        <v>21</v>
      </c>
      <c r="AB134">
        <v>29.6</v>
      </c>
      <c r="AC134">
        <v>0.06</v>
      </c>
      <c r="AD134">
        <v>0.04</v>
      </c>
      <c r="AE134">
        <v>0</v>
      </c>
      <c r="AF134">
        <v>624</v>
      </c>
      <c r="AG134">
        <v>52</v>
      </c>
      <c r="AH134">
        <v>0.09</v>
      </c>
      <c r="AI134">
        <v>0</v>
      </c>
    </row>
    <row r="135" spans="1:35" x14ac:dyDescent="0.35">
      <c r="A135">
        <v>1174.01</v>
      </c>
      <c r="B135" t="s">
        <v>522</v>
      </c>
      <c r="C135" t="s">
        <v>218</v>
      </c>
      <c r="D135">
        <v>11011</v>
      </c>
      <c r="E135" t="s">
        <v>523</v>
      </c>
      <c r="F135"/>
      <c r="G135">
        <v>0</v>
      </c>
      <c r="H135"/>
      <c r="T135">
        <v>24</v>
      </c>
      <c r="U135">
        <v>2.14</v>
      </c>
      <c r="V135" s="1">
        <v>0</v>
      </c>
      <c r="W135" s="1">
        <v>2.14</v>
      </c>
      <c r="Z135">
        <v>0.54</v>
      </c>
      <c r="AA135">
        <v>52</v>
      </c>
      <c r="AB135">
        <v>5.6</v>
      </c>
      <c r="AC135">
        <v>0.14299999999999999</v>
      </c>
      <c r="AD135">
        <v>0.14099999999999999</v>
      </c>
      <c r="AE135">
        <v>0</v>
      </c>
      <c r="AF135">
        <v>449</v>
      </c>
      <c r="AG135">
        <v>38</v>
      </c>
      <c r="AH135">
        <v>9.0999999999999998E-2</v>
      </c>
      <c r="AI135">
        <v>0</v>
      </c>
    </row>
    <row r="136" spans="1:35" x14ac:dyDescent="0.35">
      <c r="A136">
        <v>1174.02</v>
      </c>
      <c r="B136" t="s">
        <v>524</v>
      </c>
      <c r="C136" t="s">
        <v>402</v>
      </c>
      <c r="D136">
        <v>2005</v>
      </c>
      <c r="E136" t="s">
        <v>525</v>
      </c>
      <c r="F136"/>
      <c r="G136">
        <v>0.15</v>
      </c>
      <c r="H136"/>
      <c r="T136">
        <v>13</v>
      </c>
      <c r="U136">
        <v>0.8</v>
      </c>
      <c r="V136" s="1">
        <v>0</v>
      </c>
      <c r="W136" s="1">
        <v>0.8</v>
      </c>
      <c r="Z136">
        <v>0.55000000000000004</v>
      </c>
      <c r="AA136">
        <v>110</v>
      </c>
      <c r="AB136">
        <v>5.3</v>
      </c>
      <c r="AC136">
        <v>0.01</v>
      </c>
      <c r="AD136">
        <v>0.02</v>
      </c>
      <c r="AE136">
        <v>0</v>
      </c>
      <c r="AF136">
        <v>10</v>
      </c>
      <c r="AG136">
        <v>1</v>
      </c>
      <c r="AH136">
        <v>0</v>
      </c>
      <c r="AI136">
        <v>0</v>
      </c>
    </row>
    <row r="137" spans="1:35" x14ac:dyDescent="0.35">
      <c r="A137">
        <v>1174.03</v>
      </c>
      <c r="B137" t="s">
        <v>526</v>
      </c>
      <c r="C137" t="s">
        <v>214</v>
      </c>
      <c r="D137" t="s">
        <v>527</v>
      </c>
      <c r="E137" t="s">
        <v>528</v>
      </c>
      <c r="F137"/>
      <c r="G137">
        <v>0.11</v>
      </c>
      <c r="H137"/>
      <c r="T137">
        <v>35</v>
      </c>
      <c r="U137">
        <v>0.7</v>
      </c>
      <c r="V137" s="1">
        <v>0</v>
      </c>
      <c r="W137" s="1">
        <v>0.7</v>
      </c>
      <c r="Z137">
        <v>0.26</v>
      </c>
      <c r="AA137">
        <v>31</v>
      </c>
      <c r="AB137">
        <v>7</v>
      </c>
      <c r="AC137">
        <v>0.06</v>
      </c>
      <c r="AD137">
        <v>0.05</v>
      </c>
      <c r="AE137">
        <v>0</v>
      </c>
      <c r="AF137">
        <v>8560</v>
      </c>
      <c r="AG137">
        <v>713</v>
      </c>
      <c r="AH137">
        <v>0.23</v>
      </c>
      <c r="AI137">
        <v>0</v>
      </c>
    </row>
    <row r="138" spans="1:35" x14ac:dyDescent="0.35">
      <c r="A138">
        <v>1174.05</v>
      </c>
      <c r="B138" t="s">
        <v>529</v>
      </c>
      <c r="C138" t="s">
        <v>402</v>
      </c>
      <c r="D138">
        <v>4021</v>
      </c>
      <c r="E138" t="s">
        <v>530</v>
      </c>
      <c r="F138"/>
      <c r="G138">
        <v>0.45</v>
      </c>
      <c r="H138"/>
      <c r="T138">
        <v>78</v>
      </c>
      <c r="U138">
        <v>1.8</v>
      </c>
      <c r="V138" s="1">
        <v>0</v>
      </c>
      <c r="W138" s="1">
        <v>1.8</v>
      </c>
      <c r="Z138">
        <v>0.3</v>
      </c>
      <c r="AA138">
        <v>64</v>
      </c>
      <c r="AB138">
        <v>21</v>
      </c>
      <c r="AC138">
        <v>0.14000000000000001</v>
      </c>
      <c r="AD138">
        <v>0</v>
      </c>
      <c r="AE138">
        <v>0</v>
      </c>
      <c r="AF138">
        <v>242</v>
      </c>
      <c r="AG138">
        <v>20</v>
      </c>
      <c r="AH138">
        <v>0</v>
      </c>
      <c r="AI138">
        <v>0</v>
      </c>
    </row>
    <row r="139" spans="1:35" x14ac:dyDescent="0.35">
      <c r="A139">
        <v>1174.06</v>
      </c>
      <c r="B139" t="s">
        <v>531</v>
      </c>
      <c r="C139" t="s">
        <v>214</v>
      </c>
      <c r="D139" t="s">
        <v>532</v>
      </c>
      <c r="E139" t="s">
        <v>533</v>
      </c>
      <c r="F139"/>
      <c r="G139">
        <v>0.09</v>
      </c>
      <c r="H139"/>
      <c r="T139">
        <v>25</v>
      </c>
      <c r="U139">
        <v>0.3</v>
      </c>
      <c r="V139" s="1">
        <v>0</v>
      </c>
      <c r="W139" s="1">
        <v>0.3</v>
      </c>
      <c r="Z139">
        <v>0.26</v>
      </c>
      <c r="AA139">
        <v>16</v>
      </c>
      <c r="AB139">
        <v>10.3</v>
      </c>
      <c r="AC139">
        <v>0.05</v>
      </c>
      <c r="AD139">
        <v>0.04</v>
      </c>
      <c r="AE139">
        <v>0</v>
      </c>
      <c r="AF139">
        <v>1</v>
      </c>
      <c r="AG139">
        <v>0</v>
      </c>
      <c r="AH139">
        <v>0.1</v>
      </c>
      <c r="AI139">
        <v>0</v>
      </c>
    </row>
    <row r="140" spans="1:35" x14ac:dyDescent="0.35">
      <c r="A140">
        <v>1174.08</v>
      </c>
      <c r="B140" t="s">
        <v>534</v>
      </c>
      <c r="C140" t="s">
        <v>214</v>
      </c>
      <c r="D140" t="s">
        <v>535</v>
      </c>
      <c r="E140" t="s">
        <v>536</v>
      </c>
      <c r="F140"/>
      <c r="G140">
        <v>0</v>
      </c>
      <c r="H140"/>
      <c r="T140">
        <v>41</v>
      </c>
      <c r="U140">
        <v>0.3</v>
      </c>
      <c r="V140" s="1">
        <v>0</v>
      </c>
      <c r="W140" s="1">
        <v>0.3</v>
      </c>
      <c r="Z140">
        <v>0.22</v>
      </c>
      <c r="AA140">
        <v>24</v>
      </c>
      <c r="AB140">
        <v>23.7</v>
      </c>
      <c r="AC140">
        <v>0.04</v>
      </c>
      <c r="AD140">
        <v>0.04</v>
      </c>
      <c r="AE140">
        <v>0</v>
      </c>
      <c r="AF140">
        <v>36</v>
      </c>
      <c r="AG140">
        <v>3</v>
      </c>
      <c r="AH140">
        <v>0.08</v>
      </c>
      <c r="AI140">
        <v>0</v>
      </c>
    </row>
    <row r="141" spans="1:35" x14ac:dyDescent="0.35">
      <c r="A141">
        <v>1174.0899999999999</v>
      </c>
      <c r="B141" t="s">
        <v>537</v>
      </c>
      <c r="C141" t="s">
        <v>218</v>
      </c>
      <c r="D141">
        <v>11238</v>
      </c>
      <c r="E141" t="s">
        <v>538</v>
      </c>
      <c r="F141"/>
      <c r="G141">
        <v>0</v>
      </c>
      <c r="H141"/>
      <c r="T141">
        <v>2</v>
      </c>
      <c r="U141">
        <v>0.41</v>
      </c>
      <c r="V141" s="1">
        <v>0</v>
      </c>
      <c r="W141" s="1">
        <v>0.41</v>
      </c>
      <c r="Z141">
        <v>1.03</v>
      </c>
      <c r="AA141">
        <v>13</v>
      </c>
      <c r="AB141">
        <v>0</v>
      </c>
      <c r="AC141">
        <v>1.4999999999999999E-2</v>
      </c>
      <c r="AD141">
        <v>0.217</v>
      </c>
      <c r="AE141">
        <v>0</v>
      </c>
      <c r="AF141">
        <v>0</v>
      </c>
      <c r="AG141">
        <v>0</v>
      </c>
      <c r="AH141">
        <v>0.29299999999999998</v>
      </c>
      <c r="AI141">
        <v>0</v>
      </c>
    </row>
    <row r="142" spans="1:35" x14ac:dyDescent="0.35">
      <c r="A142">
        <v>1175.01</v>
      </c>
      <c r="B142" t="s">
        <v>539</v>
      </c>
      <c r="C142" t="s">
        <v>214</v>
      </c>
      <c r="D142" t="s">
        <v>540</v>
      </c>
      <c r="E142" t="s">
        <v>541</v>
      </c>
      <c r="F142"/>
      <c r="G142">
        <v>0</v>
      </c>
      <c r="H142"/>
      <c r="T142">
        <v>74</v>
      </c>
      <c r="U142">
        <v>5.7</v>
      </c>
      <c r="V142" s="1">
        <v>0</v>
      </c>
      <c r="W142" s="1">
        <v>5.7</v>
      </c>
      <c r="Z142">
        <v>3.77</v>
      </c>
      <c r="AA142">
        <v>395</v>
      </c>
      <c r="AB142">
        <v>0</v>
      </c>
      <c r="AC142">
        <v>0.89</v>
      </c>
      <c r="AD142">
        <v>0.11</v>
      </c>
      <c r="AE142">
        <v>0</v>
      </c>
      <c r="AF142">
        <v>179</v>
      </c>
      <c r="AG142">
        <v>15</v>
      </c>
      <c r="AH142">
        <v>0.51</v>
      </c>
      <c r="AI142">
        <v>0</v>
      </c>
    </row>
    <row r="143" spans="1:35" x14ac:dyDescent="0.35">
      <c r="A143">
        <v>1175.02</v>
      </c>
      <c r="B143" t="s">
        <v>542</v>
      </c>
      <c r="C143" t="s">
        <v>402</v>
      </c>
      <c r="D143">
        <v>3010</v>
      </c>
      <c r="E143" t="s">
        <v>543</v>
      </c>
      <c r="F143"/>
      <c r="G143">
        <v>0</v>
      </c>
      <c r="H143"/>
      <c r="T143">
        <v>235</v>
      </c>
      <c r="U143">
        <v>6.8</v>
      </c>
      <c r="V143" s="1">
        <v>0</v>
      </c>
      <c r="W143" s="1">
        <v>6.8</v>
      </c>
      <c r="Z143">
        <v>3.37</v>
      </c>
      <c r="AA143">
        <v>400</v>
      </c>
      <c r="AB143">
        <v>8</v>
      </c>
      <c r="AC143">
        <v>0.48</v>
      </c>
      <c r="AD143">
        <v>0.16</v>
      </c>
      <c r="AE143">
        <v>0</v>
      </c>
      <c r="AF143">
        <v>175</v>
      </c>
      <c r="AG143">
        <v>15</v>
      </c>
      <c r="AH143">
        <v>0</v>
      </c>
      <c r="AI143">
        <v>0</v>
      </c>
    </row>
    <row r="144" spans="1:35" x14ac:dyDescent="0.35">
      <c r="A144">
        <v>1175.03</v>
      </c>
      <c r="B144" t="s">
        <v>544</v>
      </c>
      <c r="C144" t="s">
        <v>214</v>
      </c>
      <c r="D144" t="s">
        <v>545</v>
      </c>
      <c r="E144" t="s">
        <v>544</v>
      </c>
      <c r="F144"/>
      <c r="G144">
        <v>0.19</v>
      </c>
      <c r="H144"/>
      <c r="T144">
        <v>61</v>
      </c>
      <c r="U144">
        <v>7</v>
      </c>
      <c r="V144" s="1">
        <v>0</v>
      </c>
      <c r="W144" s="1">
        <v>7</v>
      </c>
      <c r="Z144">
        <v>3.9</v>
      </c>
      <c r="AA144">
        <v>295</v>
      </c>
      <c r="AB144">
        <v>0</v>
      </c>
      <c r="AC144">
        <v>0.59</v>
      </c>
      <c r="AD144">
        <v>0.23</v>
      </c>
      <c r="AE144">
        <v>0</v>
      </c>
      <c r="AF144">
        <v>42</v>
      </c>
      <c r="AG144">
        <v>3</v>
      </c>
      <c r="AH144">
        <v>0.68</v>
      </c>
      <c r="AI144">
        <v>0</v>
      </c>
    </row>
    <row r="145" spans="1:35" x14ac:dyDescent="0.35">
      <c r="A145">
        <v>1175.0899999999999</v>
      </c>
      <c r="B145" t="s">
        <v>546</v>
      </c>
      <c r="C145" t="s">
        <v>214</v>
      </c>
      <c r="D145" t="s">
        <v>547</v>
      </c>
      <c r="E145" t="s">
        <v>548</v>
      </c>
      <c r="F145"/>
      <c r="G145">
        <v>0</v>
      </c>
      <c r="H145"/>
      <c r="T145">
        <v>1060</v>
      </c>
      <c r="U145">
        <v>34</v>
      </c>
      <c r="V145" s="1">
        <v>0</v>
      </c>
      <c r="W145" s="1">
        <v>34</v>
      </c>
      <c r="Z145">
        <v>3.35</v>
      </c>
      <c r="AA145">
        <v>673</v>
      </c>
      <c r="AB145">
        <v>38</v>
      </c>
      <c r="AC145">
        <v>1.1499999999999999</v>
      </c>
      <c r="AD145">
        <v>2.35</v>
      </c>
      <c r="AE145">
        <v>0</v>
      </c>
      <c r="AF145">
        <v>2407</v>
      </c>
      <c r="AG145">
        <v>201</v>
      </c>
      <c r="AH145">
        <v>1.49</v>
      </c>
      <c r="AI145">
        <v>0</v>
      </c>
    </row>
    <row r="146" spans="1:35" x14ac:dyDescent="0.35">
      <c r="A146">
        <v>1176.01</v>
      </c>
      <c r="B146" t="s">
        <v>549</v>
      </c>
      <c r="C146" t="s">
        <v>218</v>
      </c>
      <c r="D146">
        <v>11941</v>
      </c>
      <c r="E146" t="s">
        <v>550</v>
      </c>
      <c r="F146"/>
      <c r="G146">
        <v>0</v>
      </c>
      <c r="H146"/>
      <c r="T146">
        <v>0</v>
      </c>
      <c r="U146">
        <v>0.4</v>
      </c>
      <c r="V146" s="1">
        <v>0</v>
      </c>
      <c r="W146" s="1">
        <v>0.4</v>
      </c>
      <c r="Z146">
        <v>0.02</v>
      </c>
      <c r="AA146">
        <v>1</v>
      </c>
      <c r="AB146">
        <v>1</v>
      </c>
      <c r="AC146">
        <v>0</v>
      </c>
      <c r="AD146">
        <v>0.01</v>
      </c>
      <c r="AE146">
        <v>0</v>
      </c>
      <c r="AF146">
        <v>81</v>
      </c>
      <c r="AG146">
        <v>10</v>
      </c>
      <c r="AH146">
        <v>8.9999999999999993E-3</v>
      </c>
      <c r="AI146">
        <v>0</v>
      </c>
    </row>
    <row r="147" spans="1:35" x14ac:dyDescent="0.35">
      <c r="A147">
        <v>1177.01</v>
      </c>
      <c r="B147" t="s">
        <v>551</v>
      </c>
      <c r="C147" t="s">
        <v>214</v>
      </c>
      <c r="D147" t="s">
        <v>552</v>
      </c>
      <c r="E147" t="s">
        <v>553</v>
      </c>
      <c r="F147"/>
      <c r="G147">
        <v>0.16</v>
      </c>
      <c r="H147"/>
      <c r="T147">
        <v>11</v>
      </c>
      <c r="U147">
        <v>0.9</v>
      </c>
      <c r="V147" s="1">
        <v>0</v>
      </c>
      <c r="W147" s="1">
        <v>0.9</v>
      </c>
      <c r="Z147">
        <v>0.35</v>
      </c>
      <c r="AA147">
        <v>18</v>
      </c>
      <c r="AB147">
        <v>17.3</v>
      </c>
      <c r="AC147">
        <v>0.08</v>
      </c>
      <c r="AD147">
        <v>0.12</v>
      </c>
      <c r="AE147">
        <v>0</v>
      </c>
      <c r="AF147">
        <v>14</v>
      </c>
      <c r="AG147">
        <v>1</v>
      </c>
      <c r="AH147">
        <v>0.27</v>
      </c>
      <c r="AI147">
        <v>0</v>
      </c>
    </row>
    <row r="148" spans="1:35" x14ac:dyDescent="0.35">
      <c r="A148">
        <v>1178.01</v>
      </c>
      <c r="B148" t="s">
        <v>554</v>
      </c>
      <c r="C148" t="s">
        <v>214</v>
      </c>
      <c r="D148" t="s">
        <v>555</v>
      </c>
      <c r="E148" t="s">
        <v>556</v>
      </c>
      <c r="F148"/>
      <c r="G148">
        <v>0.16</v>
      </c>
      <c r="H148"/>
      <c r="T148">
        <v>27</v>
      </c>
      <c r="U148">
        <v>1.1000000000000001</v>
      </c>
      <c r="V148" s="1">
        <v>0</v>
      </c>
      <c r="W148" s="1">
        <v>1.1000000000000001</v>
      </c>
      <c r="Z148">
        <v>0.39</v>
      </c>
      <c r="AA148">
        <v>52</v>
      </c>
      <c r="AB148">
        <v>22.3</v>
      </c>
      <c r="AC148">
        <v>0.09</v>
      </c>
      <c r="AD148">
        <v>0.04</v>
      </c>
      <c r="AE148">
        <v>0</v>
      </c>
      <c r="AF148">
        <v>39</v>
      </c>
      <c r="AG148">
        <v>3</v>
      </c>
      <c r="AH148">
        <v>0.27</v>
      </c>
      <c r="AI148">
        <v>0</v>
      </c>
    </row>
    <row r="149" spans="1:35" x14ac:dyDescent="0.35">
      <c r="A149">
        <v>1178.02</v>
      </c>
      <c r="B149" t="s">
        <v>557</v>
      </c>
      <c r="C149" t="s">
        <v>402</v>
      </c>
      <c r="D149">
        <v>15110</v>
      </c>
      <c r="E149" t="s">
        <v>558</v>
      </c>
      <c r="F149"/>
      <c r="G149">
        <v>0</v>
      </c>
      <c r="H149"/>
      <c r="T149">
        <v>17</v>
      </c>
      <c r="U149">
        <v>2.7</v>
      </c>
      <c r="V149" s="1">
        <v>0</v>
      </c>
      <c r="W149" s="1">
        <v>2.7</v>
      </c>
      <c r="Z149">
        <v>0.63</v>
      </c>
      <c r="AA149">
        <v>82</v>
      </c>
      <c r="AB149">
        <v>12</v>
      </c>
      <c r="AC149">
        <v>0.11</v>
      </c>
      <c r="AD149">
        <v>7.0000000000000007E-2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>
        <v>1178.03</v>
      </c>
      <c r="B150" t="s">
        <v>559</v>
      </c>
      <c r="C150" t="s">
        <v>218</v>
      </c>
      <c r="D150">
        <v>11134</v>
      </c>
      <c r="E150" t="s">
        <v>560</v>
      </c>
      <c r="F150"/>
      <c r="G150">
        <v>0</v>
      </c>
      <c r="H150"/>
      <c r="T150">
        <v>16</v>
      </c>
      <c r="U150">
        <v>0.27</v>
      </c>
      <c r="V150" s="1">
        <v>0</v>
      </c>
      <c r="W150" s="1">
        <v>0.27</v>
      </c>
      <c r="Z150">
        <v>0.34</v>
      </c>
      <c r="AA150">
        <v>27</v>
      </c>
      <c r="AB150">
        <v>20.6</v>
      </c>
      <c r="AC150">
        <v>8.6999999999999994E-2</v>
      </c>
      <c r="AD150">
        <v>4.8000000000000001E-2</v>
      </c>
      <c r="AE150">
        <v>0</v>
      </c>
      <c r="AF150">
        <v>8</v>
      </c>
      <c r="AG150">
        <v>1</v>
      </c>
      <c r="AH150">
        <v>8.7999999999999995E-2</v>
      </c>
      <c r="AI150">
        <v>0</v>
      </c>
    </row>
    <row r="151" spans="1:35" x14ac:dyDescent="0.35">
      <c r="A151">
        <v>1178.05</v>
      </c>
      <c r="B151" t="s">
        <v>561</v>
      </c>
      <c r="C151" t="s">
        <v>218</v>
      </c>
      <c r="D151">
        <v>11584</v>
      </c>
      <c r="E151" t="s">
        <v>562</v>
      </c>
      <c r="F151"/>
      <c r="G151">
        <v>0</v>
      </c>
      <c r="H151"/>
      <c r="T151">
        <v>25</v>
      </c>
      <c r="U151">
        <v>0.82</v>
      </c>
      <c r="V151" s="1">
        <v>0</v>
      </c>
      <c r="W151" s="1">
        <v>0.82</v>
      </c>
      <c r="Z151">
        <v>0.49</v>
      </c>
      <c r="AA151">
        <v>19</v>
      </c>
      <c r="AB151">
        <v>3.2</v>
      </c>
      <c r="AC151">
        <v>7.0999999999999994E-2</v>
      </c>
      <c r="AD151">
        <v>0.12</v>
      </c>
      <c r="AE151">
        <v>0</v>
      </c>
      <c r="AF151">
        <v>2082</v>
      </c>
      <c r="AG151">
        <v>214</v>
      </c>
      <c r="AH151">
        <v>7.3999999999999996E-2</v>
      </c>
      <c r="AI151">
        <v>0</v>
      </c>
    </row>
    <row r="152" spans="1:35" x14ac:dyDescent="0.35">
      <c r="A152">
        <v>1179.08</v>
      </c>
      <c r="B152" t="s">
        <v>563</v>
      </c>
      <c r="C152" t="s">
        <v>218</v>
      </c>
      <c r="D152">
        <v>43312</v>
      </c>
      <c r="E152" t="s">
        <v>564</v>
      </c>
      <c r="F152"/>
      <c r="G152">
        <v>0</v>
      </c>
      <c r="H152"/>
      <c r="T152">
        <v>21</v>
      </c>
      <c r="U152">
        <v>0.65</v>
      </c>
      <c r="V152" s="1">
        <v>0</v>
      </c>
      <c r="W152" s="1">
        <v>0.65</v>
      </c>
      <c r="Z152">
        <v>0.51</v>
      </c>
      <c r="AA152">
        <v>18</v>
      </c>
      <c r="AB152">
        <v>3.8</v>
      </c>
      <c r="AC152">
        <v>0.03</v>
      </c>
      <c r="AD152">
        <v>0.04</v>
      </c>
      <c r="AE152">
        <v>0</v>
      </c>
      <c r="AF152">
        <v>5670</v>
      </c>
      <c r="AG152">
        <v>583</v>
      </c>
      <c r="AH152">
        <v>0.08</v>
      </c>
      <c r="AI152">
        <v>0</v>
      </c>
    </row>
    <row r="153" spans="1:35" x14ac:dyDescent="0.35">
      <c r="A153">
        <v>1179.99</v>
      </c>
      <c r="B153" t="s">
        <v>565</v>
      </c>
      <c r="C153" t="s">
        <v>214</v>
      </c>
      <c r="D153" t="s">
        <v>547</v>
      </c>
      <c r="E153" t="s">
        <v>548</v>
      </c>
      <c r="F153"/>
      <c r="G153">
        <v>0</v>
      </c>
      <c r="H153"/>
      <c r="T153">
        <v>1060</v>
      </c>
      <c r="U153">
        <v>34</v>
      </c>
      <c r="V153" s="1">
        <v>0</v>
      </c>
      <c r="W153" s="1">
        <v>34</v>
      </c>
      <c r="Z153">
        <v>3.35</v>
      </c>
      <c r="AA153">
        <v>673</v>
      </c>
      <c r="AB153">
        <v>38</v>
      </c>
      <c r="AC153">
        <v>1.1499999999999999</v>
      </c>
      <c r="AD153">
        <v>2.35</v>
      </c>
      <c r="AE153">
        <v>0</v>
      </c>
      <c r="AF153">
        <v>2407</v>
      </c>
      <c r="AG153">
        <v>201</v>
      </c>
      <c r="AH153">
        <v>1.49</v>
      </c>
      <c r="AI153">
        <v>0</v>
      </c>
    </row>
    <row r="154" spans="1:35" x14ac:dyDescent="0.35">
      <c r="A154">
        <v>1181.01</v>
      </c>
      <c r="B154" t="s">
        <v>566</v>
      </c>
      <c r="C154" t="s">
        <v>214</v>
      </c>
      <c r="D154" t="s">
        <v>567</v>
      </c>
      <c r="E154" t="s">
        <v>566</v>
      </c>
      <c r="F154"/>
      <c r="G154">
        <v>0</v>
      </c>
      <c r="H154"/>
      <c r="T154">
        <v>1</v>
      </c>
      <c r="U154">
        <v>0.1</v>
      </c>
      <c r="V154" s="1">
        <v>0</v>
      </c>
      <c r="W154" s="1">
        <v>0.1</v>
      </c>
      <c r="Z154">
        <v>0.01</v>
      </c>
      <c r="AA154">
        <v>0</v>
      </c>
      <c r="AB154">
        <v>0</v>
      </c>
      <c r="AC154">
        <v>0</v>
      </c>
      <c r="AD154">
        <v>0.02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>
        <v>1181.02</v>
      </c>
      <c r="B155" t="s">
        <v>568</v>
      </c>
      <c r="C155" t="s">
        <v>402</v>
      </c>
      <c r="D155">
        <v>11002</v>
      </c>
      <c r="E155" t="s">
        <v>569</v>
      </c>
      <c r="F155"/>
      <c r="G155">
        <v>0</v>
      </c>
      <c r="H155"/>
      <c r="T155">
        <v>10</v>
      </c>
      <c r="U155">
        <v>1.1000000000000001</v>
      </c>
      <c r="V155" s="1">
        <v>0</v>
      </c>
      <c r="W155" s="1">
        <v>1.1000000000000001</v>
      </c>
      <c r="Z155">
        <v>0.14000000000000001</v>
      </c>
      <c r="AA155">
        <v>45</v>
      </c>
      <c r="AB155">
        <v>6.7</v>
      </c>
      <c r="AC155">
        <v>0.03</v>
      </c>
      <c r="AD155">
        <v>0.04</v>
      </c>
      <c r="AE155">
        <v>0</v>
      </c>
      <c r="AF155">
        <v>10.34</v>
      </c>
      <c r="AG155">
        <v>1</v>
      </c>
      <c r="AH155">
        <v>0</v>
      </c>
      <c r="AI155">
        <v>0</v>
      </c>
    </row>
    <row r="156" spans="1:35" x14ac:dyDescent="0.35">
      <c r="A156">
        <v>1181.03</v>
      </c>
      <c r="B156" t="s">
        <v>570</v>
      </c>
      <c r="C156" t="s">
        <v>218</v>
      </c>
      <c r="D156">
        <v>19336</v>
      </c>
      <c r="E156" t="s">
        <v>571</v>
      </c>
      <c r="F156"/>
      <c r="G156">
        <v>0</v>
      </c>
      <c r="H156"/>
      <c r="T156">
        <v>1</v>
      </c>
      <c r="U156">
        <v>0.06</v>
      </c>
      <c r="V156" s="1">
        <v>0</v>
      </c>
      <c r="W156" s="1">
        <v>0.06</v>
      </c>
      <c r="Z156">
        <v>0.01</v>
      </c>
      <c r="AA156">
        <v>0</v>
      </c>
      <c r="AB156">
        <v>0</v>
      </c>
      <c r="AC156">
        <v>0</v>
      </c>
      <c r="AD156">
        <v>1.9E-2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>
        <v>1181.0899999999999</v>
      </c>
      <c r="B157" t="s">
        <v>572</v>
      </c>
      <c r="C157" t="s">
        <v>402</v>
      </c>
      <c r="D157">
        <v>11002</v>
      </c>
      <c r="E157" t="s">
        <v>569</v>
      </c>
      <c r="F157"/>
      <c r="G157">
        <v>0</v>
      </c>
      <c r="H157"/>
      <c r="T157">
        <v>10</v>
      </c>
      <c r="U157">
        <v>1.1000000000000001</v>
      </c>
      <c r="V157" s="1">
        <v>0</v>
      </c>
      <c r="W157" s="1">
        <v>1.1000000000000001</v>
      </c>
      <c r="Z157">
        <v>0.14000000000000001</v>
      </c>
      <c r="AA157">
        <v>45</v>
      </c>
      <c r="AB157">
        <v>6.7</v>
      </c>
      <c r="AC157">
        <v>0.03</v>
      </c>
      <c r="AD157">
        <v>0.04</v>
      </c>
      <c r="AE157">
        <v>0</v>
      </c>
      <c r="AF157">
        <v>10.34</v>
      </c>
      <c r="AG157">
        <v>1</v>
      </c>
      <c r="AH157">
        <v>0</v>
      </c>
      <c r="AI157">
        <v>0</v>
      </c>
    </row>
    <row r="158" spans="1:35" x14ac:dyDescent="0.35">
      <c r="A158">
        <v>1182.01</v>
      </c>
      <c r="B158" t="s">
        <v>573</v>
      </c>
      <c r="C158" t="s">
        <v>214</v>
      </c>
      <c r="D158" t="s">
        <v>574</v>
      </c>
      <c r="E158" t="s">
        <v>573</v>
      </c>
      <c r="F158"/>
      <c r="G158">
        <v>0</v>
      </c>
      <c r="H158"/>
      <c r="T158">
        <v>9</v>
      </c>
      <c r="U158">
        <v>0.5</v>
      </c>
      <c r="V158" s="1">
        <v>0</v>
      </c>
      <c r="W158" s="1">
        <v>0.5</v>
      </c>
      <c r="Z158">
        <v>0.22</v>
      </c>
      <c r="AA158">
        <v>2</v>
      </c>
      <c r="AB158">
        <v>0.5</v>
      </c>
      <c r="AC158">
        <v>0</v>
      </c>
      <c r="AD158">
        <v>0.04</v>
      </c>
      <c r="AE158">
        <v>0</v>
      </c>
      <c r="AF158">
        <v>0</v>
      </c>
      <c r="AG158">
        <v>0</v>
      </c>
      <c r="AH158">
        <v>0.02</v>
      </c>
      <c r="AI158">
        <v>0</v>
      </c>
    </row>
    <row r="159" spans="1:35" x14ac:dyDescent="0.35">
      <c r="A159">
        <v>1182.02</v>
      </c>
      <c r="B159" t="s">
        <v>575</v>
      </c>
      <c r="C159" t="s">
        <v>218</v>
      </c>
      <c r="D159">
        <v>19297</v>
      </c>
      <c r="E159" t="s">
        <v>576</v>
      </c>
      <c r="F159"/>
      <c r="G159">
        <v>0</v>
      </c>
      <c r="H159"/>
      <c r="T159">
        <v>20</v>
      </c>
      <c r="U159">
        <v>0.49</v>
      </c>
      <c r="V159" s="1">
        <v>0</v>
      </c>
      <c r="W159" s="1">
        <v>0.49</v>
      </c>
      <c r="Z159">
        <v>0.06</v>
      </c>
      <c r="AA159">
        <v>11</v>
      </c>
      <c r="AB159">
        <v>8.8000000000000007</v>
      </c>
      <c r="AC159">
        <v>1.6E-2</v>
      </c>
      <c r="AD159">
        <v>7.5999999999999998E-2</v>
      </c>
      <c r="AE159">
        <v>0</v>
      </c>
      <c r="AF159">
        <v>0</v>
      </c>
      <c r="AG159">
        <v>0</v>
      </c>
      <c r="AH159">
        <v>0.02</v>
      </c>
      <c r="AI159">
        <v>0</v>
      </c>
    </row>
    <row r="160" spans="1:35" x14ac:dyDescent="0.35">
      <c r="A160">
        <v>1183.01</v>
      </c>
      <c r="B160" t="s">
        <v>577</v>
      </c>
      <c r="C160" t="s">
        <v>218</v>
      </c>
      <c r="D160">
        <v>19081</v>
      </c>
      <c r="E160" t="s">
        <v>578</v>
      </c>
      <c r="F160"/>
      <c r="G160">
        <v>0</v>
      </c>
      <c r="H160"/>
      <c r="T160">
        <v>24</v>
      </c>
      <c r="U160">
        <v>2.76</v>
      </c>
      <c r="V160" s="1">
        <v>0</v>
      </c>
      <c r="W160" s="1">
        <v>2.76</v>
      </c>
      <c r="Z160">
        <v>1.5</v>
      </c>
      <c r="AA160">
        <v>3</v>
      </c>
      <c r="AB160">
        <v>0</v>
      </c>
      <c r="AC160">
        <v>0.02</v>
      </c>
      <c r="AD160">
        <v>0.24</v>
      </c>
      <c r="AE160">
        <v>0</v>
      </c>
      <c r="AF160">
        <v>0</v>
      </c>
      <c r="AG160">
        <v>0</v>
      </c>
      <c r="AH160">
        <v>4.2999999999999997E-2</v>
      </c>
      <c r="AI160">
        <v>0</v>
      </c>
    </row>
    <row r="161" spans="1:35" x14ac:dyDescent="0.35">
      <c r="A161">
        <v>1184.01</v>
      </c>
      <c r="B161" t="s">
        <v>579</v>
      </c>
      <c r="C161" t="s">
        <v>218</v>
      </c>
      <c r="D161">
        <v>19074</v>
      </c>
      <c r="E161" t="s">
        <v>580</v>
      </c>
      <c r="F161"/>
      <c r="G161">
        <v>0</v>
      </c>
      <c r="H161"/>
      <c r="T161">
        <v>138</v>
      </c>
      <c r="U161">
        <v>0.14000000000000001</v>
      </c>
      <c r="V161" s="1">
        <v>0</v>
      </c>
      <c r="W161" s="1">
        <v>0.14000000000000001</v>
      </c>
      <c r="Z161">
        <v>0.44</v>
      </c>
      <c r="AA161">
        <v>4</v>
      </c>
      <c r="AB161">
        <v>0.4</v>
      </c>
      <c r="AC161">
        <v>0.10299999999999999</v>
      </c>
      <c r="AD161">
        <v>0.25600000000000001</v>
      </c>
      <c r="AE161">
        <v>11</v>
      </c>
      <c r="AF161">
        <v>2</v>
      </c>
      <c r="AG161">
        <v>12</v>
      </c>
      <c r="AH161">
        <v>5.5999999999999897E-2</v>
      </c>
      <c r="AI161">
        <v>0.3</v>
      </c>
    </row>
    <row r="162" spans="1:35" x14ac:dyDescent="0.35">
      <c r="A162">
        <v>1185.01</v>
      </c>
      <c r="B162" t="s">
        <v>581</v>
      </c>
      <c r="C162" t="s">
        <v>214</v>
      </c>
      <c r="D162" t="s">
        <v>363</v>
      </c>
      <c r="E162" t="s">
        <v>364</v>
      </c>
      <c r="F162"/>
      <c r="G162">
        <v>0</v>
      </c>
      <c r="H162"/>
      <c r="T162">
        <v>104</v>
      </c>
      <c r="U162">
        <v>0.04</v>
      </c>
      <c r="V162" s="1">
        <v>0</v>
      </c>
      <c r="W162" s="1">
        <v>0.04</v>
      </c>
      <c r="Z162">
        <v>0.37</v>
      </c>
      <c r="AA162">
        <v>12</v>
      </c>
      <c r="AB162">
        <v>1</v>
      </c>
      <c r="AC162">
        <v>0.04</v>
      </c>
      <c r="AD162">
        <v>0.19</v>
      </c>
      <c r="AE162">
        <v>115</v>
      </c>
      <c r="AF162">
        <v>59</v>
      </c>
      <c r="AG162">
        <v>120</v>
      </c>
      <c r="AH162">
        <v>0.05</v>
      </c>
      <c r="AI162">
        <v>0.4</v>
      </c>
    </row>
    <row r="163" spans="1:35" x14ac:dyDescent="0.35">
      <c r="A163">
        <v>1186.99</v>
      </c>
      <c r="B163" t="s">
        <v>582</v>
      </c>
      <c r="C163" t="s">
        <v>218</v>
      </c>
      <c r="D163">
        <v>19906</v>
      </c>
      <c r="E163" t="s">
        <v>583</v>
      </c>
      <c r="F163"/>
      <c r="G163">
        <v>0</v>
      </c>
      <c r="H163"/>
      <c r="T163">
        <v>63</v>
      </c>
      <c r="U163">
        <v>1.64</v>
      </c>
      <c r="V163" s="1">
        <v>0</v>
      </c>
      <c r="W163" s="1">
        <v>1.64</v>
      </c>
      <c r="Z163">
        <v>0.08</v>
      </c>
      <c r="AA163">
        <v>0</v>
      </c>
      <c r="AB163">
        <v>0</v>
      </c>
      <c r="AC163">
        <v>1.4999999999999999E-2</v>
      </c>
      <c r="AD163">
        <v>1.4999999999999999E-2</v>
      </c>
      <c r="AE163">
        <v>0</v>
      </c>
      <c r="AF163">
        <v>0</v>
      </c>
      <c r="AG163">
        <v>0</v>
      </c>
      <c r="AH163">
        <v>0.04</v>
      </c>
      <c r="AI163">
        <v>0</v>
      </c>
    </row>
    <row r="164" spans="1:35" x14ac:dyDescent="0.35">
      <c r="A164">
        <v>1191.01</v>
      </c>
      <c r="B164" t="s">
        <v>584</v>
      </c>
      <c r="C164" t="s">
        <v>218</v>
      </c>
      <c r="D164">
        <v>43598</v>
      </c>
      <c r="E164" t="s">
        <v>585</v>
      </c>
      <c r="F164"/>
      <c r="G164">
        <v>0</v>
      </c>
      <c r="H164"/>
      <c r="T164">
        <v>7</v>
      </c>
      <c r="U164">
        <v>0.23</v>
      </c>
      <c r="V164" s="1">
        <v>0</v>
      </c>
      <c r="W164" s="1">
        <v>0.23</v>
      </c>
      <c r="Z164">
        <v>0.13</v>
      </c>
      <c r="AA164">
        <v>0</v>
      </c>
      <c r="AB164">
        <v>0</v>
      </c>
      <c r="AC164">
        <v>0.01</v>
      </c>
      <c r="AD164">
        <v>0.06</v>
      </c>
      <c r="AE164">
        <v>0</v>
      </c>
      <c r="AF164">
        <v>0</v>
      </c>
      <c r="AG164">
        <v>0</v>
      </c>
      <c r="AH164">
        <v>0.01</v>
      </c>
      <c r="AI164">
        <v>0</v>
      </c>
    </row>
    <row r="165" spans="1:35" x14ac:dyDescent="0.35">
      <c r="A165">
        <v>1191.02</v>
      </c>
      <c r="B165" t="s">
        <v>586</v>
      </c>
      <c r="C165" t="s">
        <v>218</v>
      </c>
      <c r="D165">
        <v>6973</v>
      </c>
      <c r="E165" t="s">
        <v>587</v>
      </c>
      <c r="F165"/>
      <c r="G165">
        <v>0</v>
      </c>
      <c r="H165"/>
      <c r="T165">
        <v>20</v>
      </c>
      <c r="U165">
        <v>0.8</v>
      </c>
      <c r="V165" s="1">
        <v>0</v>
      </c>
      <c r="W165" s="1">
        <v>0.8</v>
      </c>
      <c r="Z165">
        <v>0.16</v>
      </c>
      <c r="AA165">
        <v>10</v>
      </c>
      <c r="AB165">
        <v>16</v>
      </c>
      <c r="AC165">
        <v>0.09</v>
      </c>
      <c r="AD165">
        <v>7.0000000000000007E-2</v>
      </c>
      <c r="AE165">
        <v>0</v>
      </c>
      <c r="AF165">
        <v>119</v>
      </c>
      <c r="AG165">
        <v>10</v>
      </c>
      <c r="AH165">
        <v>0.16</v>
      </c>
      <c r="AI165">
        <v>0</v>
      </c>
    </row>
    <row r="166" spans="1:35" x14ac:dyDescent="0.35">
      <c r="A166">
        <v>1191.03</v>
      </c>
      <c r="B166" t="s">
        <v>588</v>
      </c>
      <c r="C166" t="s">
        <v>214</v>
      </c>
      <c r="D166" t="s">
        <v>589</v>
      </c>
      <c r="E166" t="s">
        <v>588</v>
      </c>
      <c r="F166"/>
      <c r="G166">
        <v>0</v>
      </c>
      <c r="H166"/>
      <c r="T166">
        <v>12</v>
      </c>
      <c r="U166">
        <v>0.5</v>
      </c>
      <c r="V166" s="1">
        <v>0</v>
      </c>
      <c r="W166" s="1">
        <v>0.5</v>
      </c>
      <c r="Z166">
        <v>0.01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>
        <v>1191.08</v>
      </c>
      <c r="B167" t="s">
        <v>590</v>
      </c>
      <c r="C167" t="s">
        <v>218</v>
      </c>
      <c r="D167">
        <v>43599</v>
      </c>
      <c r="E167" t="s">
        <v>591</v>
      </c>
      <c r="F167"/>
      <c r="G167">
        <v>0</v>
      </c>
      <c r="H167"/>
      <c r="T167">
        <v>14</v>
      </c>
      <c r="U167">
        <v>0.2</v>
      </c>
      <c r="V167" s="1">
        <v>0</v>
      </c>
      <c r="W167" s="1">
        <v>0.2</v>
      </c>
      <c r="Z167">
        <v>0.18</v>
      </c>
      <c r="AA167">
        <v>0</v>
      </c>
      <c r="AB167">
        <v>0</v>
      </c>
      <c r="AC167">
        <v>1.2999999999999999E-2</v>
      </c>
      <c r="AD167">
        <v>2.4E-2</v>
      </c>
      <c r="AE167">
        <v>12</v>
      </c>
      <c r="AF167">
        <v>94</v>
      </c>
      <c r="AG167">
        <v>21</v>
      </c>
      <c r="AH167">
        <v>1.7000000000000001E-2</v>
      </c>
      <c r="AI167">
        <v>0.21</v>
      </c>
    </row>
    <row r="168" spans="1:35" x14ac:dyDescent="0.35">
      <c r="A168">
        <v>1192.01</v>
      </c>
      <c r="B168" t="s">
        <v>592</v>
      </c>
      <c r="C168" t="s">
        <v>214</v>
      </c>
      <c r="D168" t="s">
        <v>593</v>
      </c>
      <c r="E168" t="s">
        <v>592</v>
      </c>
      <c r="F168"/>
      <c r="G168">
        <v>0</v>
      </c>
      <c r="H168"/>
      <c r="T168">
        <v>216</v>
      </c>
      <c r="U168">
        <v>1.2</v>
      </c>
      <c r="V168" s="1">
        <v>0</v>
      </c>
      <c r="W168" s="1">
        <v>1.2</v>
      </c>
      <c r="Z168">
        <v>0.1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>
        <v>1192.02</v>
      </c>
      <c r="B169" t="s">
        <v>594</v>
      </c>
      <c r="C169" t="s">
        <v>214</v>
      </c>
      <c r="D169" t="s">
        <v>595</v>
      </c>
      <c r="E169" t="s">
        <v>596</v>
      </c>
      <c r="F169"/>
      <c r="G169">
        <v>0</v>
      </c>
      <c r="H169"/>
      <c r="T169">
        <v>661</v>
      </c>
      <c r="U169">
        <v>7.1</v>
      </c>
      <c r="V169" s="1">
        <v>0</v>
      </c>
      <c r="W169" s="1">
        <v>7.1</v>
      </c>
      <c r="Z169">
        <v>1.01</v>
      </c>
      <c r="AA169">
        <v>36</v>
      </c>
      <c r="AB169">
        <v>39.200000000000003</v>
      </c>
      <c r="AC169">
        <v>0.1</v>
      </c>
      <c r="AD169">
        <v>0.06</v>
      </c>
      <c r="AE169">
        <v>0</v>
      </c>
      <c r="AF169">
        <v>324</v>
      </c>
      <c r="AG169">
        <v>27</v>
      </c>
      <c r="AH169">
        <v>0.21</v>
      </c>
      <c r="AI169">
        <v>0</v>
      </c>
    </row>
    <row r="170" spans="1:35" x14ac:dyDescent="0.35">
      <c r="A170">
        <v>1192.03</v>
      </c>
      <c r="B170" t="s">
        <v>597</v>
      </c>
      <c r="C170" t="s">
        <v>214</v>
      </c>
      <c r="D170" t="s">
        <v>598</v>
      </c>
      <c r="E170" t="s">
        <v>599</v>
      </c>
      <c r="F170"/>
      <c r="G170">
        <v>0.13</v>
      </c>
      <c r="H170"/>
      <c r="T170">
        <v>32</v>
      </c>
      <c r="U170">
        <v>1.6</v>
      </c>
      <c r="V170" s="1">
        <v>0</v>
      </c>
      <c r="W170" s="1">
        <v>1.6</v>
      </c>
      <c r="Z170">
        <v>0.79</v>
      </c>
      <c r="AA170">
        <v>0.45</v>
      </c>
      <c r="AB170">
        <v>0.3</v>
      </c>
      <c r="AC170">
        <v>0.17</v>
      </c>
      <c r="AD170">
        <v>0.06</v>
      </c>
      <c r="AE170">
        <v>0</v>
      </c>
      <c r="AF170">
        <v>0</v>
      </c>
      <c r="AG170">
        <v>0</v>
      </c>
      <c r="AH170">
        <v>0.17</v>
      </c>
      <c r="AI170">
        <v>1.2</v>
      </c>
    </row>
    <row r="171" spans="1:35" x14ac:dyDescent="0.35">
      <c r="A171">
        <v>1193.02</v>
      </c>
      <c r="B171" t="s">
        <v>600</v>
      </c>
      <c r="C171" t="s">
        <v>214</v>
      </c>
      <c r="D171" t="s">
        <v>601</v>
      </c>
      <c r="E171" t="s">
        <v>602</v>
      </c>
      <c r="F171"/>
      <c r="G171">
        <v>0</v>
      </c>
      <c r="H171"/>
      <c r="T171">
        <v>80</v>
      </c>
      <c r="U171">
        <v>20</v>
      </c>
      <c r="V171" s="1">
        <v>0</v>
      </c>
      <c r="W171" s="1">
        <v>20</v>
      </c>
      <c r="Z171">
        <v>8</v>
      </c>
      <c r="AA171">
        <v>4000</v>
      </c>
      <c r="AB171">
        <v>0</v>
      </c>
      <c r="AC171">
        <v>2.33</v>
      </c>
      <c r="AD171">
        <v>4</v>
      </c>
      <c r="AE171">
        <v>0</v>
      </c>
      <c r="AF171">
        <v>0</v>
      </c>
      <c r="AG171">
        <v>0</v>
      </c>
      <c r="AH171">
        <v>2</v>
      </c>
      <c r="AI171">
        <v>0</v>
      </c>
    </row>
    <row r="172" spans="1:35" x14ac:dyDescent="0.35">
      <c r="A172">
        <v>1193.05</v>
      </c>
      <c r="B172" t="s">
        <v>603</v>
      </c>
      <c r="C172" t="s">
        <v>218</v>
      </c>
      <c r="D172">
        <v>18969</v>
      </c>
      <c r="E172" t="s">
        <v>604</v>
      </c>
      <c r="F172"/>
      <c r="G172">
        <v>0</v>
      </c>
      <c r="H172"/>
      <c r="T172">
        <v>35</v>
      </c>
      <c r="U172">
        <v>0.95</v>
      </c>
      <c r="V172" s="1">
        <v>0</v>
      </c>
      <c r="W172" s="1">
        <v>0.95</v>
      </c>
      <c r="Z172">
        <v>0.45</v>
      </c>
      <c r="AA172">
        <v>66</v>
      </c>
      <c r="AB172">
        <v>0</v>
      </c>
      <c r="AC172">
        <v>0.26300000000000001</v>
      </c>
      <c r="AD172">
        <v>0.24099999999999999</v>
      </c>
      <c r="AE172">
        <v>22</v>
      </c>
      <c r="AF172">
        <v>1</v>
      </c>
      <c r="AG172">
        <v>23</v>
      </c>
      <c r="AH172">
        <v>4.0999999999999898E-2</v>
      </c>
      <c r="AI172">
        <v>0.17</v>
      </c>
    </row>
    <row r="173" spans="1:35" x14ac:dyDescent="0.35">
      <c r="A173">
        <v>1193.06</v>
      </c>
      <c r="B173" t="s">
        <v>605</v>
      </c>
      <c r="C173" t="s">
        <v>218</v>
      </c>
      <c r="D173">
        <v>6147</v>
      </c>
      <c r="E173" t="s">
        <v>606</v>
      </c>
      <c r="F173"/>
      <c r="G173">
        <v>0</v>
      </c>
      <c r="H173"/>
      <c r="T173">
        <v>4</v>
      </c>
      <c r="U173">
        <v>0.7</v>
      </c>
      <c r="V173" s="1">
        <v>0</v>
      </c>
      <c r="W173" s="1">
        <v>0.7</v>
      </c>
      <c r="Z173">
        <v>1.1000000000000001</v>
      </c>
      <c r="AA173">
        <v>7</v>
      </c>
      <c r="AB173">
        <v>0</v>
      </c>
      <c r="AC173">
        <v>0.02</v>
      </c>
      <c r="AD173">
        <v>0.06</v>
      </c>
      <c r="AE173">
        <v>0</v>
      </c>
      <c r="AF173">
        <v>0</v>
      </c>
      <c r="AG173">
        <v>0</v>
      </c>
      <c r="AH173">
        <v>0.04</v>
      </c>
      <c r="AI173">
        <v>0.16</v>
      </c>
    </row>
    <row r="174" spans="1:35" x14ac:dyDescent="0.35">
      <c r="A174">
        <v>1193.07</v>
      </c>
      <c r="B174" t="s">
        <v>607</v>
      </c>
      <c r="C174" t="s">
        <v>218</v>
      </c>
      <c r="D174">
        <v>6147</v>
      </c>
      <c r="E174" t="s">
        <v>606</v>
      </c>
      <c r="F174"/>
      <c r="G174">
        <v>0</v>
      </c>
      <c r="H174"/>
      <c r="T174">
        <v>4</v>
      </c>
      <c r="U174">
        <v>0.7</v>
      </c>
      <c r="V174" s="1">
        <v>0</v>
      </c>
      <c r="W174" s="1">
        <v>0.7</v>
      </c>
      <c r="Z174">
        <v>1.1000000000000001</v>
      </c>
      <c r="AA174">
        <v>7</v>
      </c>
      <c r="AB174">
        <v>0</v>
      </c>
      <c r="AC174">
        <v>0.02</v>
      </c>
      <c r="AD174">
        <v>0.06</v>
      </c>
      <c r="AE174">
        <v>0</v>
      </c>
      <c r="AF174">
        <v>0</v>
      </c>
      <c r="AG174">
        <v>0</v>
      </c>
      <c r="AH174">
        <v>0.04</v>
      </c>
      <c r="AI174">
        <v>0.16</v>
      </c>
    </row>
    <row r="175" spans="1:35" x14ac:dyDescent="0.35">
      <c r="A175">
        <v>1195.99</v>
      </c>
      <c r="B175" t="s">
        <v>608</v>
      </c>
      <c r="C175" t="s">
        <v>218</v>
      </c>
      <c r="D175">
        <v>6147</v>
      </c>
      <c r="E175" t="s">
        <v>606</v>
      </c>
      <c r="F175"/>
      <c r="G175">
        <v>0</v>
      </c>
      <c r="H175"/>
      <c r="T175">
        <v>4</v>
      </c>
      <c r="U175">
        <v>0.7</v>
      </c>
      <c r="V175" s="1">
        <v>0</v>
      </c>
      <c r="W175" s="1">
        <v>0.7</v>
      </c>
      <c r="Z175">
        <v>1.1000000000000001</v>
      </c>
      <c r="AA175">
        <v>7</v>
      </c>
      <c r="AB175">
        <v>0</v>
      </c>
      <c r="AC175">
        <v>0.02</v>
      </c>
      <c r="AD175">
        <v>0.06</v>
      </c>
      <c r="AE175">
        <v>0</v>
      </c>
      <c r="AF175">
        <v>0</v>
      </c>
      <c r="AG175">
        <v>0</v>
      </c>
      <c r="AH175">
        <v>0.04</v>
      </c>
      <c r="AI175">
        <v>0.16</v>
      </c>
    </row>
    <row r="176" spans="1:35" x14ac:dyDescent="0.35">
      <c r="A176">
        <v>1211.01</v>
      </c>
      <c r="B176" t="s">
        <v>609</v>
      </c>
      <c r="C176" t="s">
        <v>214</v>
      </c>
      <c r="D176" t="s">
        <v>610</v>
      </c>
      <c r="E176" t="s">
        <v>611</v>
      </c>
      <c r="F176" t="s">
        <v>109</v>
      </c>
      <c r="G176">
        <v>0</v>
      </c>
      <c r="H176"/>
      <c r="T176">
        <v>146</v>
      </c>
      <c r="U176">
        <v>4.4000000000000004</v>
      </c>
      <c r="V176" s="1">
        <v>0</v>
      </c>
      <c r="W176" s="1">
        <v>4.4000000000000004</v>
      </c>
      <c r="Z176">
        <v>0.73</v>
      </c>
      <c r="AA176">
        <v>2</v>
      </c>
      <c r="AB176">
        <v>0</v>
      </c>
      <c r="AC176">
        <v>0.02</v>
      </c>
      <c r="AD176">
        <v>0.08</v>
      </c>
      <c r="AE176">
        <v>0</v>
      </c>
      <c r="AF176">
        <v>0</v>
      </c>
      <c r="AG176">
        <v>0</v>
      </c>
      <c r="AH176">
        <v>0.03</v>
      </c>
      <c r="AI176">
        <v>0</v>
      </c>
    </row>
    <row r="177" spans="1:35" x14ac:dyDescent="0.35">
      <c r="A177">
        <v>1212.01</v>
      </c>
      <c r="B177" t="s">
        <v>612</v>
      </c>
      <c r="C177" t="s">
        <v>214</v>
      </c>
      <c r="D177" t="s">
        <v>613</v>
      </c>
      <c r="E177" t="s">
        <v>614</v>
      </c>
      <c r="F177" t="s">
        <v>109</v>
      </c>
      <c r="G177">
        <v>0</v>
      </c>
      <c r="H177"/>
      <c r="T177">
        <v>7</v>
      </c>
      <c r="U177">
        <v>0.2</v>
      </c>
      <c r="V177" s="1">
        <v>0</v>
      </c>
      <c r="W177" s="1">
        <v>0.2</v>
      </c>
      <c r="Z177">
        <v>0.08</v>
      </c>
      <c r="AA177">
        <v>14</v>
      </c>
      <c r="AB177">
        <v>40.6</v>
      </c>
      <c r="AC177">
        <v>0.03</v>
      </c>
      <c r="AD177">
        <v>0.01</v>
      </c>
      <c r="AE177">
        <v>0</v>
      </c>
      <c r="AF177">
        <v>7</v>
      </c>
      <c r="AG177">
        <v>1</v>
      </c>
      <c r="AH177">
        <v>0.05</v>
      </c>
      <c r="AI177">
        <v>0</v>
      </c>
    </row>
    <row r="178" spans="1:35" x14ac:dyDescent="0.35">
      <c r="A178">
        <v>1213.01</v>
      </c>
      <c r="B178" t="s">
        <v>615</v>
      </c>
      <c r="C178" t="s">
        <v>214</v>
      </c>
      <c r="D178" t="s">
        <v>613</v>
      </c>
      <c r="E178" t="s">
        <v>614</v>
      </c>
      <c r="F178" t="s">
        <v>109</v>
      </c>
      <c r="G178">
        <v>0</v>
      </c>
      <c r="H178"/>
      <c r="T178">
        <v>7</v>
      </c>
      <c r="U178">
        <v>0.2</v>
      </c>
      <c r="V178" s="1">
        <v>0</v>
      </c>
      <c r="W178" s="1">
        <v>0.2</v>
      </c>
      <c r="Z178">
        <v>0.08</v>
      </c>
      <c r="AA178">
        <v>14</v>
      </c>
      <c r="AB178">
        <v>40.6</v>
      </c>
      <c r="AC178">
        <v>0.03</v>
      </c>
      <c r="AD178">
        <v>0.01</v>
      </c>
      <c r="AE178">
        <v>0</v>
      </c>
      <c r="AF178">
        <v>7</v>
      </c>
      <c r="AG178">
        <v>1</v>
      </c>
      <c r="AH178">
        <v>0.05</v>
      </c>
      <c r="AI178">
        <v>0</v>
      </c>
    </row>
    <row r="179" spans="1:35" x14ac:dyDescent="0.35">
      <c r="A179">
        <v>1219.99</v>
      </c>
      <c r="B179" t="s">
        <v>616</v>
      </c>
      <c r="C179" t="s">
        <v>214</v>
      </c>
      <c r="D179" t="s">
        <v>613</v>
      </c>
      <c r="E179" t="s">
        <v>614</v>
      </c>
      <c r="F179" t="s">
        <v>109</v>
      </c>
      <c r="G179">
        <v>0</v>
      </c>
      <c r="H179"/>
      <c r="T179">
        <v>7</v>
      </c>
      <c r="U179">
        <v>0.2</v>
      </c>
      <c r="V179" s="1">
        <v>0</v>
      </c>
      <c r="W179" s="1">
        <v>0.2</v>
      </c>
      <c r="Z179">
        <v>0.08</v>
      </c>
      <c r="AA179">
        <v>14</v>
      </c>
      <c r="AB179">
        <v>40.6</v>
      </c>
      <c r="AC179">
        <v>0.03</v>
      </c>
      <c r="AD179">
        <v>0.01</v>
      </c>
      <c r="AE179">
        <v>0</v>
      </c>
      <c r="AF179">
        <v>7</v>
      </c>
      <c r="AG179">
        <v>1</v>
      </c>
      <c r="AH179">
        <v>0.05</v>
      </c>
      <c r="AI179">
        <v>0</v>
      </c>
    </row>
    <row r="180" spans="1:35" x14ac:dyDescent="0.35">
      <c r="A180">
        <v>1221.01</v>
      </c>
      <c r="B180" t="s">
        <v>617</v>
      </c>
      <c r="C180" t="s">
        <v>214</v>
      </c>
      <c r="D180" t="s">
        <v>618</v>
      </c>
      <c r="E180" t="s">
        <v>619</v>
      </c>
      <c r="F180" t="s">
        <v>109</v>
      </c>
      <c r="G180">
        <v>0</v>
      </c>
      <c r="H180"/>
      <c r="T180">
        <v>1</v>
      </c>
      <c r="U180">
        <v>0</v>
      </c>
      <c r="V180" s="1">
        <v>0</v>
      </c>
      <c r="W180" s="1">
        <v>0</v>
      </c>
      <c r="Z180">
        <v>0.01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>
        <v>1222.01</v>
      </c>
      <c r="B181" t="s">
        <v>620</v>
      </c>
      <c r="C181" t="s">
        <v>214</v>
      </c>
      <c r="D181" t="s">
        <v>621</v>
      </c>
      <c r="E181" t="s">
        <v>622</v>
      </c>
      <c r="F181" t="s">
        <v>109</v>
      </c>
      <c r="G181">
        <v>0</v>
      </c>
      <c r="H181"/>
      <c r="T181">
        <v>12</v>
      </c>
      <c r="U181">
        <v>0.3</v>
      </c>
      <c r="V181" s="1">
        <v>0</v>
      </c>
      <c r="W181" s="1">
        <v>0.3</v>
      </c>
      <c r="Z181">
        <v>0.05</v>
      </c>
      <c r="AA181">
        <v>34</v>
      </c>
      <c r="AB181">
        <v>42.7</v>
      </c>
      <c r="AC181">
        <v>0.08</v>
      </c>
      <c r="AD181">
        <v>0.03</v>
      </c>
      <c r="AE181">
        <v>0</v>
      </c>
      <c r="AF181">
        <v>100</v>
      </c>
      <c r="AG181">
        <v>8</v>
      </c>
      <c r="AH181">
        <v>0.06</v>
      </c>
      <c r="AI181">
        <v>0</v>
      </c>
    </row>
    <row r="182" spans="1:35" x14ac:dyDescent="0.35">
      <c r="A182">
        <v>1222.99</v>
      </c>
      <c r="B182" t="s">
        <v>623</v>
      </c>
      <c r="C182" t="s">
        <v>214</v>
      </c>
      <c r="D182" t="s">
        <v>621</v>
      </c>
      <c r="E182" t="s">
        <v>622</v>
      </c>
      <c r="F182" t="s">
        <v>109</v>
      </c>
      <c r="G182">
        <v>0</v>
      </c>
      <c r="H182"/>
      <c r="T182">
        <v>12</v>
      </c>
      <c r="U182">
        <v>0.3</v>
      </c>
      <c r="V182" s="1">
        <v>0</v>
      </c>
      <c r="W182" s="1">
        <v>0.3</v>
      </c>
      <c r="Z182">
        <v>0.05</v>
      </c>
      <c r="AA182">
        <v>34</v>
      </c>
      <c r="AB182">
        <v>42.7</v>
      </c>
      <c r="AC182">
        <v>0.08</v>
      </c>
      <c r="AD182">
        <v>0.03</v>
      </c>
      <c r="AE182">
        <v>0</v>
      </c>
      <c r="AF182">
        <v>100</v>
      </c>
      <c r="AG182">
        <v>8</v>
      </c>
      <c r="AH182">
        <v>0.06</v>
      </c>
      <c r="AI182">
        <v>0</v>
      </c>
    </row>
    <row r="183" spans="1:35" x14ac:dyDescent="0.35">
      <c r="A183">
        <v>1223.01</v>
      </c>
      <c r="B183" t="s">
        <v>624</v>
      </c>
      <c r="C183" t="s">
        <v>214</v>
      </c>
      <c r="D183" t="s">
        <v>621</v>
      </c>
      <c r="E183" t="s">
        <v>622</v>
      </c>
      <c r="F183" t="s">
        <v>109</v>
      </c>
      <c r="G183">
        <v>0</v>
      </c>
      <c r="H183"/>
      <c r="T183">
        <v>12</v>
      </c>
      <c r="U183">
        <v>0.3</v>
      </c>
      <c r="V183" s="1">
        <v>0</v>
      </c>
      <c r="W183" s="1">
        <v>0.3</v>
      </c>
      <c r="Z183">
        <v>0.05</v>
      </c>
      <c r="AA183">
        <v>34</v>
      </c>
      <c r="AB183">
        <v>42.7</v>
      </c>
      <c r="AC183">
        <v>0.08</v>
      </c>
      <c r="AD183">
        <v>0.03</v>
      </c>
      <c r="AE183">
        <v>0</v>
      </c>
      <c r="AF183">
        <v>100</v>
      </c>
      <c r="AG183">
        <v>8</v>
      </c>
      <c r="AH183">
        <v>0.06</v>
      </c>
      <c r="AI183">
        <v>0</v>
      </c>
    </row>
    <row r="184" spans="1:35" x14ac:dyDescent="0.35">
      <c r="A184">
        <v>1223.02</v>
      </c>
      <c r="B184" t="s">
        <v>625</v>
      </c>
      <c r="C184" t="s">
        <v>214</v>
      </c>
      <c r="D184" t="s">
        <v>626</v>
      </c>
      <c r="E184" t="s">
        <v>627</v>
      </c>
      <c r="F184" t="s">
        <v>348</v>
      </c>
      <c r="G184">
        <v>0</v>
      </c>
      <c r="H184"/>
      <c r="T184">
        <v>1</v>
      </c>
      <c r="U184">
        <v>0.04</v>
      </c>
      <c r="V184" s="1">
        <v>0</v>
      </c>
      <c r="W184" s="1">
        <v>0.04</v>
      </c>
      <c r="Z184">
        <v>0.06</v>
      </c>
      <c r="AA184">
        <v>1</v>
      </c>
      <c r="AB184">
        <v>0</v>
      </c>
      <c r="AC184">
        <v>0.01</v>
      </c>
      <c r="AD184">
        <v>0.02</v>
      </c>
      <c r="AE184">
        <v>0</v>
      </c>
      <c r="AF184">
        <v>0</v>
      </c>
      <c r="AG184">
        <v>0</v>
      </c>
      <c r="AH184">
        <v>0.01</v>
      </c>
      <c r="AI184">
        <v>0</v>
      </c>
    </row>
    <row r="185" spans="1:35" x14ac:dyDescent="0.35">
      <c r="A185">
        <v>1223.99</v>
      </c>
      <c r="B185" t="s">
        <v>628</v>
      </c>
      <c r="C185" t="s">
        <v>214</v>
      </c>
      <c r="D185" t="s">
        <v>621</v>
      </c>
      <c r="E185" t="s">
        <v>622</v>
      </c>
      <c r="F185" t="s">
        <v>109</v>
      </c>
      <c r="G185">
        <v>0</v>
      </c>
      <c r="H185"/>
      <c r="T185">
        <v>12</v>
      </c>
      <c r="U185">
        <v>0.3</v>
      </c>
      <c r="V185" s="1">
        <v>0</v>
      </c>
      <c r="W185" s="1">
        <v>0.3</v>
      </c>
      <c r="Z185">
        <v>0.05</v>
      </c>
      <c r="AA185">
        <v>34</v>
      </c>
      <c r="AB185">
        <v>42.7</v>
      </c>
      <c r="AC185">
        <v>0.08</v>
      </c>
      <c r="AD185">
        <v>0.03</v>
      </c>
      <c r="AE185">
        <v>0</v>
      </c>
      <c r="AF185">
        <v>100</v>
      </c>
      <c r="AG185">
        <v>8</v>
      </c>
      <c r="AH185">
        <v>0.06</v>
      </c>
      <c r="AI185">
        <v>0</v>
      </c>
    </row>
    <row r="186" spans="1:35" x14ac:dyDescent="0.35">
      <c r="A186">
        <v>2111.04</v>
      </c>
      <c r="B186" t="s">
        <v>629</v>
      </c>
      <c r="C186" t="s">
        <v>214</v>
      </c>
      <c r="D186" t="s">
        <v>630</v>
      </c>
      <c r="E186" t="s">
        <v>631</v>
      </c>
      <c r="F186"/>
      <c r="G186">
        <v>0</v>
      </c>
      <c r="H186"/>
      <c r="T186">
        <v>8</v>
      </c>
      <c r="U186">
        <v>0.2</v>
      </c>
      <c r="V186" s="1">
        <v>0</v>
      </c>
      <c r="W186" s="1">
        <v>0.2</v>
      </c>
      <c r="Z186">
        <v>0.14000000000000001</v>
      </c>
      <c r="AA186">
        <v>0</v>
      </c>
      <c r="AB186">
        <v>0</v>
      </c>
      <c r="AC186">
        <v>0.02</v>
      </c>
      <c r="AD186">
        <v>0.04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>
        <v>2121.0100000000002</v>
      </c>
      <c r="B187" t="s">
        <v>632</v>
      </c>
      <c r="C187" t="s">
        <v>214</v>
      </c>
      <c r="D187" t="s">
        <v>633</v>
      </c>
      <c r="E187" t="s">
        <v>634</v>
      </c>
      <c r="F187"/>
      <c r="G187">
        <v>0</v>
      </c>
      <c r="H187"/>
      <c r="T187">
        <v>2</v>
      </c>
      <c r="U187">
        <v>0.5</v>
      </c>
      <c r="V187" s="1">
        <v>0</v>
      </c>
      <c r="W187" s="1">
        <v>0.5</v>
      </c>
      <c r="Z187">
        <v>0</v>
      </c>
      <c r="AA187">
        <v>0</v>
      </c>
      <c r="AB187">
        <v>4</v>
      </c>
      <c r="AC187">
        <v>0.03</v>
      </c>
      <c r="AD187">
        <v>0.01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>
        <v>2129.9899999999998</v>
      </c>
      <c r="B188" t="s">
        <v>635</v>
      </c>
      <c r="C188" t="s">
        <v>214</v>
      </c>
      <c r="D188" t="s">
        <v>636</v>
      </c>
      <c r="E188" t="s">
        <v>637</v>
      </c>
      <c r="F188"/>
      <c r="G188">
        <v>0</v>
      </c>
      <c r="H188"/>
      <c r="T188">
        <v>8</v>
      </c>
      <c r="U188">
        <v>0.2</v>
      </c>
      <c r="V188" s="1">
        <v>0</v>
      </c>
      <c r="W188" s="1">
        <v>0.2</v>
      </c>
      <c r="Z188">
        <v>0.14000000000000001</v>
      </c>
      <c r="AA188">
        <v>0</v>
      </c>
      <c r="AB188">
        <v>0</v>
      </c>
      <c r="AC188">
        <v>0.02</v>
      </c>
      <c r="AD188">
        <v>0.04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>
        <v>2131.0100000000002</v>
      </c>
      <c r="B189" t="s">
        <v>638</v>
      </c>
      <c r="C189" t="s">
        <v>214</v>
      </c>
      <c r="D189" t="s">
        <v>639</v>
      </c>
      <c r="E189" t="s">
        <v>640</v>
      </c>
      <c r="F189"/>
      <c r="G189">
        <v>0</v>
      </c>
      <c r="H189"/>
      <c r="T189">
        <v>8</v>
      </c>
      <c r="U189">
        <v>0.1</v>
      </c>
      <c r="V189" s="1">
        <v>0</v>
      </c>
      <c r="W189" s="1">
        <v>0.1</v>
      </c>
      <c r="Z189">
        <v>0.01</v>
      </c>
      <c r="AA189">
        <v>5</v>
      </c>
      <c r="AB189">
        <v>0</v>
      </c>
      <c r="AC189">
        <v>0</v>
      </c>
      <c r="AD189">
        <v>0.03</v>
      </c>
      <c r="AE189">
        <v>0</v>
      </c>
      <c r="AF189">
        <v>0</v>
      </c>
      <c r="AG189">
        <v>0</v>
      </c>
      <c r="AH189">
        <v>7.0000000000000007E-2</v>
      </c>
      <c r="AI189">
        <v>0</v>
      </c>
    </row>
    <row r="190" spans="1:35" x14ac:dyDescent="0.35">
      <c r="A190">
        <v>2131.9899999999998</v>
      </c>
      <c r="B190" t="s">
        <v>641</v>
      </c>
      <c r="C190" t="s">
        <v>214</v>
      </c>
      <c r="D190" t="s">
        <v>630</v>
      </c>
      <c r="E190" t="s">
        <v>631</v>
      </c>
      <c r="F190"/>
      <c r="G190">
        <v>0</v>
      </c>
      <c r="H190"/>
      <c r="T190">
        <v>8</v>
      </c>
      <c r="U190">
        <v>0.2</v>
      </c>
      <c r="V190" s="1">
        <v>0</v>
      </c>
      <c r="W190" s="1">
        <v>0.2</v>
      </c>
      <c r="Z190">
        <v>0.14000000000000001</v>
      </c>
      <c r="AA190">
        <v>0</v>
      </c>
      <c r="AB190">
        <v>0</v>
      </c>
      <c r="AC190">
        <v>0.02</v>
      </c>
      <c r="AD190">
        <v>0.04</v>
      </c>
      <c r="AE190">
        <v>0</v>
      </c>
      <c r="AF190">
        <v>0</v>
      </c>
      <c r="AG190">
        <v>0</v>
      </c>
      <c r="AH190">
        <v>0</v>
      </c>
      <c r="AI190">
        <v>0</v>
      </c>
    </row>
  </sheetData>
  <pageMargins left="0.7" right="0.7" top="0.75" bottom="0.75" header="0.3" footer="0.3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"/>
  <sheetViews>
    <sheetView topLeftCell="Q1" workbookViewId="0">
      <selection activeCell="X20" sqref="X20"/>
    </sheetView>
  </sheetViews>
  <sheetFormatPr defaultColWidth="8.81640625" defaultRowHeight="14.5" x14ac:dyDescent="0.35"/>
  <cols>
    <col min="1" max="1" width="14" style="1" bestFit="1" customWidth="1"/>
    <col min="2" max="2" width="8.81640625" style="1"/>
    <col min="3" max="3" width="10" style="1" customWidth="1"/>
    <col min="4" max="8" width="8.81640625" style="1"/>
    <col min="9" max="9" width="11.6328125" style="1" customWidth="1"/>
    <col min="10" max="15" width="8.81640625" style="1"/>
    <col min="16" max="16" width="12" style="1" customWidth="1"/>
    <col min="17" max="16384" width="8.81640625" style="1"/>
  </cols>
  <sheetData>
    <row r="1" spans="1:46" x14ac:dyDescent="0.35">
      <c r="A1" s="18" t="s">
        <v>92</v>
      </c>
    </row>
    <row r="3" spans="1:46" ht="116.25" customHeight="1" x14ac:dyDescent="0.35">
      <c r="A3" s="17" t="s">
        <v>17</v>
      </c>
      <c r="B3" s="17" t="s">
        <v>18</v>
      </c>
      <c r="C3" s="2" t="s">
        <v>21</v>
      </c>
      <c r="D3" s="2" t="s">
        <v>2</v>
      </c>
      <c r="E3" s="2" t="s">
        <v>3</v>
      </c>
      <c r="F3" s="2" t="s">
        <v>22</v>
      </c>
      <c r="G3" s="17" t="s">
        <v>19</v>
      </c>
      <c r="H3" s="17" t="s">
        <v>20</v>
      </c>
      <c r="I3" s="17" t="s">
        <v>182</v>
      </c>
      <c r="J3" s="2" t="s">
        <v>23</v>
      </c>
      <c r="K3" s="2" t="s">
        <v>24</v>
      </c>
      <c r="L3" s="17" t="s">
        <v>25</v>
      </c>
      <c r="M3" s="17" t="s">
        <v>26</v>
      </c>
      <c r="N3" s="17" t="s">
        <v>27</v>
      </c>
      <c r="O3" s="17" t="s">
        <v>28</v>
      </c>
      <c r="P3" s="2" t="s">
        <v>29</v>
      </c>
      <c r="Q3" s="2" t="s">
        <v>30</v>
      </c>
      <c r="R3" s="2" t="s">
        <v>31</v>
      </c>
      <c r="S3" s="20" t="s">
        <v>32</v>
      </c>
      <c r="T3" s="17" t="s">
        <v>33</v>
      </c>
      <c r="U3" s="17" t="s">
        <v>34</v>
      </c>
      <c r="V3" s="20" t="s">
        <v>35</v>
      </c>
      <c r="W3" s="20" t="s">
        <v>36</v>
      </c>
      <c r="X3" s="40" t="s">
        <v>158</v>
      </c>
      <c r="Y3" s="40" t="s">
        <v>159</v>
      </c>
      <c r="Z3" s="40" t="s">
        <v>157</v>
      </c>
      <c r="AA3" s="20" t="s">
        <v>160</v>
      </c>
      <c r="AB3" s="17" t="s">
        <v>37</v>
      </c>
      <c r="AC3" s="17" t="s">
        <v>38</v>
      </c>
      <c r="AD3" s="17" t="s">
        <v>39</v>
      </c>
      <c r="AE3" s="17" t="s">
        <v>40</v>
      </c>
      <c r="AF3" s="17" t="s">
        <v>41</v>
      </c>
      <c r="AG3" s="17" t="s">
        <v>187</v>
      </c>
      <c r="AH3" s="17" t="s">
        <v>42</v>
      </c>
      <c r="AI3" s="17" t="s">
        <v>43</v>
      </c>
      <c r="AJ3" s="17" t="s">
        <v>44</v>
      </c>
      <c r="AK3" s="17" t="s">
        <v>45</v>
      </c>
      <c r="AL3" s="17" t="s">
        <v>46</v>
      </c>
      <c r="AM3" s="17" t="s">
        <v>47</v>
      </c>
      <c r="AN3" s="17" t="s">
        <v>48</v>
      </c>
      <c r="AO3" s="17" t="s">
        <v>49</v>
      </c>
      <c r="AP3" s="17" t="s">
        <v>50</v>
      </c>
      <c r="AQ3" s="17" t="s">
        <v>51</v>
      </c>
      <c r="AR3" s="17" t="s">
        <v>52</v>
      </c>
      <c r="AS3" s="17" t="s">
        <v>53</v>
      </c>
      <c r="AT3" s="17" t="s">
        <v>54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1"/>
  <sheetViews>
    <sheetView workbookViewId="0">
      <pane xSplit="6" ySplit="1" topLeftCell="V2" activePane="bottomRight" state="frozen"/>
      <selection pane="topRight" activeCell="G1" sqref="G1"/>
      <selection pane="bottomLeft" activeCell="A2" sqref="A2"/>
      <selection pane="bottomRight" activeCell="X1" sqref="X1:Y1"/>
    </sheetView>
  </sheetViews>
  <sheetFormatPr defaultColWidth="8.81640625" defaultRowHeight="12.5" x14ac:dyDescent="0.25"/>
  <cols>
    <col min="9" max="9" width="13" customWidth="1"/>
  </cols>
  <sheetData>
    <row r="1" spans="1:46" s="1" customFormat="1" ht="101.5" x14ac:dyDescent="0.35">
      <c r="A1" s="2" t="s">
        <v>117</v>
      </c>
      <c r="B1" s="2" t="s">
        <v>118</v>
      </c>
      <c r="C1" s="2" t="s">
        <v>1</v>
      </c>
      <c r="D1" s="2" t="s">
        <v>2</v>
      </c>
      <c r="E1" s="2" t="s">
        <v>3</v>
      </c>
      <c r="F1" s="22" t="s">
        <v>106</v>
      </c>
      <c r="G1" s="2" t="s">
        <v>119</v>
      </c>
      <c r="H1" s="2" t="s">
        <v>120</v>
      </c>
      <c r="I1" s="2" t="s">
        <v>180</v>
      </c>
      <c r="J1" s="2" t="s">
        <v>5</v>
      </c>
      <c r="K1" s="2" t="s">
        <v>6</v>
      </c>
      <c r="L1" s="2" t="s">
        <v>121</v>
      </c>
      <c r="M1" s="2" t="s">
        <v>122</v>
      </c>
      <c r="N1" s="2" t="s">
        <v>123</v>
      </c>
      <c r="O1" s="2" t="s">
        <v>124</v>
      </c>
      <c r="P1" s="2" t="s">
        <v>4</v>
      </c>
      <c r="Q1" s="19" t="s">
        <v>125</v>
      </c>
      <c r="R1" s="2" t="s">
        <v>0</v>
      </c>
      <c r="S1" s="19" t="s">
        <v>126</v>
      </c>
      <c r="T1" s="2" t="s">
        <v>127</v>
      </c>
      <c r="U1" s="2" t="s">
        <v>128</v>
      </c>
      <c r="V1" s="19" t="s">
        <v>129</v>
      </c>
      <c r="W1" s="19" t="s">
        <v>130</v>
      </c>
      <c r="X1" s="2" t="s">
        <v>163</v>
      </c>
      <c r="Y1" s="2" t="s">
        <v>164</v>
      </c>
      <c r="Z1" s="2" t="s">
        <v>165</v>
      </c>
      <c r="AA1" s="2" t="s">
        <v>174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166</v>
      </c>
      <c r="AG1" s="2" t="s">
        <v>188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  <c r="AS1" s="2" t="s">
        <v>146</v>
      </c>
      <c r="AT1" s="2" t="s">
        <v>147</v>
      </c>
    </row>
  </sheetData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828F-46CC-4674-BA1E-C0A82EF75471}">
  <dimension ref="A1:AA188"/>
  <sheetViews>
    <sheetView topLeftCell="F1" zoomScale="80" zoomScaleNormal="80" workbookViewId="0">
      <selection activeCell="U1" sqref="U1:AA1"/>
    </sheetView>
  </sheetViews>
  <sheetFormatPr defaultRowHeight="12.5" x14ac:dyDescent="0.25"/>
  <cols>
    <col min="5" max="5" width="48.08984375" customWidth="1"/>
  </cols>
  <sheetData>
    <row r="1" spans="1:27" x14ac:dyDescent="0.25">
      <c r="A1" t="s">
        <v>189</v>
      </c>
      <c r="B1" t="s">
        <v>190</v>
      </c>
      <c r="C1" t="s">
        <v>1</v>
      </c>
      <c r="D1" t="s">
        <v>2</v>
      </c>
      <c r="E1" t="s">
        <v>3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  <c r="L1" t="s">
        <v>197</v>
      </c>
      <c r="M1" t="s">
        <v>198</v>
      </c>
      <c r="N1" t="s">
        <v>199</v>
      </c>
      <c r="O1" t="s">
        <v>200</v>
      </c>
      <c r="P1" t="s">
        <v>201</v>
      </c>
      <c r="Q1" t="s">
        <v>202</v>
      </c>
      <c r="R1" t="s">
        <v>203</v>
      </c>
      <c r="S1" t="s">
        <v>204</v>
      </c>
      <c r="T1" t="s">
        <v>205</v>
      </c>
      <c r="U1" t="s">
        <v>206</v>
      </c>
      <c r="V1" t="s">
        <v>207</v>
      </c>
      <c r="W1" t="s">
        <v>208</v>
      </c>
      <c r="X1" t="s">
        <v>209</v>
      </c>
      <c r="Y1" t="s">
        <v>210</v>
      </c>
      <c r="Z1" t="s">
        <v>211</v>
      </c>
      <c r="AA1" t="s">
        <v>212</v>
      </c>
    </row>
    <row r="2" spans="1:27" x14ac:dyDescent="0.25">
      <c r="A2">
        <v>1111.01</v>
      </c>
      <c r="B2" t="s">
        <v>213</v>
      </c>
      <c r="C2" t="s">
        <v>214</v>
      </c>
      <c r="D2" t="s">
        <v>215</v>
      </c>
      <c r="E2" t="s">
        <v>216</v>
      </c>
      <c r="G2">
        <v>0</v>
      </c>
      <c r="I2">
        <v>12</v>
      </c>
      <c r="J2">
        <v>1.4</v>
      </c>
      <c r="K2">
        <v>1.1599999999999999</v>
      </c>
      <c r="L2">
        <v>20</v>
      </c>
      <c r="M2">
        <v>0</v>
      </c>
      <c r="N2">
        <v>7.0000000000000007E-2</v>
      </c>
      <c r="O2">
        <v>0.04</v>
      </c>
      <c r="P2">
        <v>0</v>
      </c>
      <c r="Q2">
        <v>0</v>
      </c>
      <c r="R2">
        <v>0</v>
      </c>
      <c r="S2">
        <v>0.2</v>
      </c>
      <c r="T2">
        <v>0</v>
      </c>
      <c r="U2">
        <v>35</v>
      </c>
      <c r="V2">
        <v>115</v>
      </c>
      <c r="W2">
        <v>98</v>
      </c>
      <c r="X2">
        <v>5</v>
      </c>
      <c r="Y2">
        <v>0.18</v>
      </c>
      <c r="Z2">
        <v>0</v>
      </c>
      <c r="AA2">
        <v>1.3</v>
      </c>
    </row>
    <row r="3" spans="1:27" x14ac:dyDescent="0.25">
      <c r="A3">
        <v>1111.02</v>
      </c>
      <c r="B3" t="s">
        <v>217</v>
      </c>
      <c r="C3" t="s">
        <v>218</v>
      </c>
      <c r="D3">
        <v>8083</v>
      </c>
      <c r="E3" t="s">
        <v>219</v>
      </c>
      <c r="G3">
        <v>0</v>
      </c>
      <c r="I3">
        <v>5</v>
      </c>
      <c r="J3">
        <v>6.56</v>
      </c>
      <c r="K3">
        <v>5.7</v>
      </c>
      <c r="L3">
        <v>443</v>
      </c>
      <c r="M3">
        <v>60.5</v>
      </c>
      <c r="N3">
        <v>2.83</v>
      </c>
      <c r="O3">
        <v>3.06</v>
      </c>
      <c r="P3">
        <v>865</v>
      </c>
      <c r="Q3">
        <v>60</v>
      </c>
      <c r="R3">
        <v>872</v>
      </c>
      <c r="S3">
        <v>4.7</v>
      </c>
      <c r="T3">
        <v>5.75</v>
      </c>
      <c r="U3">
        <v>4</v>
      </c>
      <c r="V3">
        <v>19</v>
      </c>
      <c r="W3">
        <v>59</v>
      </c>
      <c r="X3">
        <v>871</v>
      </c>
      <c r="Y3">
        <v>0.09</v>
      </c>
      <c r="Z3">
        <v>3.5</v>
      </c>
      <c r="AA3">
        <v>38.5</v>
      </c>
    </row>
    <row r="4" spans="1:27" x14ac:dyDescent="0.25">
      <c r="A4">
        <v>1112.01</v>
      </c>
      <c r="B4" t="s">
        <v>220</v>
      </c>
      <c r="C4" t="s">
        <v>214</v>
      </c>
      <c r="D4" t="s">
        <v>221</v>
      </c>
      <c r="E4" t="s">
        <v>222</v>
      </c>
      <c r="G4">
        <v>0</v>
      </c>
      <c r="I4">
        <v>28</v>
      </c>
      <c r="J4">
        <v>1.2</v>
      </c>
      <c r="K4">
        <v>0.6</v>
      </c>
      <c r="L4">
        <v>29</v>
      </c>
      <c r="M4">
        <v>0</v>
      </c>
      <c r="N4">
        <v>0.16</v>
      </c>
      <c r="O4">
        <v>0.05</v>
      </c>
      <c r="P4">
        <v>0</v>
      </c>
      <c r="Q4">
        <v>0</v>
      </c>
      <c r="R4">
        <v>0</v>
      </c>
      <c r="S4">
        <v>0.06</v>
      </c>
      <c r="T4">
        <v>0</v>
      </c>
      <c r="U4">
        <v>23</v>
      </c>
      <c r="V4">
        <v>93</v>
      </c>
      <c r="W4">
        <v>117</v>
      </c>
      <c r="X4">
        <v>547</v>
      </c>
      <c r="Y4">
        <v>0.16</v>
      </c>
      <c r="Z4">
        <v>0</v>
      </c>
      <c r="AA4">
        <v>1.5</v>
      </c>
    </row>
    <row r="5" spans="1:27" x14ac:dyDescent="0.25">
      <c r="A5">
        <v>1112.02</v>
      </c>
      <c r="B5" t="s">
        <v>223</v>
      </c>
      <c r="C5" t="s">
        <v>214</v>
      </c>
      <c r="D5" t="s">
        <v>224</v>
      </c>
      <c r="E5" t="s">
        <v>225</v>
      </c>
      <c r="G5">
        <v>0</v>
      </c>
      <c r="I5">
        <v>26</v>
      </c>
      <c r="J5">
        <v>1.2</v>
      </c>
      <c r="K5">
        <v>0.8</v>
      </c>
      <c r="L5">
        <v>28</v>
      </c>
      <c r="M5">
        <v>0</v>
      </c>
      <c r="N5">
        <v>0.18</v>
      </c>
      <c r="O5">
        <v>0.06</v>
      </c>
      <c r="P5">
        <v>0</v>
      </c>
      <c r="Q5">
        <v>0</v>
      </c>
      <c r="R5">
        <v>0</v>
      </c>
      <c r="S5">
        <v>0.04</v>
      </c>
      <c r="T5">
        <v>0</v>
      </c>
      <c r="U5">
        <v>23</v>
      </c>
      <c r="V5">
        <v>98</v>
      </c>
      <c r="W5">
        <v>139</v>
      </c>
      <c r="X5">
        <v>518</v>
      </c>
      <c r="Y5">
        <v>0.13</v>
      </c>
      <c r="Z5">
        <v>0</v>
      </c>
      <c r="AA5">
        <v>1.7</v>
      </c>
    </row>
    <row r="6" spans="1:27" x14ac:dyDescent="0.25">
      <c r="A6">
        <v>1112.03</v>
      </c>
      <c r="B6" t="s">
        <v>226</v>
      </c>
      <c r="C6" t="s">
        <v>214</v>
      </c>
      <c r="D6" t="s">
        <v>224</v>
      </c>
      <c r="E6" t="s">
        <v>225</v>
      </c>
      <c r="G6">
        <v>0</v>
      </c>
      <c r="I6">
        <v>26</v>
      </c>
      <c r="J6">
        <v>1.2</v>
      </c>
      <c r="K6">
        <v>0.8</v>
      </c>
      <c r="L6">
        <v>28</v>
      </c>
      <c r="M6">
        <v>0</v>
      </c>
      <c r="N6">
        <v>0.18</v>
      </c>
      <c r="O6">
        <v>0.06</v>
      </c>
      <c r="P6">
        <v>0</v>
      </c>
      <c r="Q6">
        <v>0</v>
      </c>
      <c r="R6">
        <v>0</v>
      </c>
      <c r="S6">
        <v>0.04</v>
      </c>
      <c r="T6">
        <v>0</v>
      </c>
      <c r="U6">
        <v>23</v>
      </c>
      <c r="V6">
        <v>98</v>
      </c>
      <c r="W6">
        <v>139</v>
      </c>
      <c r="X6">
        <v>518</v>
      </c>
      <c r="Y6">
        <v>0.13</v>
      </c>
      <c r="Z6">
        <v>0</v>
      </c>
      <c r="AA6">
        <v>1.7</v>
      </c>
    </row>
    <row r="7" spans="1:27" x14ac:dyDescent="0.25">
      <c r="A7">
        <v>1112.04</v>
      </c>
      <c r="B7" t="s">
        <v>227</v>
      </c>
      <c r="C7" t="s">
        <v>214</v>
      </c>
      <c r="D7" t="s">
        <v>224</v>
      </c>
      <c r="E7" t="s">
        <v>225</v>
      </c>
      <c r="G7">
        <v>0</v>
      </c>
      <c r="I7">
        <v>26</v>
      </c>
      <c r="J7">
        <v>1.2</v>
      </c>
      <c r="K7">
        <v>0.8</v>
      </c>
      <c r="L7">
        <v>28</v>
      </c>
      <c r="M7">
        <v>0</v>
      </c>
      <c r="N7">
        <v>0.18</v>
      </c>
      <c r="O7">
        <v>0.06</v>
      </c>
      <c r="P7">
        <v>0</v>
      </c>
      <c r="Q7">
        <v>0</v>
      </c>
      <c r="R7">
        <v>0</v>
      </c>
      <c r="S7">
        <v>0.04</v>
      </c>
      <c r="T7">
        <v>0</v>
      </c>
      <c r="U7">
        <v>23</v>
      </c>
      <c r="V7">
        <v>98</v>
      </c>
      <c r="W7">
        <v>139</v>
      </c>
      <c r="X7">
        <v>518</v>
      </c>
      <c r="Y7">
        <v>0.13</v>
      </c>
      <c r="Z7">
        <v>0</v>
      </c>
      <c r="AA7">
        <v>1.7</v>
      </c>
    </row>
    <row r="8" spans="1:27" x14ac:dyDescent="0.25">
      <c r="A8">
        <v>1112.0899999999999</v>
      </c>
      <c r="B8" t="s">
        <v>228</v>
      </c>
      <c r="C8" t="s">
        <v>214</v>
      </c>
      <c r="D8" t="s">
        <v>224</v>
      </c>
      <c r="E8" t="s">
        <v>225</v>
      </c>
      <c r="G8">
        <v>0</v>
      </c>
      <c r="I8">
        <v>26</v>
      </c>
      <c r="J8">
        <v>1.2</v>
      </c>
      <c r="K8">
        <v>0.8</v>
      </c>
      <c r="L8">
        <v>28</v>
      </c>
      <c r="M8">
        <v>0</v>
      </c>
      <c r="N8">
        <v>0.18</v>
      </c>
      <c r="O8">
        <v>0.06</v>
      </c>
      <c r="P8">
        <v>0</v>
      </c>
      <c r="Q8">
        <v>0</v>
      </c>
      <c r="R8">
        <v>0</v>
      </c>
      <c r="S8">
        <v>0.04</v>
      </c>
      <c r="T8">
        <v>0</v>
      </c>
      <c r="U8">
        <v>23</v>
      </c>
      <c r="V8">
        <v>98</v>
      </c>
      <c r="W8">
        <v>139</v>
      </c>
      <c r="X8">
        <v>518</v>
      </c>
      <c r="Y8">
        <v>0.13</v>
      </c>
      <c r="Z8">
        <v>0</v>
      </c>
      <c r="AA8">
        <v>1.7</v>
      </c>
    </row>
    <row r="9" spans="1:27" x14ac:dyDescent="0.25">
      <c r="A9">
        <v>1113.01</v>
      </c>
      <c r="B9" t="s">
        <v>229</v>
      </c>
      <c r="C9" t="s">
        <v>214</v>
      </c>
      <c r="D9" t="s">
        <v>230</v>
      </c>
      <c r="E9" t="s">
        <v>231</v>
      </c>
      <c r="G9">
        <v>0</v>
      </c>
      <c r="I9">
        <v>10</v>
      </c>
      <c r="J9">
        <v>0.5</v>
      </c>
      <c r="K9">
        <v>0.59</v>
      </c>
      <c r="L9">
        <v>5</v>
      </c>
      <c r="M9">
        <v>0</v>
      </c>
      <c r="N9">
        <v>0.05</v>
      </c>
      <c r="O9">
        <v>0.01</v>
      </c>
      <c r="P9">
        <v>0</v>
      </c>
      <c r="Q9">
        <v>0</v>
      </c>
      <c r="R9">
        <v>0</v>
      </c>
      <c r="S9">
        <v>0.03</v>
      </c>
      <c r="T9">
        <v>0</v>
      </c>
      <c r="U9">
        <v>23</v>
      </c>
      <c r="V9">
        <v>77</v>
      </c>
      <c r="W9">
        <v>73</v>
      </c>
      <c r="X9">
        <v>1</v>
      </c>
      <c r="Y9">
        <v>0.12</v>
      </c>
      <c r="Z9">
        <v>0</v>
      </c>
      <c r="AA9">
        <v>0.4</v>
      </c>
    </row>
    <row r="10" spans="1:27" x14ac:dyDescent="0.25">
      <c r="A10">
        <v>1114.01</v>
      </c>
      <c r="B10" t="s">
        <v>232</v>
      </c>
      <c r="C10" t="s">
        <v>218</v>
      </c>
      <c r="D10">
        <v>18110</v>
      </c>
      <c r="E10" t="s">
        <v>233</v>
      </c>
      <c r="G10">
        <v>0</v>
      </c>
      <c r="I10">
        <v>33</v>
      </c>
      <c r="J10">
        <v>2.0699999999999998</v>
      </c>
      <c r="K10">
        <v>0.27</v>
      </c>
      <c r="L10">
        <v>20</v>
      </c>
      <c r="M10">
        <v>0.5</v>
      </c>
      <c r="N10">
        <v>0.05</v>
      </c>
      <c r="O10">
        <v>9.9000000000000005E-2</v>
      </c>
      <c r="P10">
        <v>7</v>
      </c>
      <c r="Q10">
        <v>3</v>
      </c>
      <c r="R10">
        <v>7</v>
      </c>
      <c r="S10">
        <v>4.5999999999999999E-2</v>
      </c>
      <c r="T10">
        <v>0.01</v>
      </c>
      <c r="U10">
        <v>16</v>
      </c>
      <c r="V10">
        <v>52</v>
      </c>
      <c r="W10">
        <v>153</v>
      </c>
      <c r="X10">
        <v>322</v>
      </c>
      <c r="Y10">
        <v>0.05</v>
      </c>
      <c r="Z10">
        <v>0</v>
      </c>
      <c r="AA10">
        <v>0.79100000000000004</v>
      </c>
    </row>
    <row r="11" spans="1:27" x14ac:dyDescent="0.25">
      <c r="A11">
        <v>1114.02</v>
      </c>
      <c r="B11" t="s">
        <v>234</v>
      </c>
      <c r="C11" t="s">
        <v>218</v>
      </c>
      <c r="D11">
        <v>18946</v>
      </c>
      <c r="E11" t="s">
        <v>235</v>
      </c>
      <c r="G11">
        <v>0</v>
      </c>
      <c r="I11">
        <v>12</v>
      </c>
      <c r="J11">
        <v>1.1499999999999999</v>
      </c>
      <c r="K11">
        <v>0.22</v>
      </c>
      <c r="L11">
        <v>32</v>
      </c>
      <c r="M11">
        <v>0</v>
      </c>
      <c r="N11">
        <v>0.14000000000000001</v>
      </c>
      <c r="O11">
        <v>3.6999999999999998E-2</v>
      </c>
      <c r="P11">
        <v>0</v>
      </c>
      <c r="Q11">
        <v>0</v>
      </c>
      <c r="R11">
        <v>0</v>
      </c>
      <c r="S11">
        <v>0.02</v>
      </c>
      <c r="T11">
        <v>0</v>
      </c>
      <c r="U11">
        <v>9</v>
      </c>
      <c r="V11">
        <v>52</v>
      </c>
      <c r="W11">
        <v>83</v>
      </c>
      <c r="X11">
        <v>472</v>
      </c>
      <c r="Y11">
        <v>5.0999999999999997E-2</v>
      </c>
      <c r="Z11">
        <v>0</v>
      </c>
      <c r="AA11">
        <v>1.2849999999999999</v>
      </c>
    </row>
    <row r="12" spans="1:27" x14ac:dyDescent="0.25">
      <c r="A12">
        <v>1115.01</v>
      </c>
      <c r="B12" t="s">
        <v>236</v>
      </c>
      <c r="C12" t="s">
        <v>218</v>
      </c>
      <c r="D12">
        <v>8023</v>
      </c>
      <c r="E12" t="s">
        <v>237</v>
      </c>
      <c r="G12">
        <v>0</v>
      </c>
      <c r="I12">
        <v>60</v>
      </c>
      <c r="J12">
        <v>3.7</v>
      </c>
      <c r="K12">
        <v>3.1</v>
      </c>
      <c r="L12">
        <v>204</v>
      </c>
      <c r="M12">
        <v>31</v>
      </c>
      <c r="N12">
        <v>0.8</v>
      </c>
      <c r="O12">
        <v>0.9</v>
      </c>
      <c r="P12">
        <v>459</v>
      </c>
      <c r="Q12">
        <v>0</v>
      </c>
      <c r="R12">
        <v>459</v>
      </c>
      <c r="S12">
        <v>1</v>
      </c>
      <c r="T12">
        <v>3.1</v>
      </c>
      <c r="U12">
        <v>155</v>
      </c>
      <c r="V12">
        <v>397</v>
      </c>
      <c r="W12">
        <v>450</v>
      </c>
      <c r="X12">
        <v>309</v>
      </c>
      <c r="Y12">
        <v>0.4</v>
      </c>
      <c r="Z12">
        <v>2</v>
      </c>
      <c r="AA12">
        <v>10.199999999999999</v>
      </c>
    </row>
    <row r="13" spans="1:27" x14ac:dyDescent="0.25">
      <c r="A13">
        <v>1115.02</v>
      </c>
      <c r="B13" t="s">
        <v>238</v>
      </c>
      <c r="C13" t="s">
        <v>214</v>
      </c>
      <c r="D13" t="s">
        <v>239</v>
      </c>
      <c r="E13" t="s">
        <v>240</v>
      </c>
      <c r="G13">
        <v>0</v>
      </c>
      <c r="I13">
        <v>810</v>
      </c>
      <c r="J13">
        <v>8.5</v>
      </c>
      <c r="K13">
        <v>3.5</v>
      </c>
      <c r="L13">
        <v>42</v>
      </c>
      <c r="M13">
        <v>46</v>
      </c>
      <c r="N13">
        <v>0.56999999999999995</v>
      </c>
      <c r="O13">
        <v>0.85</v>
      </c>
      <c r="P13">
        <v>488</v>
      </c>
      <c r="Q13">
        <v>0</v>
      </c>
      <c r="R13">
        <v>488</v>
      </c>
      <c r="S13">
        <v>0.34</v>
      </c>
      <c r="T13">
        <v>0.9</v>
      </c>
      <c r="U13">
        <v>66</v>
      </c>
      <c r="V13">
        <v>458</v>
      </c>
      <c r="W13">
        <v>704</v>
      </c>
      <c r="X13">
        <v>225</v>
      </c>
      <c r="Y13">
        <v>0.41</v>
      </c>
      <c r="Z13">
        <v>8.5</v>
      </c>
      <c r="AA13">
        <v>4.3</v>
      </c>
    </row>
    <row r="14" spans="1:27" x14ac:dyDescent="0.25">
      <c r="A14">
        <v>1115.03</v>
      </c>
      <c r="B14" t="s">
        <v>241</v>
      </c>
      <c r="C14" t="s">
        <v>214</v>
      </c>
      <c r="D14" t="s">
        <v>242</v>
      </c>
      <c r="E14" t="s">
        <v>243</v>
      </c>
      <c r="G14">
        <v>0</v>
      </c>
      <c r="I14">
        <v>70</v>
      </c>
      <c r="J14">
        <v>0.7</v>
      </c>
      <c r="K14">
        <v>0.76</v>
      </c>
      <c r="L14">
        <v>17</v>
      </c>
      <c r="M14">
        <v>0</v>
      </c>
      <c r="N14">
        <v>0.16</v>
      </c>
      <c r="O14">
        <v>0.18</v>
      </c>
      <c r="P14">
        <v>0</v>
      </c>
      <c r="Q14">
        <v>534</v>
      </c>
      <c r="R14">
        <v>45</v>
      </c>
      <c r="S14">
        <v>0.05</v>
      </c>
      <c r="T14">
        <v>0.6</v>
      </c>
      <c r="U14">
        <v>35</v>
      </c>
      <c r="V14">
        <v>150</v>
      </c>
      <c r="W14">
        <v>189</v>
      </c>
      <c r="X14">
        <v>192</v>
      </c>
      <c r="Y14">
        <v>0.06</v>
      </c>
      <c r="Z14">
        <v>2.1</v>
      </c>
      <c r="AA14">
        <v>0.4</v>
      </c>
    </row>
    <row r="15" spans="1:27" x14ac:dyDescent="0.25">
      <c r="A15">
        <v>1115.04</v>
      </c>
      <c r="B15" t="s">
        <v>244</v>
      </c>
      <c r="C15" t="s">
        <v>214</v>
      </c>
      <c r="D15" t="s">
        <v>245</v>
      </c>
      <c r="E15" t="s">
        <v>246</v>
      </c>
      <c r="G15">
        <v>0</v>
      </c>
      <c r="I15">
        <v>18</v>
      </c>
      <c r="J15">
        <v>3</v>
      </c>
      <c r="K15">
        <v>1.51</v>
      </c>
      <c r="L15">
        <v>25</v>
      </c>
      <c r="M15">
        <v>0</v>
      </c>
      <c r="N15">
        <v>0.34</v>
      </c>
      <c r="O15">
        <v>0.1</v>
      </c>
      <c r="P15">
        <v>0</v>
      </c>
      <c r="Q15">
        <v>0</v>
      </c>
      <c r="R15">
        <v>0</v>
      </c>
      <c r="S15">
        <v>0.2</v>
      </c>
      <c r="T15">
        <v>0</v>
      </c>
      <c r="U15">
        <v>80</v>
      </c>
      <c r="V15">
        <v>240</v>
      </c>
      <c r="W15">
        <v>303</v>
      </c>
      <c r="X15">
        <v>11</v>
      </c>
      <c r="Y15">
        <v>0.17</v>
      </c>
      <c r="Z15">
        <v>0</v>
      </c>
      <c r="AA15">
        <v>2</v>
      </c>
    </row>
    <row r="16" spans="1:27" x14ac:dyDescent="0.25">
      <c r="A16">
        <v>1115.05</v>
      </c>
      <c r="B16" t="s">
        <v>247</v>
      </c>
      <c r="C16" t="s">
        <v>214</v>
      </c>
      <c r="D16" t="s">
        <v>248</v>
      </c>
      <c r="E16" t="s">
        <v>249</v>
      </c>
      <c r="G16">
        <v>0</v>
      </c>
      <c r="I16">
        <v>14</v>
      </c>
      <c r="J16">
        <v>7.6</v>
      </c>
      <c r="K16">
        <v>2.83</v>
      </c>
      <c r="L16">
        <v>30</v>
      </c>
      <c r="M16">
        <v>0</v>
      </c>
      <c r="N16">
        <v>0.32</v>
      </c>
      <c r="O16">
        <v>0.27</v>
      </c>
      <c r="P16">
        <v>0</v>
      </c>
      <c r="Q16">
        <v>3</v>
      </c>
      <c r="R16">
        <v>0</v>
      </c>
      <c r="S16">
        <v>0.74</v>
      </c>
      <c r="T16">
        <v>0</v>
      </c>
      <c r="U16">
        <v>97</v>
      </c>
      <c r="V16">
        <v>207</v>
      </c>
      <c r="W16">
        <v>401</v>
      </c>
      <c r="X16">
        <v>19</v>
      </c>
      <c r="Y16">
        <v>0.45</v>
      </c>
      <c r="Z16">
        <v>0</v>
      </c>
      <c r="AA16">
        <v>2.4</v>
      </c>
    </row>
    <row r="17" spans="1:27" x14ac:dyDescent="0.25">
      <c r="A17">
        <v>1115.06</v>
      </c>
      <c r="B17" t="s">
        <v>250</v>
      </c>
      <c r="C17" t="s">
        <v>214</v>
      </c>
      <c r="D17" t="s">
        <v>251</v>
      </c>
      <c r="E17" t="s">
        <v>252</v>
      </c>
      <c r="G17">
        <v>0</v>
      </c>
      <c r="I17">
        <v>24</v>
      </c>
      <c r="J17">
        <v>3.7</v>
      </c>
      <c r="K17">
        <v>1.79</v>
      </c>
      <c r="L17">
        <v>29</v>
      </c>
      <c r="M17">
        <v>0</v>
      </c>
      <c r="N17">
        <v>0.36</v>
      </c>
      <c r="O17">
        <v>0.16</v>
      </c>
      <c r="P17">
        <v>0</v>
      </c>
      <c r="Q17">
        <v>17</v>
      </c>
      <c r="R17">
        <v>1</v>
      </c>
      <c r="S17">
        <v>0.25</v>
      </c>
      <c r="T17">
        <v>0</v>
      </c>
      <c r="U17">
        <v>311</v>
      </c>
      <c r="V17">
        <v>297</v>
      </c>
      <c r="W17">
        <v>377</v>
      </c>
      <c r="X17">
        <v>14</v>
      </c>
      <c r="Y17">
        <v>0.38</v>
      </c>
      <c r="Z17">
        <v>0</v>
      </c>
      <c r="AA17">
        <v>3.3</v>
      </c>
    </row>
    <row r="18" spans="1:27" x14ac:dyDescent="0.25">
      <c r="A18">
        <v>1115.07</v>
      </c>
      <c r="B18" t="s">
        <v>253</v>
      </c>
      <c r="C18" t="s">
        <v>214</v>
      </c>
      <c r="D18" t="s">
        <v>254</v>
      </c>
      <c r="E18" t="s">
        <v>253</v>
      </c>
      <c r="G18">
        <v>0</v>
      </c>
      <c r="I18">
        <v>138</v>
      </c>
      <c r="J18">
        <v>1.5</v>
      </c>
      <c r="K18">
        <v>0.74</v>
      </c>
      <c r="L18">
        <v>47</v>
      </c>
      <c r="M18">
        <v>4</v>
      </c>
      <c r="N18">
        <v>7.0000000000000007E-2</v>
      </c>
      <c r="O18">
        <v>0.11</v>
      </c>
      <c r="P18">
        <v>0</v>
      </c>
      <c r="Q18">
        <v>0</v>
      </c>
      <c r="R18">
        <v>0</v>
      </c>
      <c r="S18">
        <v>0.17</v>
      </c>
      <c r="T18">
        <v>0</v>
      </c>
      <c r="U18">
        <v>45</v>
      </c>
      <c r="V18">
        <v>102</v>
      </c>
      <c r="W18">
        <v>587</v>
      </c>
      <c r="X18">
        <v>30</v>
      </c>
      <c r="Y18">
        <v>0.22</v>
      </c>
      <c r="Z18">
        <v>0</v>
      </c>
      <c r="AA18">
        <v>1.2</v>
      </c>
    </row>
    <row r="19" spans="1:27" x14ac:dyDescent="0.25">
      <c r="A19">
        <v>1119.01</v>
      </c>
      <c r="B19" t="s">
        <v>255</v>
      </c>
      <c r="C19" t="s">
        <v>218</v>
      </c>
      <c r="D19">
        <v>8411</v>
      </c>
      <c r="E19" t="s">
        <v>256</v>
      </c>
      <c r="G19">
        <v>0.25</v>
      </c>
      <c r="I19">
        <v>220</v>
      </c>
      <c r="J19">
        <v>7.92</v>
      </c>
      <c r="K19">
        <v>1.75</v>
      </c>
      <c r="L19">
        <v>176</v>
      </c>
      <c r="M19">
        <v>0</v>
      </c>
      <c r="N19">
        <v>0.66</v>
      </c>
      <c r="O19">
        <v>0.74</v>
      </c>
      <c r="P19">
        <v>660</v>
      </c>
      <c r="Q19">
        <v>0</v>
      </c>
      <c r="R19">
        <v>661</v>
      </c>
      <c r="S19">
        <v>0.88</v>
      </c>
      <c r="T19">
        <v>0</v>
      </c>
      <c r="U19">
        <v>78</v>
      </c>
      <c r="V19">
        <v>263</v>
      </c>
      <c r="W19">
        <v>218</v>
      </c>
      <c r="X19">
        <v>523</v>
      </c>
      <c r="Y19">
        <v>0.18</v>
      </c>
      <c r="Z19">
        <v>0</v>
      </c>
      <c r="AA19">
        <v>8.8000000000000007</v>
      </c>
    </row>
    <row r="20" spans="1:27" x14ac:dyDescent="0.25">
      <c r="A20">
        <v>1121.01</v>
      </c>
      <c r="B20" t="s">
        <v>257</v>
      </c>
      <c r="C20" t="s">
        <v>214</v>
      </c>
      <c r="D20" t="s">
        <v>258</v>
      </c>
      <c r="E20" t="s">
        <v>259</v>
      </c>
      <c r="G20">
        <v>0</v>
      </c>
      <c r="I20">
        <v>11</v>
      </c>
      <c r="J20">
        <v>1.8</v>
      </c>
      <c r="K20">
        <v>3.6</v>
      </c>
      <c r="L20">
        <v>3</v>
      </c>
      <c r="M20">
        <v>0</v>
      </c>
      <c r="N20">
        <v>0.6</v>
      </c>
      <c r="O20">
        <v>0.17</v>
      </c>
      <c r="P20">
        <v>0</v>
      </c>
      <c r="Q20">
        <v>0</v>
      </c>
      <c r="R20">
        <v>0</v>
      </c>
      <c r="S20">
        <v>0.38</v>
      </c>
      <c r="T20">
        <v>0.7</v>
      </c>
      <c r="U20">
        <v>16</v>
      </c>
      <c r="V20">
        <v>165</v>
      </c>
      <c r="W20">
        <v>300</v>
      </c>
      <c r="X20">
        <v>60</v>
      </c>
      <c r="Y20">
        <v>0.1</v>
      </c>
      <c r="Z20">
        <v>1</v>
      </c>
      <c r="AA20">
        <v>3.6</v>
      </c>
    </row>
    <row r="21" spans="1:27" x14ac:dyDescent="0.25">
      <c r="A21">
        <v>1122.01</v>
      </c>
      <c r="B21" t="s">
        <v>260</v>
      </c>
      <c r="C21" t="s">
        <v>214</v>
      </c>
      <c r="D21" t="s">
        <v>258</v>
      </c>
      <c r="E21" t="s">
        <v>261</v>
      </c>
      <c r="G21">
        <v>0</v>
      </c>
      <c r="I21">
        <v>11</v>
      </c>
      <c r="J21">
        <v>1.8</v>
      </c>
      <c r="K21">
        <v>3.6</v>
      </c>
      <c r="L21">
        <v>3</v>
      </c>
      <c r="M21">
        <v>0</v>
      </c>
      <c r="N21">
        <v>0.6</v>
      </c>
      <c r="O21">
        <v>0.17</v>
      </c>
      <c r="P21">
        <v>0</v>
      </c>
      <c r="Q21">
        <v>0</v>
      </c>
      <c r="R21">
        <v>0</v>
      </c>
      <c r="S21">
        <v>0.38</v>
      </c>
      <c r="T21">
        <v>0.7</v>
      </c>
      <c r="U21">
        <v>16</v>
      </c>
      <c r="V21">
        <v>165</v>
      </c>
      <c r="W21">
        <v>300</v>
      </c>
      <c r="X21">
        <v>60</v>
      </c>
      <c r="Y21">
        <v>0.1</v>
      </c>
      <c r="Z21">
        <v>1</v>
      </c>
      <c r="AA21">
        <v>3.6</v>
      </c>
    </row>
    <row r="22" spans="1:27" x14ac:dyDescent="0.25">
      <c r="A22">
        <v>1123.01</v>
      </c>
      <c r="B22" t="s">
        <v>262</v>
      </c>
      <c r="C22" t="s">
        <v>214</v>
      </c>
      <c r="D22" t="s">
        <v>263</v>
      </c>
      <c r="E22" t="s">
        <v>264</v>
      </c>
      <c r="G22">
        <v>0.26</v>
      </c>
      <c r="I22">
        <v>11</v>
      </c>
      <c r="J22">
        <v>2.4</v>
      </c>
      <c r="K22">
        <v>3.45</v>
      </c>
      <c r="L22">
        <v>5</v>
      </c>
      <c r="M22">
        <v>0</v>
      </c>
      <c r="N22">
        <v>0.18</v>
      </c>
      <c r="O22">
        <v>0.28999999999999998</v>
      </c>
      <c r="P22">
        <v>0</v>
      </c>
      <c r="Q22">
        <v>0</v>
      </c>
      <c r="R22">
        <v>0</v>
      </c>
      <c r="S22">
        <v>0.4</v>
      </c>
      <c r="T22">
        <v>1.1000000000000001</v>
      </c>
      <c r="U22">
        <v>27</v>
      </c>
      <c r="V22">
        <v>150</v>
      </c>
      <c r="W22">
        <v>385</v>
      </c>
      <c r="X22">
        <v>82</v>
      </c>
      <c r="Y22">
        <v>0.16</v>
      </c>
      <c r="Z22">
        <v>0</v>
      </c>
      <c r="AA22">
        <v>6.1</v>
      </c>
    </row>
    <row r="23" spans="1:27" x14ac:dyDescent="0.25">
      <c r="A23">
        <v>1123.02</v>
      </c>
      <c r="B23" t="s">
        <v>265</v>
      </c>
      <c r="C23" t="s">
        <v>214</v>
      </c>
      <c r="D23" t="s">
        <v>266</v>
      </c>
      <c r="E23" t="s">
        <v>267</v>
      </c>
      <c r="G23">
        <v>0.25</v>
      </c>
      <c r="I23">
        <v>12</v>
      </c>
      <c r="J23">
        <v>3.1</v>
      </c>
      <c r="K23">
        <v>4.97</v>
      </c>
      <c r="L23">
        <v>2</v>
      </c>
      <c r="M23">
        <v>0</v>
      </c>
      <c r="N23">
        <v>0.08</v>
      </c>
      <c r="O23">
        <v>0.15</v>
      </c>
      <c r="P23">
        <v>12</v>
      </c>
      <c r="Q23">
        <v>0</v>
      </c>
      <c r="R23">
        <v>12</v>
      </c>
      <c r="S23">
        <v>0.24</v>
      </c>
      <c r="T23">
        <v>2.6</v>
      </c>
      <c r="U23">
        <v>21</v>
      </c>
      <c r="V23">
        <v>178</v>
      </c>
      <c r="W23">
        <v>205</v>
      </c>
      <c r="X23">
        <v>68</v>
      </c>
      <c r="Y23">
        <v>0.16</v>
      </c>
      <c r="Z23">
        <v>0.3</v>
      </c>
      <c r="AA23">
        <v>2.6</v>
      </c>
    </row>
    <row r="24" spans="1:27" x14ac:dyDescent="0.25">
      <c r="A24">
        <v>1124.02</v>
      </c>
      <c r="B24" t="s">
        <v>268</v>
      </c>
      <c r="C24" t="s">
        <v>218</v>
      </c>
      <c r="D24">
        <v>5306</v>
      </c>
      <c r="E24" t="s">
        <v>269</v>
      </c>
      <c r="G24">
        <v>0</v>
      </c>
      <c r="I24">
        <v>28</v>
      </c>
      <c r="J24">
        <v>1.52</v>
      </c>
      <c r="K24">
        <v>3.11</v>
      </c>
      <c r="L24">
        <v>7</v>
      </c>
      <c r="M24">
        <v>0</v>
      </c>
      <c r="N24">
        <v>7.6999999999999999E-2</v>
      </c>
      <c r="O24">
        <v>0.21099999999999999</v>
      </c>
      <c r="P24">
        <v>24</v>
      </c>
      <c r="Q24">
        <v>0</v>
      </c>
      <c r="R24">
        <v>24</v>
      </c>
      <c r="S24">
        <v>0.63300000000000001</v>
      </c>
      <c r="T24">
        <v>1.34</v>
      </c>
      <c r="U24">
        <v>30</v>
      </c>
      <c r="V24">
        <v>254</v>
      </c>
      <c r="W24">
        <v>294</v>
      </c>
      <c r="X24">
        <v>78</v>
      </c>
      <c r="Y24">
        <v>0.151</v>
      </c>
      <c r="Z24">
        <v>0.2</v>
      </c>
      <c r="AA24">
        <v>8.7240000000000002</v>
      </c>
    </row>
    <row r="25" spans="1:27" x14ac:dyDescent="0.25">
      <c r="A25">
        <v>1125.01</v>
      </c>
      <c r="B25" t="s">
        <v>270</v>
      </c>
      <c r="C25" t="s">
        <v>214</v>
      </c>
      <c r="D25" t="s">
        <v>258</v>
      </c>
      <c r="E25" t="s">
        <v>261</v>
      </c>
      <c r="G25">
        <v>1</v>
      </c>
      <c r="I25">
        <v>11</v>
      </c>
      <c r="J25">
        <v>1.8</v>
      </c>
      <c r="K25">
        <v>3.6</v>
      </c>
      <c r="L25">
        <v>3</v>
      </c>
      <c r="M25">
        <v>0</v>
      </c>
      <c r="N25">
        <v>0.6</v>
      </c>
      <c r="O25">
        <v>0.17</v>
      </c>
      <c r="P25">
        <v>0</v>
      </c>
      <c r="Q25">
        <v>0</v>
      </c>
      <c r="R25">
        <v>0</v>
      </c>
      <c r="S25">
        <v>0.38</v>
      </c>
      <c r="T25">
        <v>0.7</v>
      </c>
      <c r="U25">
        <v>16</v>
      </c>
      <c r="V25">
        <v>165</v>
      </c>
      <c r="W25">
        <v>300</v>
      </c>
      <c r="X25">
        <v>60</v>
      </c>
      <c r="Y25">
        <v>0.1</v>
      </c>
      <c r="Z25">
        <v>1</v>
      </c>
      <c r="AA25">
        <v>3.6</v>
      </c>
    </row>
    <row r="26" spans="1:27" x14ac:dyDescent="0.25">
      <c r="A26">
        <v>1125.02</v>
      </c>
      <c r="B26" t="s">
        <v>271</v>
      </c>
      <c r="C26" t="s">
        <v>218</v>
      </c>
      <c r="D26">
        <v>7027</v>
      </c>
      <c r="E26" t="s">
        <v>272</v>
      </c>
      <c r="G26">
        <v>0</v>
      </c>
      <c r="I26">
        <v>7</v>
      </c>
      <c r="J26">
        <v>0.83</v>
      </c>
      <c r="K26">
        <v>1.94</v>
      </c>
      <c r="L26">
        <v>1</v>
      </c>
      <c r="M26">
        <v>0</v>
      </c>
      <c r="N26">
        <v>0.63200000000000001</v>
      </c>
      <c r="O26">
        <v>0.20399999999999999</v>
      </c>
      <c r="P26">
        <v>0</v>
      </c>
      <c r="Q26">
        <v>0</v>
      </c>
      <c r="R26">
        <v>0</v>
      </c>
      <c r="S26">
        <v>0.35</v>
      </c>
      <c r="T26">
        <v>0.92</v>
      </c>
      <c r="U26">
        <v>16</v>
      </c>
      <c r="V26">
        <v>155</v>
      </c>
      <c r="W26">
        <v>319</v>
      </c>
      <c r="X26">
        <v>1330</v>
      </c>
      <c r="Y26">
        <v>0.06</v>
      </c>
      <c r="Z26">
        <v>0.7</v>
      </c>
      <c r="AA26">
        <v>3.88</v>
      </c>
    </row>
    <row r="27" spans="1:27" x14ac:dyDescent="0.25">
      <c r="A27">
        <v>1125.03</v>
      </c>
      <c r="B27" t="s">
        <v>273</v>
      </c>
      <c r="C27" t="s">
        <v>214</v>
      </c>
      <c r="D27" t="s">
        <v>274</v>
      </c>
      <c r="E27" t="s">
        <v>275</v>
      </c>
      <c r="G27">
        <v>0</v>
      </c>
      <c r="I27">
        <v>5</v>
      </c>
      <c r="J27">
        <v>2.1</v>
      </c>
      <c r="K27">
        <v>3.6</v>
      </c>
      <c r="L27">
        <v>7</v>
      </c>
      <c r="M27">
        <v>0</v>
      </c>
      <c r="N27">
        <v>0.06</v>
      </c>
      <c r="O27">
        <v>0.19</v>
      </c>
      <c r="P27">
        <v>0</v>
      </c>
      <c r="Q27">
        <v>0</v>
      </c>
      <c r="R27">
        <v>0</v>
      </c>
      <c r="S27">
        <v>0.23</v>
      </c>
      <c r="T27">
        <v>1.4</v>
      </c>
      <c r="U27">
        <v>22</v>
      </c>
      <c r="V27">
        <v>170</v>
      </c>
      <c r="W27">
        <v>360</v>
      </c>
      <c r="X27">
        <v>50</v>
      </c>
      <c r="Y27">
        <v>0.09</v>
      </c>
      <c r="Z27">
        <v>0.4</v>
      </c>
      <c r="AA27">
        <v>6.2</v>
      </c>
    </row>
    <row r="28" spans="1:27" x14ac:dyDescent="0.25">
      <c r="A28">
        <v>1125.04</v>
      </c>
      <c r="B28" t="s">
        <v>276</v>
      </c>
      <c r="C28" t="s">
        <v>214</v>
      </c>
      <c r="D28" t="s">
        <v>277</v>
      </c>
      <c r="E28" t="s">
        <v>278</v>
      </c>
      <c r="G28">
        <v>0</v>
      </c>
      <c r="I28">
        <v>10</v>
      </c>
      <c r="J28">
        <v>0.88</v>
      </c>
      <c r="K28">
        <v>1.6</v>
      </c>
      <c r="L28">
        <v>4</v>
      </c>
      <c r="M28">
        <v>0</v>
      </c>
      <c r="N28">
        <v>0.09</v>
      </c>
      <c r="O28">
        <v>0.11</v>
      </c>
      <c r="P28">
        <v>0</v>
      </c>
      <c r="Q28">
        <v>0</v>
      </c>
      <c r="R28">
        <v>0</v>
      </c>
      <c r="S28">
        <v>0.12</v>
      </c>
      <c r="T28">
        <v>1</v>
      </c>
      <c r="U28">
        <v>7</v>
      </c>
      <c r="V28">
        <v>49</v>
      </c>
      <c r="W28">
        <v>101</v>
      </c>
      <c r="X28">
        <v>969</v>
      </c>
      <c r="Y28">
        <v>0.03</v>
      </c>
      <c r="Z28">
        <v>0.6</v>
      </c>
      <c r="AA28">
        <v>1.6</v>
      </c>
    </row>
    <row r="29" spans="1:27" x14ac:dyDescent="0.25">
      <c r="A29">
        <v>1125.05</v>
      </c>
      <c r="B29" t="s">
        <v>279</v>
      </c>
      <c r="C29" t="s">
        <v>218</v>
      </c>
      <c r="D29">
        <v>7027</v>
      </c>
      <c r="E29" t="s">
        <v>272</v>
      </c>
      <c r="G29">
        <v>0</v>
      </c>
      <c r="I29">
        <v>7</v>
      </c>
      <c r="J29">
        <v>0.83</v>
      </c>
      <c r="K29">
        <v>1.94</v>
      </c>
      <c r="L29">
        <v>1</v>
      </c>
      <c r="M29">
        <v>0</v>
      </c>
      <c r="N29">
        <v>0.63200000000000001</v>
      </c>
      <c r="O29">
        <v>0.20399999999999999</v>
      </c>
      <c r="P29">
        <v>0</v>
      </c>
      <c r="Q29">
        <v>0</v>
      </c>
      <c r="R29">
        <v>0</v>
      </c>
      <c r="S29">
        <v>0.35</v>
      </c>
      <c r="T29">
        <v>0.92</v>
      </c>
      <c r="U29">
        <v>16</v>
      </c>
      <c r="V29">
        <v>155</v>
      </c>
      <c r="W29">
        <v>319</v>
      </c>
      <c r="X29">
        <v>1330</v>
      </c>
      <c r="Y29">
        <v>0.06</v>
      </c>
      <c r="Z29">
        <v>0.7</v>
      </c>
      <c r="AA29">
        <v>3.88</v>
      </c>
    </row>
    <row r="30" spans="1:27" x14ac:dyDescent="0.25">
      <c r="A30">
        <v>1125.06</v>
      </c>
      <c r="B30" t="s">
        <v>280</v>
      </c>
      <c r="C30" t="s">
        <v>214</v>
      </c>
      <c r="D30" t="s">
        <v>277</v>
      </c>
      <c r="E30" t="s">
        <v>278</v>
      </c>
      <c r="G30">
        <v>0</v>
      </c>
      <c r="I30">
        <v>10</v>
      </c>
      <c r="J30">
        <v>0.88</v>
      </c>
      <c r="K30">
        <v>1.6</v>
      </c>
      <c r="L30">
        <v>4</v>
      </c>
      <c r="M30">
        <v>0</v>
      </c>
      <c r="N30">
        <v>0.09</v>
      </c>
      <c r="O30">
        <v>0.11</v>
      </c>
      <c r="P30">
        <v>0</v>
      </c>
      <c r="Q30">
        <v>0</v>
      </c>
      <c r="R30">
        <v>0</v>
      </c>
      <c r="S30">
        <v>0.12</v>
      </c>
      <c r="T30">
        <v>1</v>
      </c>
      <c r="U30">
        <v>7</v>
      </c>
      <c r="V30">
        <v>49</v>
      </c>
      <c r="W30">
        <v>101</v>
      </c>
      <c r="X30">
        <v>969</v>
      </c>
      <c r="Y30">
        <v>0.03</v>
      </c>
      <c r="Z30">
        <v>0.6</v>
      </c>
      <c r="AA30">
        <v>1.6</v>
      </c>
    </row>
    <row r="31" spans="1:27" x14ac:dyDescent="0.25">
      <c r="A31">
        <v>1125.07</v>
      </c>
      <c r="B31" t="s">
        <v>281</v>
      </c>
      <c r="C31" t="s">
        <v>214</v>
      </c>
      <c r="D31" t="s">
        <v>282</v>
      </c>
      <c r="E31" t="s">
        <v>283</v>
      </c>
      <c r="G31">
        <v>0</v>
      </c>
      <c r="I31">
        <v>69</v>
      </c>
      <c r="J31">
        <v>0.6</v>
      </c>
      <c r="K31">
        <v>1.42</v>
      </c>
      <c r="L31">
        <v>5</v>
      </c>
      <c r="M31">
        <v>0</v>
      </c>
      <c r="N31">
        <v>0</v>
      </c>
      <c r="O31">
        <v>0.06</v>
      </c>
      <c r="P31">
        <v>0</v>
      </c>
      <c r="Q31">
        <v>0</v>
      </c>
      <c r="R31">
        <v>0</v>
      </c>
      <c r="S31">
        <v>0.01</v>
      </c>
      <c r="T31">
        <v>1.4</v>
      </c>
      <c r="U31">
        <v>13</v>
      </c>
      <c r="V31">
        <v>64</v>
      </c>
      <c r="W31">
        <v>67</v>
      </c>
      <c r="X31">
        <v>97</v>
      </c>
      <c r="Y31">
        <v>7.0000000000000007E-2</v>
      </c>
      <c r="Z31">
        <v>0</v>
      </c>
      <c r="AA31">
        <v>0.9</v>
      </c>
    </row>
    <row r="32" spans="1:27" x14ac:dyDescent="0.25">
      <c r="A32">
        <v>1125.08</v>
      </c>
      <c r="B32" t="s">
        <v>284</v>
      </c>
      <c r="C32" t="s">
        <v>214</v>
      </c>
      <c r="D32" t="s">
        <v>285</v>
      </c>
      <c r="E32" t="s">
        <v>286</v>
      </c>
      <c r="G32">
        <v>0</v>
      </c>
      <c r="I32">
        <v>7</v>
      </c>
      <c r="J32">
        <v>8.8000000000000007</v>
      </c>
      <c r="K32">
        <v>3.5</v>
      </c>
      <c r="L32">
        <v>290</v>
      </c>
      <c r="M32">
        <v>1.3</v>
      </c>
      <c r="N32">
        <v>0.19</v>
      </c>
      <c r="O32">
        <v>1.56</v>
      </c>
      <c r="P32">
        <v>4950</v>
      </c>
      <c r="Q32">
        <v>245</v>
      </c>
      <c r="R32">
        <v>4970</v>
      </c>
      <c r="S32">
        <v>1.08</v>
      </c>
      <c r="T32">
        <v>59.3</v>
      </c>
      <c r="U32">
        <v>18</v>
      </c>
      <c r="V32">
        <v>369</v>
      </c>
      <c r="W32">
        <v>313</v>
      </c>
      <c r="X32">
        <v>69</v>
      </c>
      <c r="Y32">
        <v>9.76</v>
      </c>
      <c r="Z32">
        <v>1.2</v>
      </c>
      <c r="AA32">
        <v>13.2</v>
      </c>
    </row>
    <row r="33" spans="1:27" x14ac:dyDescent="0.25">
      <c r="A33">
        <v>1126.01</v>
      </c>
      <c r="B33" t="s">
        <v>287</v>
      </c>
      <c r="C33" t="s">
        <v>214</v>
      </c>
      <c r="D33" t="s">
        <v>288</v>
      </c>
      <c r="E33" t="s">
        <v>289</v>
      </c>
      <c r="G33">
        <v>0</v>
      </c>
      <c r="I33">
        <v>12</v>
      </c>
      <c r="J33">
        <v>2.2000000000000002</v>
      </c>
      <c r="K33">
        <v>4.79</v>
      </c>
      <c r="L33">
        <v>6</v>
      </c>
      <c r="M33">
        <v>0</v>
      </c>
      <c r="N33">
        <v>0.04</v>
      </c>
      <c r="O33">
        <v>0.16</v>
      </c>
      <c r="P33">
        <v>0</v>
      </c>
      <c r="Q33">
        <v>0</v>
      </c>
      <c r="R33">
        <v>0</v>
      </c>
      <c r="S33">
        <v>0.37</v>
      </c>
      <c r="T33">
        <v>2.2000000000000002</v>
      </c>
      <c r="U33">
        <v>20</v>
      </c>
      <c r="V33">
        <v>184</v>
      </c>
      <c r="W33">
        <v>321</v>
      </c>
      <c r="X33">
        <v>66</v>
      </c>
      <c r="Y33">
        <v>7.0000000000000007E-2</v>
      </c>
      <c r="Z33">
        <v>0.1</v>
      </c>
      <c r="AA33">
        <v>5.0999999999999996</v>
      </c>
    </row>
    <row r="34" spans="1:27" x14ac:dyDescent="0.25">
      <c r="A34">
        <v>1126.02</v>
      </c>
      <c r="B34" t="s">
        <v>290</v>
      </c>
      <c r="C34" t="s">
        <v>214</v>
      </c>
      <c r="D34" t="s">
        <v>291</v>
      </c>
      <c r="E34" t="s">
        <v>292</v>
      </c>
      <c r="G34">
        <v>0</v>
      </c>
      <c r="I34">
        <v>12</v>
      </c>
      <c r="J34">
        <v>2.1</v>
      </c>
      <c r="K34">
        <v>3.57</v>
      </c>
      <c r="L34">
        <v>9</v>
      </c>
      <c r="M34">
        <v>0</v>
      </c>
      <c r="N34">
        <v>0.02</v>
      </c>
      <c r="O34">
        <v>0.15</v>
      </c>
      <c r="P34">
        <v>0</v>
      </c>
      <c r="Q34">
        <v>0</v>
      </c>
      <c r="R34">
        <v>0</v>
      </c>
      <c r="S34">
        <v>0.13</v>
      </c>
      <c r="T34">
        <v>1.6</v>
      </c>
      <c r="U34">
        <v>14</v>
      </c>
      <c r="V34">
        <v>111</v>
      </c>
      <c r="W34">
        <v>136</v>
      </c>
      <c r="X34">
        <v>1010</v>
      </c>
      <c r="Y34">
        <v>0.06</v>
      </c>
      <c r="Z34">
        <v>0.2</v>
      </c>
      <c r="AA34">
        <v>2.4</v>
      </c>
    </row>
    <row r="35" spans="1:27" x14ac:dyDescent="0.25">
      <c r="A35">
        <v>1127.01</v>
      </c>
      <c r="B35" t="s">
        <v>293</v>
      </c>
      <c r="C35" t="s">
        <v>218</v>
      </c>
      <c r="D35">
        <v>17164</v>
      </c>
      <c r="E35" t="s">
        <v>294</v>
      </c>
      <c r="G35">
        <v>0</v>
      </c>
      <c r="I35">
        <v>5</v>
      </c>
      <c r="J35">
        <v>3.4</v>
      </c>
      <c r="K35">
        <v>2.09</v>
      </c>
      <c r="L35">
        <v>4</v>
      </c>
      <c r="M35">
        <v>0</v>
      </c>
      <c r="N35">
        <v>0.22</v>
      </c>
      <c r="O35">
        <v>0.48</v>
      </c>
      <c r="P35">
        <v>0</v>
      </c>
      <c r="Q35">
        <v>0</v>
      </c>
      <c r="R35">
        <v>0</v>
      </c>
      <c r="S35">
        <v>0.37</v>
      </c>
      <c r="T35">
        <v>6.31</v>
      </c>
      <c r="U35">
        <v>23</v>
      </c>
      <c r="V35">
        <v>202</v>
      </c>
      <c r="W35">
        <v>318</v>
      </c>
      <c r="X35">
        <v>51</v>
      </c>
      <c r="Y35">
        <v>0.253</v>
      </c>
      <c r="Z35">
        <v>0</v>
      </c>
      <c r="AA35">
        <v>6.37</v>
      </c>
    </row>
    <row r="36" spans="1:27" x14ac:dyDescent="0.25">
      <c r="A36">
        <v>1127.02</v>
      </c>
      <c r="B36" t="s">
        <v>295</v>
      </c>
      <c r="C36" t="s">
        <v>214</v>
      </c>
      <c r="D36" t="s">
        <v>258</v>
      </c>
      <c r="E36" t="s">
        <v>261</v>
      </c>
      <c r="G36">
        <v>0</v>
      </c>
      <c r="I36">
        <v>11</v>
      </c>
      <c r="J36">
        <v>1.8</v>
      </c>
      <c r="K36">
        <v>3.6</v>
      </c>
      <c r="L36">
        <v>3</v>
      </c>
      <c r="M36">
        <v>0</v>
      </c>
      <c r="N36">
        <v>0.6</v>
      </c>
      <c r="O36">
        <v>0.17</v>
      </c>
      <c r="P36">
        <v>0</v>
      </c>
      <c r="Q36">
        <v>0</v>
      </c>
      <c r="R36">
        <v>0</v>
      </c>
      <c r="S36">
        <v>0.38</v>
      </c>
      <c r="T36">
        <v>0.7</v>
      </c>
      <c r="U36">
        <v>16</v>
      </c>
      <c r="V36">
        <v>165</v>
      </c>
      <c r="W36">
        <v>300</v>
      </c>
      <c r="X36">
        <v>60</v>
      </c>
      <c r="Y36">
        <v>0.1</v>
      </c>
      <c r="Z36">
        <v>1</v>
      </c>
      <c r="AA36">
        <v>3.6</v>
      </c>
    </row>
    <row r="37" spans="1:27" x14ac:dyDescent="0.25">
      <c r="A37">
        <v>1127.03</v>
      </c>
      <c r="B37" t="s">
        <v>296</v>
      </c>
      <c r="C37" t="s">
        <v>218</v>
      </c>
      <c r="D37">
        <v>17170</v>
      </c>
      <c r="E37" t="s">
        <v>297</v>
      </c>
      <c r="G37">
        <v>0</v>
      </c>
      <c r="I37">
        <v>6</v>
      </c>
      <c r="J37">
        <v>3.82</v>
      </c>
      <c r="K37">
        <v>2.9</v>
      </c>
      <c r="L37">
        <v>0</v>
      </c>
      <c r="M37">
        <v>1</v>
      </c>
      <c r="N37">
        <v>0.13</v>
      </c>
      <c r="O37">
        <v>0.1</v>
      </c>
      <c r="P37">
        <v>0</v>
      </c>
      <c r="Q37">
        <v>0</v>
      </c>
      <c r="R37">
        <v>0</v>
      </c>
      <c r="S37">
        <v>0.38</v>
      </c>
      <c r="T37">
        <v>3</v>
      </c>
      <c r="U37">
        <v>24</v>
      </c>
      <c r="V37">
        <v>221</v>
      </c>
      <c r="W37">
        <v>360</v>
      </c>
      <c r="X37">
        <v>53</v>
      </c>
      <c r="Y37">
        <v>0.14399999999999999</v>
      </c>
      <c r="Z37">
        <v>0</v>
      </c>
      <c r="AA37">
        <v>4.5999999999999996</v>
      </c>
    </row>
    <row r="38" spans="1:27" x14ac:dyDescent="0.25">
      <c r="A38">
        <v>1127.04</v>
      </c>
      <c r="B38" t="s">
        <v>298</v>
      </c>
      <c r="C38" t="s">
        <v>218</v>
      </c>
      <c r="D38">
        <v>80200</v>
      </c>
      <c r="E38" t="s">
        <v>299</v>
      </c>
      <c r="G38">
        <v>0</v>
      </c>
      <c r="I38">
        <v>18</v>
      </c>
      <c r="J38">
        <v>1.5</v>
      </c>
      <c r="K38">
        <v>1</v>
      </c>
      <c r="L38">
        <v>15</v>
      </c>
      <c r="M38">
        <v>0</v>
      </c>
      <c r="N38">
        <v>0.14000000000000001</v>
      </c>
      <c r="O38">
        <v>0.25</v>
      </c>
      <c r="P38">
        <v>15</v>
      </c>
      <c r="Q38">
        <v>0</v>
      </c>
      <c r="R38">
        <v>15</v>
      </c>
      <c r="S38">
        <v>0.12</v>
      </c>
      <c r="T38">
        <v>0.4</v>
      </c>
      <c r="U38">
        <v>20</v>
      </c>
      <c r="V38">
        <v>147</v>
      </c>
      <c r="W38">
        <v>285</v>
      </c>
      <c r="X38">
        <v>58</v>
      </c>
      <c r="Y38">
        <v>0.25</v>
      </c>
      <c r="Z38">
        <v>0.2</v>
      </c>
      <c r="AA38">
        <v>1.2</v>
      </c>
    </row>
    <row r="39" spans="1:27" x14ac:dyDescent="0.25">
      <c r="A39">
        <v>1128.01</v>
      </c>
      <c r="B39" t="s">
        <v>300</v>
      </c>
      <c r="C39" t="s">
        <v>214</v>
      </c>
      <c r="D39" t="s">
        <v>301</v>
      </c>
      <c r="E39" t="s">
        <v>302</v>
      </c>
      <c r="G39">
        <v>0</v>
      </c>
      <c r="I39">
        <v>39</v>
      </c>
      <c r="J39">
        <v>7</v>
      </c>
      <c r="K39">
        <v>3.18</v>
      </c>
      <c r="L39">
        <v>0</v>
      </c>
      <c r="M39">
        <v>0</v>
      </c>
      <c r="N39">
        <v>0.13</v>
      </c>
      <c r="O39">
        <v>1.1299999999999999</v>
      </c>
      <c r="P39">
        <v>0</v>
      </c>
      <c r="Q39">
        <v>0</v>
      </c>
      <c r="R39">
        <v>0</v>
      </c>
      <c r="S39">
        <v>0</v>
      </c>
      <c r="T39">
        <v>0</v>
      </c>
      <c r="U39">
        <v>36</v>
      </c>
      <c r="V39">
        <v>123</v>
      </c>
      <c r="W39">
        <v>232</v>
      </c>
      <c r="X39">
        <v>234</v>
      </c>
      <c r="Y39">
        <v>0.21</v>
      </c>
      <c r="Z39">
        <v>0</v>
      </c>
      <c r="AA39">
        <v>2.7</v>
      </c>
    </row>
    <row r="40" spans="1:27" x14ac:dyDescent="0.25">
      <c r="A40">
        <v>1129.99</v>
      </c>
      <c r="B40" t="s">
        <v>303</v>
      </c>
      <c r="C40" t="s">
        <v>214</v>
      </c>
      <c r="D40" t="s">
        <v>304</v>
      </c>
      <c r="E40" t="s">
        <v>305</v>
      </c>
      <c r="G40">
        <v>0</v>
      </c>
      <c r="I40">
        <v>15</v>
      </c>
      <c r="J40">
        <v>9.9</v>
      </c>
      <c r="K40">
        <v>6.06</v>
      </c>
      <c r="L40">
        <v>12</v>
      </c>
      <c r="M40">
        <v>0</v>
      </c>
      <c r="N40">
        <v>0.64</v>
      </c>
      <c r="O40">
        <v>1.39</v>
      </c>
      <c r="P40">
        <v>0</v>
      </c>
      <c r="Q40">
        <v>0</v>
      </c>
      <c r="R40">
        <v>0</v>
      </c>
      <c r="S40">
        <v>1.07</v>
      </c>
      <c r="T40">
        <v>18.3</v>
      </c>
      <c r="U40">
        <v>67</v>
      </c>
      <c r="V40">
        <v>586</v>
      </c>
      <c r="W40">
        <v>923</v>
      </c>
      <c r="X40">
        <v>2210</v>
      </c>
      <c r="Y40">
        <v>0.73</v>
      </c>
      <c r="Z40">
        <v>0</v>
      </c>
      <c r="AA40">
        <v>18.5</v>
      </c>
    </row>
    <row r="41" spans="1:27" x14ac:dyDescent="0.25">
      <c r="A41">
        <v>1131.01</v>
      </c>
      <c r="B41" t="s">
        <v>306</v>
      </c>
      <c r="C41" t="s">
        <v>214</v>
      </c>
      <c r="D41" t="s">
        <v>307</v>
      </c>
      <c r="E41" t="s">
        <v>308</v>
      </c>
      <c r="G41">
        <v>0.45</v>
      </c>
      <c r="I41">
        <v>17</v>
      </c>
      <c r="J41">
        <v>1.3</v>
      </c>
      <c r="K41">
        <v>0.83</v>
      </c>
      <c r="L41">
        <v>24</v>
      </c>
      <c r="M41">
        <v>0</v>
      </c>
      <c r="N41">
        <v>0.04</v>
      </c>
      <c r="O41">
        <v>0.06</v>
      </c>
      <c r="P41">
        <v>26</v>
      </c>
      <c r="Q41">
        <v>0</v>
      </c>
      <c r="R41">
        <v>26</v>
      </c>
      <c r="S41">
        <v>0.24</v>
      </c>
      <c r="T41">
        <v>1.6</v>
      </c>
      <c r="U41">
        <v>36</v>
      </c>
      <c r="V41">
        <v>275</v>
      </c>
      <c r="W41">
        <v>378</v>
      </c>
      <c r="X41">
        <v>52</v>
      </c>
      <c r="Y41">
        <v>0.06</v>
      </c>
      <c r="Z41">
        <v>3.1</v>
      </c>
      <c r="AA41">
        <v>3.5</v>
      </c>
    </row>
    <row r="42" spans="1:27" x14ac:dyDescent="0.25">
      <c r="A42">
        <v>1131.02</v>
      </c>
      <c r="B42" t="s">
        <v>309</v>
      </c>
      <c r="C42" t="s">
        <v>214</v>
      </c>
      <c r="D42" t="s">
        <v>310</v>
      </c>
      <c r="E42" t="s">
        <v>311</v>
      </c>
      <c r="G42">
        <v>0.28999999999999998</v>
      </c>
      <c r="I42">
        <v>28</v>
      </c>
      <c r="J42">
        <v>0.8</v>
      </c>
      <c r="K42">
        <v>0.49</v>
      </c>
      <c r="L42">
        <v>1</v>
      </c>
      <c r="M42">
        <v>0</v>
      </c>
      <c r="N42">
        <v>0.14000000000000001</v>
      </c>
      <c r="O42">
        <v>0.14000000000000001</v>
      </c>
      <c r="P42">
        <v>39</v>
      </c>
      <c r="Q42">
        <v>0</v>
      </c>
      <c r="R42">
        <v>39</v>
      </c>
      <c r="S42">
        <v>0.4</v>
      </c>
      <c r="T42">
        <v>2.4</v>
      </c>
      <c r="U42">
        <v>33</v>
      </c>
      <c r="V42">
        <v>210</v>
      </c>
      <c r="W42">
        <v>446</v>
      </c>
      <c r="X42">
        <v>59</v>
      </c>
      <c r="Y42">
        <v>0.06</v>
      </c>
      <c r="Z42">
        <v>7.3</v>
      </c>
      <c r="AA42">
        <v>5.3</v>
      </c>
    </row>
    <row r="43" spans="1:27" x14ac:dyDescent="0.25">
      <c r="A43">
        <v>1132.01</v>
      </c>
      <c r="B43" t="s">
        <v>312</v>
      </c>
      <c r="C43" t="s">
        <v>218</v>
      </c>
      <c r="D43">
        <v>15145</v>
      </c>
      <c r="E43" t="s">
        <v>313</v>
      </c>
      <c r="G43">
        <v>0</v>
      </c>
      <c r="I43">
        <v>27</v>
      </c>
      <c r="J43">
        <v>0.84</v>
      </c>
      <c r="K43">
        <v>1.3</v>
      </c>
      <c r="L43">
        <v>37</v>
      </c>
      <c r="M43">
        <v>1.2</v>
      </c>
      <c r="N43">
        <v>7.0000000000000007E-2</v>
      </c>
      <c r="O43">
        <v>3.2000000000000001E-2</v>
      </c>
      <c r="P43">
        <v>16</v>
      </c>
      <c r="Q43">
        <v>0</v>
      </c>
      <c r="R43">
        <v>16</v>
      </c>
      <c r="S43">
        <v>0.108</v>
      </c>
      <c r="T43">
        <v>2</v>
      </c>
      <c r="U43">
        <v>27</v>
      </c>
      <c r="V43">
        <v>256</v>
      </c>
      <c r="W43">
        <v>302</v>
      </c>
      <c r="X43">
        <v>58</v>
      </c>
      <c r="Y43">
        <v>0.41899999999999998</v>
      </c>
      <c r="Z43">
        <v>0</v>
      </c>
      <c r="AA43">
        <v>2.2080000000000002</v>
      </c>
    </row>
    <row r="44" spans="1:27" x14ac:dyDescent="0.25">
      <c r="A44">
        <v>1132.02</v>
      </c>
      <c r="B44" t="s">
        <v>314</v>
      </c>
      <c r="C44" t="s">
        <v>218</v>
      </c>
      <c r="D44">
        <v>15227</v>
      </c>
      <c r="E44" t="s">
        <v>315</v>
      </c>
      <c r="G44">
        <v>0</v>
      </c>
      <c r="I44">
        <v>33</v>
      </c>
      <c r="J44">
        <v>2.88</v>
      </c>
      <c r="K44">
        <v>3.59</v>
      </c>
      <c r="L44">
        <v>42</v>
      </c>
      <c r="M44">
        <v>7.2</v>
      </c>
      <c r="N44">
        <v>9.6999999999999906E-2</v>
      </c>
      <c r="O44">
        <v>0.24399999999999999</v>
      </c>
      <c r="P44">
        <v>52</v>
      </c>
      <c r="Q44">
        <v>0</v>
      </c>
      <c r="R44">
        <v>52</v>
      </c>
      <c r="S44">
        <v>0.17299999999999999</v>
      </c>
      <c r="T44">
        <v>10.38</v>
      </c>
      <c r="U44">
        <v>63</v>
      </c>
      <c r="V44">
        <v>128</v>
      </c>
      <c r="W44">
        <v>200</v>
      </c>
      <c r="X44">
        <v>691</v>
      </c>
      <c r="Y44">
        <v>0.621</v>
      </c>
      <c r="Z44">
        <v>0</v>
      </c>
      <c r="AA44">
        <v>2.8849999999999998</v>
      </c>
    </row>
    <row r="45" spans="1:27" x14ac:dyDescent="0.25">
      <c r="A45">
        <v>1132.03</v>
      </c>
      <c r="B45" t="s">
        <v>316</v>
      </c>
      <c r="C45" t="s">
        <v>218</v>
      </c>
      <c r="D45">
        <v>80200</v>
      </c>
      <c r="E45" t="s">
        <v>299</v>
      </c>
      <c r="G45">
        <v>0</v>
      </c>
      <c r="I45">
        <v>18</v>
      </c>
      <c r="J45">
        <v>1.5</v>
      </c>
      <c r="K45">
        <v>1</v>
      </c>
      <c r="L45">
        <v>15</v>
      </c>
      <c r="M45">
        <v>0</v>
      </c>
      <c r="N45">
        <v>0.14000000000000001</v>
      </c>
      <c r="O45">
        <v>0.25</v>
      </c>
      <c r="P45">
        <v>15</v>
      </c>
      <c r="Q45">
        <v>0</v>
      </c>
      <c r="R45">
        <v>15</v>
      </c>
      <c r="S45">
        <v>0.12</v>
      </c>
      <c r="T45">
        <v>0.4</v>
      </c>
      <c r="U45">
        <v>20</v>
      </c>
      <c r="V45">
        <v>147</v>
      </c>
      <c r="W45">
        <v>285</v>
      </c>
      <c r="X45">
        <v>58</v>
      </c>
      <c r="Y45">
        <v>0.25</v>
      </c>
      <c r="Z45">
        <v>0.2</v>
      </c>
      <c r="AA45">
        <v>1.2</v>
      </c>
    </row>
    <row r="46" spans="1:27" x14ac:dyDescent="0.25">
      <c r="A46">
        <v>1133.01</v>
      </c>
      <c r="B46" t="s">
        <v>317</v>
      </c>
      <c r="C46" t="s">
        <v>218</v>
      </c>
      <c r="D46">
        <v>15035</v>
      </c>
      <c r="E46" t="s">
        <v>318</v>
      </c>
      <c r="G46">
        <v>0</v>
      </c>
      <c r="I46">
        <v>49</v>
      </c>
      <c r="J46">
        <v>1.4</v>
      </c>
      <c r="K46">
        <v>0.5</v>
      </c>
      <c r="L46">
        <v>15</v>
      </c>
      <c r="M46">
        <v>0</v>
      </c>
      <c r="N46">
        <v>4.7E-2</v>
      </c>
      <c r="O46">
        <v>4.9000000000000002E-2</v>
      </c>
      <c r="P46">
        <v>24</v>
      </c>
      <c r="Q46">
        <v>0</v>
      </c>
      <c r="R46">
        <v>24</v>
      </c>
      <c r="S46">
        <v>0.4</v>
      </c>
      <c r="T46">
        <v>1.6</v>
      </c>
      <c r="U46">
        <v>54</v>
      </c>
      <c r="V46">
        <v>251</v>
      </c>
      <c r="W46">
        <v>415</v>
      </c>
      <c r="X46">
        <v>763</v>
      </c>
      <c r="Y46">
        <v>4.2000000000000003E-2</v>
      </c>
      <c r="Z46">
        <v>0.8</v>
      </c>
      <c r="AA46">
        <v>5.0730000000000004</v>
      </c>
    </row>
    <row r="47" spans="1:27" x14ac:dyDescent="0.25">
      <c r="A47">
        <v>1133.02</v>
      </c>
      <c r="B47" t="s">
        <v>319</v>
      </c>
      <c r="C47" t="s">
        <v>214</v>
      </c>
      <c r="D47" t="s">
        <v>320</v>
      </c>
      <c r="E47" t="s">
        <v>321</v>
      </c>
      <c r="G47">
        <v>0.48</v>
      </c>
      <c r="I47">
        <v>71</v>
      </c>
      <c r="J47">
        <v>1.8</v>
      </c>
      <c r="K47">
        <v>1.57</v>
      </c>
      <c r="L47">
        <v>4</v>
      </c>
      <c r="M47">
        <v>0</v>
      </c>
      <c r="N47">
        <v>0.02</v>
      </c>
      <c r="O47">
        <v>0.21</v>
      </c>
      <c r="P47">
        <v>18</v>
      </c>
      <c r="Q47">
        <v>6</v>
      </c>
      <c r="R47">
        <v>19</v>
      </c>
      <c r="S47">
        <v>0.96</v>
      </c>
      <c r="T47">
        <v>11</v>
      </c>
      <c r="U47">
        <v>35</v>
      </c>
      <c r="V47">
        <v>281</v>
      </c>
      <c r="W47">
        <v>499</v>
      </c>
      <c r="X47">
        <v>77</v>
      </c>
      <c r="Y47">
        <v>7.0000000000000007E-2</v>
      </c>
      <c r="Z47">
        <v>11</v>
      </c>
      <c r="AA47">
        <v>9.4</v>
      </c>
    </row>
    <row r="48" spans="1:27" x14ac:dyDescent="0.25">
      <c r="A48">
        <v>1133.03</v>
      </c>
      <c r="B48" t="s">
        <v>322</v>
      </c>
      <c r="C48" t="s">
        <v>218</v>
      </c>
      <c r="D48">
        <v>35165</v>
      </c>
      <c r="E48" t="s">
        <v>323</v>
      </c>
      <c r="G48">
        <v>0</v>
      </c>
      <c r="I48">
        <v>810</v>
      </c>
      <c r="J48">
        <v>4.0999999999999996</v>
      </c>
      <c r="K48">
        <v>5</v>
      </c>
      <c r="L48">
        <v>11</v>
      </c>
      <c r="M48">
        <v>0</v>
      </c>
      <c r="N48">
        <v>5.2999999999999999E-2</v>
      </c>
      <c r="O48">
        <v>0.437999999999999</v>
      </c>
      <c r="P48">
        <v>39</v>
      </c>
      <c r="Q48">
        <v>0</v>
      </c>
      <c r="R48">
        <v>39</v>
      </c>
      <c r="S48">
        <v>0.36499999999999999</v>
      </c>
      <c r="T48">
        <v>18.399999999999999</v>
      </c>
      <c r="U48">
        <v>85</v>
      </c>
      <c r="V48">
        <v>1040</v>
      </c>
      <c r="W48">
        <v>1080</v>
      </c>
      <c r="X48">
        <v>200</v>
      </c>
      <c r="Y48">
        <v>0.18</v>
      </c>
      <c r="Z48">
        <v>0</v>
      </c>
      <c r="AA48">
        <v>11.2</v>
      </c>
    </row>
    <row r="49" spans="1:27" x14ac:dyDescent="0.25">
      <c r="A49">
        <v>1134.01</v>
      </c>
      <c r="B49" t="s">
        <v>324</v>
      </c>
      <c r="C49" t="s">
        <v>214</v>
      </c>
      <c r="D49" t="s">
        <v>325</v>
      </c>
      <c r="E49" t="s">
        <v>326</v>
      </c>
      <c r="G49">
        <v>0</v>
      </c>
      <c r="I49">
        <v>382</v>
      </c>
      <c r="J49">
        <v>2.9</v>
      </c>
      <c r="K49">
        <v>1.31</v>
      </c>
      <c r="L49">
        <v>10</v>
      </c>
      <c r="M49">
        <v>0</v>
      </c>
      <c r="N49">
        <v>0.08</v>
      </c>
      <c r="O49">
        <v>0.23</v>
      </c>
      <c r="P49">
        <v>32</v>
      </c>
      <c r="Q49">
        <v>0</v>
      </c>
      <c r="R49">
        <v>32</v>
      </c>
      <c r="S49">
        <v>0.17</v>
      </c>
      <c r="T49">
        <v>8.9</v>
      </c>
      <c r="U49">
        <v>39</v>
      </c>
      <c r="V49">
        <v>490</v>
      </c>
      <c r="W49">
        <v>397</v>
      </c>
      <c r="X49">
        <v>505</v>
      </c>
      <c r="Y49">
        <v>0.19</v>
      </c>
      <c r="Z49">
        <v>12</v>
      </c>
      <c r="AA49">
        <v>5.2</v>
      </c>
    </row>
    <row r="50" spans="1:27" x14ac:dyDescent="0.25">
      <c r="A50">
        <v>1139.99</v>
      </c>
      <c r="B50" t="s">
        <v>327</v>
      </c>
      <c r="C50" t="s">
        <v>218</v>
      </c>
      <c r="D50">
        <v>80200</v>
      </c>
      <c r="E50" t="s">
        <v>299</v>
      </c>
      <c r="G50">
        <v>0</v>
      </c>
      <c r="I50">
        <v>18</v>
      </c>
      <c r="J50">
        <v>1.5</v>
      </c>
      <c r="K50">
        <v>1</v>
      </c>
      <c r="L50">
        <v>15</v>
      </c>
      <c r="M50">
        <v>0</v>
      </c>
      <c r="N50">
        <v>0.14000000000000001</v>
      </c>
      <c r="O50">
        <v>0.25</v>
      </c>
      <c r="P50">
        <v>15</v>
      </c>
      <c r="Q50">
        <v>0</v>
      </c>
      <c r="R50">
        <v>15</v>
      </c>
      <c r="S50">
        <v>0.12</v>
      </c>
      <c r="T50">
        <v>0.4</v>
      </c>
      <c r="U50">
        <v>20</v>
      </c>
      <c r="V50">
        <v>147</v>
      </c>
      <c r="W50">
        <v>285</v>
      </c>
      <c r="X50">
        <v>58</v>
      </c>
      <c r="Y50">
        <v>0.25</v>
      </c>
      <c r="Z50">
        <v>0.2</v>
      </c>
      <c r="AA50">
        <v>1.2</v>
      </c>
    </row>
    <row r="51" spans="1:27" x14ac:dyDescent="0.25">
      <c r="A51">
        <v>1141.01</v>
      </c>
      <c r="B51" t="s">
        <v>328</v>
      </c>
      <c r="C51" t="s">
        <v>214</v>
      </c>
      <c r="D51" t="s">
        <v>329</v>
      </c>
      <c r="E51" t="s">
        <v>330</v>
      </c>
      <c r="G51">
        <v>0</v>
      </c>
      <c r="I51">
        <v>120</v>
      </c>
      <c r="J51">
        <v>0.05</v>
      </c>
      <c r="K51">
        <v>0.39</v>
      </c>
      <c r="L51">
        <v>10</v>
      </c>
      <c r="M51">
        <v>1.5</v>
      </c>
      <c r="N51">
        <v>0.04</v>
      </c>
      <c r="O51">
        <v>0.18</v>
      </c>
      <c r="P51">
        <v>31</v>
      </c>
      <c r="Q51">
        <v>18</v>
      </c>
      <c r="R51">
        <v>33</v>
      </c>
      <c r="S51">
        <v>0.05</v>
      </c>
      <c r="T51">
        <v>0.6</v>
      </c>
      <c r="U51">
        <v>11</v>
      </c>
      <c r="V51">
        <v>92</v>
      </c>
      <c r="W51">
        <v>153</v>
      </c>
      <c r="X51">
        <v>45</v>
      </c>
      <c r="Y51">
        <v>0.01</v>
      </c>
      <c r="Z51">
        <v>0.1</v>
      </c>
      <c r="AA51">
        <v>0.1</v>
      </c>
    </row>
    <row r="52" spans="1:27" x14ac:dyDescent="0.25">
      <c r="A52">
        <v>1141.02</v>
      </c>
      <c r="B52" t="s">
        <v>331</v>
      </c>
      <c r="C52" t="s">
        <v>214</v>
      </c>
      <c r="D52" t="s">
        <v>329</v>
      </c>
      <c r="E52" t="s">
        <v>330</v>
      </c>
      <c r="G52">
        <v>0</v>
      </c>
      <c r="I52">
        <v>120</v>
      </c>
      <c r="J52">
        <v>0.05</v>
      </c>
      <c r="K52">
        <v>0.39</v>
      </c>
      <c r="L52">
        <v>10</v>
      </c>
      <c r="M52">
        <v>1.5</v>
      </c>
      <c r="N52">
        <v>0.04</v>
      </c>
      <c r="O52">
        <v>0.18</v>
      </c>
      <c r="P52">
        <v>31</v>
      </c>
      <c r="Q52">
        <v>18</v>
      </c>
      <c r="R52">
        <v>33</v>
      </c>
      <c r="S52">
        <v>0.05</v>
      </c>
      <c r="T52">
        <v>0.6</v>
      </c>
      <c r="U52">
        <v>11</v>
      </c>
      <c r="V52">
        <v>92</v>
      </c>
      <c r="W52">
        <v>153</v>
      </c>
      <c r="X52">
        <v>45</v>
      </c>
      <c r="Y52">
        <v>0.01</v>
      </c>
      <c r="Z52">
        <v>0.1</v>
      </c>
      <c r="AA52">
        <v>0.1</v>
      </c>
    </row>
    <row r="53" spans="1:27" x14ac:dyDescent="0.25">
      <c r="A53">
        <v>1141.99</v>
      </c>
      <c r="B53" t="s">
        <v>332</v>
      </c>
      <c r="C53" t="s">
        <v>214</v>
      </c>
      <c r="D53" t="s">
        <v>333</v>
      </c>
      <c r="E53" t="s">
        <v>334</v>
      </c>
      <c r="G53">
        <v>0</v>
      </c>
      <c r="I53">
        <v>118</v>
      </c>
      <c r="J53">
        <v>0.1</v>
      </c>
      <c r="K53">
        <v>0.47</v>
      </c>
      <c r="L53">
        <v>23</v>
      </c>
      <c r="M53">
        <v>0.7</v>
      </c>
      <c r="N53">
        <v>0.04</v>
      </c>
      <c r="O53">
        <v>0.16</v>
      </c>
      <c r="P53">
        <v>27</v>
      </c>
      <c r="Q53">
        <v>14</v>
      </c>
      <c r="R53">
        <v>28</v>
      </c>
      <c r="S53">
        <v>0.04</v>
      </c>
      <c r="T53">
        <v>0.2</v>
      </c>
      <c r="U53">
        <v>12</v>
      </c>
      <c r="V53">
        <v>88</v>
      </c>
      <c r="W53">
        <v>152</v>
      </c>
      <c r="X53">
        <v>41</v>
      </c>
      <c r="Y53">
        <v>0.01</v>
      </c>
      <c r="Z53">
        <v>0.1</v>
      </c>
      <c r="AA53">
        <v>0.1</v>
      </c>
    </row>
    <row r="54" spans="1:27" x14ac:dyDescent="0.25">
      <c r="A54">
        <v>1142.01</v>
      </c>
      <c r="B54" t="s">
        <v>335</v>
      </c>
      <c r="C54" t="s">
        <v>214</v>
      </c>
      <c r="D54" t="s">
        <v>336</v>
      </c>
      <c r="E54" t="s">
        <v>337</v>
      </c>
      <c r="G54">
        <v>0</v>
      </c>
      <c r="I54">
        <v>122</v>
      </c>
      <c r="J54">
        <v>0.03</v>
      </c>
      <c r="K54">
        <v>0.41</v>
      </c>
      <c r="L54">
        <v>12</v>
      </c>
      <c r="M54">
        <v>1.3</v>
      </c>
      <c r="N54">
        <v>0.05</v>
      </c>
      <c r="O54">
        <v>0.18</v>
      </c>
      <c r="P54">
        <v>13</v>
      </c>
      <c r="Q54">
        <v>7</v>
      </c>
      <c r="R54">
        <v>14</v>
      </c>
      <c r="S54">
        <v>0.05</v>
      </c>
      <c r="T54">
        <v>0.5</v>
      </c>
      <c r="U54">
        <v>12</v>
      </c>
      <c r="V54">
        <v>96</v>
      </c>
      <c r="W54">
        <v>153</v>
      </c>
      <c r="X54">
        <v>43</v>
      </c>
      <c r="Y54">
        <v>0.01</v>
      </c>
      <c r="Z54">
        <v>0.1</v>
      </c>
      <c r="AA54">
        <v>0.1</v>
      </c>
    </row>
    <row r="55" spans="1:27" x14ac:dyDescent="0.25">
      <c r="A55">
        <v>1142.02</v>
      </c>
      <c r="B55" t="s">
        <v>338</v>
      </c>
      <c r="C55" t="s">
        <v>214</v>
      </c>
      <c r="D55" t="s">
        <v>339</v>
      </c>
      <c r="E55" t="s">
        <v>340</v>
      </c>
      <c r="G55">
        <v>0</v>
      </c>
      <c r="I55">
        <v>124</v>
      </c>
      <c r="J55">
        <v>0.03</v>
      </c>
      <c r="K55">
        <v>0.41</v>
      </c>
      <c r="L55">
        <v>6</v>
      </c>
      <c r="M55">
        <v>1.3</v>
      </c>
      <c r="N55">
        <v>0.04</v>
      </c>
      <c r="O55">
        <v>0.17</v>
      </c>
      <c r="P55">
        <v>4</v>
      </c>
      <c r="Q55">
        <v>2</v>
      </c>
      <c r="R55">
        <v>4</v>
      </c>
      <c r="S55">
        <v>0.05</v>
      </c>
      <c r="T55">
        <v>0.5</v>
      </c>
      <c r="U55">
        <v>12</v>
      </c>
      <c r="V55">
        <v>97</v>
      </c>
      <c r="W55">
        <v>157</v>
      </c>
      <c r="X55">
        <v>44</v>
      </c>
      <c r="Y55">
        <v>0.01</v>
      </c>
      <c r="Z55">
        <v>0.1</v>
      </c>
      <c r="AA55">
        <v>0.1</v>
      </c>
    </row>
    <row r="56" spans="1:27" x14ac:dyDescent="0.25">
      <c r="A56">
        <v>1143.01</v>
      </c>
      <c r="B56" t="s">
        <v>341</v>
      </c>
      <c r="C56" t="s">
        <v>214</v>
      </c>
      <c r="D56" t="s">
        <v>342</v>
      </c>
      <c r="E56" t="s">
        <v>343</v>
      </c>
      <c r="G56">
        <v>0</v>
      </c>
      <c r="I56">
        <v>284</v>
      </c>
      <c r="J56">
        <v>0.2</v>
      </c>
      <c r="K56">
        <v>0.94</v>
      </c>
      <c r="L56">
        <v>11</v>
      </c>
      <c r="M56">
        <v>2.6</v>
      </c>
      <c r="N56">
        <v>0.09</v>
      </c>
      <c r="O56">
        <v>0.42</v>
      </c>
      <c r="P56">
        <v>73</v>
      </c>
      <c r="Q56">
        <v>14</v>
      </c>
      <c r="R56">
        <v>74</v>
      </c>
      <c r="S56">
        <v>0.05</v>
      </c>
      <c r="T56">
        <v>0.4</v>
      </c>
      <c r="U56">
        <v>26</v>
      </c>
      <c r="V56">
        <v>253</v>
      </c>
      <c r="W56">
        <v>371</v>
      </c>
      <c r="X56">
        <v>127</v>
      </c>
      <c r="Y56">
        <v>0.02</v>
      </c>
      <c r="Z56">
        <v>0.2</v>
      </c>
      <c r="AA56">
        <v>0.2</v>
      </c>
    </row>
    <row r="57" spans="1:27" x14ac:dyDescent="0.25">
      <c r="A57">
        <v>1143.02</v>
      </c>
      <c r="B57" t="s">
        <v>344</v>
      </c>
      <c r="C57" t="s">
        <v>214</v>
      </c>
      <c r="D57" t="s">
        <v>345</v>
      </c>
      <c r="E57" t="s">
        <v>346</v>
      </c>
      <c r="F57" t="s">
        <v>107</v>
      </c>
      <c r="G57">
        <v>0</v>
      </c>
      <c r="I57">
        <v>1260</v>
      </c>
      <c r="J57">
        <v>0.3</v>
      </c>
      <c r="K57">
        <v>4.08</v>
      </c>
      <c r="L57">
        <v>50</v>
      </c>
      <c r="M57">
        <v>6.8</v>
      </c>
      <c r="N57">
        <v>0.42</v>
      </c>
      <c r="O57">
        <v>1.55</v>
      </c>
      <c r="P57">
        <v>15</v>
      </c>
      <c r="Q57">
        <v>7</v>
      </c>
      <c r="R57">
        <v>15</v>
      </c>
      <c r="S57">
        <v>0.36</v>
      </c>
      <c r="T57">
        <v>4</v>
      </c>
      <c r="U57">
        <v>110</v>
      </c>
      <c r="V57">
        <v>968</v>
      </c>
      <c r="W57">
        <v>1790</v>
      </c>
      <c r="X57">
        <v>535</v>
      </c>
      <c r="Y57">
        <v>0.04</v>
      </c>
      <c r="Z57">
        <v>0</v>
      </c>
      <c r="AA57">
        <v>1</v>
      </c>
    </row>
    <row r="58" spans="1:27" x14ac:dyDescent="0.25">
      <c r="A58">
        <v>1143.03</v>
      </c>
      <c r="B58" t="s">
        <v>347</v>
      </c>
      <c r="C58" t="s">
        <v>214</v>
      </c>
      <c r="D58" t="s">
        <v>345</v>
      </c>
      <c r="E58" t="s">
        <v>346</v>
      </c>
      <c r="F58" t="s">
        <v>348</v>
      </c>
      <c r="G58">
        <v>0</v>
      </c>
      <c r="I58">
        <v>1260</v>
      </c>
      <c r="J58">
        <v>0.3</v>
      </c>
      <c r="K58">
        <v>4.08</v>
      </c>
      <c r="L58">
        <v>50</v>
      </c>
      <c r="M58">
        <v>6.8</v>
      </c>
      <c r="N58">
        <v>0.42</v>
      </c>
      <c r="O58">
        <v>1.55</v>
      </c>
      <c r="P58">
        <v>15</v>
      </c>
      <c r="Q58">
        <v>7</v>
      </c>
      <c r="R58">
        <v>15</v>
      </c>
      <c r="S58">
        <v>0.36</v>
      </c>
      <c r="T58">
        <v>4</v>
      </c>
      <c r="U58">
        <v>110</v>
      </c>
      <c r="V58">
        <v>968</v>
      </c>
      <c r="W58">
        <v>1790</v>
      </c>
      <c r="X58">
        <v>535</v>
      </c>
      <c r="Y58">
        <v>0.04</v>
      </c>
      <c r="Z58">
        <v>0</v>
      </c>
      <c r="AA58">
        <v>1</v>
      </c>
    </row>
    <row r="59" spans="1:27" x14ac:dyDescent="0.25">
      <c r="A59">
        <v>1143.04</v>
      </c>
      <c r="B59" t="s">
        <v>349</v>
      </c>
      <c r="C59" t="s">
        <v>214</v>
      </c>
      <c r="D59" t="s">
        <v>350</v>
      </c>
      <c r="E59" t="s">
        <v>351</v>
      </c>
      <c r="F59" t="s">
        <v>348</v>
      </c>
      <c r="G59">
        <v>0</v>
      </c>
      <c r="I59">
        <v>358</v>
      </c>
      <c r="J59">
        <v>9.3000000000000007</v>
      </c>
      <c r="K59">
        <v>3.9</v>
      </c>
      <c r="L59">
        <v>39</v>
      </c>
      <c r="M59">
        <v>43</v>
      </c>
      <c r="N59">
        <v>0.52</v>
      </c>
      <c r="O59">
        <v>0.78</v>
      </c>
      <c r="P59">
        <v>467</v>
      </c>
      <c r="Q59">
        <v>0</v>
      </c>
      <c r="R59">
        <v>467</v>
      </c>
      <c r="S59">
        <v>0.33</v>
      </c>
      <c r="T59">
        <v>1</v>
      </c>
      <c r="U59">
        <v>31</v>
      </c>
      <c r="V59">
        <v>280</v>
      </c>
      <c r="W59">
        <v>482</v>
      </c>
      <c r="X59">
        <v>140</v>
      </c>
      <c r="Y59">
        <v>0.37</v>
      </c>
      <c r="Z59">
        <v>7.8</v>
      </c>
      <c r="AA59">
        <v>3.9</v>
      </c>
    </row>
    <row r="60" spans="1:27" x14ac:dyDescent="0.25">
      <c r="A60">
        <v>1144.01</v>
      </c>
      <c r="B60" t="s">
        <v>352</v>
      </c>
      <c r="C60" t="s">
        <v>214</v>
      </c>
      <c r="D60" t="s">
        <v>353</v>
      </c>
      <c r="E60" t="s">
        <v>354</v>
      </c>
      <c r="F60" t="s">
        <v>348</v>
      </c>
      <c r="G60">
        <v>0</v>
      </c>
      <c r="I60">
        <v>142</v>
      </c>
      <c r="J60">
        <v>0.1</v>
      </c>
      <c r="K60">
        <v>0.3</v>
      </c>
      <c r="L60">
        <v>1</v>
      </c>
      <c r="M60">
        <v>1.5</v>
      </c>
      <c r="N60">
        <v>0.06</v>
      </c>
      <c r="O60">
        <v>0.17</v>
      </c>
      <c r="P60">
        <v>33</v>
      </c>
      <c r="Q60">
        <v>0</v>
      </c>
      <c r="R60">
        <v>33</v>
      </c>
      <c r="S60">
        <v>0.04</v>
      </c>
      <c r="T60">
        <v>0.1</v>
      </c>
      <c r="U60">
        <v>14</v>
      </c>
      <c r="V60">
        <v>119</v>
      </c>
      <c r="W60">
        <v>215</v>
      </c>
      <c r="X60">
        <v>48</v>
      </c>
      <c r="Y60">
        <v>0.02</v>
      </c>
      <c r="Z60">
        <v>0.1</v>
      </c>
      <c r="AA60">
        <v>0.3</v>
      </c>
    </row>
    <row r="61" spans="1:27" x14ac:dyDescent="0.25">
      <c r="A61">
        <v>1144.02</v>
      </c>
      <c r="B61" t="s">
        <v>355</v>
      </c>
      <c r="C61" t="s">
        <v>214</v>
      </c>
      <c r="D61" t="s">
        <v>356</v>
      </c>
      <c r="E61" t="s">
        <v>357</v>
      </c>
      <c r="F61" t="s">
        <v>109</v>
      </c>
      <c r="G61">
        <v>0</v>
      </c>
      <c r="I61">
        <v>152</v>
      </c>
      <c r="J61">
        <v>0.1</v>
      </c>
      <c r="K61">
        <v>0.57999999999999996</v>
      </c>
      <c r="L61">
        <v>12</v>
      </c>
      <c r="M61">
        <v>0.7</v>
      </c>
      <c r="N61">
        <v>0.04</v>
      </c>
      <c r="O61">
        <v>0.2</v>
      </c>
      <c r="P61">
        <v>29</v>
      </c>
      <c r="Q61">
        <v>16</v>
      </c>
      <c r="R61">
        <v>30</v>
      </c>
      <c r="S61">
        <v>0.04</v>
      </c>
      <c r="T61">
        <v>0.3</v>
      </c>
      <c r="U61">
        <v>15</v>
      </c>
      <c r="V61">
        <v>127</v>
      </c>
      <c r="W61">
        <v>209</v>
      </c>
      <c r="X61">
        <v>64</v>
      </c>
      <c r="Y61">
        <v>0.02</v>
      </c>
      <c r="Z61">
        <v>0.1</v>
      </c>
      <c r="AA61">
        <v>0.1</v>
      </c>
    </row>
    <row r="62" spans="1:27" x14ac:dyDescent="0.25">
      <c r="A62">
        <v>1144.03</v>
      </c>
      <c r="B62" t="s">
        <v>358</v>
      </c>
      <c r="C62" t="s">
        <v>214</v>
      </c>
      <c r="D62" t="s">
        <v>336</v>
      </c>
      <c r="E62" t="s">
        <v>330</v>
      </c>
      <c r="F62" t="s">
        <v>107</v>
      </c>
      <c r="G62">
        <v>0</v>
      </c>
      <c r="I62">
        <v>122</v>
      </c>
      <c r="J62">
        <v>0.03</v>
      </c>
      <c r="K62">
        <v>0.41</v>
      </c>
      <c r="L62">
        <v>12</v>
      </c>
      <c r="M62">
        <v>1.3</v>
      </c>
      <c r="N62">
        <v>0.05</v>
      </c>
      <c r="O62">
        <v>0.18</v>
      </c>
      <c r="P62">
        <v>13</v>
      </c>
      <c r="Q62">
        <v>7</v>
      </c>
      <c r="R62">
        <v>14</v>
      </c>
      <c r="S62">
        <v>0.05</v>
      </c>
      <c r="T62">
        <v>0.5</v>
      </c>
      <c r="U62">
        <v>12</v>
      </c>
      <c r="V62">
        <v>96</v>
      </c>
      <c r="W62">
        <v>153</v>
      </c>
      <c r="X62">
        <v>43</v>
      </c>
      <c r="Y62">
        <v>0.01</v>
      </c>
      <c r="Z62">
        <v>0.1</v>
      </c>
      <c r="AA62">
        <v>0.1</v>
      </c>
    </row>
    <row r="63" spans="1:27" x14ac:dyDescent="0.25">
      <c r="A63">
        <v>1145.01</v>
      </c>
      <c r="B63" t="s">
        <v>359</v>
      </c>
      <c r="C63" t="s">
        <v>214</v>
      </c>
      <c r="D63" t="s">
        <v>360</v>
      </c>
      <c r="E63" t="s">
        <v>361</v>
      </c>
      <c r="F63" t="s">
        <v>107</v>
      </c>
      <c r="G63">
        <v>0</v>
      </c>
      <c r="I63">
        <v>753</v>
      </c>
      <c r="J63">
        <v>0.5</v>
      </c>
      <c r="K63">
        <v>3.82</v>
      </c>
      <c r="L63">
        <v>21</v>
      </c>
      <c r="M63">
        <v>0</v>
      </c>
      <c r="N63">
        <v>0.04</v>
      </c>
      <c r="O63">
        <v>0.33</v>
      </c>
      <c r="P63">
        <v>164</v>
      </c>
      <c r="Q63">
        <v>0</v>
      </c>
      <c r="R63">
        <v>165</v>
      </c>
      <c r="S63">
        <v>0.08</v>
      </c>
      <c r="T63">
        <v>1.5</v>
      </c>
      <c r="U63">
        <v>30</v>
      </c>
      <c r="V63">
        <v>556</v>
      </c>
      <c r="W63">
        <v>96</v>
      </c>
      <c r="X63">
        <v>665</v>
      </c>
      <c r="Y63">
        <v>0.05</v>
      </c>
      <c r="Z63">
        <v>0.4</v>
      </c>
      <c r="AA63">
        <v>0.1</v>
      </c>
    </row>
    <row r="64" spans="1:27" x14ac:dyDescent="0.25">
      <c r="A64">
        <v>1146.01</v>
      </c>
      <c r="B64" t="s">
        <v>362</v>
      </c>
      <c r="C64" t="s">
        <v>214</v>
      </c>
      <c r="D64" t="s">
        <v>363</v>
      </c>
      <c r="E64" t="s">
        <v>364</v>
      </c>
      <c r="F64" t="s">
        <v>107</v>
      </c>
      <c r="G64">
        <v>0</v>
      </c>
      <c r="I64">
        <v>104</v>
      </c>
      <c r="J64">
        <v>0.04</v>
      </c>
      <c r="K64">
        <v>0.37</v>
      </c>
      <c r="L64">
        <v>12</v>
      </c>
      <c r="M64">
        <v>1</v>
      </c>
      <c r="N64">
        <v>0.04</v>
      </c>
      <c r="O64">
        <v>0.19</v>
      </c>
      <c r="P64">
        <v>115</v>
      </c>
      <c r="Q64">
        <v>59</v>
      </c>
      <c r="R64">
        <v>120</v>
      </c>
      <c r="S64">
        <v>0.05</v>
      </c>
      <c r="T64">
        <v>0.4</v>
      </c>
      <c r="U64">
        <v>11</v>
      </c>
      <c r="V64">
        <v>79</v>
      </c>
      <c r="W64">
        <v>136</v>
      </c>
      <c r="X64">
        <v>39</v>
      </c>
      <c r="Y64">
        <v>0.01</v>
      </c>
      <c r="Z64">
        <v>0.2</v>
      </c>
      <c r="AA64">
        <v>0.1</v>
      </c>
    </row>
    <row r="65" spans="1:27" x14ac:dyDescent="0.25">
      <c r="A65">
        <v>1147.01</v>
      </c>
      <c r="B65" t="s">
        <v>365</v>
      </c>
      <c r="C65" t="s">
        <v>214</v>
      </c>
      <c r="D65" t="s">
        <v>366</v>
      </c>
      <c r="E65" t="s">
        <v>367</v>
      </c>
      <c r="F65" t="s">
        <v>107</v>
      </c>
      <c r="G65">
        <v>0</v>
      </c>
      <c r="I65">
        <v>56</v>
      </c>
      <c r="J65">
        <v>1.8</v>
      </c>
      <c r="K65">
        <v>1.29</v>
      </c>
      <c r="L65">
        <v>47</v>
      </c>
      <c r="M65">
        <v>0</v>
      </c>
      <c r="N65">
        <v>0.04</v>
      </c>
      <c r="O65">
        <v>0.46</v>
      </c>
      <c r="P65">
        <v>160</v>
      </c>
      <c r="Q65">
        <v>5</v>
      </c>
      <c r="R65">
        <v>160</v>
      </c>
      <c r="S65">
        <v>0.17</v>
      </c>
      <c r="T65">
        <v>0.9</v>
      </c>
      <c r="U65">
        <v>12</v>
      </c>
      <c r="V65">
        <v>198</v>
      </c>
      <c r="W65">
        <v>138</v>
      </c>
      <c r="X65">
        <v>142</v>
      </c>
      <c r="Y65">
        <v>7.0000000000000007E-2</v>
      </c>
      <c r="Z65">
        <v>2</v>
      </c>
      <c r="AA65">
        <v>0.1</v>
      </c>
    </row>
    <row r="66" spans="1:27" x14ac:dyDescent="0.25">
      <c r="A66">
        <v>1151.01</v>
      </c>
      <c r="B66" t="s">
        <v>368</v>
      </c>
      <c r="C66" t="s">
        <v>214</v>
      </c>
      <c r="D66" t="s">
        <v>369</v>
      </c>
      <c r="E66" t="s">
        <v>370</v>
      </c>
      <c r="F66" t="s">
        <v>348</v>
      </c>
      <c r="G66">
        <v>0</v>
      </c>
      <c r="I66">
        <v>17</v>
      </c>
      <c r="J66">
        <v>0.03</v>
      </c>
      <c r="K66">
        <v>0.12</v>
      </c>
      <c r="L66">
        <v>3</v>
      </c>
      <c r="M66">
        <v>0</v>
      </c>
      <c r="N66">
        <v>0.01</v>
      </c>
      <c r="O66">
        <v>0.03</v>
      </c>
      <c r="P66">
        <v>675</v>
      </c>
      <c r="Q66">
        <v>262</v>
      </c>
      <c r="R66">
        <v>696</v>
      </c>
      <c r="S66">
        <v>0</v>
      </c>
      <c r="T66">
        <v>0.1</v>
      </c>
      <c r="U66">
        <v>2</v>
      </c>
      <c r="V66">
        <v>21</v>
      </c>
      <c r="W66">
        <v>19</v>
      </c>
      <c r="X66">
        <v>16</v>
      </c>
      <c r="Y66">
        <v>0.01</v>
      </c>
      <c r="Z66">
        <v>1.1000000000000001</v>
      </c>
      <c r="AA66">
        <v>0.1</v>
      </c>
    </row>
    <row r="67" spans="1:27" x14ac:dyDescent="0.25">
      <c r="A67">
        <v>1152.01</v>
      </c>
      <c r="B67" t="s">
        <v>371</v>
      </c>
      <c r="C67" t="s">
        <v>214</v>
      </c>
      <c r="D67" t="s">
        <v>372</v>
      </c>
      <c r="E67" t="s">
        <v>373</v>
      </c>
      <c r="F67" t="s">
        <v>348</v>
      </c>
      <c r="G67">
        <v>0</v>
      </c>
      <c r="I67">
        <v>3</v>
      </c>
      <c r="J67">
        <v>0.1</v>
      </c>
      <c r="K67">
        <v>0</v>
      </c>
      <c r="L67">
        <v>1</v>
      </c>
      <c r="M67">
        <v>0.2</v>
      </c>
      <c r="N67">
        <v>0.01</v>
      </c>
      <c r="O67">
        <v>0.04</v>
      </c>
      <c r="P67">
        <v>768</v>
      </c>
      <c r="Q67">
        <v>610</v>
      </c>
      <c r="R67">
        <v>819</v>
      </c>
      <c r="S67">
        <v>0.01</v>
      </c>
      <c r="T67">
        <v>0.1</v>
      </c>
      <c r="U67">
        <v>3</v>
      </c>
      <c r="V67">
        <v>5</v>
      </c>
      <c r="W67">
        <v>18</v>
      </c>
      <c r="X67">
        <v>751</v>
      </c>
      <c r="Y67">
        <v>0</v>
      </c>
      <c r="Z67">
        <v>0</v>
      </c>
      <c r="AA67">
        <v>0.02</v>
      </c>
    </row>
    <row r="68" spans="1:27" x14ac:dyDescent="0.25">
      <c r="A68">
        <v>1152.02</v>
      </c>
      <c r="B68" t="s">
        <v>374</v>
      </c>
      <c r="C68" t="s">
        <v>214</v>
      </c>
      <c r="D68" t="s">
        <v>375</v>
      </c>
      <c r="E68" t="s">
        <v>376</v>
      </c>
      <c r="F68" t="s">
        <v>377</v>
      </c>
      <c r="G68">
        <v>0</v>
      </c>
      <c r="I68">
        <v>51</v>
      </c>
      <c r="J68">
        <v>6.2</v>
      </c>
      <c r="K68">
        <v>2.5</v>
      </c>
      <c r="L68">
        <v>109</v>
      </c>
      <c r="M68">
        <v>0</v>
      </c>
      <c r="N68">
        <v>0.87</v>
      </c>
      <c r="O68">
        <v>0.13</v>
      </c>
      <c r="P68">
        <v>0</v>
      </c>
      <c r="Q68">
        <v>0</v>
      </c>
      <c r="R68">
        <v>0</v>
      </c>
      <c r="S68">
        <v>0.57999999999999996</v>
      </c>
      <c r="T68">
        <v>0</v>
      </c>
      <c r="U68">
        <v>191</v>
      </c>
      <c r="V68">
        <v>394</v>
      </c>
      <c r="W68">
        <v>720</v>
      </c>
      <c r="X68">
        <v>6</v>
      </c>
      <c r="Y68">
        <v>0.85</v>
      </c>
      <c r="Z68">
        <v>0</v>
      </c>
      <c r="AA68">
        <v>15.3</v>
      </c>
    </row>
    <row r="69" spans="1:27" x14ac:dyDescent="0.25">
      <c r="A69">
        <v>1154.01</v>
      </c>
      <c r="B69" t="s">
        <v>378</v>
      </c>
      <c r="C69" t="s">
        <v>214</v>
      </c>
      <c r="D69" t="s">
        <v>379</v>
      </c>
      <c r="E69" t="s">
        <v>380</v>
      </c>
      <c r="G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>
        <v>1154.02</v>
      </c>
      <c r="B70" t="s">
        <v>381</v>
      </c>
      <c r="C70" t="s">
        <v>214</v>
      </c>
      <c r="D70" t="s">
        <v>379</v>
      </c>
      <c r="E70" t="s">
        <v>380</v>
      </c>
      <c r="F70" t="s">
        <v>109</v>
      </c>
      <c r="G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>
        <v>1155.01</v>
      </c>
      <c r="B71" t="s">
        <v>382</v>
      </c>
      <c r="C71" t="s">
        <v>214</v>
      </c>
      <c r="D71" t="s">
        <v>379</v>
      </c>
      <c r="E71" t="s">
        <v>380</v>
      </c>
      <c r="G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5">
      <c r="A72">
        <v>1155.02</v>
      </c>
      <c r="B72" t="s">
        <v>383</v>
      </c>
      <c r="C72" t="s">
        <v>214</v>
      </c>
      <c r="D72" t="s">
        <v>369</v>
      </c>
      <c r="E72" t="s">
        <v>370</v>
      </c>
      <c r="G72">
        <v>0</v>
      </c>
      <c r="I72">
        <v>17</v>
      </c>
      <c r="J72">
        <v>0.03</v>
      </c>
      <c r="K72">
        <v>0.12</v>
      </c>
      <c r="L72">
        <v>3</v>
      </c>
      <c r="M72">
        <v>0</v>
      </c>
      <c r="N72">
        <v>0.01</v>
      </c>
      <c r="O72">
        <v>0.03</v>
      </c>
      <c r="P72">
        <v>675</v>
      </c>
      <c r="Q72">
        <v>262</v>
      </c>
      <c r="R72">
        <v>696</v>
      </c>
      <c r="S72">
        <v>0</v>
      </c>
      <c r="T72">
        <v>0.1</v>
      </c>
      <c r="U72">
        <v>2</v>
      </c>
      <c r="V72">
        <v>21</v>
      </c>
      <c r="W72">
        <v>19</v>
      </c>
      <c r="X72">
        <v>16</v>
      </c>
      <c r="Y72">
        <v>0.01</v>
      </c>
      <c r="Z72">
        <v>1.1000000000000001</v>
      </c>
      <c r="AA72">
        <v>0.1</v>
      </c>
    </row>
    <row r="73" spans="1:27" x14ac:dyDescent="0.25">
      <c r="A73">
        <v>1155.03</v>
      </c>
      <c r="B73" t="s">
        <v>384</v>
      </c>
      <c r="C73" t="s">
        <v>214</v>
      </c>
      <c r="D73" t="s">
        <v>385</v>
      </c>
      <c r="E73" t="s">
        <v>386</v>
      </c>
      <c r="G73">
        <v>0</v>
      </c>
      <c r="I73">
        <v>0</v>
      </c>
      <c r="J73">
        <v>0.03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>
        <v>1159.99</v>
      </c>
      <c r="B74" t="s">
        <v>387</v>
      </c>
      <c r="C74" t="s">
        <v>214</v>
      </c>
      <c r="D74" t="s">
        <v>385</v>
      </c>
      <c r="E74" t="s">
        <v>386</v>
      </c>
      <c r="G74">
        <v>0</v>
      </c>
      <c r="I74">
        <v>0</v>
      </c>
      <c r="J74">
        <v>0.03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5">
      <c r="A75">
        <v>1161.01</v>
      </c>
      <c r="B75" t="s">
        <v>388</v>
      </c>
      <c r="C75" t="s">
        <v>214</v>
      </c>
      <c r="D75" t="s">
        <v>389</v>
      </c>
      <c r="E75" t="s">
        <v>390</v>
      </c>
      <c r="G75">
        <v>0.27</v>
      </c>
      <c r="I75">
        <v>31</v>
      </c>
      <c r="J75">
        <v>0.2</v>
      </c>
      <c r="K75">
        <v>0.1</v>
      </c>
      <c r="L75">
        <v>33</v>
      </c>
      <c r="M75">
        <v>46.8</v>
      </c>
      <c r="N75">
        <v>0.04</v>
      </c>
      <c r="O75">
        <v>0.03</v>
      </c>
      <c r="P75">
        <v>0</v>
      </c>
      <c r="Q75">
        <v>90</v>
      </c>
      <c r="R75">
        <v>8</v>
      </c>
      <c r="S75">
        <v>7.0000000000000007E-2</v>
      </c>
      <c r="T75">
        <v>0</v>
      </c>
      <c r="U75">
        <v>11</v>
      </c>
      <c r="V75">
        <v>19</v>
      </c>
      <c r="W75">
        <v>166</v>
      </c>
      <c r="X75">
        <v>2</v>
      </c>
      <c r="Y75">
        <v>0.05</v>
      </c>
      <c r="Z75">
        <v>0</v>
      </c>
      <c r="AA75">
        <v>0.2</v>
      </c>
    </row>
    <row r="76" spans="1:27" x14ac:dyDescent="0.25">
      <c r="A76">
        <v>1162.01</v>
      </c>
      <c r="B76" t="s">
        <v>391</v>
      </c>
      <c r="C76" t="s">
        <v>214</v>
      </c>
      <c r="D76" t="s">
        <v>392</v>
      </c>
      <c r="E76" t="s">
        <v>393</v>
      </c>
      <c r="G76">
        <v>0.36</v>
      </c>
      <c r="I76">
        <v>7</v>
      </c>
      <c r="J76">
        <v>0.3</v>
      </c>
      <c r="K76">
        <v>0.17</v>
      </c>
      <c r="L76">
        <v>19</v>
      </c>
      <c r="M76">
        <v>10.4</v>
      </c>
      <c r="N76">
        <v>0.04</v>
      </c>
      <c r="O76">
        <v>0.04</v>
      </c>
      <c r="P76">
        <v>0</v>
      </c>
      <c r="Q76">
        <v>50</v>
      </c>
      <c r="R76">
        <v>4</v>
      </c>
      <c r="S76">
        <v>0.34</v>
      </c>
      <c r="T76">
        <v>0</v>
      </c>
      <c r="U76">
        <v>29</v>
      </c>
      <c r="V76">
        <v>24</v>
      </c>
      <c r="W76">
        <v>369</v>
      </c>
      <c r="X76">
        <v>2</v>
      </c>
      <c r="Y76">
        <v>0.08</v>
      </c>
      <c r="Z76">
        <v>0</v>
      </c>
      <c r="AA76">
        <v>0.6</v>
      </c>
    </row>
    <row r="77" spans="1:27" x14ac:dyDescent="0.25">
      <c r="A77">
        <v>1163.01</v>
      </c>
      <c r="B77" t="s">
        <v>394</v>
      </c>
      <c r="C77" t="s">
        <v>214</v>
      </c>
      <c r="D77" t="s">
        <v>395</v>
      </c>
      <c r="E77" t="s">
        <v>396</v>
      </c>
      <c r="G77">
        <v>0.1</v>
      </c>
      <c r="I77">
        <v>6</v>
      </c>
      <c r="J77">
        <v>0.1</v>
      </c>
      <c r="K77">
        <v>0.04</v>
      </c>
      <c r="L77">
        <v>3</v>
      </c>
      <c r="M77">
        <v>4.5999999999999996</v>
      </c>
      <c r="N77">
        <v>0.02</v>
      </c>
      <c r="O77">
        <v>0.03</v>
      </c>
      <c r="P77">
        <v>0</v>
      </c>
      <c r="Q77">
        <v>33</v>
      </c>
      <c r="R77">
        <v>3</v>
      </c>
      <c r="S77">
        <v>0.04</v>
      </c>
      <c r="T77">
        <v>0</v>
      </c>
      <c r="U77">
        <v>5</v>
      </c>
      <c r="V77">
        <v>11</v>
      </c>
      <c r="W77">
        <v>107</v>
      </c>
      <c r="X77">
        <v>1</v>
      </c>
      <c r="Y77">
        <v>0.03</v>
      </c>
      <c r="Z77">
        <v>0</v>
      </c>
      <c r="AA77">
        <v>0.1</v>
      </c>
    </row>
    <row r="78" spans="1:27" x14ac:dyDescent="0.25">
      <c r="A78">
        <v>1164.01</v>
      </c>
      <c r="B78" t="s">
        <v>397</v>
      </c>
      <c r="C78" t="s">
        <v>218</v>
      </c>
      <c r="D78">
        <v>9252</v>
      </c>
      <c r="E78" t="s">
        <v>398</v>
      </c>
      <c r="G78">
        <v>0</v>
      </c>
      <c r="I78">
        <v>9</v>
      </c>
      <c r="J78">
        <v>0.17</v>
      </c>
      <c r="K78">
        <v>0.1</v>
      </c>
      <c r="L78">
        <v>7</v>
      </c>
      <c r="M78">
        <v>4.2</v>
      </c>
      <c r="N78">
        <v>1.2E-2</v>
      </c>
      <c r="O78">
        <v>2.5000000000000001E-2</v>
      </c>
      <c r="P78">
        <v>0</v>
      </c>
      <c r="Q78">
        <v>13</v>
      </c>
      <c r="R78">
        <v>1</v>
      </c>
      <c r="S78">
        <v>2.79999999999999E-2</v>
      </c>
      <c r="T78">
        <v>0</v>
      </c>
      <c r="U78">
        <v>7</v>
      </c>
      <c r="V78">
        <v>11</v>
      </c>
      <c r="W78">
        <v>119</v>
      </c>
      <c r="X78">
        <v>1</v>
      </c>
      <c r="Y78">
        <v>8.1999999999999906E-2</v>
      </c>
      <c r="Z78">
        <v>0</v>
      </c>
      <c r="AA78">
        <v>0.157</v>
      </c>
    </row>
    <row r="79" spans="1:27" x14ac:dyDescent="0.25">
      <c r="A79">
        <v>1165.01</v>
      </c>
      <c r="B79" t="s">
        <v>399</v>
      </c>
      <c r="C79" t="s">
        <v>218</v>
      </c>
      <c r="D79">
        <v>9021</v>
      </c>
      <c r="E79" t="s">
        <v>400</v>
      </c>
      <c r="G79">
        <v>0</v>
      </c>
      <c r="I79">
        <v>13</v>
      </c>
      <c r="J79">
        <v>0.39</v>
      </c>
      <c r="K79">
        <v>0.2</v>
      </c>
      <c r="L79">
        <v>9</v>
      </c>
      <c r="M79">
        <v>10</v>
      </c>
      <c r="N79">
        <v>0.03</v>
      </c>
      <c r="O79">
        <v>0.04</v>
      </c>
      <c r="P79">
        <v>0</v>
      </c>
      <c r="Q79">
        <v>1094</v>
      </c>
      <c r="R79">
        <v>96</v>
      </c>
      <c r="S79">
        <v>5.3999999999999999E-2</v>
      </c>
      <c r="T79">
        <v>0</v>
      </c>
      <c r="U79">
        <v>10</v>
      </c>
      <c r="V79">
        <v>23</v>
      </c>
      <c r="W79">
        <v>259</v>
      </c>
      <c r="X79">
        <v>1</v>
      </c>
      <c r="Y79">
        <v>7.8E-2</v>
      </c>
      <c r="Z79">
        <v>0</v>
      </c>
      <c r="AA79">
        <v>0.6</v>
      </c>
    </row>
    <row r="80" spans="1:27" x14ac:dyDescent="0.25">
      <c r="A80">
        <v>1165.02</v>
      </c>
      <c r="B80" t="s">
        <v>401</v>
      </c>
      <c r="C80" t="s">
        <v>402</v>
      </c>
      <c r="D80">
        <v>5003</v>
      </c>
      <c r="E80" t="s">
        <v>403</v>
      </c>
      <c r="G80">
        <v>0.28999999999999998</v>
      </c>
      <c r="I80">
        <v>19</v>
      </c>
      <c r="J80">
        <v>1</v>
      </c>
      <c r="K80">
        <v>0.39</v>
      </c>
      <c r="L80">
        <v>67</v>
      </c>
      <c r="M80">
        <v>14</v>
      </c>
      <c r="N80">
        <v>7.0000000000000007E-2</v>
      </c>
      <c r="O80">
        <v>0.15</v>
      </c>
      <c r="P80">
        <v>0</v>
      </c>
      <c r="Q80">
        <v>27</v>
      </c>
      <c r="R80">
        <v>2</v>
      </c>
      <c r="S80">
        <v>0</v>
      </c>
      <c r="T80">
        <v>0</v>
      </c>
      <c r="U80">
        <v>25</v>
      </c>
      <c r="V80">
        <v>41</v>
      </c>
      <c r="W80">
        <v>281</v>
      </c>
      <c r="X80">
        <v>7</v>
      </c>
      <c r="Y80">
        <v>0</v>
      </c>
      <c r="Z80">
        <v>0</v>
      </c>
      <c r="AA80">
        <v>1.8</v>
      </c>
    </row>
    <row r="81" spans="1:27" x14ac:dyDescent="0.25">
      <c r="A81">
        <v>1165.03</v>
      </c>
      <c r="B81" t="s">
        <v>404</v>
      </c>
      <c r="C81" t="s">
        <v>218</v>
      </c>
      <c r="D81">
        <v>9070</v>
      </c>
      <c r="E81" t="s">
        <v>405</v>
      </c>
      <c r="G81">
        <v>0</v>
      </c>
      <c r="I81">
        <v>13</v>
      </c>
      <c r="J81">
        <v>0.36</v>
      </c>
      <c r="K81">
        <v>7.0000000000000007E-2</v>
      </c>
      <c r="L81">
        <v>4</v>
      </c>
      <c r="M81">
        <v>7</v>
      </c>
      <c r="N81">
        <v>2.7E-2</v>
      </c>
      <c r="O81">
        <v>3.3000000000000002E-2</v>
      </c>
      <c r="P81">
        <v>0</v>
      </c>
      <c r="Q81">
        <v>38</v>
      </c>
      <c r="R81">
        <v>3</v>
      </c>
      <c r="S81">
        <v>4.9000000000000002E-2</v>
      </c>
      <c r="T81">
        <v>0</v>
      </c>
      <c r="U81">
        <v>11</v>
      </c>
      <c r="V81">
        <v>21</v>
      </c>
      <c r="W81">
        <v>222</v>
      </c>
      <c r="X81">
        <v>0</v>
      </c>
      <c r="Y81">
        <v>0.06</v>
      </c>
      <c r="Z81">
        <v>0</v>
      </c>
      <c r="AA81">
        <v>0.154</v>
      </c>
    </row>
    <row r="82" spans="1:27" x14ac:dyDescent="0.25">
      <c r="A82">
        <v>1165.04</v>
      </c>
      <c r="B82" t="s">
        <v>406</v>
      </c>
      <c r="C82" t="s">
        <v>214</v>
      </c>
      <c r="D82" t="s">
        <v>407</v>
      </c>
      <c r="E82" t="s">
        <v>408</v>
      </c>
      <c r="F82" t="s">
        <v>109</v>
      </c>
      <c r="G82">
        <v>0.28999999999999998</v>
      </c>
      <c r="I82">
        <v>12</v>
      </c>
      <c r="J82">
        <v>0.7</v>
      </c>
      <c r="K82">
        <v>0.1</v>
      </c>
      <c r="L82">
        <v>29</v>
      </c>
      <c r="M82">
        <v>65.5</v>
      </c>
      <c r="N82">
        <v>0.09</v>
      </c>
      <c r="O82">
        <v>0.03</v>
      </c>
      <c r="P82">
        <v>0</v>
      </c>
      <c r="Q82">
        <v>4720</v>
      </c>
      <c r="R82">
        <v>393</v>
      </c>
      <c r="S82">
        <v>0.13</v>
      </c>
      <c r="T82">
        <v>0</v>
      </c>
      <c r="U82">
        <v>9</v>
      </c>
      <c r="V82">
        <v>14</v>
      </c>
      <c r="W82">
        <v>157</v>
      </c>
      <c r="X82">
        <v>2</v>
      </c>
      <c r="Y82">
        <v>0.09</v>
      </c>
      <c r="Z82">
        <v>0</v>
      </c>
      <c r="AA82">
        <v>0.4</v>
      </c>
    </row>
    <row r="83" spans="1:27" x14ac:dyDescent="0.25">
      <c r="A83">
        <v>1165.05</v>
      </c>
      <c r="B83" t="s">
        <v>409</v>
      </c>
      <c r="C83" t="s">
        <v>218</v>
      </c>
      <c r="D83">
        <v>9279</v>
      </c>
      <c r="E83" t="s">
        <v>410</v>
      </c>
      <c r="G83">
        <v>0</v>
      </c>
      <c r="I83">
        <v>6</v>
      </c>
      <c r="J83">
        <v>0.17</v>
      </c>
      <c r="K83">
        <v>0.1</v>
      </c>
      <c r="L83">
        <v>5</v>
      </c>
      <c r="M83">
        <v>9.5</v>
      </c>
      <c r="N83">
        <v>2.79999999999999E-2</v>
      </c>
      <c r="O83">
        <v>2.5999999999999999E-2</v>
      </c>
      <c r="P83">
        <v>0</v>
      </c>
      <c r="Q83">
        <v>190</v>
      </c>
      <c r="R83">
        <v>17</v>
      </c>
      <c r="S83">
        <v>2.8999999999999901E-2</v>
      </c>
      <c r="T83">
        <v>0</v>
      </c>
      <c r="U83">
        <v>7</v>
      </c>
      <c r="V83">
        <v>16</v>
      </c>
      <c r="W83">
        <v>157</v>
      </c>
      <c r="X83">
        <v>0</v>
      </c>
      <c r="Y83">
        <v>5.7000000000000002E-2</v>
      </c>
      <c r="Z83">
        <v>0</v>
      </c>
      <c r="AA83">
        <v>0.41699999999999998</v>
      </c>
    </row>
    <row r="84" spans="1:27" x14ac:dyDescent="0.25">
      <c r="A84">
        <v>1165.06</v>
      </c>
      <c r="B84" t="s">
        <v>411</v>
      </c>
      <c r="C84" t="s">
        <v>402</v>
      </c>
      <c r="D84">
        <v>5027</v>
      </c>
      <c r="E84" t="s">
        <v>412</v>
      </c>
      <c r="G84">
        <v>0.12</v>
      </c>
      <c r="I84">
        <v>5</v>
      </c>
      <c r="J84">
        <v>0.3</v>
      </c>
      <c r="K84">
        <v>0.11</v>
      </c>
      <c r="L84">
        <v>0</v>
      </c>
      <c r="M84">
        <v>8</v>
      </c>
      <c r="N84">
        <v>0.01</v>
      </c>
      <c r="O84">
        <v>0.03</v>
      </c>
      <c r="P84">
        <v>0</v>
      </c>
      <c r="Q84">
        <v>157</v>
      </c>
      <c r="R84">
        <v>13</v>
      </c>
      <c r="S84">
        <v>0</v>
      </c>
      <c r="T84">
        <v>0</v>
      </c>
      <c r="U84">
        <v>8</v>
      </c>
      <c r="V84">
        <v>20</v>
      </c>
      <c r="W84">
        <v>203</v>
      </c>
      <c r="X84">
        <v>2</v>
      </c>
      <c r="Y84">
        <v>0</v>
      </c>
      <c r="Z84">
        <v>0</v>
      </c>
      <c r="AA84">
        <v>0.8</v>
      </c>
    </row>
    <row r="85" spans="1:27" x14ac:dyDescent="0.25">
      <c r="A85">
        <v>1166.01</v>
      </c>
      <c r="B85" t="s">
        <v>413</v>
      </c>
      <c r="C85" t="s">
        <v>402</v>
      </c>
      <c r="D85">
        <v>5034</v>
      </c>
      <c r="E85" t="s">
        <v>414</v>
      </c>
      <c r="G85">
        <v>0.04</v>
      </c>
      <c r="I85">
        <v>19</v>
      </c>
      <c r="J85">
        <v>0.6</v>
      </c>
      <c r="K85">
        <v>0.18</v>
      </c>
      <c r="L85">
        <v>39</v>
      </c>
      <c r="M85">
        <v>49</v>
      </c>
      <c r="N85">
        <v>0.03</v>
      </c>
      <c r="O85">
        <v>0.02</v>
      </c>
      <c r="P85">
        <v>0</v>
      </c>
      <c r="Q85">
        <v>1</v>
      </c>
      <c r="R85">
        <v>0</v>
      </c>
      <c r="S85">
        <v>0</v>
      </c>
      <c r="T85">
        <v>0</v>
      </c>
      <c r="U85">
        <v>8</v>
      </c>
      <c r="V85">
        <v>27</v>
      </c>
      <c r="W85">
        <v>158</v>
      </c>
      <c r="X85">
        <v>3</v>
      </c>
      <c r="Y85">
        <v>0</v>
      </c>
      <c r="Z85">
        <v>0</v>
      </c>
      <c r="AA85">
        <v>0.1</v>
      </c>
    </row>
    <row r="86" spans="1:27" x14ac:dyDescent="0.25">
      <c r="A86">
        <v>1166.02</v>
      </c>
      <c r="B86" t="s">
        <v>415</v>
      </c>
      <c r="C86" t="s">
        <v>402</v>
      </c>
      <c r="D86">
        <v>5021</v>
      </c>
      <c r="E86" t="s">
        <v>416</v>
      </c>
      <c r="G86">
        <v>0.01</v>
      </c>
      <c r="I86">
        <v>55</v>
      </c>
      <c r="J86">
        <v>1.2</v>
      </c>
      <c r="K86">
        <v>0.2</v>
      </c>
      <c r="L86">
        <v>33</v>
      </c>
      <c r="M86">
        <v>11</v>
      </c>
      <c r="N86">
        <v>0.03</v>
      </c>
      <c r="O86">
        <v>7.0000000000000007E-2</v>
      </c>
      <c r="P86">
        <v>0</v>
      </c>
      <c r="Q86">
        <v>10</v>
      </c>
      <c r="R86">
        <v>1</v>
      </c>
      <c r="S86">
        <v>0</v>
      </c>
      <c r="T86">
        <v>0</v>
      </c>
      <c r="U86">
        <v>19</v>
      </c>
      <c r="V86">
        <v>40</v>
      </c>
      <c r="W86">
        <v>310</v>
      </c>
      <c r="X86">
        <v>6</v>
      </c>
      <c r="Y86">
        <v>0</v>
      </c>
      <c r="Z86">
        <v>0</v>
      </c>
      <c r="AA86">
        <v>0.7</v>
      </c>
    </row>
    <row r="87" spans="1:27" x14ac:dyDescent="0.25">
      <c r="A87">
        <v>1166.03</v>
      </c>
      <c r="B87" t="s">
        <v>417</v>
      </c>
      <c r="C87" t="s">
        <v>218</v>
      </c>
      <c r="D87">
        <v>9089</v>
      </c>
      <c r="E87" t="s">
        <v>418</v>
      </c>
      <c r="G87">
        <v>0</v>
      </c>
      <c r="I87">
        <v>35</v>
      </c>
      <c r="J87">
        <v>0.37</v>
      </c>
      <c r="K87">
        <v>0.15</v>
      </c>
      <c r="L87">
        <v>6</v>
      </c>
      <c r="M87">
        <v>2</v>
      </c>
      <c r="N87">
        <v>0.06</v>
      </c>
      <c r="O87">
        <v>0.05</v>
      </c>
      <c r="P87">
        <v>0</v>
      </c>
      <c r="Q87">
        <v>85</v>
      </c>
      <c r="R87">
        <v>7</v>
      </c>
      <c r="S87">
        <v>0.113</v>
      </c>
      <c r="T87">
        <v>0</v>
      </c>
      <c r="U87">
        <v>17</v>
      </c>
      <c r="V87">
        <v>14</v>
      </c>
      <c r="W87">
        <v>232</v>
      </c>
      <c r="X87">
        <v>1</v>
      </c>
      <c r="Y87">
        <v>7.0000000000000007E-2</v>
      </c>
      <c r="Z87">
        <v>0</v>
      </c>
      <c r="AA87">
        <v>0.4</v>
      </c>
    </row>
    <row r="88" spans="1:27" x14ac:dyDescent="0.25">
      <c r="A88">
        <v>1166.04</v>
      </c>
      <c r="B88" t="s">
        <v>419</v>
      </c>
      <c r="C88" t="s">
        <v>214</v>
      </c>
      <c r="D88" t="s">
        <v>420</v>
      </c>
      <c r="E88" t="s">
        <v>421</v>
      </c>
      <c r="G88">
        <v>0</v>
      </c>
      <c r="I88">
        <v>20</v>
      </c>
      <c r="J88">
        <v>0.3</v>
      </c>
      <c r="K88">
        <v>7.0000000000000007E-2</v>
      </c>
      <c r="L88">
        <v>12</v>
      </c>
      <c r="M88">
        <v>36.1</v>
      </c>
      <c r="N88">
        <v>0.05</v>
      </c>
      <c r="O88">
        <v>0.02</v>
      </c>
      <c r="P88">
        <v>0</v>
      </c>
      <c r="Q88">
        <v>18</v>
      </c>
      <c r="R88">
        <v>1</v>
      </c>
      <c r="S88">
        <v>0.04</v>
      </c>
      <c r="T88">
        <v>0</v>
      </c>
      <c r="U88">
        <v>9</v>
      </c>
      <c r="V88">
        <v>16</v>
      </c>
      <c r="W88">
        <v>164</v>
      </c>
      <c r="X88">
        <v>2</v>
      </c>
      <c r="Y88">
        <v>0.05</v>
      </c>
      <c r="Z88">
        <v>0</v>
      </c>
      <c r="AA88">
        <v>0.2</v>
      </c>
    </row>
    <row r="89" spans="1:27" x14ac:dyDescent="0.25">
      <c r="A89">
        <v>1166.05</v>
      </c>
      <c r="B89" t="s">
        <v>422</v>
      </c>
      <c r="C89" t="s">
        <v>214</v>
      </c>
      <c r="D89" t="s">
        <v>423</v>
      </c>
      <c r="E89" t="s">
        <v>424</v>
      </c>
      <c r="G89">
        <v>0.22</v>
      </c>
      <c r="I89">
        <v>23</v>
      </c>
      <c r="J89">
        <v>0.7</v>
      </c>
      <c r="K89">
        <v>0.32</v>
      </c>
      <c r="L89">
        <v>7</v>
      </c>
      <c r="M89">
        <v>261</v>
      </c>
      <c r="N89">
        <v>0.05</v>
      </c>
      <c r="O89">
        <v>0.04</v>
      </c>
      <c r="P89">
        <v>0</v>
      </c>
      <c r="Q89">
        <v>419</v>
      </c>
      <c r="R89">
        <v>35</v>
      </c>
      <c r="S89">
        <v>0.14000000000000001</v>
      </c>
      <c r="T89">
        <v>0</v>
      </c>
      <c r="U89">
        <v>13</v>
      </c>
      <c r="V89">
        <v>32</v>
      </c>
      <c r="W89">
        <v>270</v>
      </c>
      <c r="X89">
        <v>4</v>
      </c>
      <c r="Y89">
        <v>0.06</v>
      </c>
      <c r="Z89">
        <v>0</v>
      </c>
      <c r="AA89">
        <v>1.2</v>
      </c>
    </row>
    <row r="90" spans="1:27" x14ac:dyDescent="0.25">
      <c r="A90">
        <v>1166.06</v>
      </c>
      <c r="B90" t="s">
        <v>425</v>
      </c>
      <c r="C90" t="s">
        <v>218</v>
      </c>
      <c r="D90">
        <v>9195</v>
      </c>
      <c r="E90" t="s">
        <v>426</v>
      </c>
      <c r="G90">
        <v>0</v>
      </c>
      <c r="I90">
        <v>52</v>
      </c>
      <c r="J90">
        <v>0.49</v>
      </c>
      <c r="K90">
        <v>0.04</v>
      </c>
      <c r="L90">
        <v>3</v>
      </c>
      <c r="M90">
        <v>0</v>
      </c>
      <c r="N90">
        <v>2.1000000000000001E-2</v>
      </c>
      <c r="O90">
        <v>6.9999999999999897E-3</v>
      </c>
      <c r="P90">
        <v>0</v>
      </c>
      <c r="Q90">
        <v>231</v>
      </c>
      <c r="R90">
        <v>20</v>
      </c>
      <c r="S90">
        <v>3.1E-2</v>
      </c>
      <c r="T90">
        <v>0</v>
      </c>
      <c r="U90">
        <v>11</v>
      </c>
      <c r="V90">
        <v>4</v>
      </c>
      <c r="W90">
        <v>42</v>
      </c>
      <c r="X90">
        <v>1556</v>
      </c>
      <c r="Y90">
        <v>0.12</v>
      </c>
      <c r="Z90">
        <v>0</v>
      </c>
      <c r="AA90">
        <v>0.23699999999999999</v>
      </c>
    </row>
    <row r="91" spans="1:27" x14ac:dyDescent="0.25">
      <c r="A91">
        <v>1166.07</v>
      </c>
      <c r="B91" t="s">
        <v>427</v>
      </c>
      <c r="C91" t="s">
        <v>218</v>
      </c>
      <c r="D91">
        <v>2054</v>
      </c>
      <c r="E91" t="s">
        <v>428</v>
      </c>
      <c r="G91">
        <v>0</v>
      </c>
      <c r="I91">
        <v>40</v>
      </c>
      <c r="J91">
        <v>1.67</v>
      </c>
      <c r="K91">
        <v>0.32</v>
      </c>
      <c r="L91">
        <v>23</v>
      </c>
      <c r="M91">
        <v>4.3</v>
      </c>
      <c r="N91">
        <v>1.7999999999999999E-2</v>
      </c>
      <c r="O91">
        <v>0.13900000000000001</v>
      </c>
      <c r="P91">
        <v>0</v>
      </c>
      <c r="Q91">
        <v>83</v>
      </c>
      <c r="R91">
        <v>7</v>
      </c>
      <c r="S91">
        <v>2.3E-2</v>
      </c>
      <c r="T91">
        <v>0</v>
      </c>
      <c r="U91">
        <v>33</v>
      </c>
      <c r="V91">
        <v>10</v>
      </c>
      <c r="W91">
        <v>40</v>
      </c>
      <c r="X91">
        <v>2964</v>
      </c>
      <c r="Y91">
        <v>0.374</v>
      </c>
      <c r="Z91">
        <v>0</v>
      </c>
      <c r="AA91">
        <v>0.65200000000000002</v>
      </c>
    </row>
    <row r="92" spans="1:27" x14ac:dyDescent="0.25">
      <c r="A92">
        <v>1167.01</v>
      </c>
      <c r="B92" t="s">
        <v>429</v>
      </c>
      <c r="C92" t="s">
        <v>214</v>
      </c>
      <c r="D92" t="s">
        <v>430</v>
      </c>
      <c r="E92" t="s">
        <v>431</v>
      </c>
      <c r="G92">
        <v>0.54</v>
      </c>
      <c r="I92">
        <v>7</v>
      </c>
      <c r="J92">
        <v>0.3</v>
      </c>
      <c r="K92">
        <v>0.09</v>
      </c>
      <c r="L92">
        <v>12</v>
      </c>
      <c r="M92">
        <v>14.2</v>
      </c>
      <c r="N92">
        <v>0.03</v>
      </c>
      <c r="O92">
        <v>0.01</v>
      </c>
      <c r="P92">
        <v>0</v>
      </c>
      <c r="Q92">
        <v>31</v>
      </c>
      <c r="R92">
        <v>3</v>
      </c>
      <c r="S92">
        <v>7.0000000000000007E-2</v>
      </c>
      <c r="T92">
        <v>0</v>
      </c>
      <c r="U92">
        <v>9</v>
      </c>
      <c r="V92">
        <v>16</v>
      </c>
      <c r="W92">
        <v>228</v>
      </c>
      <c r="X92">
        <v>27</v>
      </c>
      <c r="Y92">
        <v>0.03</v>
      </c>
      <c r="Z92">
        <v>0</v>
      </c>
      <c r="AA92">
        <v>0.5</v>
      </c>
    </row>
    <row r="93" spans="1:27" x14ac:dyDescent="0.25">
      <c r="A93">
        <v>1167.02</v>
      </c>
      <c r="B93" t="s">
        <v>432</v>
      </c>
      <c r="C93" t="s">
        <v>214</v>
      </c>
      <c r="D93" t="s">
        <v>430</v>
      </c>
      <c r="E93" t="s">
        <v>431</v>
      </c>
      <c r="G93">
        <v>0.54</v>
      </c>
      <c r="I93">
        <v>7</v>
      </c>
      <c r="J93">
        <v>0.3</v>
      </c>
      <c r="K93">
        <v>0.09</v>
      </c>
      <c r="L93">
        <v>12</v>
      </c>
      <c r="M93">
        <v>14.2</v>
      </c>
      <c r="N93">
        <v>0.03</v>
      </c>
      <c r="O93">
        <v>0.01</v>
      </c>
      <c r="P93">
        <v>0</v>
      </c>
      <c r="Q93">
        <v>31</v>
      </c>
      <c r="R93">
        <v>3</v>
      </c>
      <c r="S93">
        <v>7.0000000000000007E-2</v>
      </c>
      <c r="T93">
        <v>0</v>
      </c>
      <c r="U93">
        <v>9</v>
      </c>
      <c r="V93">
        <v>16</v>
      </c>
      <c r="W93">
        <v>228</v>
      </c>
      <c r="X93">
        <v>27</v>
      </c>
      <c r="Y93">
        <v>0.03</v>
      </c>
      <c r="Z93">
        <v>0</v>
      </c>
      <c r="AA93">
        <v>0.5</v>
      </c>
    </row>
    <row r="94" spans="1:27" x14ac:dyDescent="0.25">
      <c r="A94">
        <v>1167.03</v>
      </c>
      <c r="B94" t="s">
        <v>433</v>
      </c>
      <c r="C94" t="s">
        <v>214</v>
      </c>
      <c r="D94" t="s">
        <v>434</v>
      </c>
      <c r="E94" t="s">
        <v>435</v>
      </c>
      <c r="G94">
        <v>0.49</v>
      </c>
      <c r="I94">
        <v>20</v>
      </c>
      <c r="J94">
        <v>0.5</v>
      </c>
      <c r="K94">
        <v>0.11</v>
      </c>
      <c r="L94">
        <v>12</v>
      </c>
      <c r="M94">
        <v>29.8</v>
      </c>
      <c r="N94">
        <v>7.0000000000000007E-2</v>
      </c>
      <c r="O94">
        <v>0.03</v>
      </c>
      <c r="P94">
        <v>0</v>
      </c>
      <c r="Q94">
        <v>61</v>
      </c>
      <c r="R94">
        <v>5</v>
      </c>
      <c r="S94">
        <v>0.09</v>
      </c>
      <c r="T94">
        <v>0</v>
      </c>
      <c r="U94">
        <v>12</v>
      </c>
      <c r="V94">
        <v>12</v>
      </c>
      <c r="W94">
        <v>205</v>
      </c>
      <c r="X94">
        <v>2</v>
      </c>
      <c r="Y94">
        <v>0.2</v>
      </c>
      <c r="Z94">
        <v>0</v>
      </c>
      <c r="AA94">
        <v>0.2</v>
      </c>
    </row>
    <row r="95" spans="1:27" x14ac:dyDescent="0.25">
      <c r="A95">
        <v>1167.99</v>
      </c>
      <c r="B95" t="s">
        <v>436</v>
      </c>
      <c r="C95" t="s">
        <v>402</v>
      </c>
      <c r="D95">
        <v>5025</v>
      </c>
      <c r="E95" t="s">
        <v>437</v>
      </c>
      <c r="G95">
        <v>0.48</v>
      </c>
      <c r="I95">
        <v>10</v>
      </c>
      <c r="J95">
        <v>0.6</v>
      </c>
      <c r="K95">
        <v>0.8</v>
      </c>
      <c r="L95">
        <v>7</v>
      </c>
      <c r="M95">
        <v>29</v>
      </c>
      <c r="N95">
        <v>0.03</v>
      </c>
      <c r="O95">
        <v>0.14000000000000001</v>
      </c>
      <c r="P95">
        <v>0</v>
      </c>
      <c r="Q95">
        <v>764</v>
      </c>
      <c r="R95">
        <v>64</v>
      </c>
      <c r="S95">
        <v>0</v>
      </c>
      <c r="T95">
        <v>0</v>
      </c>
      <c r="U95">
        <v>28</v>
      </c>
      <c r="V95">
        <v>68</v>
      </c>
      <c r="W95">
        <v>200</v>
      </c>
      <c r="X95">
        <v>19</v>
      </c>
      <c r="Y95">
        <v>0</v>
      </c>
      <c r="Z95">
        <v>0</v>
      </c>
      <c r="AA95">
        <v>2.5</v>
      </c>
    </row>
    <row r="96" spans="1:27" x14ac:dyDescent="0.25">
      <c r="A96">
        <v>1168.01</v>
      </c>
      <c r="B96" t="s">
        <v>438</v>
      </c>
      <c r="C96" t="s">
        <v>214</v>
      </c>
      <c r="D96" t="s">
        <v>439</v>
      </c>
      <c r="E96" t="s">
        <v>440</v>
      </c>
      <c r="F96" t="s">
        <v>377</v>
      </c>
      <c r="G96">
        <v>0</v>
      </c>
      <c r="I96">
        <v>91</v>
      </c>
      <c r="J96">
        <v>9</v>
      </c>
      <c r="K96">
        <v>2.37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232</v>
      </c>
      <c r="V96">
        <v>239</v>
      </c>
      <c r="W96">
        <v>270</v>
      </c>
      <c r="X96">
        <v>0</v>
      </c>
      <c r="Y96">
        <v>1.49</v>
      </c>
      <c r="Z96">
        <v>0</v>
      </c>
      <c r="AA96">
        <v>0</v>
      </c>
    </row>
    <row r="97" spans="1:27" x14ac:dyDescent="0.25">
      <c r="A97">
        <v>1168.02</v>
      </c>
      <c r="B97" t="s">
        <v>441</v>
      </c>
      <c r="C97" t="s">
        <v>214</v>
      </c>
      <c r="D97" t="s">
        <v>442</v>
      </c>
      <c r="E97" t="s">
        <v>443</v>
      </c>
      <c r="F97" t="s">
        <v>377</v>
      </c>
      <c r="G97">
        <v>7.0000000000000007E-2</v>
      </c>
      <c r="I97">
        <v>23</v>
      </c>
      <c r="J97">
        <v>3</v>
      </c>
      <c r="K97">
        <v>0</v>
      </c>
      <c r="L97">
        <v>0</v>
      </c>
      <c r="M97">
        <v>51.5</v>
      </c>
      <c r="N97">
        <v>0.03</v>
      </c>
      <c r="O97">
        <v>0.04</v>
      </c>
      <c r="P97">
        <v>0</v>
      </c>
      <c r="Q97">
        <v>360</v>
      </c>
      <c r="R97">
        <v>30</v>
      </c>
      <c r="S97">
        <v>0</v>
      </c>
      <c r="T97">
        <v>0</v>
      </c>
      <c r="U97">
        <v>2</v>
      </c>
      <c r="V97">
        <v>90</v>
      </c>
      <c r="W97">
        <v>0</v>
      </c>
      <c r="X97">
        <v>0</v>
      </c>
      <c r="Y97">
        <v>0.05</v>
      </c>
      <c r="Z97">
        <v>0</v>
      </c>
      <c r="AA97">
        <v>0</v>
      </c>
    </row>
    <row r="98" spans="1:27" x14ac:dyDescent="0.25">
      <c r="A98">
        <v>1168.03</v>
      </c>
      <c r="B98" t="s">
        <v>444</v>
      </c>
      <c r="C98" t="s">
        <v>214</v>
      </c>
      <c r="D98" t="s">
        <v>395</v>
      </c>
      <c r="E98" t="s">
        <v>396</v>
      </c>
      <c r="G98">
        <v>0.1</v>
      </c>
      <c r="I98">
        <v>6</v>
      </c>
      <c r="J98">
        <v>0.1</v>
      </c>
      <c r="K98">
        <v>0.04</v>
      </c>
      <c r="L98">
        <v>3</v>
      </c>
      <c r="M98">
        <v>4.5999999999999996</v>
      </c>
      <c r="N98">
        <v>0.02</v>
      </c>
      <c r="O98">
        <v>0.03</v>
      </c>
      <c r="P98">
        <v>0</v>
      </c>
      <c r="Q98">
        <v>33</v>
      </c>
      <c r="R98">
        <v>3</v>
      </c>
      <c r="S98">
        <v>0.04</v>
      </c>
      <c r="T98">
        <v>0</v>
      </c>
      <c r="U98">
        <v>5</v>
      </c>
      <c r="V98">
        <v>11</v>
      </c>
      <c r="W98">
        <v>107</v>
      </c>
      <c r="X98">
        <v>1</v>
      </c>
      <c r="Y98">
        <v>0.03</v>
      </c>
      <c r="Z98">
        <v>0</v>
      </c>
      <c r="AA98">
        <v>0.1</v>
      </c>
    </row>
    <row r="99" spans="1:27" x14ac:dyDescent="0.25">
      <c r="A99">
        <v>1168.04</v>
      </c>
      <c r="B99" t="s">
        <v>445</v>
      </c>
      <c r="C99" t="s">
        <v>214</v>
      </c>
      <c r="D99" t="s">
        <v>389</v>
      </c>
      <c r="E99" t="s">
        <v>390</v>
      </c>
      <c r="G99">
        <v>0.27</v>
      </c>
      <c r="I99">
        <v>31</v>
      </c>
      <c r="J99">
        <v>0.2</v>
      </c>
      <c r="K99">
        <v>0.1</v>
      </c>
      <c r="L99">
        <v>33</v>
      </c>
      <c r="M99">
        <v>46.8</v>
      </c>
      <c r="N99">
        <v>0.04</v>
      </c>
      <c r="O99">
        <v>0.03</v>
      </c>
      <c r="P99">
        <v>0</v>
      </c>
      <c r="Q99">
        <v>90</v>
      </c>
      <c r="R99">
        <v>8</v>
      </c>
      <c r="S99">
        <v>7.0000000000000007E-2</v>
      </c>
      <c r="T99">
        <v>0</v>
      </c>
      <c r="U99">
        <v>11</v>
      </c>
      <c r="V99">
        <v>19</v>
      </c>
      <c r="W99">
        <v>166</v>
      </c>
      <c r="X99">
        <v>2</v>
      </c>
      <c r="Y99">
        <v>0.05</v>
      </c>
      <c r="Z99">
        <v>0</v>
      </c>
      <c r="AA99">
        <v>0.2</v>
      </c>
    </row>
    <row r="100" spans="1:27" x14ac:dyDescent="0.25">
      <c r="A100">
        <v>1168.05</v>
      </c>
      <c r="B100" t="s">
        <v>446</v>
      </c>
      <c r="C100" t="s">
        <v>214</v>
      </c>
      <c r="D100" t="s">
        <v>395</v>
      </c>
      <c r="E100" t="s">
        <v>396</v>
      </c>
      <c r="G100">
        <v>0.1</v>
      </c>
      <c r="I100">
        <v>6</v>
      </c>
      <c r="J100">
        <v>0.1</v>
      </c>
      <c r="K100">
        <v>0.04</v>
      </c>
      <c r="L100">
        <v>3</v>
      </c>
      <c r="M100">
        <v>4.5999999999999996</v>
      </c>
      <c r="N100">
        <v>0.02</v>
      </c>
      <c r="O100">
        <v>0.03</v>
      </c>
      <c r="P100">
        <v>0</v>
      </c>
      <c r="Q100">
        <v>33</v>
      </c>
      <c r="R100">
        <v>3</v>
      </c>
      <c r="S100">
        <v>0.04</v>
      </c>
      <c r="T100">
        <v>0</v>
      </c>
      <c r="U100">
        <v>5</v>
      </c>
      <c r="V100">
        <v>11</v>
      </c>
      <c r="W100">
        <v>107</v>
      </c>
      <c r="X100">
        <v>1</v>
      </c>
      <c r="Y100">
        <v>0.03</v>
      </c>
      <c r="Z100">
        <v>0</v>
      </c>
      <c r="AA100">
        <v>0.1</v>
      </c>
    </row>
    <row r="101" spans="1:27" x14ac:dyDescent="0.25">
      <c r="A101">
        <v>1168.08</v>
      </c>
      <c r="B101" t="s">
        <v>447</v>
      </c>
      <c r="C101" t="s">
        <v>214</v>
      </c>
      <c r="D101" t="s">
        <v>448</v>
      </c>
      <c r="E101" t="s">
        <v>449</v>
      </c>
      <c r="G101">
        <v>0</v>
      </c>
      <c r="I101">
        <v>65</v>
      </c>
      <c r="J101">
        <v>3.3</v>
      </c>
      <c r="K101">
        <v>3.38</v>
      </c>
      <c r="L101">
        <v>0</v>
      </c>
      <c r="M101">
        <v>0</v>
      </c>
      <c r="N101">
        <v>0.38</v>
      </c>
      <c r="O101">
        <v>0.12</v>
      </c>
      <c r="P101">
        <v>0</v>
      </c>
      <c r="Q101">
        <v>20</v>
      </c>
      <c r="R101">
        <v>2</v>
      </c>
      <c r="S101">
        <v>0</v>
      </c>
      <c r="T101">
        <v>0</v>
      </c>
      <c r="U101">
        <v>199</v>
      </c>
      <c r="V101">
        <v>275</v>
      </c>
      <c r="W101">
        <v>1190</v>
      </c>
      <c r="X101">
        <v>29</v>
      </c>
      <c r="Y101">
        <v>0.89</v>
      </c>
      <c r="Z101">
        <v>0</v>
      </c>
      <c r="AA101">
        <v>1.9</v>
      </c>
    </row>
    <row r="102" spans="1:27" x14ac:dyDescent="0.25">
      <c r="A102">
        <v>1168.0899999999999</v>
      </c>
      <c r="B102" t="s">
        <v>450</v>
      </c>
      <c r="C102" t="s">
        <v>214</v>
      </c>
      <c r="D102" t="s">
        <v>451</v>
      </c>
      <c r="E102" t="s">
        <v>452</v>
      </c>
      <c r="G102">
        <v>0</v>
      </c>
      <c r="I102">
        <v>47</v>
      </c>
      <c r="J102">
        <v>3.9</v>
      </c>
      <c r="K102">
        <v>2.5</v>
      </c>
      <c r="L102">
        <v>110</v>
      </c>
      <c r="M102">
        <v>0</v>
      </c>
      <c r="N102">
        <v>0.87</v>
      </c>
      <c r="O102">
        <v>0.14000000000000001</v>
      </c>
      <c r="P102">
        <v>0</v>
      </c>
      <c r="Q102">
        <v>0</v>
      </c>
      <c r="R102">
        <v>0</v>
      </c>
      <c r="S102">
        <v>0.59</v>
      </c>
      <c r="T102">
        <v>0</v>
      </c>
      <c r="U102">
        <v>191</v>
      </c>
      <c r="V102">
        <v>359</v>
      </c>
      <c r="W102">
        <v>727</v>
      </c>
      <c r="X102">
        <v>6</v>
      </c>
      <c r="Y102">
        <v>0.86</v>
      </c>
      <c r="Z102">
        <v>0</v>
      </c>
      <c r="AA102">
        <v>15.5</v>
      </c>
    </row>
    <row r="103" spans="1:27" x14ac:dyDescent="0.25">
      <c r="A103">
        <v>1168.0999999999999</v>
      </c>
      <c r="B103" t="s">
        <v>453</v>
      </c>
      <c r="C103" t="s">
        <v>214</v>
      </c>
      <c r="D103" t="s">
        <v>451</v>
      </c>
      <c r="E103" t="s">
        <v>452</v>
      </c>
      <c r="G103">
        <v>0</v>
      </c>
      <c r="I103">
        <v>47</v>
      </c>
      <c r="J103">
        <v>3.9</v>
      </c>
      <c r="K103">
        <v>2.5</v>
      </c>
      <c r="L103">
        <v>110</v>
      </c>
      <c r="M103">
        <v>0</v>
      </c>
      <c r="N103">
        <v>0.87</v>
      </c>
      <c r="O103">
        <v>0.14000000000000001</v>
      </c>
      <c r="P103">
        <v>0</v>
      </c>
      <c r="Q103">
        <v>0</v>
      </c>
      <c r="R103">
        <v>0</v>
      </c>
      <c r="S103">
        <v>0.59</v>
      </c>
      <c r="T103">
        <v>0</v>
      </c>
      <c r="U103">
        <v>191</v>
      </c>
      <c r="V103">
        <v>359</v>
      </c>
      <c r="W103">
        <v>727</v>
      </c>
      <c r="X103">
        <v>6</v>
      </c>
      <c r="Y103">
        <v>0.86</v>
      </c>
      <c r="Z103">
        <v>0</v>
      </c>
      <c r="AA103">
        <v>15.5</v>
      </c>
    </row>
    <row r="104" spans="1:27" x14ac:dyDescent="0.25">
      <c r="A104">
        <v>1168.1099999999999</v>
      </c>
      <c r="B104" t="s">
        <v>454</v>
      </c>
      <c r="C104" t="s">
        <v>214</v>
      </c>
      <c r="D104" t="s">
        <v>455</v>
      </c>
      <c r="E104" t="s">
        <v>456</v>
      </c>
      <c r="G104">
        <v>0.28000000000000003</v>
      </c>
      <c r="I104">
        <v>276</v>
      </c>
      <c r="J104">
        <v>5.5</v>
      </c>
      <c r="K104">
        <v>3.6</v>
      </c>
      <c r="L104">
        <v>0</v>
      </c>
      <c r="M104">
        <v>247</v>
      </c>
      <c r="N104">
        <v>0.37</v>
      </c>
      <c r="O104">
        <v>0.06</v>
      </c>
      <c r="P104">
        <v>0</v>
      </c>
      <c r="Q104">
        <v>70</v>
      </c>
      <c r="R104">
        <v>6</v>
      </c>
      <c r="S104">
        <v>0.02</v>
      </c>
      <c r="T104">
        <v>0</v>
      </c>
      <c r="U104">
        <v>91</v>
      </c>
      <c r="V104">
        <v>83</v>
      </c>
      <c r="W104">
        <v>1020</v>
      </c>
      <c r="X104">
        <v>0</v>
      </c>
      <c r="Y104">
        <v>0.7</v>
      </c>
      <c r="Z104">
        <v>0</v>
      </c>
      <c r="AA104">
        <v>2.1</v>
      </c>
    </row>
    <row r="105" spans="1:27" x14ac:dyDescent="0.25">
      <c r="A105">
        <v>1168.1400000000001</v>
      </c>
      <c r="B105" t="s">
        <v>457</v>
      </c>
      <c r="C105" t="s">
        <v>214</v>
      </c>
      <c r="D105" t="s">
        <v>442</v>
      </c>
      <c r="E105" t="s">
        <v>458</v>
      </c>
      <c r="G105">
        <v>0.43</v>
      </c>
      <c r="I105">
        <v>23</v>
      </c>
      <c r="J105">
        <v>3</v>
      </c>
      <c r="K105">
        <v>0</v>
      </c>
      <c r="L105">
        <v>0</v>
      </c>
      <c r="M105">
        <v>51.5</v>
      </c>
      <c r="N105">
        <v>0.03</v>
      </c>
      <c r="O105">
        <v>0.04</v>
      </c>
      <c r="P105">
        <v>0</v>
      </c>
      <c r="Q105">
        <v>360</v>
      </c>
      <c r="R105">
        <v>30</v>
      </c>
      <c r="S105">
        <v>0</v>
      </c>
      <c r="T105">
        <v>0</v>
      </c>
      <c r="U105">
        <v>2</v>
      </c>
      <c r="V105">
        <v>90</v>
      </c>
      <c r="W105">
        <v>0</v>
      </c>
      <c r="X105">
        <v>0</v>
      </c>
      <c r="Y105">
        <v>0.05</v>
      </c>
      <c r="Z105">
        <v>0</v>
      </c>
      <c r="AA105">
        <v>0</v>
      </c>
    </row>
    <row r="106" spans="1:27" x14ac:dyDescent="0.25">
      <c r="A106">
        <v>1168.1500000000001</v>
      </c>
      <c r="B106" t="s">
        <v>459</v>
      </c>
      <c r="C106" t="s">
        <v>218</v>
      </c>
      <c r="D106">
        <v>12635</v>
      </c>
      <c r="E106" t="s">
        <v>460</v>
      </c>
      <c r="G106">
        <v>0</v>
      </c>
      <c r="I106">
        <v>70</v>
      </c>
      <c r="J106">
        <v>3.7</v>
      </c>
      <c r="K106">
        <v>3.8</v>
      </c>
      <c r="L106">
        <v>50</v>
      </c>
      <c r="M106">
        <v>0.4</v>
      </c>
      <c r="N106">
        <v>0.2</v>
      </c>
      <c r="O106">
        <v>0.2</v>
      </c>
      <c r="P106">
        <v>0</v>
      </c>
      <c r="Q106">
        <v>3</v>
      </c>
      <c r="R106">
        <v>0</v>
      </c>
      <c r="S106">
        <v>0.29599999999999999</v>
      </c>
      <c r="T106">
        <v>0</v>
      </c>
      <c r="U106">
        <v>225</v>
      </c>
      <c r="V106">
        <v>435</v>
      </c>
      <c r="W106">
        <v>597</v>
      </c>
      <c r="X106">
        <v>669</v>
      </c>
      <c r="Y106">
        <v>1.2789999999999999</v>
      </c>
      <c r="Z106">
        <v>0</v>
      </c>
      <c r="AA106">
        <v>4.7</v>
      </c>
    </row>
    <row r="107" spans="1:27" x14ac:dyDescent="0.25">
      <c r="A107">
        <v>1168.1600000000001</v>
      </c>
      <c r="B107" t="s">
        <v>461</v>
      </c>
      <c r="C107" t="s">
        <v>218</v>
      </c>
      <c r="D107">
        <v>12104</v>
      </c>
      <c r="E107" t="s">
        <v>462</v>
      </c>
      <c r="G107">
        <v>0</v>
      </c>
      <c r="I107">
        <v>14</v>
      </c>
      <c r="J107">
        <v>2.4300000000000002</v>
      </c>
      <c r="K107">
        <v>1.1000000000000001</v>
      </c>
      <c r="L107">
        <v>26</v>
      </c>
      <c r="M107">
        <v>3.3</v>
      </c>
      <c r="N107">
        <v>6.6000000000000003E-2</v>
      </c>
      <c r="O107">
        <v>0.02</v>
      </c>
      <c r="P107">
        <v>0</v>
      </c>
      <c r="Q107">
        <v>0</v>
      </c>
      <c r="R107">
        <v>0</v>
      </c>
      <c r="S107">
        <v>5.3999999999999999E-2</v>
      </c>
      <c r="T107">
        <v>0</v>
      </c>
      <c r="U107">
        <v>32</v>
      </c>
      <c r="V107">
        <v>113</v>
      </c>
      <c r="W107">
        <v>356</v>
      </c>
      <c r="X107">
        <v>20</v>
      </c>
      <c r="Y107">
        <v>0.435</v>
      </c>
      <c r="Z107">
        <v>0</v>
      </c>
      <c r="AA107">
        <v>0.54</v>
      </c>
    </row>
    <row r="108" spans="1:27" x14ac:dyDescent="0.25">
      <c r="A108">
        <v>1168.17</v>
      </c>
      <c r="B108" t="s">
        <v>463</v>
      </c>
      <c r="C108" t="s">
        <v>218</v>
      </c>
      <c r="D108">
        <v>12135</v>
      </c>
      <c r="E108" t="s">
        <v>464</v>
      </c>
      <c r="G108">
        <v>0</v>
      </c>
      <c r="I108">
        <v>70</v>
      </c>
      <c r="J108">
        <v>3.7</v>
      </c>
      <c r="K108">
        <v>3.8</v>
      </c>
      <c r="L108">
        <v>50</v>
      </c>
      <c r="M108">
        <v>0.4</v>
      </c>
      <c r="N108">
        <v>0.2</v>
      </c>
      <c r="O108">
        <v>0.2</v>
      </c>
      <c r="P108">
        <v>0</v>
      </c>
      <c r="Q108">
        <v>0</v>
      </c>
      <c r="R108">
        <v>1</v>
      </c>
      <c r="S108">
        <v>0.29599999999999999</v>
      </c>
      <c r="T108">
        <v>0</v>
      </c>
      <c r="U108">
        <v>225</v>
      </c>
      <c r="V108">
        <v>435</v>
      </c>
      <c r="W108">
        <v>597</v>
      </c>
      <c r="X108">
        <v>12</v>
      </c>
      <c r="Y108">
        <v>1.2789999999999999</v>
      </c>
      <c r="Z108">
        <v>0</v>
      </c>
      <c r="AA108">
        <v>4.7</v>
      </c>
    </row>
    <row r="109" spans="1:27" x14ac:dyDescent="0.25">
      <c r="A109">
        <v>1168.19</v>
      </c>
      <c r="B109" t="s">
        <v>465</v>
      </c>
      <c r="C109" t="s">
        <v>218</v>
      </c>
      <c r="D109">
        <v>9094</v>
      </c>
      <c r="E109" t="s">
        <v>466</v>
      </c>
      <c r="G109">
        <v>0</v>
      </c>
      <c r="I109">
        <v>162</v>
      </c>
      <c r="J109">
        <v>2.0299999999999998</v>
      </c>
      <c r="K109">
        <v>0.55000000000000004</v>
      </c>
      <c r="L109">
        <v>9</v>
      </c>
      <c r="M109">
        <v>1.2</v>
      </c>
      <c r="N109">
        <v>8.5000000000000006E-2</v>
      </c>
      <c r="O109">
        <v>8.1999999999999906E-2</v>
      </c>
      <c r="P109">
        <v>0</v>
      </c>
      <c r="Q109">
        <v>6</v>
      </c>
      <c r="R109">
        <v>0</v>
      </c>
      <c r="S109">
        <v>0.106</v>
      </c>
      <c r="T109">
        <v>0</v>
      </c>
      <c r="U109">
        <v>68</v>
      </c>
      <c r="V109">
        <v>67</v>
      </c>
      <c r="W109">
        <v>680</v>
      </c>
      <c r="X109">
        <v>10</v>
      </c>
      <c r="Y109">
        <v>0.28699999999999998</v>
      </c>
      <c r="Z109">
        <v>0</v>
      </c>
      <c r="AA109">
        <v>0.61899999999999999</v>
      </c>
    </row>
    <row r="110" spans="1:27" x14ac:dyDescent="0.25">
      <c r="A110">
        <v>1168.2</v>
      </c>
      <c r="B110" t="s">
        <v>467</v>
      </c>
      <c r="C110" t="s">
        <v>218</v>
      </c>
      <c r="D110">
        <v>9259</v>
      </c>
      <c r="E110" t="s">
        <v>468</v>
      </c>
      <c r="G110">
        <v>0</v>
      </c>
      <c r="I110">
        <v>34</v>
      </c>
      <c r="J110">
        <v>2.1</v>
      </c>
      <c r="K110">
        <v>0.39</v>
      </c>
      <c r="L110">
        <v>0</v>
      </c>
      <c r="M110">
        <v>7</v>
      </c>
      <c r="N110">
        <v>8.0000000000000002E-3</v>
      </c>
      <c r="O110">
        <v>0.14499999999999999</v>
      </c>
      <c r="P110">
        <v>0</v>
      </c>
      <c r="Q110">
        <v>2</v>
      </c>
      <c r="R110">
        <v>0</v>
      </c>
      <c r="S110">
        <v>7.1999999999999995E-2</v>
      </c>
      <c r="T110">
        <v>0</v>
      </c>
      <c r="U110">
        <v>33</v>
      </c>
      <c r="V110">
        <v>59</v>
      </c>
      <c r="W110">
        <v>533</v>
      </c>
      <c r="X110">
        <v>6</v>
      </c>
      <c r="Y110">
        <v>0.371</v>
      </c>
      <c r="Z110">
        <v>0</v>
      </c>
      <c r="AA110">
        <v>1.3720000000000001</v>
      </c>
    </row>
    <row r="111" spans="1:27" x14ac:dyDescent="0.25">
      <c r="A111">
        <v>1168.22</v>
      </c>
      <c r="B111" t="s">
        <v>469</v>
      </c>
      <c r="C111" t="s">
        <v>214</v>
      </c>
      <c r="D111" t="s">
        <v>470</v>
      </c>
      <c r="E111" t="s">
        <v>471</v>
      </c>
      <c r="G111">
        <v>0</v>
      </c>
      <c r="I111">
        <v>46</v>
      </c>
      <c r="J111">
        <v>1.1000000000000001</v>
      </c>
      <c r="K111">
        <v>0.36</v>
      </c>
      <c r="L111">
        <v>36</v>
      </c>
      <c r="M111">
        <v>3</v>
      </c>
      <c r="N111">
        <v>0.06</v>
      </c>
      <c r="O111">
        <v>0.08</v>
      </c>
      <c r="P111">
        <v>0</v>
      </c>
      <c r="Q111">
        <v>7</v>
      </c>
      <c r="R111">
        <v>1</v>
      </c>
      <c r="S111">
        <v>0.2</v>
      </c>
      <c r="T111">
        <v>0</v>
      </c>
      <c r="U111">
        <v>45</v>
      </c>
      <c r="V111">
        <v>56</v>
      </c>
      <c r="W111">
        <v>669</v>
      </c>
      <c r="X111">
        <v>4</v>
      </c>
      <c r="Y111">
        <v>0.28000000000000003</v>
      </c>
      <c r="Z111">
        <v>0</v>
      </c>
      <c r="AA111">
        <v>1.6</v>
      </c>
    </row>
    <row r="112" spans="1:27" x14ac:dyDescent="0.25">
      <c r="A112">
        <v>1168.99</v>
      </c>
      <c r="B112" t="s">
        <v>472</v>
      </c>
      <c r="C112" t="s">
        <v>218</v>
      </c>
      <c r="D112">
        <v>9188</v>
      </c>
      <c r="E112" t="s">
        <v>473</v>
      </c>
      <c r="G112">
        <v>0</v>
      </c>
      <c r="I112">
        <v>38</v>
      </c>
      <c r="J112">
        <v>2.71</v>
      </c>
      <c r="K112">
        <v>0.5</v>
      </c>
      <c r="L112">
        <v>4</v>
      </c>
      <c r="M112">
        <v>3.8</v>
      </c>
      <c r="N112">
        <v>4.3999999999999997E-2</v>
      </c>
      <c r="O112">
        <v>0.157</v>
      </c>
      <c r="P112">
        <v>0</v>
      </c>
      <c r="Q112">
        <v>0</v>
      </c>
      <c r="R112">
        <v>122</v>
      </c>
      <c r="S112">
        <v>0.159</v>
      </c>
      <c r="T112">
        <v>0</v>
      </c>
      <c r="U112">
        <v>39</v>
      </c>
      <c r="V112">
        <v>77</v>
      </c>
      <c r="W112">
        <v>796</v>
      </c>
      <c r="X112">
        <v>18</v>
      </c>
      <c r="Y112">
        <v>0.38500000000000001</v>
      </c>
      <c r="Z112">
        <v>0</v>
      </c>
      <c r="AA112">
        <v>1.927</v>
      </c>
    </row>
    <row r="113" spans="1:27" x14ac:dyDescent="0.25">
      <c r="A113">
        <v>1169.01</v>
      </c>
      <c r="B113" t="s">
        <v>474</v>
      </c>
      <c r="C113" t="s">
        <v>218</v>
      </c>
      <c r="D113">
        <v>9187</v>
      </c>
      <c r="E113" t="s">
        <v>475</v>
      </c>
      <c r="G113">
        <v>0</v>
      </c>
      <c r="I113">
        <v>1</v>
      </c>
      <c r="J113">
        <v>0.36</v>
      </c>
      <c r="K113">
        <v>7.0000000000000007E-2</v>
      </c>
      <c r="L113">
        <v>3</v>
      </c>
      <c r="M113">
        <v>69</v>
      </c>
      <c r="N113">
        <v>1.4999999999999999E-2</v>
      </c>
      <c r="O113">
        <v>0.04</v>
      </c>
      <c r="P113">
        <v>0</v>
      </c>
      <c r="Q113">
        <v>0</v>
      </c>
      <c r="R113">
        <v>10</v>
      </c>
      <c r="S113">
        <v>3.5999999999999997E-2</v>
      </c>
      <c r="T113">
        <v>0</v>
      </c>
      <c r="U113">
        <v>5</v>
      </c>
      <c r="V113">
        <v>10</v>
      </c>
      <c r="W113">
        <v>84</v>
      </c>
      <c r="X113">
        <v>4</v>
      </c>
      <c r="Y113">
        <v>5.7999999999999899E-2</v>
      </c>
      <c r="Z113">
        <v>0</v>
      </c>
      <c r="AA113">
        <v>0.6</v>
      </c>
    </row>
    <row r="114" spans="1:27" x14ac:dyDescent="0.25">
      <c r="A114">
        <v>1169.02</v>
      </c>
      <c r="B114" t="s">
        <v>476</v>
      </c>
      <c r="C114" t="s">
        <v>218</v>
      </c>
      <c r="D114">
        <v>9189</v>
      </c>
      <c r="E114" t="s">
        <v>477</v>
      </c>
      <c r="G114">
        <v>0</v>
      </c>
      <c r="I114">
        <v>7</v>
      </c>
      <c r="J114">
        <v>0.28000000000000003</v>
      </c>
      <c r="K114">
        <v>0.05</v>
      </c>
      <c r="L114">
        <v>8</v>
      </c>
      <c r="M114">
        <v>75</v>
      </c>
      <c r="N114">
        <v>1.7000000000000001E-2</v>
      </c>
      <c r="O114">
        <v>3.5000000000000003E-2</v>
      </c>
      <c r="P114">
        <v>0</v>
      </c>
      <c r="Q114">
        <v>0</v>
      </c>
      <c r="R114">
        <v>16</v>
      </c>
      <c r="S114">
        <v>2.5000000000000001E-2</v>
      </c>
      <c r="T114">
        <v>0</v>
      </c>
      <c r="U114">
        <v>6</v>
      </c>
      <c r="V114">
        <v>12</v>
      </c>
      <c r="W114">
        <v>131</v>
      </c>
      <c r="X114">
        <v>3</v>
      </c>
      <c r="Y114">
        <v>3.4000000000000002E-2</v>
      </c>
      <c r="Z114">
        <v>0</v>
      </c>
      <c r="AA114">
        <v>0.39700000000000002</v>
      </c>
    </row>
    <row r="115" spans="1:27" x14ac:dyDescent="0.25">
      <c r="A115">
        <v>1169.08</v>
      </c>
      <c r="B115" t="s">
        <v>478</v>
      </c>
      <c r="C115" t="s">
        <v>218</v>
      </c>
      <c r="D115">
        <v>9187</v>
      </c>
      <c r="E115" t="s">
        <v>475</v>
      </c>
      <c r="G115">
        <v>0</v>
      </c>
      <c r="I115">
        <v>1</v>
      </c>
      <c r="J115">
        <v>0.36</v>
      </c>
      <c r="K115">
        <v>7.0000000000000007E-2</v>
      </c>
      <c r="L115">
        <v>3</v>
      </c>
      <c r="M115">
        <v>69</v>
      </c>
      <c r="N115">
        <v>1.4999999999999999E-2</v>
      </c>
      <c r="O115">
        <v>0.04</v>
      </c>
      <c r="P115">
        <v>0</v>
      </c>
      <c r="Q115">
        <v>0</v>
      </c>
      <c r="R115">
        <v>10</v>
      </c>
      <c r="S115">
        <v>3.5999999999999997E-2</v>
      </c>
      <c r="T115">
        <v>0</v>
      </c>
      <c r="U115">
        <v>5</v>
      </c>
      <c r="V115">
        <v>10</v>
      </c>
      <c r="W115">
        <v>84</v>
      </c>
      <c r="X115">
        <v>4</v>
      </c>
      <c r="Y115">
        <v>5.7999999999999899E-2</v>
      </c>
      <c r="Z115">
        <v>0</v>
      </c>
      <c r="AA115">
        <v>0.6</v>
      </c>
    </row>
    <row r="116" spans="1:27" x14ac:dyDescent="0.25">
      <c r="A116">
        <v>1169.99</v>
      </c>
      <c r="B116" t="s">
        <v>479</v>
      </c>
      <c r="C116" t="s">
        <v>218</v>
      </c>
      <c r="D116">
        <v>12635</v>
      </c>
      <c r="E116" t="s">
        <v>480</v>
      </c>
      <c r="G116">
        <v>0</v>
      </c>
      <c r="I116">
        <v>70</v>
      </c>
      <c r="J116">
        <v>3.7</v>
      </c>
      <c r="K116">
        <v>3.8</v>
      </c>
      <c r="L116">
        <v>50</v>
      </c>
      <c r="M116">
        <v>0.4</v>
      </c>
      <c r="N116">
        <v>0.2</v>
      </c>
      <c r="O116">
        <v>0.2</v>
      </c>
      <c r="P116">
        <v>0</v>
      </c>
      <c r="Q116">
        <v>3</v>
      </c>
      <c r="R116">
        <v>0</v>
      </c>
      <c r="S116">
        <v>0.29599999999999999</v>
      </c>
      <c r="T116">
        <v>0</v>
      </c>
      <c r="U116">
        <v>225</v>
      </c>
      <c r="V116">
        <v>435</v>
      </c>
      <c r="W116">
        <v>597</v>
      </c>
      <c r="X116">
        <v>669</v>
      </c>
      <c r="Y116">
        <v>1.2789999999999999</v>
      </c>
      <c r="Z116">
        <v>0</v>
      </c>
      <c r="AA116">
        <v>4.7</v>
      </c>
    </row>
    <row r="117" spans="1:27" x14ac:dyDescent="0.25">
      <c r="A117">
        <v>1171.01</v>
      </c>
      <c r="B117" t="s">
        <v>481</v>
      </c>
      <c r="C117" t="s">
        <v>214</v>
      </c>
      <c r="D117" t="s">
        <v>482</v>
      </c>
      <c r="E117" t="s">
        <v>483</v>
      </c>
      <c r="G117">
        <v>0.3</v>
      </c>
      <c r="I117">
        <v>27</v>
      </c>
      <c r="J117">
        <v>0.8</v>
      </c>
      <c r="K117">
        <v>0.28999999999999998</v>
      </c>
      <c r="L117">
        <v>89</v>
      </c>
      <c r="M117">
        <v>5.3</v>
      </c>
      <c r="N117">
        <v>0.06</v>
      </c>
      <c r="O117">
        <v>0.15</v>
      </c>
      <c r="P117">
        <v>0</v>
      </c>
      <c r="Q117">
        <v>1120</v>
      </c>
      <c r="R117">
        <v>93</v>
      </c>
      <c r="S117">
        <v>0.2</v>
      </c>
      <c r="T117">
        <v>0</v>
      </c>
      <c r="U117">
        <v>9</v>
      </c>
      <c r="V117">
        <v>28</v>
      </c>
      <c r="W117">
        <v>204</v>
      </c>
      <c r="X117">
        <v>10</v>
      </c>
      <c r="Y117">
        <v>0.05</v>
      </c>
      <c r="Z117">
        <v>0</v>
      </c>
      <c r="AA117">
        <v>0.4</v>
      </c>
    </row>
    <row r="118" spans="1:27" x14ac:dyDescent="0.25">
      <c r="A118">
        <v>1171.02</v>
      </c>
      <c r="B118" t="s">
        <v>484</v>
      </c>
      <c r="C118" t="s">
        <v>214</v>
      </c>
      <c r="D118" t="s">
        <v>485</v>
      </c>
      <c r="E118" t="s">
        <v>486</v>
      </c>
      <c r="G118">
        <v>0.28000000000000003</v>
      </c>
      <c r="I118">
        <v>133</v>
      </c>
      <c r="J118">
        <v>3.1</v>
      </c>
      <c r="K118">
        <v>0.8</v>
      </c>
      <c r="L118">
        <v>176</v>
      </c>
      <c r="M118">
        <v>36</v>
      </c>
      <c r="N118">
        <v>0.08</v>
      </c>
      <c r="O118">
        <v>0.17</v>
      </c>
      <c r="P118">
        <v>0</v>
      </c>
      <c r="Q118">
        <v>6040</v>
      </c>
      <c r="R118">
        <v>409</v>
      </c>
      <c r="S118">
        <v>0.19</v>
      </c>
      <c r="T118">
        <v>0</v>
      </c>
      <c r="U118">
        <v>53</v>
      </c>
      <c r="V118">
        <v>45</v>
      </c>
      <c r="W118">
        <v>502</v>
      </c>
      <c r="X118">
        <v>87</v>
      </c>
      <c r="Y118">
        <v>0.08</v>
      </c>
      <c r="Z118">
        <v>0</v>
      </c>
      <c r="AA118">
        <v>0.9</v>
      </c>
    </row>
    <row r="119" spans="1:27" x14ac:dyDescent="0.25">
      <c r="A119">
        <v>1171.03</v>
      </c>
      <c r="B119" t="s">
        <v>487</v>
      </c>
      <c r="C119" t="s">
        <v>218</v>
      </c>
      <c r="D119">
        <v>11143</v>
      </c>
      <c r="E119" t="s">
        <v>488</v>
      </c>
      <c r="G119">
        <v>0</v>
      </c>
      <c r="I119">
        <v>40</v>
      </c>
      <c r="J119">
        <v>0.2</v>
      </c>
      <c r="K119">
        <v>0.13</v>
      </c>
      <c r="L119">
        <v>36</v>
      </c>
      <c r="M119">
        <v>3.1</v>
      </c>
      <c r="N119">
        <v>2.1000000000000001E-2</v>
      </c>
      <c r="O119">
        <v>5.7000000000000002E-2</v>
      </c>
      <c r="P119">
        <v>0</v>
      </c>
      <c r="Q119">
        <v>270</v>
      </c>
      <c r="R119">
        <v>22</v>
      </c>
      <c r="S119">
        <v>7.3999999999999996E-2</v>
      </c>
      <c r="T119">
        <v>0</v>
      </c>
      <c r="U119">
        <v>11</v>
      </c>
      <c r="V119">
        <v>24</v>
      </c>
      <c r="W119">
        <v>260</v>
      </c>
      <c r="X119">
        <v>80</v>
      </c>
      <c r="Y119">
        <v>3.5000000000000003E-2</v>
      </c>
      <c r="Z119">
        <v>0</v>
      </c>
      <c r="AA119">
        <v>0.32</v>
      </c>
    </row>
    <row r="120" spans="1:27" x14ac:dyDescent="0.25">
      <c r="A120">
        <v>1171.99</v>
      </c>
      <c r="B120" t="s">
        <v>489</v>
      </c>
      <c r="C120" t="s">
        <v>218</v>
      </c>
      <c r="D120">
        <v>11291</v>
      </c>
      <c r="E120" t="s">
        <v>490</v>
      </c>
      <c r="G120">
        <v>0</v>
      </c>
      <c r="I120">
        <v>72</v>
      </c>
      <c r="J120">
        <v>1.48</v>
      </c>
      <c r="K120">
        <v>0.39</v>
      </c>
      <c r="L120">
        <v>64</v>
      </c>
      <c r="M120">
        <v>18.8</v>
      </c>
      <c r="N120">
        <v>5.5E-2</v>
      </c>
      <c r="O120">
        <v>0.08</v>
      </c>
      <c r="P120">
        <v>0</v>
      </c>
      <c r="Q120">
        <v>598</v>
      </c>
      <c r="R120">
        <v>50</v>
      </c>
      <c r="S120">
        <v>6.0999999999999999E-2</v>
      </c>
      <c r="T120">
        <v>0</v>
      </c>
      <c r="U120">
        <v>20</v>
      </c>
      <c r="V120">
        <v>37</v>
      </c>
      <c r="W120">
        <v>276</v>
      </c>
      <c r="X120">
        <v>16</v>
      </c>
      <c r="Y120">
        <v>8.3000000000000004E-2</v>
      </c>
      <c r="Z120">
        <v>0</v>
      </c>
      <c r="AA120">
        <v>0.52500000000000002</v>
      </c>
    </row>
    <row r="121" spans="1:27" x14ac:dyDescent="0.25">
      <c r="A121">
        <v>1172.01</v>
      </c>
      <c r="B121" t="s">
        <v>491</v>
      </c>
      <c r="C121" t="s">
        <v>218</v>
      </c>
      <c r="D121">
        <v>11090</v>
      </c>
      <c r="E121" t="s">
        <v>492</v>
      </c>
      <c r="G121">
        <v>0</v>
      </c>
      <c r="I121">
        <v>47</v>
      </c>
      <c r="J121">
        <v>0.73</v>
      </c>
      <c r="K121">
        <v>0.41</v>
      </c>
      <c r="L121">
        <v>63</v>
      </c>
      <c r="M121">
        <v>89.2</v>
      </c>
      <c r="N121">
        <v>7.0999999999999994E-2</v>
      </c>
      <c r="O121">
        <v>0.11699999999999899</v>
      </c>
      <c r="P121">
        <v>0</v>
      </c>
      <c r="Q121">
        <v>361</v>
      </c>
      <c r="R121">
        <v>31</v>
      </c>
      <c r="S121">
        <v>0.17499999999999999</v>
      </c>
      <c r="T121">
        <v>0</v>
      </c>
      <c r="U121">
        <v>21</v>
      </c>
      <c r="V121">
        <v>66</v>
      </c>
      <c r="W121">
        <v>316</v>
      </c>
      <c r="X121">
        <v>33</v>
      </c>
      <c r="Y121">
        <v>4.9000000000000002E-2</v>
      </c>
      <c r="Z121">
        <v>0</v>
      </c>
      <c r="AA121">
        <v>0.63900000000000001</v>
      </c>
    </row>
    <row r="122" spans="1:27" x14ac:dyDescent="0.25">
      <c r="A122">
        <v>1172.02</v>
      </c>
      <c r="B122" t="s">
        <v>493</v>
      </c>
      <c r="C122" t="s">
        <v>214</v>
      </c>
      <c r="D122" t="s">
        <v>494</v>
      </c>
      <c r="E122" t="s">
        <v>495</v>
      </c>
      <c r="G122">
        <v>0.2</v>
      </c>
      <c r="I122">
        <v>41</v>
      </c>
      <c r="J122">
        <v>0.6</v>
      </c>
      <c r="K122">
        <v>0.2</v>
      </c>
      <c r="L122">
        <v>48</v>
      </c>
      <c r="M122">
        <v>54</v>
      </c>
      <c r="N122">
        <v>0.05</v>
      </c>
      <c r="O122">
        <v>0.04</v>
      </c>
      <c r="P122">
        <v>0</v>
      </c>
      <c r="Q122">
        <v>100</v>
      </c>
      <c r="R122">
        <v>8</v>
      </c>
      <c r="S122">
        <v>0.1</v>
      </c>
      <c r="T122">
        <v>0</v>
      </c>
      <c r="U122">
        <v>12</v>
      </c>
      <c r="V122">
        <v>37</v>
      </c>
      <c r="W122">
        <v>317</v>
      </c>
      <c r="X122">
        <v>12</v>
      </c>
      <c r="Y122">
        <v>0.02</v>
      </c>
      <c r="Z122">
        <v>0</v>
      </c>
      <c r="AA122">
        <v>0.3</v>
      </c>
    </row>
    <row r="123" spans="1:27" x14ac:dyDescent="0.25">
      <c r="A123">
        <v>1172.03</v>
      </c>
      <c r="B123" t="s">
        <v>496</v>
      </c>
      <c r="C123" t="s">
        <v>218</v>
      </c>
      <c r="D123">
        <v>1135</v>
      </c>
      <c r="E123" t="s">
        <v>497</v>
      </c>
      <c r="G123">
        <v>0</v>
      </c>
      <c r="I123">
        <v>83</v>
      </c>
      <c r="J123">
        <v>0.23</v>
      </c>
      <c r="K123">
        <v>0.15</v>
      </c>
      <c r="L123">
        <v>89</v>
      </c>
      <c r="M123">
        <v>0</v>
      </c>
      <c r="N123">
        <v>3.5000000000000003E-2</v>
      </c>
      <c r="O123">
        <v>2.1619999999999999</v>
      </c>
      <c r="P123">
        <v>0</v>
      </c>
      <c r="Q123">
        <v>0</v>
      </c>
      <c r="R123">
        <v>0</v>
      </c>
      <c r="S123">
        <v>2.3E-2</v>
      </c>
      <c r="T123">
        <v>0.49</v>
      </c>
      <c r="U123">
        <v>67</v>
      </c>
      <c r="V123">
        <v>83</v>
      </c>
      <c r="W123">
        <v>1042</v>
      </c>
      <c r="X123">
        <v>1156</v>
      </c>
      <c r="Y123">
        <v>0.23</v>
      </c>
      <c r="Z123">
        <v>0</v>
      </c>
      <c r="AA123">
        <v>0.67500000000000004</v>
      </c>
    </row>
    <row r="124" spans="1:27" x14ac:dyDescent="0.25">
      <c r="A124">
        <v>1173.01</v>
      </c>
      <c r="B124" t="s">
        <v>498</v>
      </c>
      <c r="C124" t="s">
        <v>218</v>
      </c>
      <c r="D124">
        <v>11209</v>
      </c>
      <c r="E124" t="s">
        <v>499</v>
      </c>
      <c r="G124">
        <v>0</v>
      </c>
      <c r="I124">
        <v>9</v>
      </c>
      <c r="J124">
        <v>0.24</v>
      </c>
      <c r="K124">
        <v>0.16</v>
      </c>
      <c r="L124">
        <v>22</v>
      </c>
      <c r="M124">
        <v>2.2000000000000002</v>
      </c>
      <c r="N124">
        <v>3.9E-2</v>
      </c>
      <c r="O124">
        <v>3.6999999999999998E-2</v>
      </c>
      <c r="P124">
        <v>0</v>
      </c>
      <c r="Q124">
        <v>16</v>
      </c>
      <c r="R124">
        <v>1</v>
      </c>
      <c r="S124">
        <v>8.4000000000000005E-2</v>
      </c>
      <c r="T124">
        <v>0</v>
      </c>
      <c r="U124">
        <v>14</v>
      </c>
      <c r="V124">
        <v>25</v>
      </c>
      <c r="W124">
        <v>230</v>
      </c>
      <c r="X124">
        <v>2</v>
      </c>
      <c r="Y124">
        <v>8.1999999999999906E-2</v>
      </c>
      <c r="Z124">
        <v>0</v>
      </c>
      <c r="AA124">
        <v>0.64900000000000002</v>
      </c>
    </row>
    <row r="125" spans="1:27" x14ac:dyDescent="0.25">
      <c r="A125">
        <v>1173.02</v>
      </c>
      <c r="B125" t="s">
        <v>500</v>
      </c>
      <c r="C125" t="s">
        <v>214</v>
      </c>
      <c r="D125" t="s">
        <v>501</v>
      </c>
      <c r="E125" t="s">
        <v>502</v>
      </c>
      <c r="G125">
        <v>0.17</v>
      </c>
      <c r="I125">
        <v>47</v>
      </c>
      <c r="J125">
        <v>1.1000000000000001</v>
      </c>
      <c r="K125">
        <v>0.27</v>
      </c>
      <c r="L125">
        <v>62</v>
      </c>
      <c r="M125">
        <v>17.5</v>
      </c>
      <c r="N125">
        <v>0.1</v>
      </c>
      <c r="O125">
        <v>0.1</v>
      </c>
      <c r="P125">
        <v>0</v>
      </c>
      <c r="Q125">
        <v>286</v>
      </c>
      <c r="R125">
        <v>24</v>
      </c>
      <c r="S125">
        <v>0.2</v>
      </c>
      <c r="T125">
        <v>0</v>
      </c>
      <c r="U125">
        <v>25</v>
      </c>
      <c r="V125">
        <v>56</v>
      </c>
      <c r="W125">
        <v>242</v>
      </c>
      <c r="X125">
        <v>2</v>
      </c>
      <c r="Y125">
        <v>0.08</v>
      </c>
      <c r="Z125">
        <v>0</v>
      </c>
      <c r="AA125">
        <v>0.7</v>
      </c>
    </row>
    <row r="126" spans="1:27" x14ac:dyDescent="0.25">
      <c r="A126">
        <v>1173.03</v>
      </c>
      <c r="B126" t="s">
        <v>503</v>
      </c>
      <c r="C126" t="s">
        <v>214</v>
      </c>
      <c r="D126" t="s">
        <v>504</v>
      </c>
      <c r="E126" t="s">
        <v>505</v>
      </c>
      <c r="G126">
        <v>0.19</v>
      </c>
      <c r="I126">
        <v>13</v>
      </c>
      <c r="J126">
        <v>0.5</v>
      </c>
      <c r="K126">
        <v>0.17</v>
      </c>
      <c r="L126">
        <v>6</v>
      </c>
      <c r="M126">
        <v>14</v>
      </c>
      <c r="N126">
        <v>0.02</v>
      </c>
      <c r="O126">
        <v>0.01</v>
      </c>
      <c r="P126">
        <v>0</v>
      </c>
      <c r="Q126">
        <v>35</v>
      </c>
      <c r="R126">
        <v>3</v>
      </c>
      <c r="S126">
        <v>0.04</v>
      </c>
      <c r="T126">
        <v>0</v>
      </c>
      <c r="U126">
        <v>12</v>
      </c>
      <c r="V126">
        <v>26</v>
      </c>
      <c r="W126">
        <v>134</v>
      </c>
      <c r="X126">
        <v>10</v>
      </c>
      <c r="Y126">
        <v>7.0000000000000007E-2</v>
      </c>
      <c r="Z126">
        <v>0</v>
      </c>
      <c r="AA126">
        <v>0.3</v>
      </c>
    </row>
    <row r="127" spans="1:27" x14ac:dyDescent="0.25">
      <c r="A127">
        <v>1173.04</v>
      </c>
      <c r="B127" t="s">
        <v>506</v>
      </c>
      <c r="C127" t="s">
        <v>214</v>
      </c>
      <c r="D127" t="s">
        <v>507</v>
      </c>
      <c r="E127" t="s">
        <v>508</v>
      </c>
      <c r="G127">
        <v>0.17</v>
      </c>
      <c r="I127">
        <v>17</v>
      </c>
      <c r="J127">
        <v>0.3</v>
      </c>
      <c r="K127">
        <v>0.12</v>
      </c>
      <c r="L127">
        <v>26</v>
      </c>
      <c r="M127">
        <v>112.9</v>
      </c>
      <c r="N127">
        <v>0.08</v>
      </c>
      <c r="O127">
        <v>0.09</v>
      </c>
      <c r="P127">
        <v>0</v>
      </c>
      <c r="Q127">
        <v>353</v>
      </c>
      <c r="R127">
        <v>29</v>
      </c>
      <c r="S127">
        <v>0.28000000000000003</v>
      </c>
      <c r="T127">
        <v>0</v>
      </c>
      <c r="U127">
        <v>9</v>
      </c>
      <c r="V127">
        <v>31</v>
      </c>
      <c r="W127">
        <v>239</v>
      </c>
      <c r="X127">
        <v>6</v>
      </c>
      <c r="Y127">
        <v>7.0000000000000007E-2</v>
      </c>
      <c r="Z127">
        <v>0</v>
      </c>
      <c r="AA127">
        <v>0.5</v>
      </c>
    </row>
    <row r="128" spans="1:27" x14ac:dyDescent="0.25">
      <c r="A128">
        <v>1173.05</v>
      </c>
      <c r="B128" t="s">
        <v>509</v>
      </c>
      <c r="C128" t="s">
        <v>214</v>
      </c>
      <c r="D128" t="s">
        <v>510</v>
      </c>
      <c r="E128" t="s">
        <v>511</v>
      </c>
      <c r="G128">
        <v>0.73</v>
      </c>
      <c r="I128">
        <v>16</v>
      </c>
      <c r="J128">
        <v>1.1000000000000001</v>
      </c>
      <c r="K128">
        <v>0.28999999999999998</v>
      </c>
      <c r="L128">
        <v>23</v>
      </c>
      <c r="M128">
        <v>193.1</v>
      </c>
      <c r="N128">
        <v>0.08</v>
      </c>
      <c r="O128">
        <v>0.09</v>
      </c>
      <c r="P128">
        <v>0</v>
      </c>
      <c r="Q128">
        <v>640</v>
      </c>
      <c r="R128">
        <v>53</v>
      </c>
      <c r="S128">
        <v>0.39</v>
      </c>
      <c r="T128">
        <v>0</v>
      </c>
      <c r="U128">
        <v>24</v>
      </c>
      <c r="V128">
        <v>43</v>
      </c>
      <c r="W128">
        <v>331</v>
      </c>
      <c r="X128">
        <v>8</v>
      </c>
      <c r="Y128">
        <v>0.15</v>
      </c>
      <c r="Z128">
        <v>0</v>
      </c>
      <c r="AA128">
        <v>1.1000000000000001</v>
      </c>
    </row>
    <row r="129" spans="1:27" x14ac:dyDescent="0.25">
      <c r="A129">
        <v>1173.06</v>
      </c>
      <c r="B129" t="s">
        <v>512</v>
      </c>
      <c r="C129" t="s">
        <v>218</v>
      </c>
      <c r="D129">
        <v>11900</v>
      </c>
      <c r="E129" t="s">
        <v>513</v>
      </c>
      <c r="G129">
        <v>0</v>
      </c>
      <c r="I129">
        <v>2</v>
      </c>
      <c r="J129">
        <v>0.52</v>
      </c>
      <c r="K129">
        <v>0.45</v>
      </c>
      <c r="L129">
        <v>46</v>
      </c>
      <c r="M129">
        <v>6.8</v>
      </c>
      <c r="N129">
        <v>0.2</v>
      </c>
      <c r="O129">
        <v>0.06</v>
      </c>
      <c r="P129">
        <v>0</v>
      </c>
      <c r="Q129">
        <v>1</v>
      </c>
      <c r="R129">
        <v>0</v>
      </c>
      <c r="S129">
        <v>5.5E-2</v>
      </c>
      <c r="T129">
        <v>0</v>
      </c>
      <c r="U129">
        <v>37</v>
      </c>
      <c r="V129">
        <v>89</v>
      </c>
      <c r="W129">
        <v>270</v>
      </c>
      <c r="X129">
        <v>15</v>
      </c>
      <c r="Y129">
        <v>5.3999999999999999E-2</v>
      </c>
      <c r="Z129">
        <v>0</v>
      </c>
      <c r="AA129">
        <v>1.7</v>
      </c>
    </row>
    <row r="130" spans="1:27" x14ac:dyDescent="0.25">
      <c r="A130">
        <v>1173.07</v>
      </c>
      <c r="B130" t="s">
        <v>514</v>
      </c>
      <c r="C130" t="s">
        <v>218</v>
      </c>
      <c r="D130">
        <v>11304</v>
      </c>
      <c r="E130" t="s">
        <v>515</v>
      </c>
      <c r="G130">
        <v>0</v>
      </c>
      <c r="I130">
        <v>25</v>
      </c>
      <c r="J130">
        <v>1.47</v>
      </c>
      <c r="K130">
        <v>1.24</v>
      </c>
      <c r="L130">
        <v>65</v>
      </c>
      <c r="M130">
        <v>40</v>
      </c>
      <c r="N130">
        <v>0.26600000000000001</v>
      </c>
      <c r="O130">
        <v>0.13200000000000001</v>
      </c>
      <c r="P130">
        <v>0</v>
      </c>
      <c r="Q130">
        <v>449</v>
      </c>
      <c r="R130">
        <v>38</v>
      </c>
      <c r="S130">
        <v>0.16899999999999901</v>
      </c>
      <c r="T130">
        <v>0</v>
      </c>
      <c r="U130">
        <v>33</v>
      </c>
      <c r="V130">
        <v>108</v>
      </c>
      <c r="W130">
        <v>244</v>
      </c>
      <c r="X130">
        <v>5</v>
      </c>
      <c r="Y130">
        <v>0.17599999999999999</v>
      </c>
      <c r="Z130">
        <v>0</v>
      </c>
      <c r="AA130">
        <v>2.09</v>
      </c>
    </row>
    <row r="131" spans="1:27" x14ac:dyDescent="0.25">
      <c r="A131">
        <v>1173.08</v>
      </c>
      <c r="B131" t="s">
        <v>516</v>
      </c>
      <c r="C131" t="s">
        <v>214</v>
      </c>
      <c r="D131" t="s">
        <v>517</v>
      </c>
      <c r="E131" t="s">
        <v>518</v>
      </c>
      <c r="G131">
        <v>0.7</v>
      </c>
      <c r="I131">
        <v>19</v>
      </c>
      <c r="J131">
        <v>1.2</v>
      </c>
      <c r="K131">
        <v>0.32</v>
      </c>
      <c r="L131">
        <v>8</v>
      </c>
      <c r="M131">
        <v>8</v>
      </c>
      <c r="N131">
        <v>0.05</v>
      </c>
      <c r="O131">
        <v>0.02</v>
      </c>
      <c r="P131">
        <v>0</v>
      </c>
      <c r="Q131">
        <v>1200</v>
      </c>
      <c r="R131">
        <v>100</v>
      </c>
      <c r="S131">
        <v>0.1</v>
      </c>
      <c r="T131">
        <v>0</v>
      </c>
      <c r="U131">
        <v>14</v>
      </c>
      <c r="V131">
        <v>33</v>
      </c>
      <c r="W131">
        <v>280</v>
      </c>
      <c r="X131">
        <v>8</v>
      </c>
      <c r="Y131">
        <v>0.13</v>
      </c>
      <c r="Z131">
        <v>0</v>
      </c>
      <c r="AA131">
        <v>0.5</v>
      </c>
    </row>
    <row r="132" spans="1:27" x14ac:dyDescent="0.25">
      <c r="A132">
        <v>1173.0899999999999</v>
      </c>
      <c r="B132" t="s">
        <v>519</v>
      </c>
      <c r="C132" t="s">
        <v>214</v>
      </c>
      <c r="D132" t="s">
        <v>520</v>
      </c>
      <c r="E132" t="s">
        <v>521</v>
      </c>
      <c r="G132">
        <v>0.09</v>
      </c>
      <c r="I132">
        <v>13</v>
      </c>
      <c r="J132">
        <v>0.6</v>
      </c>
      <c r="K132">
        <v>0.7</v>
      </c>
      <c r="L132">
        <v>21</v>
      </c>
      <c r="M132">
        <v>29.6</v>
      </c>
      <c r="N132">
        <v>0.06</v>
      </c>
      <c r="O132">
        <v>0.04</v>
      </c>
      <c r="P132">
        <v>0</v>
      </c>
      <c r="Q132">
        <v>624</v>
      </c>
      <c r="R132">
        <v>52</v>
      </c>
      <c r="S132">
        <v>0.09</v>
      </c>
      <c r="T132">
        <v>0</v>
      </c>
      <c r="U132">
        <v>13</v>
      </c>
      <c r="V132">
        <v>32</v>
      </c>
      <c r="W132">
        <v>255</v>
      </c>
      <c r="X132">
        <v>7</v>
      </c>
      <c r="Y132">
        <v>0.15</v>
      </c>
      <c r="Z132">
        <v>0</v>
      </c>
      <c r="AA132">
        <v>0.6</v>
      </c>
    </row>
    <row r="133" spans="1:27" x14ac:dyDescent="0.25">
      <c r="A133">
        <v>1174.01</v>
      </c>
      <c r="B133" t="s">
        <v>522</v>
      </c>
      <c r="C133" t="s">
        <v>218</v>
      </c>
      <c r="D133">
        <v>11011</v>
      </c>
      <c r="E133" t="s">
        <v>523</v>
      </c>
      <c r="G133">
        <v>0</v>
      </c>
      <c r="I133">
        <v>24</v>
      </c>
      <c r="J133">
        <v>2.14</v>
      </c>
      <c r="K133">
        <v>0.54</v>
      </c>
      <c r="L133">
        <v>52</v>
      </c>
      <c r="M133">
        <v>5.6</v>
      </c>
      <c r="N133">
        <v>0.14299999999999999</v>
      </c>
      <c r="O133">
        <v>0.14099999999999999</v>
      </c>
      <c r="P133">
        <v>0</v>
      </c>
      <c r="Q133">
        <v>449</v>
      </c>
      <c r="R133">
        <v>38</v>
      </c>
      <c r="S133">
        <v>9.0999999999999998E-2</v>
      </c>
      <c r="T133">
        <v>0</v>
      </c>
      <c r="U133">
        <v>14</v>
      </c>
      <c r="V133">
        <v>52</v>
      </c>
      <c r="W133">
        <v>202</v>
      </c>
      <c r="X133">
        <v>2</v>
      </c>
      <c r="Y133">
        <v>0.188999999999999</v>
      </c>
      <c r="Z133">
        <v>0</v>
      </c>
      <c r="AA133">
        <v>0.97799999999999998</v>
      </c>
    </row>
    <row r="134" spans="1:27" x14ac:dyDescent="0.25">
      <c r="A134">
        <v>1174.02</v>
      </c>
      <c r="B134" t="s">
        <v>524</v>
      </c>
      <c r="C134" t="s">
        <v>402</v>
      </c>
      <c r="D134">
        <v>2005</v>
      </c>
      <c r="E134" t="s">
        <v>525</v>
      </c>
      <c r="G134">
        <v>0.15</v>
      </c>
      <c r="I134">
        <v>13</v>
      </c>
      <c r="J134">
        <v>0.8</v>
      </c>
      <c r="K134">
        <v>0.55000000000000004</v>
      </c>
      <c r="L134">
        <v>110</v>
      </c>
      <c r="M134">
        <v>5.3</v>
      </c>
      <c r="N134">
        <v>0.01</v>
      </c>
      <c r="O134">
        <v>0.02</v>
      </c>
      <c r="P134">
        <v>0</v>
      </c>
      <c r="Q134">
        <v>10</v>
      </c>
      <c r="R134">
        <v>1</v>
      </c>
      <c r="S134">
        <v>0</v>
      </c>
      <c r="T134">
        <v>0</v>
      </c>
      <c r="U134">
        <v>11</v>
      </c>
      <c r="V134">
        <v>36</v>
      </c>
      <c r="W134">
        <v>298</v>
      </c>
      <c r="X134">
        <v>60</v>
      </c>
      <c r="Y134">
        <v>0</v>
      </c>
      <c r="Z134">
        <v>0</v>
      </c>
      <c r="AA134">
        <v>0.3</v>
      </c>
    </row>
    <row r="135" spans="1:27" x14ac:dyDescent="0.25">
      <c r="A135">
        <v>1174.03</v>
      </c>
      <c r="B135" t="s">
        <v>526</v>
      </c>
      <c r="C135" t="s">
        <v>214</v>
      </c>
      <c r="D135" t="s">
        <v>527</v>
      </c>
      <c r="E135" t="s">
        <v>528</v>
      </c>
      <c r="G135">
        <v>0.11</v>
      </c>
      <c r="I135">
        <v>35</v>
      </c>
      <c r="J135">
        <v>0.7</v>
      </c>
      <c r="K135">
        <v>0.26</v>
      </c>
      <c r="L135">
        <v>31</v>
      </c>
      <c r="M135">
        <v>7</v>
      </c>
      <c r="N135">
        <v>0.06</v>
      </c>
      <c r="O135">
        <v>0.05</v>
      </c>
      <c r="P135">
        <v>0</v>
      </c>
      <c r="Q135">
        <v>8560</v>
      </c>
      <c r="R135">
        <v>713</v>
      </c>
      <c r="S135">
        <v>0.23</v>
      </c>
      <c r="T135">
        <v>0</v>
      </c>
      <c r="U135">
        <v>12</v>
      </c>
      <c r="V135">
        <v>42</v>
      </c>
      <c r="W135">
        <v>266</v>
      </c>
      <c r="X135">
        <v>42</v>
      </c>
      <c r="Y135">
        <v>0.06</v>
      </c>
      <c r="Z135">
        <v>0</v>
      </c>
      <c r="AA135">
        <v>0.7</v>
      </c>
    </row>
    <row r="136" spans="1:27" x14ac:dyDescent="0.25">
      <c r="A136">
        <v>1174.05</v>
      </c>
      <c r="B136" t="s">
        <v>529</v>
      </c>
      <c r="C136" t="s">
        <v>402</v>
      </c>
      <c r="D136">
        <v>4021</v>
      </c>
      <c r="E136" t="s">
        <v>530</v>
      </c>
      <c r="G136">
        <v>0.45</v>
      </c>
      <c r="I136">
        <v>78</v>
      </c>
      <c r="J136">
        <v>1.8</v>
      </c>
      <c r="K136">
        <v>0.3</v>
      </c>
      <c r="L136">
        <v>64</v>
      </c>
      <c r="M136">
        <v>21</v>
      </c>
      <c r="N136">
        <v>0.14000000000000001</v>
      </c>
      <c r="O136">
        <v>0</v>
      </c>
      <c r="P136">
        <v>0</v>
      </c>
      <c r="Q136">
        <v>242</v>
      </c>
      <c r="R136">
        <v>20</v>
      </c>
      <c r="S136">
        <v>0</v>
      </c>
      <c r="T136">
        <v>0</v>
      </c>
      <c r="U136">
        <v>14</v>
      </c>
      <c r="V136">
        <v>54</v>
      </c>
      <c r="W136">
        <v>202</v>
      </c>
      <c r="X136">
        <v>17</v>
      </c>
      <c r="Y136">
        <v>0</v>
      </c>
      <c r="Z136">
        <v>0</v>
      </c>
      <c r="AA136">
        <v>0</v>
      </c>
    </row>
    <row r="137" spans="1:27" x14ac:dyDescent="0.25">
      <c r="A137">
        <v>1174.06</v>
      </c>
      <c r="B137" t="s">
        <v>531</v>
      </c>
      <c r="C137" t="s">
        <v>214</v>
      </c>
      <c r="D137" t="s">
        <v>532</v>
      </c>
      <c r="E137" t="s">
        <v>533</v>
      </c>
      <c r="G137">
        <v>0.09</v>
      </c>
      <c r="I137">
        <v>25</v>
      </c>
      <c r="J137">
        <v>0.3</v>
      </c>
      <c r="K137">
        <v>0.26</v>
      </c>
      <c r="L137">
        <v>16</v>
      </c>
      <c r="M137">
        <v>10.3</v>
      </c>
      <c r="N137">
        <v>0.05</v>
      </c>
      <c r="O137">
        <v>0.04</v>
      </c>
      <c r="P137">
        <v>0</v>
      </c>
      <c r="Q137">
        <v>1</v>
      </c>
      <c r="R137">
        <v>0</v>
      </c>
      <c r="S137">
        <v>0.1</v>
      </c>
      <c r="T137">
        <v>0</v>
      </c>
      <c r="U137">
        <v>10</v>
      </c>
      <c r="V137">
        <v>39</v>
      </c>
      <c r="W137">
        <v>183</v>
      </c>
      <c r="X137">
        <v>4</v>
      </c>
      <c r="Y137">
        <v>0.04</v>
      </c>
      <c r="Z137">
        <v>0</v>
      </c>
      <c r="AA137">
        <v>0.2</v>
      </c>
    </row>
    <row r="138" spans="1:27" x14ac:dyDescent="0.25">
      <c r="A138">
        <v>1174.08</v>
      </c>
      <c r="B138" t="s">
        <v>534</v>
      </c>
      <c r="C138" t="s">
        <v>214</v>
      </c>
      <c r="D138" t="s">
        <v>535</v>
      </c>
      <c r="E138" t="s">
        <v>536</v>
      </c>
      <c r="G138">
        <v>0</v>
      </c>
      <c r="I138">
        <v>41</v>
      </c>
      <c r="J138">
        <v>0.3</v>
      </c>
      <c r="K138">
        <v>0.22</v>
      </c>
      <c r="L138">
        <v>24</v>
      </c>
      <c r="M138">
        <v>23.7</v>
      </c>
      <c r="N138">
        <v>0.04</v>
      </c>
      <c r="O138">
        <v>0.04</v>
      </c>
      <c r="P138">
        <v>0</v>
      </c>
      <c r="Q138">
        <v>36</v>
      </c>
      <c r="R138">
        <v>3</v>
      </c>
      <c r="S138">
        <v>0.08</v>
      </c>
      <c r="T138">
        <v>0</v>
      </c>
      <c r="U138">
        <v>15</v>
      </c>
      <c r="V138">
        <v>35</v>
      </c>
      <c r="W138">
        <v>262</v>
      </c>
      <c r="X138">
        <v>44</v>
      </c>
      <c r="Y138">
        <v>0.1</v>
      </c>
      <c r="Z138">
        <v>0</v>
      </c>
      <c r="AA138">
        <v>0.8</v>
      </c>
    </row>
    <row r="139" spans="1:27" x14ac:dyDescent="0.25">
      <c r="A139">
        <v>1174.0899999999999</v>
      </c>
      <c r="B139" t="s">
        <v>537</v>
      </c>
      <c r="C139" t="s">
        <v>218</v>
      </c>
      <c r="D139">
        <v>11238</v>
      </c>
      <c r="E139" t="s">
        <v>538</v>
      </c>
      <c r="G139">
        <v>0</v>
      </c>
      <c r="I139">
        <v>2</v>
      </c>
      <c r="J139">
        <v>0.41</v>
      </c>
      <c r="K139">
        <v>1.03</v>
      </c>
      <c r="L139">
        <v>13</v>
      </c>
      <c r="M139">
        <v>0</v>
      </c>
      <c r="N139">
        <v>1.4999999999999999E-2</v>
      </c>
      <c r="O139">
        <v>0.217</v>
      </c>
      <c r="P139">
        <v>0</v>
      </c>
      <c r="Q139">
        <v>0</v>
      </c>
      <c r="R139">
        <v>0</v>
      </c>
      <c r="S139">
        <v>0.29299999999999998</v>
      </c>
      <c r="T139">
        <v>0</v>
      </c>
      <c r="U139">
        <v>20</v>
      </c>
      <c r="V139">
        <v>112</v>
      </c>
      <c r="W139">
        <v>304</v>
      </c>
      <c r="X139">
        <v>9</v>
      </c>
      <c r="Y139">
        <v>0.14199999999999999</v>
      </c>
      <c r="Z139">
        <v>0.4</v>
      </c>
      <c r="AA139">
        <v>3.8769999999999998</v>
      </c>
    </row>
    <row r="140" spans="1:27" x14ac:dyDescent="0.25">
      <c r="A140">
        <v>1175.01</v>
      </c>
      <c r="B140" t="s">
        <v>539</v>
      </c>
      <c r="C140" t="s">
        <v>214</v>
      </c>
      <c r="D140" t="s">
        <v>540</v>
      </c>
      <c r="E140" t="s">
        <v>541</v>
      </c>
      <c r="G140">
        <v>0</v>
      </c>
      <c r="I140">
        <v>74</v>
      </c>
      <c r="J140">
        <v>5.7</v>
      </c>
      <c r="K140">
        <v>3.77</v>
      </c>
      <c r="L140">
        <v>395</v>
      </c>
      <c r="M140">
        <v>0</v>
      </c>
      <c r="N140">
        <v>0.89</v>
      </c>
      <c r="O140">
        <v>0.11</v>
      </c>
      <c r="P140">
        <v>0</v>
      </c>
      <c r="Q140">
        <v>179</v>
      </c>
      <c r="R140">
        <v>15</v>
      </c>
      <c r="S140">
        <v>0.51</v>
      </c>
      <c r="T140">
        <v>0</v>
      </c>
      <c r="U140">
        <v>186</v>
      </c>
      <c r="V140">
        <v>429</v>
      </c>
      <c r="W140">
        <v>1550</v>
      </c>
      <c r="X140">
        <v>18</v>
      </c>
      <c r="Y140">
        <v>0.47</v>
      </c>
      <c r="Z140">
        <v>0</v>
      </c>
      <c r="AA140">
        <v>1.6</v>
      </c>
    </row>
    <row r="141" spans="1:27" x14ac:dyDescent="0.25">
      <c r="A141">
        <v>1175.02</v>
      </c>
      <c r="B141" t="s">
        <v>542</v>
      </c>
      <c r="C141" t="s">
        <v>402</v>
      </c>
      <c r="D141">
        <v>3010</v>
      </c>
      <c r="E141" t="s">
        <v>543</v>
      </c>
      <c r="G141">
        <v>0</v>
      </c>
      <c r="I141">
        <v>235</v>
      </c>
      <c r="J141">
        <v>6.8</v>
      </c>
      <c r="K141">
        <v>3.37</v>
      </c>
      <c r="L141">
        <v>400</v>
      </c>
      <c r="M141">
        <v>8</v>
      </c>
      <c r="N141">
        <v>0.48</v>
      </c>
      <c r="O141">
        <v>0.16</v>
      </c>
      <c r="P141">
        <v>0</v>
      </c>
      <c r="Q141">
        <v>175</v>
      </c>
      <c r="R141">
        <v>15</v>
      </c>
      <c r="S141">
        <v>0</v>
      </c>
      <c r="T141">
        <v>0</v>
      </c>
      <c r="U141">
        <v>160</v>
      </c>
      <c r="V141">
        <v>284</v>
      </c>
      <c r="W141">
        <v>1030</v>
      </c>
      <c r="X141">
        <v>25</v>
      </c>
      <c r="Y141">
        <v>0</v>
      </c>
      <c r="Z141">
        <v>0</v>
      </c>
      <c r="AA141">
        <v>2.1</v>
      </c>
    </row>
    <row r="142" spans="1:27" x14ac:dyDescent="0.25">
      <c r="A142">
        <v>1175.03</v>
      </c>
      <c r="B142" t="s">
        <v>544</v>
      </c>
      <c r="C142" t="s">
        <v>214</v>
      </c>
      <c r="D142" t="s">
        <v>545</v>
      </c>
      <c r="E142" t="s">
        <v>544</v>
      </c>
      <c r="G142">
        <v>0.19</v>
      </c>
      <c r="I142">
        <v>61</v>
      </c>
      <c r="J142">
        <v>7</v>
      </c>
      <c r="K142">
        <v>3.9</v>
      </c>
      <c r="L142">
        <v>295</v>
      </c>
      <c r="M142">
        <v>0</v>
      </c>
      <c r="N142">
        <v>0.59</v>
      </c>
      <c r="O142">
        <v>0.23</v>
      </c>
      <c r="P142">
        <v>0</v>
      </c>
      <c r="Q142">
        <v>42</v>
      </c>
      <c r="R142">
        <v>3</v>
      </c>
      <c r="S142">
        <v>0.68</v>
      </c>
      <c r="T142">
        <v>0</v>
      </c>
      <c r="U142">
        <v>103</v>
      </c>
      <c r="V142">
        <v>391</v>
      </c>
      <c r="W142">
        <v>855</v>
      </c>
      <c r="X142">
        <v>9</v>
      </c>
      <c r="Y142">
        <v>0.74</v>
      </c>
      <c r="Z142">
        <v>0</v>
      </c>
      <c r="AA142">
        <v>2.2999999999999998</v>
      </c>
    </row>
    <row r="143" spans="1:27" x14ac:dyDescent="0.25">
      <c r="A143">
        <v>1175.0899999999999</v>
      </c>
      <c r="B143" t="s">
        <v>546</v>
      </c>
      <c r="C143" t="s">
        <v>214</v>
      </c>
      <c r="D143" t="s">
        <v>547</v>
      </c>
      <c r="E143" t="s">
        <v>548</v>
      </c>
      <c r="G143">
        <v>0</v>
      </c>
      <c r="I143">
        <v>1060</v>
      </c>
      <c r="J143">
        <v>34</v>
      </c>
      <c r="K143">
        <v>3.35</v>
      </c>
      <c r="L143">
        <v>673</v>
      </c>
      <c r="M143">
        <v>38</v>
      </c>
      <c r="N143">
        <v>1.1499999999999999</v>
      </c>
      <c r="O143">
        <v>2.35</v>
      </c>
      <c r="P143">
        <v>0</v>
      </c>
      <c r="Q143">
        <v>2407</v>
      </c>
      <c r="R143">
        <v>201</v>
      </c>
      <c r="S143">
        <v>1.49</v>
      </c>
      <c r="T143">
        <v>0</v>
      </c>
      <c r="U143">
        <v>401</v>
      </c>
      <c r="V143">
        <v>364</v>
      </c>
      <c r="W143">
        <v>2850</v>
      </c>
      <c r="X143">
        <v>40</v>
      </c>
      <c r="Y143">
        <v>1.81</v>
      </c>
      <c r="Z143">
        <v>0</v>
      </c>
      <c r="AA143">
        <v>10.199999999999999</v>
      </c>
    </row>
    <row r="144" spans="1:27" x14ac:dyDescent="0.25">
      <c r="A144">
        <v>1176.01</v>
      </c>
      <c r="B144" t="s">
        <v>549</v>
      </c>
      <c r="C144" t="s">
        <v>218</v>
      </c>
      <c r="D144">
        <v>11941</v>
      </c>
      <c r="E144" t="s">
        <v>550</v>
      </c>
      <c r="G144">
        <v>0</v>
      </c>
      <c r="I144">
        <v>0</v>
      </c>
      <c r="J144">
        <v>0.4</v>
      </c>
      <c r="K144">
        <v>0.02</v>
      </c>
      <c r="L144">
        <v>1</v>
      </c>
      <c r="M144">
        <v>1</v>
      </c>
      <c r="N144">
        <v>0</v>
      </c>
      <c r="O144">
        <v>0.01</v>
      </c>
      <c r="P144">
        <v>0</v>
      </c>
      <c r="Q144">
        <v>81</v>
      </c>
      <c r="R144">
        <v>10</v>
      </c>
      <c r="S144">
        <v>8.9999999999999993E-3</v>
      </c>
      <c r="T144">
        <v>0</v>
      </c>
      <c r="U144">
        <v>4</v>
      </c>
      <c r="V144">
        <v>14</v>
      </c>
      <c r="W144">
        <v>23</v>
      </c>
      <c r="X144">
        <v>1208</v>
      </c>
      <c r="Y144">
        <v>8.5000000000000006E-2</v>
      </c>
      <c r="Z144">
        <v>0</v>
      </c>
      <c r="AA144">
        <v>0</v>
      </c>
    </row>
    <row r="145" spans="1:27" x14ac:dyDescent="0.25">
      <c r="A145">
        <v>1177.01</v>
      </c>
      <c r="B145" t="s">
        <v>551</v>
      </c>
      <c r="C145" t="s">
        <v>214</v>
      </c>
      <c r="D145" t="s">
        <v>552</v>
      </c>
      <c r="E145" t="s">
        <v>553</v>
      </c>
      <c r="G145">
        <v>0.16</v>
      </c>
      <c r="I145">
        <v>11</v>
      </c>
      <c r="J145">
        <v>0.9</v>
      </c>
      <c r="K145">
        <v>0.35</v>
      </c>
      <c r="L145">
        <v>18</v>
      </c>
      <c r="M145">
        <v>17.3</v>
      </c>
      <c r="N145">
        <v>0.08</v>
      </c>
      <c r="O145">
        <v>0.12</v>
      </c>
      <c r="P145">
        <v>0</v>
      </c>
      <c r="Q145">
        <v>14</v>
      </c>
      <c r="R145">
        <v>1</v>
      </c>
      <c r="S145">
        <v>0.27</v>
      </c>
      <c r="T145">
        <v>0</v>
      </c>
      <c r="U145">
        <v>27</v>
      </c>
      <c r="V145">
        <v>50</v>
      </c>
      <c r="W145">
        <v>551</v>
      </c>
      <c r="X145">
        <v>7</v>
      </c>
      <c r="Y145">
        <v>0.09</v>
      </c>
      <c r="Z145">
        <v>0</v>
      </c>
      <c r="AA145">
        <v>1.2</v>
      </c>
    </row>
    <row r="146" spans="1:27" x14ac:dyDescent="0.25">
      <c r="A146">
        <v>1178.01</v>
      </c>
      <c r="B146" t="s">
        <v>554</v>
      </c>
      <c r="C146" t="s">
        <v>214</v>
      </c>
      <c r="D146" t="s">
        <v>555</v>
      </c>
      <c r="E146" t="s">
        <v>556</v>
      </c>
      <c r="G146">
        <v>0.16</v>
      </c>
      <c r="I146">
        <v>27</v>
      </c>
      <c r="J146">
        <v>1.1000000000000001</v>
      </c>
      <c r="K146">
        <v>0.39</v>
      </c>
      <c r="L146">
        <v>52</v>
      </c>
      <c r="M146">
        <v>22.3</v>
      </c>
      <c r="N146">
        <v>0.09</v>
      </c>
      <c r="O146">
        <v>0.04</v>
      </c>
      <c r="P146">
        <v>0</v>
      </c>
      <c r="Q146">
        <v>39</v>
      </c>
      <c r="R146">
        <v>3</v>
      </c>
      <c r="S146">
        <v>0.27</v>
      </c>
      <c r="T146">
        <v>0</v>
      </c>
      <c r="U146">
        <v>16</v>
      </c>
      <c r="V146">
        <v>51</v>
      </c>
      <c r="W146">
        <v>457</v>
      </c>
      <c r="X146">
        <v>20</v>
      </c>
      <c r="Y146">
        <v>0.13</v>
      </c>
      <c r="Z146">
        <v>0</v>
      </c>
      <c r="AA146">
        <v>0.6</v>
      </c>
    </row>
    <row r="147" spans="1:27" x14ac:dyDescent="0.25">
      <c r="A147">
        <v>1178.02</v>
      </c>
      <c r="B147" t="s">
        <v>557</v>
      </c>
      <c r="C147" t="s">
        <v>402</v>
      </c>
      <c r="D147">
        <v>15110</v>
      </c>
      <c r="E147" t="s">
        <v>558</v>
      </c>
      <c r="G147">
        <v>0</v>
      </c>
      <c r="I147">
        <v>17</v>
      </c>
      <c r="J147">
        <v>2.7</v>
      </c>
      <c r="K147">
        <v>0.63</v>
      </c>
      <c r="L147">
        <v>82</v>
      </c>
      <c r="M147">
        <v>12</v>
      </c>
      <c r="N147">
        <v>0.11</v>
      </c>
      <c r="O147">
        <v>7.0000000000000007E-2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37</v>
      </c>
      <c r="V147">
        <v>159</v>
      </c>
      <c r="W147">
        <v>1260</v>
      </c>
      <c r="X147">
        <v>13</v>
      </c>
      <c r="Y147">
        <v>0</v>
      </c>
      <c r="Z147">
        <v>0</v>
      </c>
      <c r="AA147">
        <v>2.2999999999999998</v>
      </c>
    </row>
    <row r="148" spans="1:27" x14ac:dyDescent="0.25">
      <c r="A148">
        <v>1178.03</v>
      </c>
      <c r="B148" t="s">
        <v>559</v>
      </c>
      <c r="C148" t="s">
        <v>218</v>
      </c>
      <c r="D148">
        <v>11134</v>
      </c>
      <c r="E148" t="s">
        <v>560</v>
      </c>
      <c r="G148">
        <v>0</v>
      </c>
      <c r="I148">
        <v>16</v>
      </c>
      <c r="J148">
        <v>0.27</v>
      </c>
      <c r="K148">
        <v>0.34</v>
      </c>
      <c r="L148">
        <v>27</v>
      </c>
      <c r="M148">
        <v>20.6</v>
      </c>
      <c r="N148">
        <v>8.6999999999999994E-2</v>
      </c>
      <c r="O148">
        <v>4.8000000000000001E-2</v>
      </c>
      <c r="P148">
        <v>0</v>
      </c>
      <c r="Q148">
        <v>8</v>
      </c>
      <c r="R148">
        <v>1</v>
      </c>
      <c r="S148">
        <v>8.7999999999999995E-2</v>
      </c>
      <c r="T148">
        <v>0</v>
      </c>
      <c r="U148">
        <v>21</v>
      </c>
      <c r="V148">
        <v>27</v>
      </c>
      <c r="W148">
        <v>271</v>
      </c>
      <c r="X148">
        <v>14</v>
      </c>
      <c r="Y148">
        <v>0.1</v>
      </c>
      <c r="Z148">
        <v>0</v>
      </c>
      <c r="AA148">
        <v>0.85399999999999998</v>
      </c>
    </row>
    <row r="149" spans="1:27" x14ac:dyDescent="0.25">
      <c r="A149">
        <v>1178.05</v>
      </c>
      <c r="B149" t="s">
        <v>561</v>
      </c>
      <c r="C149" t="s">
        <v>218</v>
      </c>
      <c r="D149">
        <v>11584</v>
      </c>
      <c r="E149" t="s">
        <v>562</v>
      </c>
      <c r="G149">
        <v>0</v>
      </c>
      <c r="I149">
        <v>25</v>
      </c>
      <c r="J149">
        <v>0.82</v>
      </c>
      <c r="K149">
        <v>0.49</v>
      </c>
      <c r="L149">
        <v>19</v>
      </c>
      <c r="M149">
        <v>3.2</v>
      </c>
      <c r="N149">
        <v>7.0999999999999994E-2</v>
      </c>
      <c r="O149">
        <v>0.12</v>
      </c>
      <c r="P149">
        <v>0</v>
      </c>
      <c r="Q149">
        <v>2082</v>
      </c>
      <c r="R149">
        <v>214</v>
      </c>
      <c r="S149">
        <v>7.3999999999999996E-2</v>
      </c>
      <c r="T149">
        <v>0</v>
      </c>
      <c r="U149">
        <v>22</v>
      </c>
      <c r="V149">
        <v>51</v>
      </c>
      <c r="W149">
        <v>169</v>
      </c>
      <c r="X149">
        <v>35</v>
      </c>
      <c r="Y149">
        <v>8.3000000000000004E-2</v>
      </c>
      <c r="Z149">
        <v>0</v>
      </c>
      <c r="AA149">
        <v>0.85099999999999998</v>
      </c>
    </row>
    <row r="150" spans="1:27" x14ac:dyDescent="0.25">
      <c r="A150">
        <v>1179.08</v>
      </c>
      <c r="B150" t="s">
        <v>563</v>
      </c>
      <c r="C150" t="s">
        <v>218</v>
      </c>
      <c r="D150">
        <v>43312</v>
      </c>
      <c r="E150" t="s">
        <v>564</v>
      </c>
      <c r="G150">
        <v>0</v>
      </c>
      <c r="I150">
        <v>21</v>
      </c>
      <c r="J150">
        <v>0.65</v>
      </c>
      <c r="K150">
        <v>0.51</v>
      </c>
      <c r="L150">
        <v>18</v>
      </c>
      <c r="M150">
        <v>3.8</v>
      </c>
      <c r="N150">
        <v>0.03</v>
      </c>
      <c r="O150">
        <v>0.04</v>
      </c>
      <c r="P150">
        <v>0</v>
      </c>
      <c r="Q150">
        <v>5670</v>
      </c>
      <c r="R150">
        <v>583</v>
      </c>
      <c r="S150">
        <v>0.08</v>
      </c>
      <c r="T150">
        <v>0</v>
      </c>
      <c r="U150">
        <v>15</v>
      </c>
      <c r="V150">
        <v>37</v>
      </c>
      <c r="W150">
        <v>138</v>
      </c>
      <c r="X150">
        <v>26</v>
      </c>
      <c r="Y150">
        <v>0.104</v>
      </c>
      <c r="Z150">
        <v>0</v>
      </c>
      <c r="AA150">
        <v>0.48</v>
      </c>
    </row>
    <row r="151" spans="1:27" x14ac:dyDescent="0.25">
      <c r="A151">
        <v>1179.99</v>
      </c>
      <c r="B151" t="s">
        <v>565</v>
      </c>
      <c r="C151" t="s">
        <v>214</v>
      </c>
      <c r="D151" t="s">
        <v>547</v>
      </c>
      <c r="E151" t="s">
        <v>548</v>
      </c>
      <c r="G151">
        <v>0</v>
      </c>
      <c r="I151">
        <v>1060</v>
      </c>
      <c r="J151">
        <v>34</v>
      </c>
      <c r="K151">
        <v>3.35</v>
      </c>
      <c r="L151">
        <v>673</v>
      </c>
      <c r="M151">
        <v>38</v>
      </c>
      <c r="N151">
        <v>1.1499999999999999</v>
      </c>
      <c r="O151">
        <v>2.35</v>
      </c>
      <c r="P151">
        <v>0</v>
      </c>
      <c r="Q151">
        <v>2407</v>
      </c>
      <c r="R151">
        <v>201</v>
      </c>
      <c r="S151">
        <v>1.49</v>
      </c>
      <c r="T151">
        <v>0</v>
      </c>
      <c r="U151">
        <v>401</v>
      </c>
      <c r="V151">
        <v>364</v>
      </c>
      <c r="W151">
        <v>2850</v>
      </c>
      <c r="X151">
        <v>40</v>
      </c>
      <c r="Y151">
        <v>1.81</v>
      </c>
      <c r="Z151">
        <v>0</v>
      </c>
      <c r="AA151">
        <v>10.199999999999999</v>
      </c>
    </row>
    <row r="152" spans="1:27" x14ac:dyDescent="0.25">
      <c r="A152">
        <v>1181.01</v>
      </c>
      <c r="B152" t="s">
        <v>566</v>
      </c>
      <c r="C152" t="s">
        <v>214</v>
      </c>
      <c r="D152" t="s">
        <v>567</v>
      </c>
      <c r="E152" t="s">
        <v>566</v>
      </c>
      <c r="G152">
        <v>0</v>
      </c>
      <c r="I152">
        <v>1</v>
      </c>
      <c r="J152">
        <v>0.1</v>
      </c>
      <c r="K152">
        <v>0.01</v>
      </c>
      <c r="L152">
        <v>0</v>
      </c>
      <c r="M152">
        <v>0</v>
      </c>
      <c r="N152">
        <v>0</v>
      </c>
      <c r="O152">
        <v>0.02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</v>
      </c>
      <c r="X152">
        <v>1</v>
      </c>
      <c r="Y152">
        <v>0.01</v>
      </c>
      <c r="Z152">
        <v>0</v>
      </c>
      <c r="AA152">
        <v>0</v>
      </c>
    </row>
    <row r="153" spans="1:27" x14ac:dyDescent="0.25">
      <c r="A153">
        <v>1181.02</v>
      </c>
      <c r="B153" t="s">
        <v>568</v>
      </c>
      <c r="C153" t="s">
        <v>402</v>
      </c>
      <c r="D153">
        <v>11002</v>
      </c>
      <c r="E153" t="s">
        <v>569</v>
      </c>
      <c r="G153">
        <v>0</v>
      </c>
      <c r="I153">
        <v>10</v>
      </c>
      <c r="J153">
        <v>1.1000000000000001</v>
      </c>
      <c r="K153">
        <v>0.14000000000000001</v>
      </c>
      <c r="L153">
        <v>45</v>
      </c>
      <c r="M153">
        <v>6.7</v>
      </c>
      <c r="N153">
        <v>0.03</v>
      </c>
      <c r="O153">
        <v>0.04</v>
      </c>
      <c r="P153">
        <v>0</v>
      </c>
      <c r="Q153">
        <v>10.34</v>
      </c>
      <c r="R153">
        <v>1</v>
      </c>
      <c r="S153">
        <v>0</v>
      </c>
      <c r="T153">
        <v>0</v>
      </c>
      <c r="U153">
        <v>13</v>
      </c>
      <c r="V153">
        <v>22</v>
      </c>
      <c r="W153">
        <v>150</v>
      </c>
      <c r="X153">
        <v>1</v>
      </c>
      <c r="Y153">
        <v>0</v>
      </c>
      <c r="Z153">
        <v>0</v>
      </c>
      <c r="AA153">
        <v>0.1</v>
      </c>
    </row>
    <row r="154" spans="1:27" x14ac:dyDescent="0.25">
      <c r="A154">
        <v>1181.03</v>
      </c>
      <c r="B154" t="s">
        <v>570</v>
      </c>
      <c r="C154" t="s">
        <v>218</v>
      </c>
      <c r="D154">
        <v>19336</v>
      </c>
      <c r="E154" t="s">
        <v>571</v>
      </c>
      <c r="G154">
        <v>0</v>
      </c>
      <c r="I154">
        <v>1</v>
      </c>
      <c r="J154">
        <v>0.06</v>
      </c>
      <c r="K154">
        <v>0.01</v>
      </c>
      <c r="L154">
        <v>0</v>
      </c>
      <c r="M154">
        <v>0</v>
      </c>
      <c r="N154">
        <v>0</v>
      </c>
      <c r="O154">
        <v>1.9E-2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2</v>
      </c>
      <c r="Y154">
        <v>6.9999999999999897E-3</v>
      </c>
      <c r="Z154">
        <v>0</v>
      </c>
      <c r="AA154">
        <v>0</v>
      </c>
    </row>
    <row r="155" spans="1:27" x14ac:dyDescent="0.25">
      <c r="A155">
        <v>1181.0899999999999</v>
      </c>
      <c r="B155" t="s">
        <v>572</v>
      </c>
      <c r="C155" t="s">
        <v>402</v>
      </c>
      <c r="D155">
        <v>11002</v>
      </c>
      <c r="E155" t="s">
        <v>569</v>
      </c>
      <c r="G155">
        <v>0</v>
      </c>
      <c r="I155">
        <v>10</v>
      </c>
      <c r="J155">
        <v>1.1000000000000001</v>
      </c>
      <c r="K155">
        <v>0.14000000000000001</v>
      </c>
      <c r="L155">
        <v>45</v>
      </c>
      <c r="M155">
        <v>6.7</v>
      </c>
      <c r="N155">
        <v>0.03</v>
      </c>
      <c r="O155">
        <v>0.04</v>
      </c>
      <c r="P155">
        <v>0</v>
      </c>
      <c r="Q155">
        <v>10.34</v>
      </c>
      <c r="R155">
        <v>1</v>
      </c>
      <c r="S155">
        <v>0</v>
      </c>
      <c r="T155">
        <v>0</v>
      </c>
      <c r="U155">
        <v>13</v>
      </c>
      <c r="V155">
        <v>22</v>
      </c>
      <c r="W155">
        <v>150</v>
      </c>
      <c r="X155">
        <v>1</v>
      </c>
      <c r="Y155">
        <v>0</v>
      </c>
      <c r="Z155">
        <v>0</v>
      </c>
      <c r="AA155">
        <v>0.1</v>
      </c>
    </row>
    <row r="156" spans="1:27" x14ac:dyDescent="0.25">
      <c r="A156">
        <v>1182.01</v>
      </c>
      <c r="B156" t="s">
        <v>573</v>
      </c>
      <c r="C156" t="s">
        <v>214</v>
      </c>
      <c r="D156" t="s">
        <v>574</v>
      </c>
      <c r="E156" t="s">
        <v>573</v>
      </c>
      <c r="G156">
        <v>0</v>
      </c>
      <c r="I156">
        <v>9</v>
      </c>
      <c r="J156">
        <v>0.5</v>
      </c>
      <c r="K156">
        <v>0.22</v>
      </c>
      <c r="L156">
        <v>2</v>
      </c>
      <c r="M156">
        <v>0.5</v>
      </c>
      <c r="N156">
        <v>0</v>
      </c>
      <c r="O156">
        <v>0.04</v>
      </c>
      <c r="P156">
        <v>0</v>
      </c>
      <c r="Q156">
        <v>0</v>
      </c>
      <c r="R156">
        <v>0</v>
      </c>
      <c r="S156">
        <v>0.02</v>
      </c>
      <c r="T156">
        <v>0</v>
      </c>
      <c r="U156">
        <v>2</v>
      </c>
      <c r="V156">
        <v>4</v>
      </c>
      <c r="W156">
        <v>52</v>
      </c>
      <c r="X156">
        <v>4</v>
      </c>
      <c r="Y156">
        <v>0.04</v>
      </c>
      <c r="Z156">
        <v>0</v>
      </c>
      <c r="AA156">
        <v>0.2</v>
      </c>
    </row>
    <row r="157" spans="1:27" x14ac:dyDescent="0.25">
      <c r="A157">
        <v>1182.02</v>
      </c>
      <c r="B157" t="s">
        <v>575</v>
      </c>
      <c r="C157" t="s">
        <v>218</v>
      </c>
      <c r="D157">
        <v>19297</v>
      </c>
      <c r="E157" t="s">
        <v>576</v>
      </c>
      <c r="G157">
        <v>0</v>
      </c>
      <c r="I157">
        <v>20</v>
      </c>
      <c r="J157">
        <v>0.49</v>
      </c>
      <c r="K157">
        <v>0.06</v>
      </c>
      <c r="L157">
        <v>11</v>
      </c>
      <c r="M157">
        <v>8.8000000000000007</v>
      </c>
      <c r="N157">
        <v>1.6E-2</v>
      </c>
      <c r="O157">
        <v>7.5999999999999998E-2</v>
      </c>
      <c r="P157">
        <v>0</v>
      </c>
      <c r="Q157">
        <v>0</v>
      </c>
      <c r="R157">
        <v>0</v>
      </c>
      <c r="S157">
        <v>0.02</v>
      </c>
      <c r="T157">
        <v>0</v>
      </c>
      <c r="U157">
        <v>4</v>
      </c>
      <c r="V157">
        <v>19</v>
      </c>
      <c r="W157">
        <v>77</v>
      </c>
      <c r="X157">
        <v>32</v>
      </c>
      <c r="Y157">
        <v>0.1</v>
      </c>
      <c r="Z157">
        <v>0</v>
      </c>
      <c r="AA157">
        <v>3.5999999999999997E-2</v>
      </c>
    </row>
    <row r="158" spans="1:27" x14ac:dyDescent="0.25">
      <c r="A158">
        <v>1183.01</v>
      </c>
      <c r="B158" t="s">
        <v>577</v>
      </c>
      <c r="C158" t="s">
        <v>218</v>
      </c>
      <c r="D158">
        <v>19081</v>
      </c>
      <c r="E158" t="s">
        <v>578</v>
      </c>
      <c r="G158">
        <v>0</v>
      </c>
      <c r="I158">
        <v>24</v>
      </c>
      <c r="J158">
        <v>2.76</v>
      </c>
      <c r="K158">
        <v>1.5</v>
      </c>
      <c r="L158">
        <v>3</v>
      </c>
      <c r="M158">
        <v>0</v>
      </c>
      <c r="N158">
        <v>0.02</v>
      </c>
      <c r="O158">
        <v>0.24</v>
      </c>
      <c r="P158">
        <v>0</v>
      </c>
      <c r="Q158">
        <v>0</v>
      </c>
      <c r="R158">
        <v>0</v>
      </c>
      <c r="S158">
        <v>4.2999999999999997E-2</v>
      </c>
      <c r="T158">
        <v>0</v>
      </c>
      <c r="U158">
        <v>113</v>
      </c>
      <c r="V158">
        <v>147</v>
      </c>
      <c r="W158">
        <v>290</v>
      </c>
      <c r="X158">
        <v>16</v>
      </c>
      <c r="Y158">
        <v>0.57399999999999995</v>
      </c>
      <c r="Z158">
        <v>0</v>
      </c>
      <c r="AA158">
        <v>0.67</v>
      </c>
    </row>
    <row r="159" spans="1:27" x14ac:dyDescent="0.25">
      <c r="A159">
        <v>1184.01</v>
      </c>
      <c r="B159" t="s">
        <v>579</v>
      </c>
      <c r="C159" t="s">
        <v>218</v>
      </c>
      <c r="D159">
        <v>19074</v>
      </c>
      <c r="E159" t="s">
        <v>580</v>
      </c>
      <c r="G159">
        <v>0</v>
      </c>
      <c r="I159">
        <v>138</v>
      </c>
      <c r="J159">
        <v>0.14000000000000001</v>
      </c>
      <c r="K159">
        <v>0.44</v>
      </c>
      <c r="L159">
        <v>4</v>
      </c>
      <c r="M159">
        <v>0.4</v>
      </c>
      <c r="N159">
        <v>0.10299999999999999</v>
      </c>
      <c r="O159">
        <v>0.25600000000000001</v>
      </c>
      <c r="P159">
        <v>11</v>
      </c>
      <c r="Q159">
        <v>2</v>
      </c>
      <c r="R159">
        <v>12</v>
      </c>
      <c r="S159">
        <v>5.5999999999999897E-2</v>
      </c>
      <c r="T159">
        <v>0.3</v>
      </c>
      <c r="U159">
        <v>17</v>
      </c>
      <c r="V159">
        <v>114</v>
      </c>
      <c r="W159">
        <v>214</v>
      </c>
      <c r="X159">
        <v>245</v>
      </c>
      <c r="Y159">
        <v>1.7999999999999999E-2</v>
      </c>
      <c r="Z159">
        <v>0</v>
      </c>
      <c r="AA159">
        <v>0.14799999999999999</v>
      </c>
    </row>
    <row r="160" spans="1:27" x14ac:dyDescent="0.25">
      <c r="A160">
        <v>1185.01</v>
      </c>
      <c r="B160" t="s">
        <v>581</v>
      </c>
      <c r="C160" t="s">
        <v>214</v>
      </c>
      <c r="D160" t="s">
        <v>363</v>
      </c>
      <c r="E160" t="s">
        <v>364</v>
      </c>
      <c r="G160">
        <v>0</v>
      </c>
      <c r="I160">
        <v>104</v>
      </c>
      <c r="J160">
        <v>0.04</v>
      </c>
      <c r="K160">
        <v>0.37</v>
      </c>
      <c r="L160">
        <v>12</v>
      </c>
      <c r="M160">
        <v>1</v>
      </c>
      <c r="N160">
        <v>0.04</v>
      </c>
      <c r="O160">
        <v>0.19</v>
      </c>
      <c r="P160">
        <v>115</v>
      </c>
      <c r="Q160">
        <v>59</v>
      </c>
      <c r="R160">
        <v>120</v>
      </c>
      <c r="S160">
        <v>0.05</v>
      </c>
      <c r="T160">
        <v>0.4</v>
      </c>
      <c r="U160">
        <v>11</v>
      </c>
      <c r="V160">
        <v>79</v>
      </c>
      <c r="W160">
        <v>136</v>
      </c>
      <c r="X160">
        <v>39</v>
      </c>
      <c r="Y160">
        <v>0.01</v>
      </c>
      <c r="Z160">
        <v>0.2</v>
      </c>
      <c r="AA160">
        <v>0.1</v>
      </c>
    </row>
    <row r="161" spans="1:27" x14ac:dyDescent="0.25">
      <c r="A161">
        <v>1186.99</v>
      </c>
      <c r="B161" t="s">
        <v>582</v>
      </c>
      <c r="C161" t="s">
        <v>218</v>
      </c>
      <c r="D161">
        <v>19906</v>
      </c>
      <c r="E161" t="s">
        <v>583</v>
      </c>
      <c r="G161">
        <v>0</v>
      </c>
      <c r="I161">
        <v>63</v>
      </c>
      <c r="J161">
        <v>1.64</v>
      </c>
      <c r="K161">
        <v>0.08</v>
      </c>
      <c r="L161">
        <v>0</v>
      </c>
      <c r="M161">
        <v>0</v>
      </c>
      <c r="N161">
        <v>1.4999999999999999E-2</v>
      </c>
      <c r="O161">
        <v>1.4999999999999999E-2</v>
      </c>
      <c r="P161">
        <v>0</v>
      </c>
      <c r="Q161">
        <v>0</v>
      </c>
      <c r="R161">
        <v>0</v>
      </c>
      <c r="S161">
        <v>0.04</v>
      </c>
      <c r="T161">
        <v>0</v>
      </c>
      <c r="U161">
        <v>10</v>
      </c>
      <c r="V161">
        <v>2</v>
      </c>
      <c r="W161">
        <v>130</v>
      </c>
      <c r="X161">
        <v>11</v>
      </c>
      <c r="Y161">
        <v>8.3000000000000004E-2</v>
      </c>
      <c r="Z161">
        <v>0</v>
      </c>
      <c r="AA161">
        <v>0.08</v>
      </c>
    </row>
    <row r="162" spans="1:27" x14ac:dyDescent="0.25">
      <c r="A162">
        <v>1191.01</v>
      </c>
      <c r="B162" t="s">
        <v>584</v>
      </c>
      <c r="C162" t="s">
        <v>218</v>
      </c>
      <c r="D162">
        <v>43598</v>
      </c>
      <c r="E162" t="s">
        <v>585</v>
      </c>
      <c r="G162">
        <v>0</v>
      </c>
      <c r="I162">
        <v>7</v>
      </c>
      <c r="J162">
        <v>0.23</v>
      </c>
      <c r="K162">
        <v>0.13</v>
      </c>
      <c r="L162">
        <v>0</v>
      </c>
      <c r="M162">
        <v>0</v>
      </c>
      <c r="N162">
        <v>0.01</v>
      </c>
      <c r="O162">
        <v>0.06</v>
      </c>
      <c r="P162">
        <v>0</v>
      </c>
      <c r="Q162">
        <v>0</v>
      </c>
      <c r="R162">
        <v>0</v>
      </c>
      <c r="S162">
        <v>0.01</v>
      </c>
      <c r="T162">
        <v>0</v>
      </c>
      <c r="U162">
        <v>1</v>
      </c>
      <c r="V162">
        <v>25</v>
      </c>
      <c r="W162">
        <v>14</v>
      </c>
      <c r="X162">
        <v>486</v>
      </c>
      <c r="Y162">
        <v>0</v>
      </c>
      <c r="Z162">
        <v>0</v>
      </c>
      <c r="AA162">
        <v>0.01</v>
      </c>
    </row>
    <row r="163" spans="1:27" x14ac:dyDescent="0.25">
      <c r="A163">
        <v>1191.02</v>
      </c>
      <c r="B163" t="s">
        <v>586</v>
      </c>
      <c r="C163" t="s">
        <v>218</v>
      </c>
      <c r="D163">
        <v>6973</v>
      </c>
      <c r="E163" t="s">
        <v>587</v>
      </c>
      <c r="G163">
        <v>0</v>
      </c>
      <c r="I163">
        <v>20</v>
      </c>
      <c r="J163">
        <v>0.8</v>
      </c>
      <c r="K163">
        <v>0.16</v>
      </c>
      <c r="L163">
        <v>10</v>
      </c>
      <c r="M163">
        <v>16</v>
      </c>
      <c r="N163">
        <v>0.09</v>
      </c>
      <c r="O163">
        <v>7.0000000000000007E-2</v>
      </c>
      <c r="P163">
        <v>0</v>
      </c>
      <c r="Q163">
        <v>119</v>
      </c>
      <c r="R163">
        <v>10</v>
      </c>
      <c r="S163">
        <v>0.16</v>
      </c>
      <c r="T163">
        <v>0</v>
      </c>
      <c r="U163">
        <v>12</v>
      </c>
      <c r="V163">
        <v>52</v>
      </c>
      <c r="W163">
        <v>370</v>
      </c>
      <c r="X163">
        <v>20</v>
      </c>
      <c r="Y163">
        <v>0.13</v>
      </c>
      <c r="Z163">
        <v>0</v>
      </c>
      <c r="AA163">
        <v>1.6</v>
      </c>
    </row>
    <row r="164" spans="1:27" x14ac:dyDescent="0.25">
      <c r="A164">
        <v>1191.03</v>
      </c>
      <c r="B164" t="s">
        <v>588</v>
      </c>
      <c r="C164" t="s">
        <v>214</v>
      </c>
      <c r="D164" t="s">
        <v>589</v>
      </c>
      <c r="E164" t="s">
        <v>588</v>
      </c>
      <c r="G164">
        <v>0</v>
      </c>
      <c r="I164">
        <v>12</v>
      </c>
      <c r="J164">
        <v>0.5</v>
      </c>
      <c r="K164">
        <v>0.01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21</v>
      </c>
      <c r="V164">
        <v>29</v>
      </c>
      <c r="W164">
        <v>90</v>
      </c>
      <c r="X164">
        <v>20</v>
      </c>
      <c r="Y164">
        <v>0.01</v>
      </c>
      <c r="Z164">
        <v>0</v>
      </c>
      <c r="AA164">
        <v>0</v>
      </c>
    </row>
    <row r="165" spans="1:27" x14ac:dyDescent="0.25">
      <c r="A165">
        <v>1191.08</v>
      </c>
      <c r="B165" t="s">
        <v>590</v>
      </c>
      <c r="C165" t="s">
        <v>218</v>
      </c>
      <c r="D165">
        <v>43599</v>
      </c>
      <c r="E165" t="s">
        <v>591</v>
      </c>
      <c r="G165">
        <v>0</v>
      </c>
      <c r="I165">
        <v>14</v>
      </c>
      <c r="J165">
        <v>0.2</v>
      </c>
      <c r="K165">
        <v>0.18</v>
      </c>
      <c r="L165">
        <v>0</v>
      </c>
      <c r="M165">
        <v>0</v>
      </c>
      <c r="N165">
        <v>1.2999999999999999E-2</v>
      </c>
      <c r="O165">
        <v>2.4E-2</v>
      </c>
      <c r="P165">
        <v>12</v>
      </c>
      <c r="Q165">
        <v>94</v>
      </c>
      <c r="R165">
        <v>21</v>
      </c>
      <c r="S165">
        <v>1.7000000000000001E-2</v>
      </c>
      <c r="T165">
        <v>0.21</v>
      </c>
      <c r="U165">
        <v>2</v>
      </c>
      <c r="V165">
        <v>26</v>
      </c>
      <c r="W165">
        <v>9</v>
      </c>
      <c r="X165">
        <v>711</v>
      </c>
      <c r="Y165">
        <v>0.01</v>
      </c>
      <c r="Z165">
        <v>0</v>
      </c>
      <c r="AA165">
        <v>4.0000000000000001E-3</v>
      </c>
    </row>
    <row r="166" spans="1:27" x14ac:dyDescent="0.25">
      <c r="A166">
        <v>1192.01</v>
      </c>
      <c r="B166" t="s">
        <v>592</v>
      </c>
      <c r="C166" t="s">
        <v>214</v>
      </c>
      <c r="D166" t="s">
        <v>593</v>
      </c>
      <c r="E166" t="s">
        <v>592</v>
      </c>
      <c r="G166">
        <v>0</v>
      </c>
      <c r="I166">
        <v>216</v>
      </c>
      <c r="J166">
        <v>1.2</v>
      </c>
      <c r="K166">
        <v>0.1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39</v>
      </c>
      <c r="V166">
        <v>5</v>
      </c>
      <c r="W166">
        <v>5</v>
      </c>
      <c r="X166">
        <v>38760</v>
      </c>
      <c r="Y166">
        <v>0.08</v>
      </c>
      <c r="Z166">
        <v>0</v>
      </c>
      <c r="AA166">
        <v>0</v>
      </c>
    </row>
    <row r="167" spans="1:27" x14ac:dyDescent="0.25">
      <c r="A167">
        <v>1192.02</v>
      </c>
      <c r="B167" t="s">
        <v>594</v>
      </c>
      <c r="C167" t="s">
        <v>214</v>
      </c>
      <c r="D167" t="s">
        <v>595</v>
      </c>
      <c r="E167" t="s">
        <v>596</v>
      </c>
      <c r="G167">
        <v>0</v>
      </c>
      <c r="I167">
        <v>661</v>
      </c>
      <c r="J167">
        <v>7.1</v>
      </c>
      <c r="K167">
        <v>1.01</v>
      </c>
      <c r="L167">
        <v>36</v>
      </c>
      <c r="M167">
        <v>39.200000000000003</v>
      </c>
      <c r="N167">
        <v>0.1</v>
      </c>
      <c r="O167">
        <v>0.06</v>
      </c>
      <c r="P167">
        <v>0</v>
      </c>
      <c r="Q167">
        <v>324</v>
      </c>
      <c r="R167">
        <v>27</v>
      </c>
      <c r="S167">
        <v>0.21</v>
      </c>
      <c r="T167">
        <v>0</v>
      </c>
      <c r="U167">
        <v>135</v>
      </c>
      <c r="V167">
        <v>113</v>
      </c>
      <c r="W167">
        <v>1040</v>
      </c>
      <c r="X167">
        <v>77</v>
      </c>
      <c r="Y167">
        <v>0.55000000000000004</v>
      </c>
      <c r="Z167">
        <v>0</v>
      </c>
      <c r="AA167">
        <v>2.9</v>
      </c>
    </row>
    <row r="168" spans="1:27" x14ac:dyDescent="0.25">
      <c r="A168">
        <v>1192.03</v>
      </c>
      <c r="B168" t="s">
        <v>597</v>
      </c>
      <c r="C168" t="s">
        <v>214</v>
      </c>
      <c r="D168" t="s">
        <v>598</v>
      </c>
      <c r="E168" t="s">
        <v>599</v>
      </c>
      <c r="G168">
        <v>0.13</v>
      </c>
      <c r="I168">
        <v>32</v>
      </c>
      <c r="J168">
        <v>1.6</v>
      </c>
      <c r="K168">
        <v>0.79</v>
      </c>
      <c r="L168">
        <v>0.45</v>
      </c>
      <c r="M168">
        <v>0.3</v>
      </c>
      <c r="N168">
        <v>0.17</v>
      </c>
      <c r="O168">
        <v>0.06</v>
      </c>
      <c r="P168">
        <v>0</v>
      </c>
      <c r="Q168">
        <v>0</v>
      </c>
      <c r="R168">
        <v>0</v>
      </c>
      <c r="S168">
        <v>0.17</v>
      </c>
      <c r="T168">
        <v>1.2</v>
      </c>
      <c r="U168">
        <v>21</v>
      </c>
      <c r="V168">
        <v>158</v>
      </c>
      <c r="W168">
        <v>533</v>
      </c>
      <c r="X168">
        <v>11</v>
      </c>
      <c r="Y168">
        <v>0.15</v>
      </c>
      <c r="Z168">
        <v>0</v>
      </c>
      <c r="AA168">
        <v>1.9</v>
      </c>
    </row>
    <row r="169" spans="1:27" x14ac:dyDescent="0.25">
      <c r="A169">
        <v>1193.02</v>
      </c>
      <c r="B169" t="s">
        <v>600</v>
      </c>
      <c r="C169" t="s">
        <v>214</v>
      </c>
      <c r="D169" t="s">
        <v>601</v>
      </c>
      <c r="E169" t="s">
        <v>602</v>
      </c>
      <c r="G169">
        <v>0</v>
      </c>
      <c r="I169">
        <v>80</v>
      </c>
      <c r="J169">
        <v>20</v>
      </c>
      <c r="K169">
        <v>8</v>
      </c>
      <c r="L169">
        <v>4000</v>
      </c>
      <c r="M169">
        <v>0</v>
      </c>
      <c r="N169">
        <v>2.33</v>
      </c>
      <c r="O169">
        <v>4</v>
      </c>
      <c r="P169">
        <v>0</v>
      </c>
      <c r="Q169">
        <v>0</v>
      </c>
      <c r="R169">
        <v>0</v>
      </c>
      <c r="S169">
        <v>2</v>
      </c>
      <c r="T169">
        <v>0</v>
      </c>
      <c r="U169">
        <v>230</v>
      </c>
      <c r="V169">
        <v>1290</v>
      </c>
      <c r="W169">
        <v>2000</v>
      </c>
      <c r="X169">
        <v>50</v>
      </c>
      <c r="Y169">
        <v>5</v>
      </c>
      <c r="Z169">
        <v>0</v>
      </c>
      <c r="AA169">
        <v>36</v>
      </c>
    </row>
    <row r="170" spans="1:27" x14ac:dyDescent="0.25">
      <c r="A170">
        <v>1193.05</v>
      </c>
      <c r="B170" t="s">
        <v>603</v>
      </c>
      <c r="C170" t="s">
        <v>218</v>
      </c>
      <c r="D170">
        <v>18969</v>
      </c>
      <c r="E170" t="s">
        <v>604</v>
      </c>
      <c r="G170">
        <v>0</v>
      </c>
      <c r="I170">
        <v>35</v>
      </c>
      <c r="J170">
        <v>0.95</v>
      </c>
      <c r="K170">
        <v>0.45</v>
      </c>
      <c r="L170">
        <v>66</v>
      </c>
      <c r="M170">
        <v>0</v>
      </c>
      <c r="N170">
        <v>0.26300000000000001</v>
      </c>
      <c r="O170">
        <v>0.24099999999999999</v>
      </c>
      <c r="P170">
        <v>22</v>
      </c>
      <c r="Q170">
        <v>1</v>
      </c>
      <c r="R170">
        <v>23</v>
      </c>
      <c r="S170">
        <v>4.0999999999999898E-2</v>
      </c>
      <c r="T170">
        <v>0.17</v>
      </c>
      <c r="U170">
        <v>10</v>
      </c>
      <c r="V170">
        <v>71</v>
      </c>
      <c r="W170">
        <v>68</v>
      </c>
      <c r="X170">
        <v>265</v>
      </c>
      <c r="Y170">
        <v>0.06</v>
      </c>
      <c r="Z170">
        <v>0.3</v>
      </c>
      <c r="AA170">
        <v>1.9079999999999999</v>
      </c>
    </row>
    <row r="171" spans="1:27" x14ac:dyDescent="0.25">
      <c r="A171">
        <v>1193.06</v>
      </c>
      <c r="B171" t="s">
        <v>605</v>
      </c>
      <c r="C171" t="s">
        <v>218</v>
      </c>
      <c r="D171">
        <v>6147</v>
      </c>
      <c r="E171" t="s">
        <v>606</v>
      </c>
      <c r="G171">
        <v>0</v>
      </c>
      <c r="I171">
        <v>4</v>
      </c>
      <c r="J171">
        <v>0.7</v>
      </c>
      <c r="K171">
        <v>1.1000000000000001</v>
      </c>
      <c r="L171">
        <v>7</v>
      </c>
      <c r="M171">
        <v>0</v>
      </c>
      <c r="N171">
        <v>0.02</v>
      </c>
      <c r="O171">
        <v>0.06</v>
      </c>
      <c r="P171">
        <v>0</v>
      </c>
      <c r="Q171">
        <v>0</v>
      </c>
      <c r="R171">
        <v>0</v>
      </c>
      <c r="S171">
        <v>0.04</v>
      </c>
      <c r="T171">
        <v>0.16</v>
      </c>
      <c r="U171">
        <v>7</v>
      </c>
      <c r="V171">
        <v>29</v>
      </c>
      <c r="W171">
        <v>126</v>
      </c>
      <c r="X171">
        <v>709</v>
      </c>
      <c r="Y171">
        <v>0.2</v>
      </c>
      <c r="Z171">
        <v>0</v>
      </c>
      <c r="AA171">
        <v>0.9</v>
      </c>
    </row>
    <row r="172" spans="1:27" x14ac:dyDescent="0.25">
      <c r="A172">
        <v>1193.07</v>
      </c>
      <c r="B172" t="s">
        <v>607</v>
      </c>
      <c r="C172" t="s">
        <v>218</v>
      </c>
      <c r="D172">
        <v>6147</v>
      </c>
      <c r="E172" t="s">
        <v>606</v>
      </c>
      <c r="G172">
        <v>0</v>
      </c>
      <c r="I172">
        <v>4</v>
      </c>
      <c r="J172">
        <v>0.7</v>
      </c>
      <c r="K172">
        <v>1.1000000000000001</v>
      </c>
      <c r="L172">
        <v>7</v>
      </c>
      <c r="M172">
        <v>0</v>
      </c>
      <c r="N172">
        <v>0.02</v>
      </c>
      <c r="O172">
        <v>0.06</v>
      </c>
      <c r="P172">
        <v>0</v>
      </c>
      <c r="Q172">
        <v>0</v>
      </c>
      <c r="R172">
        <v>0</v>
      </c>
      <c r="S172">
        <v>0.04</v>
      </c>
      <c r="T172">
        <v>0.16</v>
      </c>
      <c r="U172">
        <v>7</v>
      </c>
      <c r="V172">
        <v>29</v>
      </c>
      <c r="W172">
        <v>126</v>
      </c>
      <c r="X172">
        <v>709</v>
      </c>
      <c r="Y172">
        <v>0.2</v>
      </c>
      <c r="Z172">
        <v>0</v>
      </c>
      <c r="AA172">
        <v>0.9</v>
      </c>
    </row>
    <row r="173" spans="1:27" x14ac:dyDescent="0.25">
      <c r="A173">
        <v>1195.99</v>
      </c>
      <c r="B173" t="s">
        <v>608</v>
      </c>
      <c r="C173" t="s">
        <v>218</v>
      </c>
      <c r="D173">
        <v>6147</v>
      </c>
      <c r="E173" t="s">
        <v>606</v>
      </c>
      <c r="G173">
        <v>0</v>
      </c>
      <c r="I173">
        <v>4</v>
      </c>
      <c r="J173">
        <v>0.7</v>
      </c>
      <c r="K173">
        <v>1.1000000000000001</v>
      </c>
      <c r="L173">
        <v>7</v>
      </c>
      <c r="M173">
        <v>0</v>
      </c>
      <c r="N173">
        <v>0.02</v>
      </c>
      <c r="O173">
        <v>0.06</v>
      </c>
      <c r="P173">
        <v>0</v>
      </c>
      <c r="Q173">
        <v>0</v>
      </c>
      <c r="R173">
        <v>0</v>
      </c>
      <c r="S173">
        <v>0.04</v>
      </c>
      <c r="T173">
        <v>0.16</v>
      </c>
      <c r="U173">
        <v>7</v>
      </c>
      <c r="V173">
        <v>29</v>
      </c>
      <c r="W173">
        <v>126</v>
      </c>
      <c r="X173">
        <v>709</v>
      </c>
      <c r="Y173">
        <v>0.2</v>
      </c>
      <c r="Z173">
        <v>0</v>
      </c>
      <c r="AA173">
        <v>0.9</v>
      </c>
    </row>
    <row r="174" spans="1:27" x14ac:dyDescent="0.25">
      <c r="A174">
        <v>1211.01</v>
      </c>
      <c r="B174" t="s">
        <v>609</v>
      </c>
      <c r="C174" t="s">
        <v>214</v>
      </c>
      <c r="D174" t="s">
        <v>610</v>
      </c>
      <c r="E174" t="s">
        <v>611</v>
      </c>
      <c r="F174" t="s">
        <v>109</v>
      </c>
      <c r="G174">
        <v>0</v>
      </c>
      <c r="I174">
        <v>146</v>
      </c>
      <c r="J174">
        <v>4.4000000000000004</v>
      </c>
      <c r="K174">
        <v>0.73</v>
      </c>
      <c r="L174">
        <v>2</v>
      </c>
      <c r="M174">
        <v>0</v>
      </c>
      <c r="N174">
        <v>0.02</v>
      </c>
      <c r="O174">
        <v>0.08</v>
      </c>
      <c r="P174">
        <v>0</v>
      </c>
      <c r="Q174">
        <v>0</v>
      </c>
      <c r="R174">
        <v>0</v>
      </c>
      <c r="S174">
        <v>0.03</v>
      </c>
      <c r="T174">
        <v>0</v>
      </c>
      <c r="U174">
        <v>324</v>
      </c>
      <c r="V174">
        <v>303</v>
      </c>
      <c r="W174">
        <v>3640</v>
      </c>
      <c r="X174">
        <v>38</v>
      </c>
      <c r="Y174">
        <v>0.38</v>
      </c>
      <c r="Z174">
        <v>0</v>
      </c>
      <c r="AA174">
        <v>28.2</v>
      </c>
    </row>
    <row r="175" spans="1:27" x14ac:dyDescent="0.25">
      <c r="A175">
        <v>1212.01</v>
      </c>
      <c r="B175" t="s">
        <v>612</v>
      </c>
      <c r="C175" t="s">
        <v>214</v>
      </c>
      <c r="D175" t="s">
        <v>613</v>
      </c>
      <c r="E175" t="s">
        <v>614</v>
      </c>
      <c r="F175" t="s">
        <v>109</v>
      </c>
      <c r="G175">
        <v>0</v>
      </c>
      <c r="I175">
        <v>7</v>
      </c>
      <c r="J175">
        <v>0.2</v>
      </c>
      <c r="K175">
        <v>0.08</v>
      </c>
      <c r="L175">
        <v>14</v>
      </c>
      <c r="M175">
        <v>40.6</v>
      </c>
      <c r="N175">
        <v>0.03</v>
      </c>
      <c r="O175">
        <v>0.01</v>
      </c>
      <c r="P175">
        <v>0</v>
      </c>
      <c r="Q175">
        <v>7</v>
      </c>
      <c r="R175">
        <v>1</v>
      </c>
      <c r="S175">
        <v>0.05</v>
      </c>
      <c r="T175">
        <v>0</v>
      </c>
      <c r="U175">
        <v>6</v>
      </c>
      <c r="V175">
        <v>8</v>
      </c>
      <c r="W175">
        <v>129</v>
      </c>
      <c r="X175">
        <v>1</v>
      </c>
      <c r="Y175">
        <v>0.04</v>
      </c>
      <c r="Z175">
        <v>0</v>
      </c>
      <c r="AA175">
        <v>0.1</v>
      </c>
    </row>
    <row r="176" spans="1:27" x14ac:dyDescent="0.25">
      <c r="A176">
        <v>1213.01</v>
      </c>
      <c r="B176" t="s">
        <v>615</v>
      </c>
      <c r="C176" t="s">
        <v>214</v>
      </c>
      <c r="D176" t="s">
        <v>613</v>
      </c>
      <c r="E176" t="s">
        <v>614</v>
      </c>
      <c r="F176" t="s">
        <v>109</v>
      </c>
      <c r="G176">
        <v>0</v>
      </c>
      <c r="I176">
        <v>7</v>
      </c>
      <c r="J176">
        <v>0.2</v>
      </c>
      <c r="K176">
        <v>0.08</v>
      </c>
      <c r="L176">
        <v>14</v>
      </c>
      <c r="M176">
        <v>40.6</v>
      </c>
      <c r="N176">
        <v>0.03</v>
      </c>
      <c r="O176">
        <v>0.01</v>
      </c>
      <c r="P176">
        <v>0</v>
      </c>
      <c r="Q176">
        <v>7</v>
      </c>
      <c r="R176">
        <v>1</v>
      </c>
      <c r="S176">
        <v>0.05</v>
      </c>
      <c r="T176">
        <v>0</v>
      </c>
      <c r="U176">
        <v>6</v>
      </c>
      <c r="V176">
        <v>8</v>
      </c>
      <c r="W176">
        <v>129</v>
      </c>
      <c r="X176">
        <v>1</v>
      </c>
      <c r="Y176">
        <v>0.04</v>
      </c>
      <c r="Z176">
        <v>0</v>
      </c>
      <c r="AA176">
        <v>0.1</v>
      </c>
    </row>
    <row r="177" spans="1:27" x14ac:dyDescent="0.25">
      <c r="A177">
        <v>1219.99</v>
      </c>
      <c r="B177" t="s">
        <v>616</v>
      </c>
      <c r="C177" t="s">
        <v>214</v>
      </c>
      <c r="D177" t="s">
        <v>613</v>
      </c>
      <c r="E177" t="s">
        <v>614</v>
      </c>
      <c r="F177" t="s">
        <v>109</v>
      </c>
      <c r="G177">
        <v>0</v>
      </c>
      <c r="I177">
        <v>7</v>
      </c>
      <c r="J177">
        <v>0.2</v>
      </c>
      <c r="K177">
        <v>0.08</v>
      </c>
      <c r="L177">
        <v>14</v>
      </c>
      <c r="M177">
        <v>40.6</v>
      </c>
      <c r="N177">
        <v>0.03</v>
      </c>
      <c r="O177">
        <v>0.01</v>
      </c>
      <c r="P177">
        <v>0</v>
      </c>
      <c r="Q177">
        <v>7</v>
      </c>
      <c r="R177">
        <v>1</v>
      </c>
      <c r="S177">
        <v>0.05</v>
      </c>
      <c r="T177">
        <v>0</v>
      </c>
      <c r="U177">
        <v>6</v>
      </c>
      <c r="V177">
        <v>8</v>
      </c>
      <c r="W177">
        <v>129</v>
      </c>
      <c r="X177">
        <v>1</v>
      </c>
      <c r="Y177">
        <v>0.04</v>
      </c>
      <c r="Z177">
        <v>0</v>
      </c>
      <c r="AA177">
        <v>0.1</v>
      </c>
    </row>
    <row r="178" spans="1:27" x14ac:dyDescent="0.25">
      <c r="A178">
        <v>1221.01</v>
      </c>
      <c r="B178" t="s">
        <v>617</v>
      </c>
      <c r="C178" t="s">
        <v>214</v>
      </c>
      <c r="D178" t="s">
        <v>618</v>
      </c>
      <c r="E178" t="s">
        <v>619</v>
      </c>
      <c r="F178" t="s">
        <v>109</v>
      </c>
      <c r="G178">
        <v>0</v>
      </c>
      <c r="I178">
        <v>1</v>
      </c>
      <c r="J178">
        <v>0</v>
      </c>
      <c r="K178">
        <v>0.01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0</v>
      </c>
      <c r="W178">
        <v>1</v>
      </c>
      <c r="X178">
        <v>3</v>
      </c>
      <c r="Y178">
        <v>0.01</v>
      </c>
      <c r="Z178">
        <v>0</v>
      </c>
      <c r="AA178">
        <v>0</v>
      </c>
    </row>
    <row r="179" spans="1:27" x14ac:dyDescent="0.25">
      <c r="A179">
        <v>1222.01</v>
      </c>
      <c r="B179" t="s">
        <v>620</v>
      </c>
      <c r="C179" t="s">
        <v>214</v>
      </c>
      <c r="D179" t="s">
        <v>621</v>
      </c>
      <c r="E179" t="s">
        <v>622</v>
      </c>
      <c r="F179" t="s">
        <v>109</v>
      </c>
      <c r="G179">
        <v>0</v>
      </c>
      <c r="I179">
        <v>12</v>
      </c>
      <c r="J179">
        <v>0.3</v>
      </c>
      <c r="K179">
        <v>0.05</v>
      </c>
      <c r="L179">
        <v>34</v>
      </c>
      <c r="M179">
        <v>42.7</v>
      </c>
      <c r="N179">
        <v>0.08</v>
      </c>
      <c r="O179">
        <v>0.03</v>
      </c>
      <c r="P179">
        <v>0</v>
      </c>
      <c r="Q179">
        <v>100</v>
      </c>
      <c r="R179">
        <v>8</v>
      </c>
      <c r="S179">
        <v>0.06</v>
      </c>
      <c r="T179">
        <v>0</v>
      </c>
      <c r="U179">
        <v>11</v>
      </c>
      <c r="V179">
        <v>16</v>
      </c>
      <c r="W179">
        <v>186</v>
      </c>
      <c r="X179">
        <v>1</v>
      </c>
      <c r="Y179">
        <v>0.05</v>
      </c>
      <c r="Z179">
        <v>0</v>
      </c>
      <c r="AA179">
        <v>0.3</v>
      </c>
    </row>
    <row r="180" spans="1:27" x14ac:dyDescent="0.25">
      <c r="A180">
        <v>1222.99</v>
      </c>
      <c r="B180" t="s">
        <v>623</v>
      </c>
      <c r="C180" t="s">
        <v>214</v>
      </c>
      <c r="D180" t="s">
        <v>621</v>
      </c>
      <c r="E180" t="s">
        <v>622</v>
      </c>
      <c r="F180" t="s">
        <v>109</v>
      </c>
      <c r="G180">
        <v>0</v>
      </c>
      <c r="I180">
        <v>12</v>
      </c>
      <c r="J180">
        <v>0.3</v>
      </c>
      <c r="K180">
        <v>0.05</v>
      </c>
      <c r="L180">
        <v>34</v>
      </c>
      <c r="M180">
        <v>42.7</v>
      </c>
      <c r="N180">
        <v>0.08</v>
      </c>
      <c r="O180">
        <v>0.03</v>
      </c>
      <c r="P180">
        <v>0</v>
      </c>
      <c r="Q180">
        <v>100</v>
      </c>
      <c r="R180">
        <v>8</v>
      </c>
      <c r="S180">
        <v>0.06</v>
      </c>
      <c r="T180">
        <v>0</v>
      </c>
      <c r="U180">
        <v>11</v>
      </c>
      <c r="V180">
        <v>16</v>
      </c>
      <c r="W180">
        <v>186</v>
      </c>
      <c r="X180">
        <v>1</v>
      </c>
      <c r="Y180">
        <v>0.05</v>
      </c>
      <c r="Z180">
        <v>0</v>
      </c>
      <c r="AA180">
        <v>0.3</v>
      </c>
    </row>
    <row r="181" spans="1:27" x14ac:dyDescent="0.25">
      <c r="A181">
        <v>1223.01</v>
      </c>
      <c r="B181" t="s">
        <v>624</v>
      </c>
      <c r="C181" t="s">
        <v>214</v>
      </c>
      <c r="D181" t="s">
        <v>621</v>
      </c>
      <c r="E181" t="s">
        <v>622</v>
      </c>
      <c r="F181" t="s">
        <v>109</v>
      </c>
      <c r="G181">
        <v>0</v>
      </c>
      <c r="I181">
        <v>12</v>
      </c>
      <c r="J181">
        <v>0.3</v>
      </c>
      <c r="K181">
        <v>0.05</v>
      </c>
      <c r="L181">
        <v>34</v>
      </c>
      <c r="M181">
        <v>42.7</v>
      </c>
      <c r="N181">
        <v>0.08</v>
      </c>
      <c r="O181">
        <v>0.03</v>
      </c>
      <c r="P181">
        <v>0</v>
      </c>
      <c r="Q181">
        <v>100</v>
      </c>
      <c r="R181">
        <v>8</v>
      </c>
      <c r="S181">
        <v>0.06</v>
      </c>
      <c r="T181">
        <v>0</v>
      </c>
      <c r="U181">
        <v>11</v>
      </c>
      <c r="V181">
        <v>16</v>
      </c>
      <c r="W181">
        <v>186</v>
      </c>
      <c r="X181">
        <v>1</v>
      </c>
      <c r="Y181">
        <v>0.05</v>
      </c>
      <c r="Z181">
        <v>0</v>
      </c>
      <c r="AA181">
        <v>0.3</v>
      </c>
    </row>
    <row r="182" spans="1:27" x14ac:dyDescent="0.25">
      <c r="A182">
        <v>1223.02</v>
      </c>
      <c r="B182" t="s">
        <v>625</v>
      </c>
      <c r="C182" t="s">
        <v>214</v>
      </c>
      <c r="D182" t="s">
        <v>626</v>
      </c>
      <c r="E182" t="s">
        <v>627</v>
      </c>
      <c r="F182" t="s">
        <v>348</v>
      </c>
      <c r="G182">
        <v>0</v>
      </c>
      <c r="I182">
        <v>1</v>
      </c>
      <c r="J182">
        <v>0.04</v>
      </c>
      <c r="K182">
        <v>0.06</v>
      </c>
      <c r="L182">
        <v>1</v>
      </c>
      <c r="M182">
        <v>0</v>
      </c>
      <c r="N182">
        <v>0.01</v>
      </c>
      <c r="O182">
        <v>0.02</v>
      </c>
      <c r="P182">
        <v>0</v>
      </c>
      <c r="Q182">
        <v>0</v>
      </c>
      <c r="R182">
        <v>0</v>
      </c>
      <c r="S182">
        <v>0.01</v>
      </c>
      <c r="T182">
        <v>0</v>
      </c>
      <c r="U182">
        <v>4</v>
      </c>
      <c r="V182">
        <v>10</v>
      </c>
      <c r="W182">
        <v>15</v>
      </c>
      <c r="X182">
        <v>0</v>
      </c>
      <c r="Y182">
        <v>0.01</v>
      </c>
      <c r="Z182">
        <v>0</v>
      </c>
      <c r="AA182">
        <v>0.1</v>
      </c>
    </row>
    <row r="183" spans="1:27" x14ac:dyDescent="0.25">
      <c r="A183">
        <v>1223.99</v>
      </c>
      <c r="B183" t="s">
        <v>628</v>
      </c>
      <c r="C183" t="s">
        <v>214</v>
      </c>
      <c r="D183" t="s">
        <v>621</v>
      </c>
      <c r="E183" t="s">
        <v>622</v>
      </c>
      <c r="F183" t="s">
        <v>109</v>
      </c>
      <c r="G183">
        <v>0</v>
      </c>
      <c r="I183">
        <v>12</v>
      </c>
      <c r="J183">
        <v>0.3</v>
      </c>
      <c r="K183">
        <v>0.05</v>
      </c>
      <c r="L183">
        <v>34</v>
      </c>
      <c r="M183">
        <v>42.7</v>
      </c>
      <c r="N183">
        <v>0.08</v>
      </c>
      <c r="O183">
        <v>0.03</v>
      </c>
      <c r="P183">
        <v>0</v>
      </c>
      <c r="Q183">
        <v>100</v>
      </c>
      <c r="R183">
        <v>8</v>
      </c>
      <c r="S183">
        <v>0.06</v>
      </c>
      <c r="T183">
        <v>0</v>
      </c>
      <c r="U183">
        <v>11</v>
      </c>
      <c r="V183">
        <v>16</v>
      </c>
      <c r="W183">
        <v>186</v>
      </c>
      <c r="X183">
        <v>1</v>
      </c>
      <c r="Y183">
        <v>0.05</v>
      </c>
      <c r="Z183">
        <v>0</v>
      </c>
      <c r="AA183">
        <v>0.3</v>
      </c>
    </row>
    <row r="184" spans="1:27" x14ac:dyDescent="0.25">
      <c r="A184">
        <v>2111.04</v>
      </c>
      <c r="B184" t="s">
        <v>629</v>
      </c>
      <c r="C184" t="s">
        <v>214</v>
      </c>
      <c r="D184" t="s">
        <v>630</v>
      </c>
      <c r="E184" t="s">
        <v>631</v>
      </c>
      <c r="G184">
        <v>0</v>
      </c>
      <c r="I184">
        <v>8</v>
      </c>
      <c r="J184">
        <v>0.2</v>
      </c>
      <c r="K184">
        <v>0.14000000000000001</v>
      </c>
      <c r="L184">
        <v>0</v>
      </c>
      <c r="M184">
        <v>0</v>
      </c>
      <c r="N184">
        <v>0.02</v>
      </c>
      <c r="O184">
        <v>0.04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14</v>
      </c>
      <c r="V184">
        <v>25</v>
      </c>
      <c r="W184">
        <v>31</v>
      </c>
      <c r="X184">
        <v>2</v>
      </c>
      <c r="Y184">
        <v>0.02</v>
      </c>
      <c r="Z184">
        <v>0</v>
      </c>
      <c r="AA184">
        <v>0.3</v>
      </c>
    </row>
    <row r="185" spans="1:27" x14ac:dyDescent="0.25">
      <c r="A185">
        <v>2121.0100000000002</v>
      </c>
      <c r="B185" t="s">
        <v>632</v>
      </c>
      <c r="C185" t="s">
        <v>214</v>
      </c>
      <c r="D185" t="s">
        <v>633</v>
      </c>
      <c r="E185" t="s">
        <v>634</v>
      </c>
      <c r="G185">
        <v>0</v>
      </c>
      <c r="I185">
        <v>2</v>
      </c>
      <c r="J185">
        <v>0.5</v>
      </c>
      <c r="K185">
        <v>0</v>
      </c>
      <c r="L185">
        <v>0</v>
      </c>
      <c r="M185">
        <v>4</v>
      </c>
      <c r="N185">
        <v>0.03</v>
      </c>
      <c r="O185">
        <v>0.01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9</v>
      </c>
      <c r="V185">
        <v>5</v>
      </c>
      <c r="W185">
        <v>0</v>
      </c>
      <c r="X185">
        <v>0</v>
      </c>
      <c r="Y185">
        <v>0.01</v>
      </c>
      <c r="Z185">
        <v>0</v>
      </c>
      <c r="AA185">
        <v>0.3</v>
      </c>
    </row>
    <row r="186" spans="1:27" x14ac:dyDescent="0.25">
      <c r="A186">
        <v>2129.9899999999998</v>
      </c>
      <c r="B186" t="s">
        <v>635</v>
      </c>
      <c r="C186" t="s">
        <v>214</v>
      </c>
      <c r="D186" t="s">
        <v>636</v>
      </c>
      <c r="E186" t="s">
        <v>637</v>
      </c>
      <c r="G186">
        <v>0</v>
      </c>
      <c r="I186">
        <v>8</v>
      </c>
      <c r="J186">
        <v>0.2</v>
      </c>
      <c r="K186">
        <v>0.14000000000000001</v>
      </c>
      <c r="L186">
        <v>0</v>
      </c>
      <c r="M186">
        <v>0</v>
      </c>
      <c r="N186">
        <v>0.02</v>
      </c>
      <c r="O186">
        <v>0.04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14</v>
      </c>
      <c r="V186">
        <v>16</v>
      </c>
      <c r="W186">
        <v>31</v>
      </c>
      <c r="X186">
        <v>2</v>
      </c>
      <c r="Y186">
        <v>0.02</v>
      </c>
      <c r="Z186">
        <v>0</v>
      </c>
      <c r="AA186">
        <v>0.3</v>
      </c>
    </row>
    <row r="187" spans="1:27" x14ac:dyDescent="0.25">
      <c r="A187">
        <v>2131.0100000000002</v>
      </c>
      <c r="B187" t="s">
        <v>638</v>
      </c>
      <c r="C187" t="s">
        <v>214</v>
      </c>
      <c r="D187" t="s">
        <v>639</v>
      </c>
      <c r="E187" t="s">
        <v>640</v>
      </c>
      <c r="G187">
        <v>0</v>
      </c>
      <c r="I187">
        <v>8</v>
      </c>
      <c r="J187">
        <v>0.1</v>
      </c>
      <c r="K187">
        <v>0.01</v>
      </c>
      <c r="L187">
        <v>5</v>
      </c>
      <c r="M187">
        <v>0</v>
      </c>
      <c r="N187">
        <v>0</v>
      </c>
      <c r="O187">
        <v>0.03</v>
      </c>
      <c r="P187">
        <v>0</v>
      </c>
      <c r="Q187">
        <v>0</v>
      </c>
      <c r="R187">
        <v>0</v>
      </c>
      <c r="S187">
        <v>7.0000000000000007E-2</v>
      </c>
      <c r="T187">
        <v>0</v>
      </c>
      <c r="U187">
        <v>7</v>
      </c>
      <c r="V187">
        <v>14</v>
      </c>
      <c r="W187">
        <v>32</v>
      </c>
      <c r="X187">
        <v>6</v>
      </c>
      <c r="Y187">
        <v>0.01</v>
      </c>
      <c r="Z187">
        <v>0</v>
      </c>
      <c r="AA187">
        <v>0.7</v>
      </c>
    </row>
    <row r="188" spans="1:27" x14ac:dyDescent="0.25">
      <c r="A188">
        <v>2131.9899999999998</v>
      </c>
      <c r="B188" t="s">
        <v>641</v>
      </c>
      <c r="C188" t="s">
        <v>214</v>
      </c>
      <c r="D188" t="s">
        <v>630</v>
      </c>
      <c r="E188" t="s">
        <v>631</v>
      </c>
      <c r="G188">
        <v>0</v>
      </c>
      <c r="I188">
        <v>8</v>
      </c>
      <c r="J188">
        <v>0.2</v>
      </c>
      <c r="K188">
        <v>0.14000000000000001</v>
      </c>
      <c r="L188">
        <v>0</v>
      </c>
      <c r="M188">
        <v>0</v>
      </c>
      <c r="N188">
        <v>0.02</v>
      </c>
      <c r="O188">
        <v>0.04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14</v>
      </c>
      <c r="V188">
        <v>25</v>
      </c>
      <c r="W188">
        <v>31</v>
      </c>
      <c r="X188">
        <v>2</v>
      </c>
      <c r="Y188">
        <v>0.02</v>
      </c>
      <c r="Z188">
        <v>0</v>
      </c>
      <c r="AA188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Example</vt:lpstr>
      <vt:lpstr>Example Averages</vt:lpstr>
      <vt:lpstr>Archival</vt:lpstr>
      <vt:lpstr>Reference</vt:lpstr>
      <vt:lpstr>Upload</vt:lpstr>
      <vt:lpstr>Averages</vt:lpstr>
      <vt:lpstr>data</vt:lpstr>
    </vt:vector>
  </TitlesOfParts>
  <Company>FAO of the 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moltedo</dc:creator>
  <cp:lastModifiedBy>Aaron Wise</cp:lastModifiedBy>
  <dcterms:created xsi:type="dcterms:W3CDTF">2010-03-30T13:50:29Z</dcterms:created>
  <dcterms:modified xsi:type="dcterms:W3CDTF">2020-08-31T07:09:12Z</dcterms:modified>
</cp:coreProperties>
</file>