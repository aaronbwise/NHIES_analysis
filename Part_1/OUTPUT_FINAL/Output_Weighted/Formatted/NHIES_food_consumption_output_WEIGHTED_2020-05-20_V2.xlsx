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Karen_Codling\nhies_analysis\"/>
    </mc:Choice>
  </mc:AlternateContent>
  <xr:revisionPtr revIDLastSave="0" documentId="13_ncr:1_{5D8ABAA3-D211-403E-AB6F-41DD6307C65F}" xr6:coauthVersionLast="45" xr6:coauthVersionMax="45" xr10:uidLastSave="{00000000-0000-0000-0000-000000000000}"/>
  <bookViews>
    <workbookView xWindow="-110" yWindow="-110" windowWidth="19420" windowHeight="10420" firstSheet="5" activeTab="6" xr2:uid="{E4C64B3A-B24C-5D46-B9DB-5D15706E550B}"/>
  </bookViews>
  <sheets>
    <sheet name="Wheat flour_bread_consumption" sheetId="2" r:id="rId1"/>
    <sheet name="Other_cereal_consumption" sheetId="3" r:id="rId2"/>
    <sheet name="Rice_consumption" sheetId="4" r:id="rId3"/>
    <sheet name="Oils_fats_consumption" sheetId="5" r:id="rId4"/>
    <sheet name="Spices_consumption" sheetId="12" r:id="rId5"/>
    <sheet name="Maize_production" sheetId="6" r:id="rId6"/>
    <sheet name="Mahangu_production" sheetId="7" r:id="rId7"/>
    <sheet name="Sorghum_production" sheetId="8" r:id="rId8"/>
    <sheet name="Wheat_production" sheetId="9" r:id="rId9"/>
    <sheet name="Other_grain_production" sheetId="13" r:id="rId10"/>
    <sheet name="Butter_oil_fat_production" sheetId="10" r:id="rId11"/>
    <sheet name="Food_consumption_per_capita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7" l="1"/>
  <c r="Q6" i="12"/>
  <c r="Q6" i="5"/>
  <c r="Q6" i="4"/>
  <c r="P9" i="12" l="1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6" i="12"/>
  <c r="P27" i="12"/>
  <c r="P29" i="12"/>
  <c r="P30" i="12"/>
  <c r="P31" i="12"/>
  <c r="P33" i="12"/>
  <c r="P34" i="12"/>
  <c r="P35" i="12"/>
  <c r="P36" i="12"/>
  <c r="P37" i="12"/>
  <c r="P39" i="12"/>
  <c r="P40" i="12"/>
  <c r="P41" i="12"/>
  <c r="P42" i="12"/>
  <c r="P43" i="12"/>
  <c r="P44" i="12"/>
  <c r="P45" i="12"/>
  <c r="P46" i="12"/>
  <c r="P47" i="12"/>
  <c r="P48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9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6" i="5"/>
  <c r="P27" i="5"/>
  <c r="P29" i="5"/>
  <c r="P30" i="5"/>
  <c r="P31" i="5"/>
  <c r="P33" i="5"/>
  <c r="P34" i="5"/>
  <c r="P35" i="5"/>
  <c r="P36" i="5"/>
  <c r="P37" i="5"/>
  <c r="P39" i="5"/>
  <c r="P40" i="5"/>
  <c r="P41" i="5"/>
  <c r="P42" i="5"/>
  <c r="P43" i="5"/>
  <c r="P44" i="5"/>
  <c r="P45" i="5"/>
  <c r="P46" i="5"/>
  <c r="P47" i="5"/>
  <c r="P48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9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6" i="4"/>
  <c r="P27" i="4"/>
  <c r="P29" i="4"/>
  <c r="P30" i="4"/>
  <c r="P31" i="4"/>
  <c r="P33" i="4"/>
  <c r="P34" i="4"/>
  <c r="P35" i="4"/>
  <c r="P36" i="4"/>
  <c r="P37" i="4"/>
  <c r="P39" i="4"/>
  <c r="P40" i="4"/>
  <c r="P41" i="4"/>
  <c r="P42" i="4"/>
  <c r="P43" i="4"/>
  <c r="P44" i="4"/>
  <c r="P45" i="4"/>
  <c r="P46" i="4"/>
  <c r="P47" i="4"/>
  <c r="P48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26" i="3"/>
  <c r="P9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7" i="3"/>
  <c r="P29" i="3"/>
  <c r="P30" i="3"/>
  <c r="P31" i="3"/>
  <c r="P32" i="3"/>
  <c r="P33" i="3"/>
  <c r="P34" i="3"/>
  <c r="P35" i="3"/>
  <c r="P36" i="3"/>
  <c r="P37" i="3"/>
  <c r="P39" i="3"/>
  <c r="P40" i="3"/>
  <c r="P41" i="3"/>
  <c r="P42" i="3"/>
  <c r="P43" i="3"/>
  <c r="P44" i="3"/>
  <c r="P45" i="3"/>
  <c r="P46" i="3"/>
  <c r="P47" i="3"/>
  <c r="P48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9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6" i="2"/>
  <c r="P27" i="2"/>
  <c r="P29" i="2"/>
  <c r="P30" i="2"/>
  <c r="P31" i="2"/>
  <c r="P33" i="2"/>
  <c r="P34" i="2"/>
  <c r="P35" i="2"/>
  <c r="P36" i="2"/>
  <c r="P37" i="2"/>
  <c r="P39" i="2"/>
  <c r="P40" i="2"/>
  <c r="P41" i="2"/>
  <c r="P42" i="2"/>
  <c r="P43" i="2"/>
  <c r="P44" i="2"/>
  <c r="P45" i="2"/>
  <c r="P46" i="2"/>
  <c r="P47" i="2"/>
  <c r="P48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8" i="12" l="1"/>
  <c r="P8" i="5" l="1"/>
  <c r="P8" i="4"/>
  <c r="P8" i="3"/>
  <c r="P8" i="2"/>
</calcChain>
</file>

<file path=xl/sharedStrings.xml><?xml version="1.0" encoding="utf-8"?>
<sst xmlns="http://schemas.openxmlformats.org/spreadsheetml/2006/main" count="950" uniqueCount="141">
  <si>
    <t>Income deciles</t>
  </si>
  <si>
    <t>!Karas</t>
  </si>
  <si>
    <t>Erongo</t>
  </si>
  <si>
    <t>Hardap</t>
  </si>
  <si>
    <t>Kavango East</t>
  </si>
  <si>
    <t>Kavango West</t>
  </si>
  <si>
    <t>Khomas</t>
  </si>
  <si>
    <t>Ohangwena</t>
  </si>
  <si>
    <t>Omaheke</t>
  </si>
  <si>
    <t>Omusati</t>
  </si>
  <si>
    <t>Oshana</t>
  </si>
  <si>
    <t>Oshikoto</t>
  </si>
  <si>
    <t>Otjozondjupa</t>
  </si>
  <si>
    <t>Zambezi</t>
  </si>
  <si>
    <t>Khoisan</t>
  </si>
  <si>
    <t>Nama/Damara</t>
  </si>
  <si>
    <t>Oshiwambo</t>
  </si>
  <si>
    <t>Setswana</t>
  </si>
  <si>
    <t>Afrikaans</t>
  </si>
  <si>
    <t>German</t>
  </si>
  <si>
    <t>English</t>
  </si>
  <si>
    <t>Other European</t>
  </si>
  <si>
    <t>Region</t>
  </si>
  <si>
    <t>Urban</t>
  </si>
  <si>
    <t>Rural</t>
  </si>
  <si>
    <t>Main Language Group</t>
  </si>
  <si>
    <t>Household consumed [wheat flour , bread] during the past seven days</t>
  </si>
  <si>
    <t>Main source of [wheat flour/ bread]</t>
  </si>
  <si>
    <t>National</t>
  </si>
  <si>
    <t>Urban/Rural</t>
  </si>
  <si>
    <t>Education of HoH</t>
  </si>
  <si>
    <t>Age of HoH</t>
  </si>
  <si>
    <t>Sex of HoH</t>
  </si>
  <si>
    <t>Number of days the household ate [wheat flour/ bread] during the past 7 days</t>
  </si>
  <si>
    <t>Mean</t>
  </si>
  <si>
    <t>%</t>
  </si>
  <si>
    <t>N</t>
  </si>
  <si>
    <t>Wheat flour / bread [Q02_58_01]</t>
  </si>
  <si>
    <t>Kunene</t>
  </si>
  <si>
    <t>Female</t>
  </si>
  <si>
    <t>Male</t>
  </si>
  <si>
    <t>0-18</t>
  </si>
  <si>
    <t>18-59</t>
  </si>
  <si>
    <t>60+</t>
  </si>
  <si>
    <t>No formal education</t>
  </si>
  <si>
    <t>Not stated</t>
  </si>
  <si>
    <t>Primary</t>
  </si>
  <si>
    <t>Secondary</t>
  </si>
  <si>
    <t>Tertiary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</si>
  <si>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</si>
  <si>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</si>
  <si>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</si>
  <si>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</si>
  <si>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</si>
  <si>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</si>
  <si>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</si>
  <si>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</si>
  <si>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</si>
  <si>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</si>
  <si>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Other</t>
  </si>
  <si>
    <t>Other African</t>
  </si>
  <si>
    <t>Otjiherero</t>
  </si>
  <si>
    <t>Rukavango</t>
  </si>
  <si>
    <t>Zambezi languages</t>
  </si>
  <si>
    <t>Asking for help from others</t>
  </si>
  <si>
    <t>Bought on credit</t>
  </si>
  <si>
    <t>Total</t>
  </si>
  <si>
    <t>Bought through bartering</t>
  </si>
  <si>
    <t>Bought using cash</t>
  </si>
  <si>
    <t>Fishing, hunting, gathering</t>
  </si>
  <si>
    <t>Food assistance, Government charity</t>
  </si>
  <si>
    <t>From employer</t>
  </si>
  <si>
    <t>Gifts: friends, neighbours, relatives</t>
  </si>
  <si>
    <t>Own Production</t>
  </si>
  <si>
    <t>Received as in-kind payment</t>
  </si>
  <si>
    <t>Other cereals [Q02_58_02]</t>
  </si>
  <si>
    <t>Household consumed [other cereal] during the past seven days</t>
  </si>
  <si>
    <t>Number of days the household ate [other cereal] during the past 7 days</t>
  </si>
  <si>
    <t>Main source of [other cereal]</t>
  </si>
  <si>
    <t>Household consumed [rice] during the past seven days</t>
  </si>
  <si>
    <t>Number of days the household ate [rice] during the past 7 days</t>
  </si>
  <si>
    <t>Main source of [rice]</t>
  </si>
  <si>
    <t>Oils/fats [Q02_58_13]</t>
  </si>
  <si>
    <t>Rice [Q02_58_04]</t>
  </si>
  <si>
    <t>Household consumed [oils/fats] during the past seven days</t>
  </si>
  <si>
    <t>Number of days the household ate [oils/fats] during the past 7 days</t>
  </si>
  <si>
    <t>Main source of [oils/fats]</t>
  </si>
  <si>
    <t>Household produced [maize] in the last 12 months</t>
  </si>
  <si>
    <t>Amount of [maize] the household produced in the last 12 months</t>
  </si>
  <si>
    <t>kg</t>
  </si>
  <si>
    <t>Sales value of [maize] which the household produced and sold in the last 12 months</t>
  </si>
  <si>
    <r>
      <t xml:space="preserve">Amount of [maize]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</si>
  <si>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[maize]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</si>
  <si>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[maize]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</si>
  <si>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Maize production [Q07_02_1]</t>
  </si>
  <si>
    <t>Mahangu production [Q07_02_2]</t>
  </si>
  <si>
    <t>Household produced [mahangu] in the last 12 months</t>
  </si>
  <si>
    <r>
      <t xml:space="preserve">Amount of [mahangu]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</si>
  <si>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[mahangu]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</si>
  <si>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[mahangu]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</si>
  <si>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Sales value of [mahangu] which the household produced and sold in the last 12 months</t>
  </si>
  <si>
    <t>Amount of [mahangu] the household produced in the last 12 months (mean)</t>
  </si>
  <si>
    <t>Sorghum production [Q07_02_3]</t>
  </si>
  <si>
    <t>Household produced [sorghum] in the last 12 months</t>
  </si>
  <si>
    <t>Amount of [sorghum] the household produced in the last 12 months (mean)</t>
  </si>
  <si>
    <r>
      <t xml:space="preserve">Amount of [sorghum]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</si>
  <si>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[sorghum]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</si>
  <si>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[sorghum]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</si>
  <si>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Sales value of [sorghum] which the household produced and sold in the last 12 months</t>
  </si>
  <si>
    <t>Wheat production [Q07_02_4]</t>
  </si>
  <si>
    <t>Household produced [wheat] in the last 12 months</t>
  </si>
  <si>
    <t>Amount of [wheat] the household produced in the last 12 months (mean)</t>
  </si>
  <si>
    <r>
      <t xml:space="preserve">Amount of [wheat]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</si>
  <si>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[wheat]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</si>
  <si>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[wheat]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</si>
  <si>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Sales value of [wheat] which the household produced and sold in the last 12 months</t>
  </si>
  <si>
    <t>Butter/oil/fat production [Q07_08_3]</t>
  </si>
  <si>
    <t>Household produced [butter/oil/fat] in the last 12 months</t>
  </si>
  <si>
    <t>Food consumtion per capita [g01_food]</t>
  </si>
  <si>
    <t>Per capita food consumption (mean)</t>
  </si>
  <si>
    <t xml:space="preserve"> (ND/pp/month)</t>
  </si>
  <si>
    <t>Per capita food consumption (median)</t>
  </si>
  <si>
    <t>Spices [Q02_58_15]</t>
  </si>
  <si>
    <t>Main source of [spices]</t>
  </si>
  <si>
    <t>Household consumed [spices] during the past seven days</t>
  </si>
  <si>
    <t>Number of days the household ate [spices] during the past 7 days</t>
  </si>
  <si>
    <t>Other grain production [Q07_02_6]</t>
  </si>
  <si>
    <t>Household produced [other grain] in the last 12 months</t>
  </si>
  <si>
    <t>Amount of [other grain] the household produced in the last 12 months (mean)</t>
  </si>
  <si>
    <t>Amount of [other grain] the household consumed from own production in the past 12 months</t>
  </si>
  <si>
    <t>Amount of [other grain] the household gave away from own production in the past 12 months</t>
  </si>
  <si>
    <t>Amount of [other grain] the household sold from own production in the past 12 months</t>
  </si>
  <si>
    <t>Sales value of [other grain] which the household produced and sold in the last 12 months</t>
  </si>
  <si>
    <r>
      <t xml:space="preserve">Amount of [maize] the household </t>
    </r>
    <r>
      <rPr>
        <b/>
        <sz val="10"/>
        <color theme="1"/>
        <rFont val="Calibri"/>
        <family val="2"/>
        <scheme val="minor"/>
      </rPr>
      <t>UNACCOUNTED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</si>
  <si>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A</t>
  </si>
  <si>
    <t>B</t>
  </si>
  <si>
    <t>C</t>
  </si>
  <si>
    <t>D</t>
  </si>
  <si>
    <t>E</t>
  </si>
  <si>
    <r>
      <t xml:space="preserve">Amount of [mahangu] the household </t>
    </r>
    <r>
      <rPr>
        <b/>
        <sz val="10"/>
        <color theme="1"/>
        <rFont val="Calibri"/>
        <family val="2"/>
        <scheme val="minor"/>
      </rPr>
      <t>UNACCOUNTED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</si>
  <si>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 xml:space="preserve">Amount of [sorghum] the household </t>
    </r>
    <r>
      <rPr>
        <b/>
        <sz val="10"/>
        <color theme="1"/>
        <rFont val="Calibri"/>
        <family val="2"/>
        <scheme val="minor"/>
      </rPr>
      <t>UNACCOUNTED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</si>
</sst>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 Unicode MS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" xfId="0" applyFont="1" applyBorder="1"/>
    <xf numFmtId="164" fontId="2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164" fontId="2" fillId="0" borderId="1" xfId="0" quotePrefix="1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3" fontId="4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0" borderId="0" xfId="0" applyFont="1" applyBorder="1"/>
    <xf numFmtId="0" fontId="2" fillId="0" borderId="4" xfId="0" applyFont="1" applyBorder="1"/>
    <xf numFmtId="3" fontId="2" fillId="0" borderId="0" xfId="0" applyNumberFormat="1" applyFont="1" applyBorder="1" applyAlignment="1">
      <alignment horizontal="center"/>
    </xf>
    <xf numFmtId="3" fontId="2" fillId="4" borderId="5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" fontId="2" fillId="0" borderId="1" xfId="0" applyNumberFormat="1" applyFont="1" applyFill="1" applyBorder="1" applyAlignment="1">
      <alignment horizontal="center"/>
    </xf>
    <xf numFmtId="1" fontId="2" fillId="0" borderId="3" xfId="0" applyNumberFormat="1" applyFont="1" applyFill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3" fontId="2" fillId="6" borderId="1" xfId="0" applyNumberFormat="1" applyFont="1" applyFill="1" applyBorder="1" applyAlignment="1">
      <alignment horizontal="center"/>
    </xf>
    <xf numFmtId="3" fontId="2" fillId="6" borderId="3" xfId="0" applyNumberFormat="1" applyFont="1" applyFill="1" applyBorder="1" applyAlignment="1">
      <alignment horizontal="center"/>
    </xf>
    <xf numFmtId="3" fontId="2" fillId="6" borderId="0" xfId="0" applyNumberFormat="1" applyFont="1" applyFill="1" applyBorder="1" applyAlignment="1">
      <alignment horizontal="center"/>
    </xf>
    <xf numFmtId="3" fontId="2" fillId="6" borderId="4" xfId="0" applyNumberFormat="1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1" fontId="2" fillId="6" borderId="3" xfId="0" applyNumberFormat="1" applyFont="1" applyFill="1" applyBorder="1" applyAlignment="1">
      <alignment horizontal="center"/>
    </xf>
    <xf numFmtId="1" fontId="2" fillId="6" borderId="0" xfId="0" applyNumberFormat="1" applyFont="1" applyFill="1" applyBorder="1" applyAlignment="1">
      <alignment horizontal="center"/>
    </xf>
    <xf numFmtId="1" fontId="2" fillId="6" borderId="4" xfId="0" applyNumberFormat="1" applyFont="1" applyFill="1" applyBorder="1" applyAlignment="1">
      <alignment horizontal="center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9DBA-F3EC-4A2E-A893-46540BAF02D4}">
  <dimension ref="A1:S74"/>
  <sheetViews>
    <sheetView zoomScale="80" zoomScaleNormal="80" workbookViewId="0">
      <selection activeCell="S9" sqref="S9"/>
    </sheetView>
  </sheetViews>
  <sheetFormatPr defaultColWidth="15.25" defaultRowHeight="13"/>
  <cols>
    <col min="1" max="1" width="17.25" style="2" customWidth="1"/>
    <col min="2" max="2" width="12.4140625" style="5" customWidth="1"/>
    <col min="3" max="3" width="8.4140625" style="5" customWidth="1"/>
    <col min="4" max="4" width="13.1640625" style="5" customWidth="1"/>
    <col min="5" max="5" width="9.1640625" style="5" customWidth="1"/>
    <col min="6" max="9" width="7.25" style="5" customWidth="1"/>
    <col min="10" max="10" width="9.08203125" style="5" customWidth="1"/>
    <col min="11" max="11" width="7.25" style="5" customWidth="1"/>
    <col min="12" max="12" width="9" style="5" customWidth="1"/>
    <col min="13" max="13" width="7.25" style="5" customWidth="1"/>
    <col min="14" max="14" width="7.75" style="5" customWidth="1"/>
    <col min="15" max="17" width="7.25" style="5" customWidth="1"/>
    <col min="18" max="16384" width="15.25" style="2"/>
  </cols>
  <sheetData>
    <row r="1" spans="1:19">
      <c r="A1" s="3" t="s">
        <v>37</v>
      </c>
    </row>
    <row r="3" spans="1:19">
      <c r="E3" s="47" t="s">
        <v>27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12"/>
    </row>
    <row r="4" spans="1:19" ht="78">
      <c r="B4" s="8" t="s">
        <v>26</v>
      </c>
      <c r="C4" s="8" t="s">
        <v>36</v>
      </c>
      <c r="D4" s="13" t="s">
        <v>33</v>
      </c>
      <c r="E4" s="10" t="s">
        <v>64</v>
      </c>
      <c r="F4" s="13" t="s">
        <v>65</v>
      </c>
      <c r="G4" s="13" t="s">
        <v>67</v>
      </c>
      <c r="H4" s="13" t="s">
        <v>68</v>
      </c>
      <c r="I4" s="13" t="s">
        <v>69</v>
      </c>
      <c r="J4" s="13" t="s">
        <v>70</v>
      </c>
      <c r="K4" s="13" t="s">
        <v>71</v>
      </c>
      <c r="L4" s="13" t="s">
        <v>72</v>
      </c>
      <c r="M4" s="13" t="s">
        <v>59</v>
      </c>
      <c r="N4" s="13" t="s">
        <v>73</v>
      </c>
      <c r="O4" s="13" t="s">
        <v>74</v>
      </c>
      <c r="P4" s="13" t="s">
        <v>66</v>
      </c>
      <c r="Q4" s="13" t="s">
        <v>36</v>
      </c>
    </row>
    <row r="5" spans="1:19">
      <c r="B5" s="9" t="s">
        <v>35</v>
      </c>
      <c r="C5" s="9"/>
      <c r="D5" s="11" t="s">
        <v>34</v>
      </c>
      <c r="E5" s="11" t="s">
        <v>35</v>
      </c>
      <c r="F5" s="11" t="s">
        <v>35</v>
      </c>
      <c r="G5" s="11" t="s">
        <v>35</v>
      </c>
      <c r="H5" s="11" t="s">
        <v>35</v>
      </c>
      <c r="I5" s="11" t="s">
        <v>35</v>
      </c>
      <c r="J5" s="11" t="s">
        <v>35</v>
      </c>
      <c r="K5" s="11" t="s">
        <v>35</v>
      </c>
      <c r="L5" s="11" t="s">
        <v>35</v>
      </c>
      <c r="M5" s="11" t="s">
        <v>35</v>
      </c>
      <c r="N5" s="11" t="s">
        <v>35</v>
      </c>
      <c r="O5" s="11" t="s">
        <v>35</v>
      </c>
      <c r="P5" s="11" t="s">
        <v>35</v>
      </c>
      <c r="Q5" s="11"/>
    </row>
    <row r="6" spans="1:19" ht="15.5">
      <c r="A6" s="1" t="s">
        <v>28</v>
      </c>
      <c r="B6" s="17">
        <v>69.810400000000001</v>
      </c>
      <c r="C6" s="26">
        <v>10090</v>
      </c>
      <c r="D6" s="17">
        <v>4.8798339999999998</v>
      </c>
      <c r="E6" s="17">
        <v>5.74E-2</v>
      </c>
      <c r="F6" s="17">
        <v>0.59529999999999994</v>
      </c>
      <c r="G6" s="17">
        <v>4.36E-2</v>
      </c>
      <c r="H6" s="17">
        <v>91.759900000000002</v>
      </c>
      <c r="I6" s="17">
        <v>3.0800000000000001E-2</v>
      </c>
      <c r="J6" s="17">
        <v>7.6800000000000007E-2</v>
      </c>
      <c r="K6" s="17">
        <v>1.3672</v>
      </c>
      <c r="L6" s="17">
        <v>2.9365999999999999</v>
      </c>
      <c r="M6" s="17">
        <v>0.1303</v>
      </c>
      <c r="N6" s="17">
        <v>2.7904999999999998</v>
      </c>
      <c r="O6" s="17">
        <v>0.2117</v>
      </c>
      <c r="P6" s="17">
        <v>99.999999999999929</v>
      </c>
      <c r="Q6" s="26">
        <v>6708.9999999999964</v>
      </c>
      <c r="R6"/>
    </row>
    <row r="7" spans="1:19">
      <c r="A7" s="33" t="s">
        <v>29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9">
      <c r="A8" s="4" t="s">
        <v>24</v>
      </c>
      <c r="B8" s="17">
        <v>52.681176999999998</v>
      </c>
      <c r="C8" s="26">
        <v>5535</v>
      </c>
      <c r="D8" s="17">
        <v>3.9008056602420198</v>
      </c>
      <c r="E8" s="17">
        <v>9.5298576902155402E-2</v>
      </c>
      <c r="F8" s="17">
        <v>0.86774483488393694</v>
      </c>
      <c r="G8" s="17">
        <v>6.2857790650604498E-2</v>
      </c>
      <c r="H8" s="17">
        <v>84.292120733748803</v>
      </c>
      <c r="I8" s="17">
        <v>8.8924327710798792E-2</v>
      </c>
      <c r="J8" s="17">
        <v>0.19116336289008801</v>
      </c>
      <c r="K8" s="17">
        <v>1.9363176514257401</v>
      </c>
      <c r="L8" s="17">
        <v>6.6530141861772201</v>
      </c>
      <c r="M8" s="17">
        <v>6.9711582590170299E-3</v>
      </c>
      <c r="N8" s="17">
        <v>5.5383167663630299</v>
      </c>
      <c r="O8" s="17">
        <v>0.26727061098851002</v>
      </c>
      <c r="P8" s="17">
        <f>SUM(E8:O8)</f>
        <v>99.999999999999901</v>
      </c>
      <c r="Q8" s="26">
        <v>2863</v>
      </c>
      <c r="S8" s="7"/>
    </row>
    <row r="9" spans="1:19">
      <c r="A9" s="4" t="s">
        <v>23</v>
      </c>
      <c r="B9" s="17">
        <v>84.325167000000008</v>
      </c>
      <c r="C9" s="32">
        <v>4555</v>
      </c>
      <c r="D9" s="17">
        <v>5.3981158318920297</v>
      </c>
      <c r="E9" s="17">
        <v>3.7372722157197495E-2</v>
      </c>
      <c r="F9" s="17">
        <v>0.45103370615010097</v>
      </c>
      <c r="G9" s="17">
        <v>3.3462245357401402E-2</v>
      </c>
      <c r="H9" s="17">
        <v>95.713172516885905</v>
      </c>
      <c r="I9" s="17">
        <v>0</v>
      </c>
      <c r="J9" s="17">
        <v>1.6222111059814599E-2</v>
      </c>
      <c r="K9" s="17">
        <v>1.0658670635793499</v>
      </c>
      <c r="L9" s="17">
        <v>0.96912930866681801</v>
      </c>
      <c r="M9" s="17">
        <v>0.19555050043827898</v>
      </c>
      <c r="N9" s="17">
        <v>1.3358566328205301</v>
      </c>
      <c r="O9" s="17">
        <v>0.18233319288453301</v>
      </c>
      <c r="P9" s="17">
        <f t="shared" ref="P9:P62" si="0">SUM(E9:O9)</f>
        <v>99.999999999999929</v>
      </c>
      <c r="Q9" s="26">
        <v>3846</v>
      </c>
      <c r="S9" s="7"/>
    </row>
    <row r="10" spans="1:19">
      <c r="A10" s="33" t="s">
        <v>22</v>
      </c>
      <c r="B10" s="35"/>
      <c r="C10" s="36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/>
      <c r="S10" s="7"/>
    </row>
    <row r="11" spans="1:19">
      <c r="A11" s="4" t="s">
        <v>1</v>
      </c>
      <c r="B11" s="17">
        <v>87.918926999999996</v>
      </c>
      <c r="C11" s="26">
        <v>559</v>
      </c>
      <c r="D11" s="17">
        <v>5.6795609213794496</v>
      </c>
      <c r="E11" s="17">
        <v>0</v>
      </c>
      <c r="F11" s="17">
        <v>1.3672395338685002</v>
      </c>
      <c r="G11" s="17">
        <v>0</v>
      </c>
      <c r="H11" s="17">
        <v>90.213680734919905</v>
      </c>
      <c r="I11" s="17">
        <v>0</v>
      </c>
      <c r="J11" s="17">
        <v>0.305500857637237</v>
      </c>
      <c r="K11" s="17">
        <v>0.9920567508106749</v>
      </c>
      <c r="L11" s="17">
        <v>0</v>
      </c>
      <c r="M11" s="17">
        <v>0.34739180232843003</v>
      </c>
      <c r="N11" s="17">
        <v>6.4020472967327891</v>
      </c>
      <c r="O11" s="17">
        <v>0.372083023702452</v>
      </c>
      <c r="P11" s="17">
        <f t="shared" si="0"/>
        <v>100</v>
      </c>
      <c r="Q11" s="26">
        <v>484</v>
      </c>
      <c r="S11" s="7"/>
    </row>
    <row r="12" spans="1:19">
      <c r="A12" s="4" t="s">
        <v>2</v>
      </c>
      <c r="B12" s="17">
        <v>86.635835999999998</v>
      </c>
      <c r="C12" s="26">
        <v>828</v>
      </c>
      <c r="D12" s="17">
        <v>5.2693884430322599</v>
      </c>
      <c r="E12" s="17">
        <v>0.12553536370138801</v>
      </c>
      <c r="F12" s="17">
        <v>0.89464067180325302</v>
      </c>
      <c r="G12" s="17">
        <v>0</v>
      </c>
      <c r="H12" s="17">
        <v>96.275542754201311</v>
      </c>
      <c r="I12" s="17">
        <v>0</v>
      </c>
      <c r="J12" s="17">
        <v>0</v>
      </c>
      <c r="K12" s="17">
        <v>1.0323753996603899</v>
      </c>
      <c r="L12" s="17">
        <v>1.0549275727759699</v>
      </c>
      <c r="M12" s="17">
        <v>0</v>
      </c>
      <c r="N12" s="17">
        <v>0.29784437503545702</v>
      </c>
      <c r="O12" s="17">
        <v>0.31913386282213102</v>
      </c>
      <c r="P12" s="17">
        <f t="shared" si="0"/>
        <v>99.999999999999901</v>
      </c>
      <c r="Q12" s="26">
        <v>705</v>
      </c>
      <c r="S12" s="7"/>
    </row>
    <row r="13" spans="1:19">
      <c r="A13" s="4" t="s">
        <v>3</v>
      </c>
      <c r="B13" s="17">
        <v>89.500366999999997</v>
      </c>
      <c r="C13" s="26">
        <v>561</v>
      </c>
      <c r="D13" s="17">
        <v>4.8862517363877096</v>
      </c>
      <c r="E13" s="17">
        <v>0.122134166438723</v>
      </c>
      <c r="F13" s="17">
        <v>0.85004760818402603</v>
      </c>
      <c r="G13" s="17">
        <v>0</v>
      </c>
      <c r="H13" s="17">
        <v>78.575885205869298</v>
      </c>
      <c r="I13" s="17">
        <v>0</v>
      </c>
      <c r="J13" s="17">
        <v>0.15439352762254899</v>
      </c>
      <c r="K13" s="17">
        <v>3.2590362735308998</v>
      </c>
      <c r="L13" s="17">
        <v>2.3246391456858699</v>
      </c>
      <c r="M13" s="17">
        <v>0.20974128394421601</v>
      </c>
      <c r="N13" s="17">
        <v>14.192198797436701</v>
      </c>
      <c r="O13" s="17">
        <v>0.31192399128759996</v>
      </c>
      <c r="P13" s="17">
        <f t="shared" si="0"/>
        <v>99.999999999999872</v>
      </c>
      <c r="Q13" s="26">
        <v>506</v>
      </c>
      <c r="S13" s="7"/>
    </row>
    <row r="14" spans="1:19">
      <c r="A14" s="4" t="s">
        <v>4</v>
      </c>
      <c r="B14" s="17">
        <v>48.477691999999998</v>
      </c>
      <c r="C14" s="26">
        <v>554</v>
      </c>
      <c r="D14" s="17">
        <v>4.2448794675509696</v>
      </c>
      <c r="E14" s="17">
        <v>0</v>
      </c>
      <c r="F14" s="17">
        <v>0</v>
      </c>
      <c r="G14" s="17">
        <v>0</v>
      </c>
      <c r="H14" s="17">
        <v>96.551553258599498</v>
      </c>
      <c r="I14" s="17">
        <v>0</v>
      </c>
      <c r="J14" s="17">
        <v>0</v>
      </c>
      <c r="K14" s="17">
        <v>0</v>
      </c>
      <c r="L14" s="17">
        <v>2.6420983027381597</v>
      </c>
      <c r="M14" s="17">
        <v>0</v>
      </c>
      <c r="N14" s="17">
        <v>0.80634843866232397</v>
      </c>
      <c r="O14" s="17">
        <v>0</v>
      </c>
      <c r="P14" s="17">
        <f t="shared" si="0"/>
        <v>99.999999999999986</v>
      </c>
      <c r="Q14" s="26">
        <v>275</v>
      </c>
      <c r="S14" s="7"/>
    </row>
    <row r="15" spans="1:19">
      <c r="A15" s="4" t="s">
        <v>5</v>
      </c>
      <c r="B15" s="17">
        <v>41.103103000000004</v>
      </c>
      <c r="C15" s="26">
        <v>568</v>
      </c>
      <c r="D15" s="17">
        <v>3.0835924094553699</v>
      </c>
      <c r="E15" s="17">
        <v>0</v>
      </c>
      <c r="F15" s="17">
        <v>0.73142551729364103</v>
      </c>
      <c r="G15" s="17">
        <v>0</v>
      </c>
      <c r="H15" s="17">
        <v>83.909341977240302</v>
      </c>
      <c r="I15" s="17">
        <v>0</v>
      </c>
      <c r="J15" s="17">
        <v>0</v>
      </c>
      <c r="K15" s="17">
        <v>0.73853590438245698</v>
      </c>
      <c r="L15" s="17">
        <v>13.533805803184402</v>
      </c>
      <c r="M15" s="17">
        <v>0</v>
      </c>
      <c r="N15" s="17">
        <v>1.08689079789911</v>
      </c>
      <c r="O15" s="17">
        <v>0</v>
      </c>
      <c r="P15" s="17">
        <f t="shared" si="0"/>
        <v>99.999999999999929</v>
      </c>
      <c r="Q15" s="26">
        <v>222</v>
      </c>
      <c r="S15" s="7"/>
    </row>
    <row r="16" spans="1:19">
      <c r="A16" s="4" t="s">
        <v>6</v>
      </c>
      <c r="B16" s="17">
        <v>83.437263999999999</v>
      </c>
      <c r="C16" s="26">
        <v>1084</v>
      </c>
      <c r="D16" s="17">
        <v>5.53610225962725</v>
      </c>
      <c r="E16" s="17">
        <v>0</v>
      </c>
      <c r="F16" s="17">
        <v>0.46060192375716302</v>
      </c>
      <c r="G16" s="17">
        <v>0</v>
      </c>
      <c r="H16" s="17">
        <v>94.351878198266903</v>
      </c>
      <c r="I16" s="17">
        <v>0</v>
      </c>
      <c r="J16" s="17">
        <v>0</v>
      </c>
      <c r="K16" s="17">
        <v>1.7396381550656099</v>
      </c>
      <c r="L16" s="17">
        <v>1.3467357285110599</v>
      </c>
      <c r="M16" s="17">
        <v>0.30464500000086603</v>
      </c>
      <c r="N16" s="17">
        <v>1.55033759755581</v>
      </c>
      <c r="O16" s="17">
        <v>0.24616339684250901</v>
      </c>
      <c r="P16" s="17">
        <f t="shared" si="0"/>
        <v>99.999999999999915</v>
      </c>
      <c r="Q16" s="26">
        <v>921</v>
      </c>
      <c r="S16" s="7"/>
    </row>
    <row r="17" spans="1:19">
      <c r="A17" s="4" t="s">
        <v>38</v>
      </c>
      <c r="B17" s="17">
        <v>62.267251000000002</v>
      </c>
      <c r="C17" s="26">
        <v>570</v>
      </c>
      <c r="D17" s="17">
        <v>3.9146668219474599</v>
      </c>
      <c r="E17" s="17">
        <v>0.57888829584554191</v>
      </c>
      <c r="F17" s="17">
        <v>3.1618572378517404</v>
      </c>
      <c r="G17" s="17">
        <v>0</v>
      </c>
      <c r="H17" s="17">
        <v>80.164811868365703</v>
      </c>
      <c r="I17" s="17">
        <v>0</v>
      </c>
      <c r="J17" s="17">
        <v>0.24566515985721299</v>
      </c>
      <c r="K17" s="17">
        <v>3.08064168778892</v>
      </c>
      <c r="L17" s="17">
        <v>5.6880464952560201</v>
      </c>
      <c r="M17" s="17">
        <v>4.9491315721723002E-2</v>
      </c>
      <c r="N17" s="17">
        <v>6.48556871850053</v>
      </c>
      <c r="O17" s="17">
        <v>0.54502922081257599</v>
      </c>
      <c r="P17" s="17">
        <f t="shared" si="0"/>
        <v>99.999999999999972</v>
      </c>
      <c r="Q17" s="26">
        <v>346</v>
      </c>
      <c r="S17" s="7"/>
    </row>
    <row r="18" spans="1:19">
      <c r="A18" s="4" t="s">
        <v>7</v>
      </c>
      <c r="B18" s="17">
        <v>53.827822999999995</v>
      </c>
      <c r="C18" s="26">
        <v>854</v>
      </c>
      <c r="D18" s="17">
        <v>3.9810103398414398</v>
      </c>
      <c r="E18" s="17">
        <v>0</v>
      </c>
      <c r="F18" s="17">
        <v>0</v>
      </c>
      <c r="G18" s="17">
        <v>0</v>
      </c>
      <c r="H18" s="17">
        <v>89.870657962081708</v>
      </c>
      <c r="I18" s="17">
        <v>0</v>
      </c>
      <c r="J18" s="17">
        <v>0.139453157439035</v>
      </c>
      <c r="K18" s="17">
        <v>0</v>
      </c>
      <c r="L18" s="17">
        <v>8.0538656600599907</v>
      </c>
      <c r="M18" s="17">
        <v>0</v>
      </c>
      <c r="N18" s="17">
        <v>1.9360232204191901</v>
      </c>
      <c r="O18" s="17">
        <v>0</v>
      </c>
      <c r="P18" s="17">
        <f t="shared" si="0"/>
        <v>99.999999999999929</v>
      </c>
      <c r="Q18" s="26">
        <v>441</v>
      </c>
      <c r="S18" s="7"/>
    </row>
    <row r="19" spans="1:19">
      <c r="A19" s="4" t="s">
        <v>8</v>
      </c>
      <c r="B19" s="17">
        <v>59.267110999999993</v>
      </c>
      <c r="C19" s="26">
        <v>557</v>
      </c>
      <c r="D19" s="17">
        <v>4.4633938325752203</v>
      </c>
      <c r="E19" s="17">
        <v>0</v>
      </c>
      <c r="F19" s="17">
        <v>0.42998118807768998</v>
      </c>
      <c r="G19" s="17">
        <v>0</v>
      </c>
      <c r="H19" s="17">
        <v>83.544691876049697</v>
      </c>
      <c r="I19" s="17">
        <v>0</v>
      </c>
      <c r="J19" s="17">
        <v>0.27028818630099599</v>
      </c>
      <c r="K19" s="17">
        <v>3.2902137462194601</v>
      </c>
      <c r="L19" s="17">
        <v>2.7736830147896003</v>
      </c>
      <c r="M19" s="17">
        <v>2.19874761143849E-2</v>
      </c>
      <c r="N19" s="17">
        <v>9.1948056209088307</v>
      </c>
      <c r="O19" s="17">
        <v>0.47434889153923199</v>
      </c>
      <c r="P19" s="17">
        <f t="shared" si="0"/>
        <v>99.999999999999901</v>
      </c>
      <c r="Q19" s="26">
        <v>319</v>
      </c>
      <c r="S19" s="7"/>
    </row>
    <row r="20" spans="1:19">
      <c r="A20" s="4" t="s">
        <v>9</v>
      </c>
      <c r="B20" s="17">
        <v>55.775728999999998</v>
      </c>
      <c r="C20" s="26">
        <v>854</v>
      </c>
      <c r="D20" s="17">
        <v>4.0337882081260297</v>
      </c>
      <c r="E20" s="17">
        <v>0.18417166066160498</v>
      </c>
      <c r="F20" s="17">
        <v>0</v>
      </c>
      <c r="G20" s="17">
        <v>0</v>
      </c>
      <c r="H20" s="17">
        <v>90.98275540048671</v>
      </c>
      <c r="I20" s="17">
        <v>0.39523394362106395</v>
      </c>
      <c r="J20" s="17">
        <v>0.33449551913541603</v>
      </c>
      <c r="K20" s="17">
        <v>1.05988384538319</v>
      </c>
      <c r="L20" s="17">
        <v>5.28867530288609</v>
      </c>
      <c r="M20" s="17">
        <v>0</v>
      </c>
      <c r="N20" s="17">
        <v>1.7547843278258499</v>
      </c>
      <c r="O20" s="17">
        <v>0</v>
      </c>
      <c r="P20" s="17">
        <f t="shared" si="0"/>
        <v>99.999999999999915</v>
      </c>
      <c r="Q20" s="26">
        <v>476</v>
      </c>
      <c r="S20" s="7"/>
    </row>
    <row r="21" spans="1:19">
      <c r="A21" s="4" t="s">
        <v>10</v>
      </c>
      <c r="B21" s="17">
        <v>74.792204999999996</v>
      </c>
      <c r="C21" s="26">
        <v>846</v>
      </c>
      <c r="D21" s="17">
        <v>5.1558631583126999</v>
      </c>
      <c r="E21" s="17">
        <v>0</v>
      </c>
      <c r="F21" s="17">
        <v>0</v>
      </c>
      <c r="G21" s="17">
        <v>0</v>
      </c>
      <c r="H21" s="17">
        <v>96.012318626935695</v>
      </c>
      <c r="I21" s="17">
        <v>0</v>
      </c>
      <c r="J21" s="17">
        <v>0</v>
      </c>
      <c r="K21" s="17">
        <v>0.14888506308093299</v>
      </c>
      <c r="L21" s="17">
        <v>3.2348163388038302</v>
      </c>
      <c r="M21" s="17">
        <v>0</v>
      </c>
      <c r="N21" s="17">
        <v>0.60397997117948499</v>
      </c>
      <c r="O21" s="17">
        <v>0</v>
      </c>
      <c r="P21" s="17">
        <f t="shared" si="0"/>
        <v>99.999999999999943</v>
      </c>
      <c r="Q21" s="26">
        <v>622</v>
      </c>
      <c r="S21" s="7"/>
    </row>
    <row r="22" spans="1:19">
      <c r="A22" s="4" t="s">
        <v>11</v>
      </c>
      <c r="B22" s="17">
        <v>51.418365000000001</v>
      </c>
      <c r="C22" s="26">
        <v>852</v>
      </c>
      <c r="D22" s="17">
        <v>4.63023301096732</v>
      </c>
      <c r="E22" s="17">
        <v>0</v>
      </c>
      <c r="F22" s="17">
        <v>0</v>
      </c>
      <c r="G22" s="17">
        <v>0</v>
      </c>
      <c r="H22" s="17">
        <v>91.266141246435197</v>
      </c>
      <c r="I22" s="17">
        <v>0</v>
      </c>
      <c r="J22" s="17">
        <v>0</v>
      </c>
      <c r="K22" s="17">
        <v>1.10126080826269</v>
      </c>
      <c r="L22" s="17">
        <v>3.4488347475572598</v>
      </c>
      <c r="M22" s="17">
        <v>0</v>
      </c>
      <c r="N22" s="17">
        <v>4.0087488072510098</v>
      </c>
      <c r="O22" s="17">
        <v>0.175014390493827</v>
      </c>
      <c r="P22" s="17">
        <f t="shared" si="0"/>
        <v>99.999999999999986</v>
      </c>
      <c r="Q22" s="26">
        <v>429</v>
      </c>
      <c r="S22" s="7"/>
    </row>
    <row r="23" spans="1:19">
      <c r="A23" s="4" t="s">
        <v>12</v>
      </c>
      <c r="B23" s="17">
        <v>69.267453000000003</v>
      </c>
      <c r="C23" s="26">
        <v>837</v>
      </c>
      <c r="D23" s="17">
        <v>4.6543482580090503</v>
      </c>
      <c r="E23" s="17">
        <v>0</v>
      </c>
      <c r="F23" s="17">
        <v>1.5007631020629499</v>
      </c>
      <c r="G23" s="17">
        <v>0.62643425837656197</v>
      </c>
      <c r="H23" s="17">
        <v>89.056058260290712</v>
      </c>
      <c r="I23" s="17">
        <v>0</v>
      </c>
      <c r="J23" s="17">
        <v>0</v>
      </c>
      <c r="K23" s="17">
        <v>2.9922534077513201</v>
      </c>
      <c r="L23" s="17">
        <v>2.05575733154516</v>
      </c>
      <c r="M23" s="17">
        <v>0.33785709868206099</v>
      </c>
      <c r="N23" s="17">
        <v>3.0079913309016999</v>
      </c>
      <c r="O23" s="17">
        <v>0.42288521038947902</v>
      </c>
      <c r="P23" s="17">
        <f t="shared" si="0"/>
        <v>99.999999999999957</v>
      </c>
      <c r="Q23" s="26">
        <v>572</v>
      </c>
      <c r="S23" s="7"/>
    </row>
    <row r="24" spans="1:19">
      <c r="A24" s="4" t="s">
        <v>13</v>
      </c>
      <c r="B24" s="17">
        <v>72.086544000000004</v>
      </c>
      <c r="C24" s="26">
        <v>566</v>
      </c>
      <c r="D24" s="17">
        <v>4.1707405521387102</v>
      </c>
      <c r="E24" s="17">
        <v>0</v>
      </c>
      <c r="F24" s="17">
        <v>0.14270009925632501</v>
      </c>
      <c r="G24" s="17">
        <v>0</v>
      </c>
      <c r="H24" s="17">
        <v>95.303087636815604</v>
      </c>
      <c r="I24" s="17">
        <v>0</v>
      </c>
      <c r="J24" s="17">
        <v>0</v>
      </c>
      <c r="K24" s="17">
        <v>0</v>
      </c>
      <c r="L24" s="17">
        <v>4.2733022890029897</v>
      </c>
      <c r="M24" s="17">
        <v>0</v>
      </c>
      <c r="N24" s="17">
        <v>0.280909974925031</v>
      </c>
      <c r="O24" s="17">
        <v>0</v>
      </c>
      <c r="P24" s="17">
        <f t="shared" si="0"/>
        <v>99.999999999999957</v>
      </c>
      <c r="Q24" s="26">
        <v>391</v>
      </c>
      <c r="S24" s="7"/>
    </row>
    <row r="25" spans="1:19">
      <c r="A25" s="33" t="s">
        <v>32</v>
      </c>
      <c r="B25" s="35"/>
      <c r="C25" s="36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6"/>
      <c r="S25" s="7"/>
    </row>
    <row r="26" spans="1:19">
      <c r="A26" s="4" t="s">
        <v>39</v>
      </c>
      <c r="B26" s="17">
        <v>70.138438999999991</v>
      </c>
      <c r="C26" s="26">
        <v>4616</v>
      </c>
      <c r="D26" s="17">
        <v>4.78054407545015</v>
      </c>
      <c r="E26" s="17">
        <v>1.7443320710457799E-2</v>
      </c>
      <c r="F26" s="17">
        <v>0.41745425887068704</v>
      </c>
      <c r="G26" s="17">
        <v>0</v>
      </c>
      <c r="H26" s="17">
        <v>91.818398492673097</v>
      </c>
      <c r="I26" s="17">
        <v>6.9579573500783407E-2</v>
      </c>
      <c r="J26" s="17">
        <v>6.2785840912640306E-2</v>
      </c>
      <c r="K26" s="17">
        <v>1.24035740906558</v>
      </c>
      <c r="L26" s="17">
        <v>3.5307519827503402</v>
      </c>
      <c r="M26" s="17">
        <v>0.18284205083759</v>
      </c>
      <c r="N26" s="17">
        <v>2.6512266272668903</v>
      </c>
      <c r="O26" s="17">
        <v>9.1604434119278901E-3</v>
      </c>
      <c r="P26" s="17">
        <f t="shared" si="0"/>
        <v>100.00000000000001</v>
      </c>
      <c r="Q26" s="26">
        <v>3086</v>
      </c>
      <c r="S26" s="7"/>
    </row>
    <row r="27" spans="1:19">
      <c r="A27" s="4" t="s">
        <v>40</v>
      </c>
      <c r="B27" s="17">
        <v>69.552345000000003</v>
      </c>
      <c r="C27" s="26">
        <v>5474</v>
      </c>
      <c r="D27" s="17">
        <v>4.9586040058070999</v>
      </c>
      <c r="E27" s="17">
        <v>8.9140453017047899E-2</v>
      </c>
      <c r="F27" s="17">
        <v>0.73634463916820203</v>
      </c>
      <c r="G27" s="17">
        <v>7.8255892621109491E-2</v>
      </c>
      <c r="H27" s="17">
        <v>91.713438288999001</v>
      </c>
      <c r="I27" s="17">
        <v>0</v>
      </c>
      <c r="J27" s="17">
        <v>8.7875797525845289E-2</v>
      </c>
      <c r="K27" s="17">
        <v>1.4677672257564001</v>
      </c>
      <c r="L27" s="17">
        <v>2.46516941201557</v>
      </c>
      <c r="M27" s="17">
        <v>8.8572726731687909E-2</v>
      </c>
      <c r="N27" s="17">
        <v>2.90099525716832</v>
      </c>
      <c r="O27" s="17">
        <v>0.372440306996703</v>
      </c>
      <c r="P27" s="17">
        <f t="shared" si="0"/>
        <v>99.999999999999886</v>
      </c>
      <c r="Q27" s="26">
        <v>3623</v>
      </c>
      <c r="S27" s="7"/>
    </row>
    <row r="28" spans="1:19">
      <c r="A28" s="33" t="s">
        <v>31</v>
      </c>
      <c r="B28" s="35"/>
      <c r="C28" s="36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S28" s="7"/>
    </row>
    <row r="29" spans="1:19">
      <c r="A29" s="4" t="s">
        <v>41</v>
      </c>
      <c r="B29" s="17">
        <v>40.068564000000002</v>
      </c>
      <c r="C29" s="26">
        <v>37</v>
      </c>
      <c r="D29" s="17">
        <v>3.74360742077626</v>
      </c>
      <c r="E29" s="17">
        <v>0</v>
      </c>
      <c r="F29" s="17">
        <v>0</v>
      </c>
      <c r="G29" s="17">
        <v>0</v>
      </c>
      <c r="H29" s="17">
        <v>53.859430898919904</v>
      </c>
      <c r="I29" s="17">
        <v>0</v>
      </c>
      <c r="J29" s="17">
        <v>0</v>
      </c>
      <c r="K29" s="17">
        <v>3.8593444356395001</v>
      </c>
      <c r="L29" s="17">
        <v>42.281224665440497</v>
      </c>
      <c r="M29" s="17">
        <v>0</v>
      </c>
      <c r="N29" s="17">
        <v>0</v>
      </c>
      <c r="O29" s="17">
        <v>0</v>
      </c>
      <c r="P29" s="17">
        <f t="shared" si="0"/>
        <v>99.999999999999901</v>
      </c>
      <c r="Q29" s="26">
        <v>16</v>
      </c>
      <c r="S29" s="7"/>
    </row>
    <row r="30" spans="1:19">
      <c r="A30" s="4" t="s">
        <v>42</v>
      </c>
      <c r="B30" s="17">
        <v>71.579947000000004</v>
      </c>
      <c r="C30" s="26">
        <v>7809</v>
      </c>
      <c r="D30" s="17">
        <v>4.9763439478361704</v>
      </c>
      <c r="E30" s="17">
        <v>5.9937857745802597E-2</v>
      </c>
      <c r="F30" s="17">
        <v>0.67450347575052405</v>
      </c>
      <c r="G30" s="17">
        <v>2.6236076750010599E-2</v>
      </c>
      <c r="H30" s="17">
        <v>92.131031461737393</v>
      </c>
      <c r="I30" s="17">
        <v>3.7115932052587695E-2</v>
      </c>
      <c r="J30" s="17">
        <v>5.4938457686520899E-2</v>
      </c>
      <c r="K30" s="17">
        <v>1.5440360720204001</v>
      </c>
      <c r="L30" s="17">
        <v>2.5315304779085199</v>
      </c>
      <c r="M30" s="17">
        <v>0.133451388227007</v>
      </c>
      <c r="N30" s="17">
        <v>2.5723614568920601</v>
      </c>
      <c r="O30" s="17">
        <v>0.234857343229117</v>
      </c>
      <c r="P30" s="17">
        <f t="shared" si="0"/>
        <v>99.999999999999929</v>
      </c>
      <c r="Q30" s="26">
        <v>5334</v>
      </c>
      <c r="S30" s="7"/>
    </row>
    <row r="31" spans="1:19">
      <c r="A31" s="4" t="s">
        <v>43</v>
      </c>
      <c r="B31" s="17">
        <v>62.814353999999994</v>
      </c>
      <c r="C31" s="26">
        <v>2244</v>
      </c>
      <c r="D31" s="17">
        <v>4.4203150874739903</v>
      </c>
      <c r="E31" s="17">
        <v>4.5840654830912597E-2</v>
      </c>
      <c r="F31" s="17">
        <v>0.213301828397778</v>
      </c>
      <c r="G31" s="17">
        <v>0.12997733437807099</v>
      </c>
      <c r="H31" s="17">
        <v>90.463034952279202</v>
      </c>
      <c r="I31" s="17">
        <v>0</v>
      </c>
      <c r="J31" s="17">
        <v>0.18544027962857099</v>
      </c>
      <c r="K31" s="17">
        <v>0.46084523579392994</v>
      </c>
      <c r="L31" s="17">
        <v>4.3799815318731898</v>
      </c>
      <c r="M31" s="17">
        <v>0.11645594538488299</v>
      </c>
      <c r="N31" s="17">
        <v>3.9043386687483097</v>
      </c>
      <c r="O31" s="17">
        <v>0.10078356868506799</v>
      </c>
      <c r="P31" s="17">
        <f t="shared" si="0"/>
        <v>99.999999999999901</v>
      </c>
      <c r="Q31" s="26">
        <v>1359</v>
      </c>
      <c r="S31" s="7"/>
    </row>
    <row r="32" spans="1:19">
      <c r="A32" s="33" t="s">
        <v>30</v>
      </c>
      <c r="B32" s="35"/>
      <c r="C32" s="36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6"/>
      <c r="S32" s="7"/>
    </row>
    <row r="33" spans="1:19">
      <c r="A33" s="4" t="s">
        <v>44</v>
      </c>
      <c r="B33" s="17">
        <v>46.081780999999999</v>
      </c>
      <c r="C33" s="26">
        <v>1905</v>
      </c>
      <c r="D33" s="17">
        <v>3.8549300185762299</v>
      </c>
      <c r="E33" s="17">
        <v>0.25306604385177001</v>
      </c>
      <c r="F33" s="17">
        <v>0.88652330877130692</v>
      </c>
      <c r="G33" s="17">
        <v>0</v>
      </c>
      <c r="H33" s="17">
        <v>84.495460783523299</v>
      </c>
      <c r="I33" s="17">
        <v>0</v>
      </c>
      <c r="J33" s="17">
        <v>0.67908559815870295</v>
      </c>
      <c r="K33" s="17">
        <v>1.6155017876753102</v>
      </c>
      <c r="L33" s="17">
        <v>7.2284522720450894</v>
      </c>
      <c r="M33" s="17">
        <v>0.10552481506747101</v>
      </c>
      <c r="N33" s="17">
        <v>4.1969884765272099</v>
      </c>
      <c r="O33" s="17">
        <v>0.53939691437980897</v>
      </c>
      <c r="P33" s="17">
        <f t="shared" si="0"/>
        <v>99.999999999999972</v>
      </c>
      <c r="Q33" s="26">
        <v>852</v>
      </c>
      <c r="S33" s="7"/>
    </row>
    <row r="34" spans="1:19">
      <c r="A34" s="4" t="s">
        <v>45</v>
      </c>
      <c r="B34" s="17">
        <v>54.768287000000001</v>
      </c>
      <c r="C34" s="26">
        <v>55</v>
      </c>
      <c r="D34" s="17">
        <v>4.47449061741594</v>
      </c>
      <c r="E34" s="17">
        <v>0</v>
      </c>
      <c r="F34" s="17">
        <v>0</v>
      </c>
      <c r="G34" s="17">
        <v>0</v>
      </c>
      <c r="H34" s="17">
        <v>96.023182891562001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3.9768171084379205</v>
      </c>
      <c r="O34" s="17">
        <v>0</v>
      </c>
      <c r="P34" s="17">
        <f t="shared" si="0"/>
        <v>99.999999999999915</v>
      </c>
      <c r="Q34" s="26">
        <v>28</v>
      </c>
      <c r="S34" s="7"/>
    </row>
    <row r="35" spans="1:19">
      <c r="A35" s="4" t="s">
        <v>46</v>
      </c>
      <c r="B35" s="17">
        <v>58.585516999999996</v>
      </c>
      <c r="C35" s="26">
        <v>2725</v>
      </c>
      <c r="D35" s="17">
        <v>4.3101431464565501</v>
      </c>
      <c r="E35" s="17">
        <v>6.9620068461541104E-2</v>
      </c>
      <c r="F35" s="17">
        <v>0.78479845960377803</v>
      </c>
      <c r="G35" s="17">
        <v>0.10560984357205799</v>
      </c>
      <c r="H35" s="17">
        <v>87.428113311823296</v>
      </c>
      <c r="I35" s="17">
        <v>0.14940525656540199</v>
      </c>
      <c r="J35" s="17">
        <v>2.9320802413738502E-2</v>
      </c>
      <c r="K35" s="17">
        <v>2.0181678057478001</v>
      </c>
      <c r="L35" s="17">
        <v>4.8961192362283796</v>
      </c>
      <c r="M35" s="17">
        <v>4.8166626851608801E-2</v>
      </c>
      <c r="N35" s="17">
        <v>4.2587006341759608</v>
      </c>
      <c r="O35" s="17">
        <v>0.211977954556374</v>
      </c>
      <c r="P35" s="17">
        <f t="shared" si="0"/>
        <v>99.999999999999943</v>
      </c>
      <c r="Q35" s="26">
        <v>1539</v>
      </c>
      <c r="S35" s="7"/>
    </row>
    <row r="36" spans="1:19">
      <c r="A36" s="4" t="s">
        <v>47</v>
      </c>
      <c r="B36" s="17">
        <v>78.573764999999995</v>
      </c>
      <c r="C36" s="26">
        <v>4170</v>
      </c>
      <c r="D36" s="17">
        <v>5.0330616986944099</v>
      </c>
      <c r="E36" s="17">
        <v>3.3605693972174798E-2</v>
      </c>
      <c r="F36" s="17">
        <v>0.46746564028106097</v>
      </c>
      <c r="G36" s="17">
        <v>0</v>
      </c>
      <c r="H36" s="17">
        <v>93.556630419307197</v>
      </c>
      <c r="I36" s="17">
        <v>0</v>
      </c>
      <c r="J36" s="17">
        <v>0</v>
      </c>
      <c r="K36" s="17">
        <v>1.09916279303846</v>
      </c>
      <c r="L36" s="17">
        <v>1.9145544943875599</v>
      </c>
      <c r="M36" s="17">
        <v>0.21980502765449098</v>
      </c>
      <c r="N36" s="17">
        <v>2.4839134013944899</v>
      </c>
      <c r="O36" s="17">
        <v>0.22486252996456202</v>
      </c>
      <c r="P36" s="17">
        <f t="shared" si="0"/>
        <v>100</v>
      </c>
      <c r="Q36" s="26">
        <v>3198</v>
      </c>
      <c r="S36" s="7"/>
    </row>
    <row r="37" spans="1:19">
      <c r="A37" s="4" t="s">
        <v>48</v>
      </c>
      <c r="B37" s="17">
        <v>89.323216000000002</v>
      </c>
      <c r="C37" s="26">
        <v>946</v>
      </c>
      <c r="D37" s="17">
        <v>5.8226916868139798</v>
      </c>
      <c r="E37" s="17">
        <v>0</v>
      </c>
      <c r="F37" s="17">
        <v>0.55649343611882396</v>
      </c>
      <c r="G37" s="17">
        <v>0.152003883323202</v>
      </c>
      <c r="H37" s="17">
        <v>95.88614155858069</v>
      </c>
      <c r="I37" s="17">
        <v>0</v>
      </c>
      <c r="J37" s="17">
        <v>0</v>
      </c>
      <c r="K37" s="17">
        <v>1.4949005641375599</v>
      </c>
      <c r="L37" s="17">
        <v>0.34973033629639</v>
      </c>
      <c r="M37" s="17">
        <v>0</v>
      </c>
      <c r="N37" s="17">
        <v>1.5607302215432699</v>
      </c>
      <c r="O37" s="17">
        <v>0</v>
      </c>
      <c r="P37" s="17">
        <f t="shared" si="0"/>
        <v>99.999999999999943</v>
      </c>
      <c r="Q37" s="26">
        <v>849</v>
      </c>
      <c r="S37" s="7"/>
    </row>
    <row r="38" spans="1:19">
      <c r="A38" s="33" t="s">
        <v>0</v>
      </c>
      <c r="B38" s="35"/>
      <c r="C38" s="36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6"/>
      <c r="S38" s="7"/>
    </row>
    <row r="39" spans="1:19">
      <c r="A39" s="4" t="s">
        <v>49</v>
      </c>
      <c r="B39" s="17">
        <v>35.969936000000004</v>
      </c>
      <c r="C39" s="26">
        <v>675</v>
      </c>
      <c r="D39" s="17">
        <v>2.8960353501512799</v>
      </c>
      <c r="E39" s="17">
        <v>0.41751464674245004</v>
      </c>
      <c r="F39" s="17">
        <v>2.2841172247909598</v>
      </c>
      <c r="G39" s="17">
        <v>0</v>
      </c>
      <c r="H39" s="17">
        <v>79.9047309994926</v>
      </c>
      <c r="I39" s="17">
        <v>0</v>
      </c>
      <c r="J39" s="17">
        <v>0.55880214385660298</v>
      </c>
      <c r="K39" s="17">
        <v>1.4368962918178199</v>
      </c>
      <c r="L39" s="17">
        <v>9.2952428579499706</v>
      </c>
      <c r="M39" s="17">
        <v>0.27041252714888003</v>
      </c>
      <c r="N39" s="17">
        <v>5.8322833082005996</v>
      </c>
      <c r="O39" s="17">
        <v>0</v>
      </c>
      <c r="P39" s="17">
        <f t="shared" si="0"/>
        <v>99.999999999999872</v>
      </c>
      <c r="Q39" s="26">
        <v>234</v>
      </c>
      <c r="S39" s="7"/>
    </row>
    <row r="40" spans="1:19">
      <c r="A40" s="4" t="s">
        <v>50</v>
      </c>
      <c r="B40" s="17">
        <v>49.130671999999997</v>
      </c>
      <c r="C40" s="26">
        <v>765</v>
      </c>
      <c r="D40" s="17">
        <v>3.6078625432800999</v>
      </c>
      <c r="E40" s="17">
        <v>0</v>
      </c>
      <c r="F40" s="17">
        <v>1.7438354679394301E-2</v>
      </c>
      <c r="G40" s="17">
        <v>0</v>
      </c>
      <c r="H40" s="17">
        <v>88.744630272665901</v>
      </c>
      <c r="I40" s="17">
        <v>0</v>
      </c>
      <c r="J40" s="17">
        <v>0</v>
      </c>
      <c r="K40" s="17">
        <v>0.81537879416763692</v>
      </c>
      <c r="L40" s="17">
        <v>4.9057128915108397</v>
      </c>
      <c r="M40" s="17">
        <v>0.22320153086688499</v>
      </c>
      <c r="N40" s="17">
        <v>4.9795445856390099</v>
      </c>
      <c r="O40" s="17">
        <v>0.31409357047026698</v>
      </c>
      <c r="P40" s="17">
        <f t="shared" si="0"/>
        <v>99.999999999999943</v>
      </c>
      <c r="Q40" s="26">
        <v>344</v>
      </c>
      <c r="S40" s="7"/>
    </row>
    <row r="41" spans="1:19">
      <c r="A41" s="4" t="s">
        <v>51</v>
      </c>
      <c r="B41" s="17">
        <v>56.423681999999999</v>
      </c>
      <c r="C41" s="26">
        <v>839</v>
      </c>
      <c r="D41" s="17">
        <v>3.9452110701037699</v>
      </c>
      <c r="E41" s="17">
        <v>0</v>
      </c>
      <c r="F41" s="17">
        <v>0.48848578001970905</v>
      </c>
      <c r="G41" s="17">
        <v>0</v>
      </c>
      <c r="H41" s="17">
        <v>88.464485639168203</v>
      </c>
      <c r="I41" s="17">
        <v>0</v>
      </c>
      <c r="J41" s="17">
        <v>0.17754291475292799</v>
      </c>
      <c r="K41" s="17">
        <v>1.4052323612320601</v>
      </c>
      <c r="L41" s="17">
        <v>6.1183865833939501</v>
      </c>
      <c r="M41" s="17">
        <v>0</v>
      </c>
      <c r="N41" s="17">
        <v>3.1818143461243</v>
      </c>
      <c r="O41" s="17">
        <v>0.16405237530882202</v>
      </c>
      <c r="P41" s="17">
        <f t="shared" si="0"/>
        <v>100</v>
      </c>
      <c r="Q41" s="26">
        <v>446</v>
      </c>
      <c r="S41" s="7"/>
    </row>
    <row r="42" spans="1:19">
      <c r="A42" s="4" t="s">
        <v>52</v>
      </c>
      <c r="B42" s="17">
        <v>58.641429000000002</v>
      </c>
      <c r="C42" s="26">
        <v>854</v>
      </c>
      <c r="D42" s="17">
        <v>4.1695750064811996</v>
      </c>
      <c r="E42" s="17">
        <v>0</v>
      </c>
      <c r="F42" s="17">
        <v>0.82500958904727795</v>
      </c>
      <c r="G42" s="17">
        <v>0.32663413809776298</v>
      </c>
      <c r="H42" s="17">
        <v>87.770194882349102</v>
      </c>
      <c r="I42" s="17">
        <v>0.30814715987594099</v>
      </c>
      <c r="J42" s="17">
        <v>0.11403045218814201</v>
      </c>
      <c r="K42" s="17">
        <v>0.77777066146159601</v>
      </c>
      <c r="L42" s="17">
        <v>5.7085918341024797</v>
      </c>
      <c r="M42" s="17">
        <v>0</v>
      </c>
      <c r="N42" s="17">
        <v>4.05381045518899</v>
      </c>
      <c r="O42" s="17">
        <v>0.11581082768868201</v>
      </c>
      <c r="P42" s="17">
        <f t="shared" si="0"/>
        <v>99.999999999999986</v>
      </c>
      <c r="Q42" s="26">
        <v>496</v>
      </c>
      <c r="S42" s="7"/>
    </row>
    <row r="43" spans="1:19">
      <c r="A43" s="4" t="s">
        <v>53</v>
      </c>
      <c r="B43" s="17">
        <v>63.598394999999996</v>
      </c>
      <c r="C43" s="26">
        <v>950</v>
      </c>
      <c r="D43" s="17">
        <v>4.2404891310763997</v>
      </c>
      <c r="E43" s="17">
        <v>7.2949847200219006E-2</v>
      </c>
      <c r="F43" s="17">
        <v>0.77240018759250406</v>
      </c>
      <c r="G43" s="17">
        <v>0</v>
      </c>
      <c r="H43" s="17">
        <v>89.2139614359928</v>
      </c>
      <c r="I43" s="17">
        <v>0.124492844331693</v>
      </c>
      <c r="J43" s="17">
        <v>0.17055007976755801</v>
      </c>
      <c r="K43" s="17">
        <v>1.2560635059517899</v>
      </c>
      <c r="L43" s="17">
        <v>3.92184623748311</v>
      </c>
      <c r="M43" s="17">
        <v>0</v>
      </c>
      <c r="N43" s="17">
        <v>4.0394950403298502</v>
      </c>
      <c r="O43" s="17">
        <v>0.42824082135038199</v>
      </c>
      <c r="P43" s="17">
        <f t="shared" si="0"/>
        <v>99.999999999999901</v>
      </c>
      <c r="Q43" s="26">
        <v>582</v>
      </c>
      <c r="S43" s="7"/>
    </row>
    <row r="44" spans="1:19">
      <c r="A44" s="4" t="s">
        <v>54</v>
      </c>
      <c r="B44" s="17">
        <v>69.827465000000004</v>
      </c>
      <c r="C44" s="26">
        <v>1008</v>
      </c>
      <c r="D44" s="17">
        <v>4.6153972324990296</v>
      </c>
      <c r="E44" s="17">
        <v>7.8835906302307204E-2</v>
      </c>
      <c r="F44" s="17">
        <v>1.2748304299370101</v>
      </c>
      <c r="G44" s="17">
        <v>0</v>
      </c>
      <c r="H44" s="17">
        <v>88.268838931331501</v>
      </c>
      <c r="I44" s="17">
        <v>0</v>
      </c>
      <c r="J44" s="17">
        <v>0</v>
      </c>
      <c r="K44" s="17">
        <v>1.2289782211275999</v>
      </c>
      <c r="L44" s="17">
        <v>4.4936116026747603</v>
      </c>
      <c r="M44" s="17">
        <v>0.74941614737589102</v>
      </c>
      <c r="N44" s="17">
        <v>3.7650318866570998</v>
      </c>
      <c r="O44" s="17">
        <v>0.14045687459378198</v>
      </c>
      <c r="P44" s="17">
        <f t="shared" si="0"/>
        <v>99.999999999999957</v>
      </c>
      <c r="Q44" s="26">
        <v>676</v>
      </c>
      <c r="S44" s="7"/>
    </row>
    <row r="45" spans="1:19">
      <c r="A45" s="4" t="s">
        <v>55</v>
      </c>
      <c r="B45" s="17">
        <v>71.52389500000001</v>
      </c>
      <c r="C45" s="26">
        <v>1101</v>
      </c>
      <c r="D45" s="17">
        <v>5.0790938029988002</v>
      </c>
      <c r="E45" s="17">
        <v>0</v>
      </c>
      <c r="F45" s="17">
        <v>0.27082105481735896</v>
      </c>
      <c r="G45" s="17">
        <v>0</v>
      </c>
      <c r="H45" s="17">
        <v>91.87194902432519</v>
      </c>
      <c r="I45" s="17">
        <v>0</v>
      </c>
      <c r="J45" s="17">
        <v>0.110543925047261</v>
      </c>
      <c r="K45" s="17">
        <v>1.28040699201953</v>
      </c>
      <c r="L45" s="17">
        <v>2.62412777128363</v>
      </c>
      <c r="M45" s="17">
        <v>0.33162777989161302</v>
      </c>
      <c r="N45" s="17">
        <v>3.1060382472702397</v>
      </c>
      <c r="O45" s="17">
        <v>0.404485205345121</v>
      </c>
      <c r="P45" s="17">
        <f t="shared" si="0"/>
        <v>99.999999999999957</v>
      </c>
      <c r="Q45" s="26">
        <v>776</v>
      </c>
      <c r="S45" s="7"/>
    </row>
    <row r="46" spans="1:19">
      <c r="A46" s="4" t="s">
        <v>56</v>
      </c>
      <c r="B46" s="17">
        <v>77.420502999999997</v>
      </c>
      <c r="C46" s="26">
        <v>1197</v>
      </c>
      <c r="D46" s="17">
        <v>5.2587111568278901</v>
      </c>
      <c r="E46" s="17">
        <v>0.10461846273141499</v>
      </c>
      <c r="F46" s="17">
        <v>0.20300677838410902</v>
      </c>
      <c r="G46" s="17">
        <v>0</v>
      </c>
      <c r="H46" s="17">
        <v>94.07996407264379</v>
      </c>
      <c r="I46" s="17">
        <v>0</v>
      </c>
      <c r="J46" s="17">
        <v>0</v>
      </c>
      <c r="K46" s="17">
        <v>0.954886149388394</v>
      </c>
      <c r="L46" s="17">
        <v>2.14143515709572</v>
      </c>
      <c r="M46" s="17">
        <v>1.7600464010942701E-2</v>
      </c>
      <c r="N46" s="17">
        <v>2.2372406336486801</v>
      </c>
      <c r="O46" s="17">
        <v>0.26124828209687301</v>
      </c>
      <c r="P46" s="17">
        <f t="shared" si="0"/>
        <v>99.999999999999929</v>
      </c>
      <c r="Q46" s="26">
        <v>894</v>
      </c>
      <c r="S46" s="7"/>
    </row>
    <row r="47" spans="1:19">
      <c r="A47" s="4" t="s">
        <v>57</v>
      </c>
      <c r="B47" s="17">
        <v>82.925914000000006</v>
      </c>
      <c r="C47" s="26">
        <v>1283</v>
      </c>
      <c r="D47" s="17">
        <v>5.4184191606688703</v>
      </c>
      <c r="E47" s="17">
        <v>0</v>
      </c>
      <c r="F47" s="17">
        <v>0.41406480879468499</v>
      </c>
      <c r="G47" s="17">
        <v>0.13310538577207398</v>
      </c>
      <c r="H47" s="17">
        <v>94.638279159601808</v>
      </c>
      <c r="I47" s="17">
        <v>0</v>
      </c>
      <c r="J47" s="17">
        <v>3.6748649671138396E-2</v>
      </c>
      <c r="K47" s="17">
        <v>1.5181057158426701</v>
      </c>
      <c r="L47" s="17">
        <v>1.1794986628519599</v>
      </c>
      <c r="M47" s="17">
        <v>0</v>
      </c>
      <c r="N47" s="17">
        <v>1.90454731456196</v>
      </c>
      <c r="O47" s="17">
        <v>0.17565030290363601</v>
      </c>
      <c r="P47" s="17">
        <f t="shared" si="0"/>
        <v>99.999999999999929</v>
      </c>
      <c r="Q47" s="26">
        <v>1044</v>
      </c>
      <c r="S47" s="7"/>
    </row>
    <row r="48" spans="1:19">
      <c r="A48" s="4" t="s">
        <v>58</v>
      </c>
      <c r="B48" s="17">
        <v>86.930578999999994</v>
      </c>
      <c r="C48" s="26">
        <v>1418</v>
      </c>
      <c r="D48" s="17">
        <v>5.5490236872087904</v>
      </c>
      <c r="E48" s="17">
        <v>8.0830836280611496E-2</v>
      </c>
      <c r="F48" s="17">
        <v>0.61640851490725601</v>
      </c>
      <c r="G48" s="17">
        <v>0</v>
      </c>
      <c r="H48" s="17">
        <v>95.186516364420896</v>
      </c>
      <c r="I48" s="17">
        <v>0</v>
      </c>
      <c r="J48" s="17">
        <v>4.6276235385390101E-2</v>
      </c>
      <c r="K48" s="17">
        <v>1.9675753639074902</v>
      </c>
      <c r="L48" s="17">
        <v>0.71267031139146797</v>
      </c>
      <c r="M48" s="17">
        <v>0</v>
      </c>
      <c r="N48" s="17">
        <v>1.28303156777853</v>
      </c>
      <c r="O48" s="17">
        <v>0.10669080592832099</v>
      </c>
      <c r="P48" s="17">
        <f t="shared" si="0"/>
        <v>99.999999999999957</v>
      </c>
      <c r="Q48" s="26">
        <v>1217</v>
      </c>
      <c r="S48" s="7"/>
    </row>
    <row r="49" spans="1:19">
      <c r="A49" s="33" t="s">
        <v>25</v>
      </c>
      <c r="B49" s="35"/>
      <c r="C49" s="3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6"/>
      <c r="S49" s="7"/>
    </row>
    <row r="50" spans="1:19">
      <c r="A50" s="6" t="s">
        <v>18</v>
      </c>
      <c r="B50" s="17">
        <v>92.823841999999999</v>
      </c>
      <c r="C50" s="26">
        <v>715</v>
      </c>
      <c r="D50" s="17">
        <v>5.7003251643499802</v>
      </c>
      <c r="E50" s="17">
        <v>0</v>
      </c>
      <c r="F50" s="17">
        <v>1.09897011524412</v>
      </c>
      <c r="G50" s="17">
        <v>0</v>
      </c>
      <c r="H50" s="17">
        <v>93.0222320705264</v>
      </c>
      <c r="I50" s="17">
        <v>0</v>
      </c>
      <c r="J50" s="17">
        <v>0.10772208970623599</v>
      </c>
      <c r="K50" s="17">
        <v>0.71428207391598497</v>
      </c>
      <c r="L50" s="17">
        <v>0.66109146865006496</v>
      </c>
      <c r="M50" s="17">
        <v>0.396801176349036</v>
      </c>
      <c r="N50" s="17">
        <v>3.99890100560807</v>
      </c>
      <c r="O50" s="17">
        <v>0</v>
      </c>
      <c r="P50" s="17">
        <f t="shared" si="0"/>
        <v>99.999999999999901</v>
      </c>
      <c r="Q50" s="26">
        <v>666</v>
      </c>
      <c r="S50" s="7"/>
    </row>
    <row r="51" spans="1:19">
      <c r="A51" s="6" t="s">
        <v>20</v>
      </c>
      <c r="B51" s="17">
        <v>88.744653</v>
      </c>
      <c r="C51" s="26">
        <v>111</v>
      </c>
      <c r="D51" s="17">
        <v>5.5495556681920197</v>
      </c>
      <c r="E51" s="17">
        <v>0</v>
      </c>
      <c r="F51" s="17">
        <v>0</v>
      </c>
      <c r="G51" s="17">
        <v>0</v>
      </c>
      <c r="H51" s="17">
        <v>99.297490271539203</v>
      </c>
      <c r="I51" s="17">
        <v>0</v>
      </c>
      <c r="J51" s="17">
        <v>0</v>
      </c>
      <c r="K51" s="17">
        <v>0.70250972846075499</v>
      </c>
      <c r="L51" s="17">
        <v>0</v>
      </c>
      <c r="M51" s="17">
        <v>0</v>
      </c>
      <c r="N51" s="17">
        <v>0</v>
      </c>
      <c r="O51" s="17">
        <v>0</v>
      </c>
      <c r="P51" s="17">
        <f t="shared" si="0"/>
        <v>99.999999999999957</v>
      </c>
      <c r="Q51" s="26">
        <v>100</v>
      </c>
      <c r="S51" s="7"/>
    </row>
    <row r="52" spans="1:19">
      <c r="A52" s="6" t="s">
        <v>19</v>
      </c>
      <c r="B52" s="17">
        <v>82.31592599999999</v>
      </c>
      <c r="C52" s="26">
        <v>33</v>
      </c>
      <c r="D52" s="17">
        <v>5.8020197610323301</v>
      </c>
      <c r="E52" s="17">
        <v>0</v>
      </c>
      <c r="F52" s="17">
        <v>7.9020833107274493</v>
      </c>
      <c r="G52" s="17">
        <v>0</v>
      </c>
      <c r="H52" s="17">
        <v>87.825643587595508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4.2722731016769799</v>
      </c>
      <c r="O52" s="17">
        <v>0</v>
      </c>
      <c r="P52" s="17">
        <f t="shared" si="0"/>
        <v>99.999999999999943</v>
      </c>
      <c r="Q52" s="26">
        <v>28</v>
      </c>
      <c r="S52" s="7"/>
    </row>
    <row r="53" spans="1:19">
      <c r="A53" s="6" t="s">
        <v>14</v>
      </c>
      <c r="B53" s="17">
        <v>26.490686000000004</v>
      </c>
      <c r="C53" s="26">
        <v>146</v>
      </c>
      <c r="D53" s="17">
        <v>2.6716328764872999</v>
      </c>
      <c r="E53" s="17">
        <v>0</v>
      </c>
      <c r="F53" s="17">
        <v>0</v>
      </c>
      <c r="G53" s="17">
        <v>5.1068328246909198</v>
      </c>
      <c r="H53" s="17">
        <v>75.023043651334902</v>
      </c>
      <c r="I53" s="17">
        <v>0</v>
      </c>
      <c r="J53" s="17">
        <v>0</v>
      </c>
      <c r="K53" s="17">
        <v>7.0647730469694903</v>
      </c>
      <c r="L53" s="17">
        <v>4.5905845638080498</v>
      </c>
      <c r="M53" s="17">
        <v>0</v>
      </c>
      <c r="N53" s="17">
        <v>8.2147659131966098</v>
      </c>
      <c r="O53" s="17">
        <v>0</v>
      </c>
      <c r="P53" s="17">
        <f t="shared" si="0"/>
        <v>99.999999999999986</v>
      </c>
      <c r="Q53" s="26">
        <v>36</v>
      </c>
      <c r="S53" s="7"/>
    </row>
    <row r="54" spans="1:19">
      <c r="A54" s="6" t="s">
        <v>15</v>
      </c>
      <c r="B54" s="17">
        <v>81.408610999999993</v>
      </c>
      <c r="C54" s="26">
        <v>1292</v>
      </c>
      <c r="D54" s="17">
        <v>4.5213690657315002</v>
      </c>
      <c r="E54" s="17">
        <v>0.101418675602662</v>
      </c>
      <c r="F54" s="17">
        <v>1.5897033826123799</v>
      </c>
      <c r="G54" s="17">
        <v>0</v>
      </c>
      <c r="H54" s="17">
        <v>81.83323114857059</v>
      </c>
      <c r="I54" s="17">
        <v>0</v>
      </c>
      <c r="J54" s="17">
        <v>0.161901378693942</v>
      </c>
      <c r="K54" s="17">
        <v>3.5776390908712798</v>
      </c>
      <c r="L54" s="17">
        <v>2.972847317756</v>
      </c>
      <c r="M54" s="17">
        <v>0.415634157627506</v>
      </c>
      <c r="N54" s="17">
        <v>9.2103840263245598</v>
      </c>
      <c r="O54" s="17">
        <v>0.137240821941019</v>
      </c>
      <c r="P54" s="17">
        <f t="shared" si="0"/>
        <v>99.999999999999943</v>
      </c>
      <c r="Q54" s="26">
        <v>1031</v>
      </c>
      <c r="S54" s="7"/>
    </row>
    <row r="55" spans="1:19">
      <c r="A55" s="6" t="s">
        <v>16</v>
      </c>
      <c r="B55" s="17">
        <v>66.809206000000003</v>
      </c>
      <c r="C55" s="26">
        <v>4610</v>
      </c>
      <c r="D55" s="17">
        <v>4.8989233371882897</v>
      </c>
      <c r="E55" s="17">
        <v>2.9130048750584697E-2</v>
      </c>
      <c r="F55" s="17">
        <v>2.7737336517282798E-2</v>
      </c>
      <c r="G55" s="17">
        <v>0</v>
      </c>
      <c r="H55" s="17">
        <v>93.90191630135601</v>
      </c>
      <c r="I55" s="17">
        <v>6.2513331335604605E-2</v>
      </c>
      <c r="J55" s="17">
        <v>4.7971063685712002E-2</v>
      </c>
      <c r="K55" s="17">
        <v>0.83525547125348509</v>
      </c>
      <c r="L55" s="17">
        <v>3.4339483538150097</v>
      </c>
      <c r="M55" s="17">
        <v>0</v>
      </c>
      <c r="N55" s="17">
        <v>1.3669930516343001</v>
      </c>
      <c r="O55" s="17">
        <v>0.29453504165195199</v>
      </c>
      <c r="P55" s="17">
        <f t="shared" si="0"/>
        <v>99.999999999999943</v>
      </c>
      <c r="Q55" s="26">
        <v>2976</v>
      </c>
      <c r="S55" s="7"/>
    </row>
    <row r="56" spans="1:19">
      <c r="A56" s="6" t="s">
        <v>59</v>
      </c>
      <c r="B56" s="17">
        <v>80.311591000000007</v>
      </c>
      <c r="C56" s="26">
        <v>165</v>
      </c>
      <c r="D56" s="17">
        <v>5.8242007021194997</v>
      </c>
      <c r="E56" s="17">
        <v>0.70712364737329603</v>
      </c>
      <c r="F56" s="17">
        <v>0.177119553188197</v>
      </c>
      <c r="G56" s="17">
        <v>0.92533596473289903</v>
      </c>
      <c r="H56" s="17">
        <v>91.706249964822888</v>
      </c>
      <c r="I56" s="17">
        <v>0</v>
      </c>
      <c r="J56" s="17">
        <v>0</v>
      </c>
      <c r="K56" s="17">
        <v>2.5491060570155799</v>
      </c>
      <c r="L56" s="17">
        <v>0.36281913907962804</v>
      </c>
      <c r="M56" s="17">
        <v>0.80060830343314304</v>
      </c>
      <c r="N56" s="17">
        <v>2.1226253956747501</v>
      </c>
      <c r="O56" s="17">
        <v>0.64901197467952598</v>
      </c>
      <c r="P56" s="17">
        <f t="shared" si="0"/>
        <v>99.999999999999901</v>
      </c>
      <c r="Q56" s="26">
        <v>129</v>
      </c>
      <c r="S56" s="7"/>
    </row>
    <row r="57" spans="1:19">
      <c r="A57" s="6" t="s">
        <v>60</v>
      </c>
      <c r="B57" s="17">
        <v>78.983488999999992</v>
      </c>
      <c r="C57" s="26">
        <v>108</v>
      </c>
      <c r="D57" s="17">
        <v>5.9879378944027302</v>
      </c>
      <c r="E57" s="17">
        <v>0</v>
      </c>
      <c r="F57" s="17">
        <v>0</v>
      </c>
      <c r="G57" s="17">
        <v>0</v>
      </c>
      <c r="H57" s="17">
        <v>94.336309430399794</v>
      </c>
      <c r="I57" s="17">
        <v>0</v>
      </c>
      <c r="J57" s="17">
        <v>0</v>
      </c>
      <c r="K57" s="17">
        <v>0.41933532782392402</v>
      </c>
      <c r="L57" s="17">
        <v>3.31773982954559</v>
      </c>
      <c r="M57" s="17">
        <v>0</v>
      </c>
      <c r="N57" s="17">
        <v>1.92661541223063</v>
      </c>
      <c r="O57" s="17">
        <v>0</v>
      </c>
      <c r="P57" s="17">
        <f t="shared" si="0"/>
        <v>99.999999999999943</v>
      </c>
      <c r="Q57" s="26">
        <v>82</v>
      </c>
      <c r="S57" s="7"/>
    </row>
    <row r="58" spans="1:19">
      <c r="A58" s="6" t="s">
        <v>21</v>
      </c>
      <c r="B58" s="17">
        <v>96.551719000000006</v>
      </c>
      <c r="C58" s="26">
        <v>35</v>
      </c>
      <c r="D58" s="17">
        <v>5.9321681831064401</v>
      </c>
      <c r="E58" s="17">
        <v>0</v>
      </c>
      <c r="F58" s="17">
        <v>0</v>
      </c>
      <c r="G58" s="17">
        <v>0</v>
      </c>
      <c r="H58" s="17">
        <v>100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f t="shared" si="0"/>
        <v>100</v>
      </c>
      <c r="Q58" s="26">
        <v>34</v>
      </c>
      <c r="S58" s="7"/>
    </row>
    <row r="59" spans="1:19">
      <c r="A59" s="6" t="s">
        <v>61</v>
      </c>
      <c r="B59" s="17">
        <v>66.48464899999999</v>
      </c>
      <c r="C59" s="26">
        <v>1000</v>
      </c>
      <c r="D59" s="17">
        <v>4.6840212446199097</v>
      </c>
      <c r="E59" s="17">
        <v>0.14584342886651702</v>
      </c>
      <c r="F59" s="17">
        <v>2.0561510951750397</v>
      </c>
      <c r="G59" s="17">
        <v>0</v>
      </c>
      <c r="H59" s="17">
        <v>89.503746124500509</v>
      </c>
      <c r="I59" s="17">
        <v>0</v>
      </c>
      <c r="J59" s="17">
        <v>0.23823243787397899</v>
      </c>
      <c r="K59" s="17">
        <v>2.3123078710276701</v>
      </c>
      <c r="L59" s="17">
        <v>2.47470806876394</v>
      </c>
      <c r="M59" s="17">
        <v>0.184970933936181</v>
      </c>
      <c r="N59" s="17">
        <v>2.70554099396904</v>
      </c>
      <c r="O59" s="17">
        <v>0.37849904588706601</v>
      </c>
      <c r="P59" s="17">
        <f t="shared" si="0"/>
        <v>99.999999999999943</v>
      </c>
      <c r="Q59" s="26">
        <v>605</v>
      </c>
      <c r="S59" s="7"/>
    </row>
    <row r="60" spans="1:19">
      <c r="A60" s="6" t="s">
        <v>62</v>
      </c>
      <c r="B60" s="17">
        <v>50.654109999999996</v>
      </c>
      <c r="C60" s="26">
        <v>1272</v>
      </c>
      <c r="D60" s="17">
        <v>4.0354862921775698</v>
      </c>
      <c r="E60" s="17">
        <v>0</v>
      </c>
      <c r="F60" s="17">
        <v>0.50894878442549496</v>
      </c>
      <c r="G60" s="17">
        <v>0</v>
      </c>
      <c r="H60" s="17">
        <v>91.734426865854601</v>
      </c>
      <c r="I60" s="17">
        <v>0</v>
      </c>
      <c r="J60" s="17">
        <v>0</v>
      </c>
      <c r="K60" s="17">
        <v>1.3821759286202999</v>
      </c>
      <c r="L60" s="17">
        <v>4.9165468043338798</v>
      </c>
      <c r="M60" s="17">
        <v>0</v>
      </c>
      <c r="N60" s="17">
        <v>1.45790161676562</v>
      </c>
      <c r="O60" s="17">
        <v>0</v>
      </c>
      <c r="P60" s="17">
        <f t="shared" si="0"/>
        <v>99.999999999999901</v>
      </c>
      <c r="Q60" s="26">
        <v>587</v>
      </c>
      <c r="S60" s="7"/>
    </row>
    <row r="61" spans="1:19">
      <c r="A61" s="6" t="s">
        <v>17</v>
      </c>
      <c r="B61" s="17">
        <v>78.653294000000002</v>
      </c>
      <c r="C61" s="26">
        <v>31</v>
      </c>
      <c r="D61" s="17">
        <v>5.0097127370648398</v>
      </c>
      <c r="E61" s="17">
        <v>0</v>
      </c>
      <c r="F61" s="17">
        <v>0</v>
      </c>
      <c r="G61" s="17">
        <v>0</v>
      </c>
      <c r="H61" s="17">
        <v>92.780988348817488</v>
      </c>
      <c r="I61" s="17">
        <v>0</v>
      </c>
      <c r="J61" s="17">
        <v>0</v>
      </c>
      <c r="K61" s="17">
        <v>0</v>
      </c>
      <c r="L61" s="17">
        <v>1.1856758232456699</v>
      </c>
      <c r="M61" s="17">
        <v>0</v>
      </c>
      <c r="N61" s="17">
        <v>6.0333358279367397</v>
      </c>
      <c r="O61" s="17">
        <v>0</v>
      </c>
      <c r="P61" s="17">
        <f t="shared" si="0"/>
        <v>99.999999999999901</v>
      </c>
      <c r="Q61" s="26">
        <v>23</v>
      </c>
      <c r="S61" s="7"/>
    </row>
    <row r="62" spans="1:19">
      <c r="A62" s="6" t="s">
        <v>63</v>
      </c>
      <c r="B62" s="18">
        <v>75.478043999999997</v>
      </c>
      <c r="C62" s="26">
        <v>572</v>
      </c>
      <c r="D62" s="18">
        <v>4.4527319678734898</v>
      </c>
      <c r="E62" s="18">
        <v>0</v>
      </c>
      <c r="F62" s="18">
        <v>0.12773780806592899</v>
      </c>
      <c r="G62" s="18">
        <v>0</v>
      </c>
      <c r="H62" s="18">
        <v>96.397515448337501</v>
      </c>
      <c r="I62" s="18">
        <v>0</v>
      </c>
      <c r="J62" s="18">
        <v>0</v>
      </c>
      <c r="K62" s="18">
        <v>0</v>
      </c>
      <c r="L62" s="18">
        <v>3.47474674359656</v>
      </c>
      <c r="M62" s="18">
        <v>0</v>
      </c>
      <c r="N62" s="18">
        <v>0</v>
      </c>
      <c r="O62" s="18">
        <v>0</v>
      </c>
      <c r="P62" s="17">
        <f t="shared" si="0"/>
        <v>99.999999999999986</v>
      </c>
      <c r="Q62" s="26">
        <v>412</v>
      </c>
      <c r="S62" s="7"/>
    </row>
    <row r="63" spans="1:19">
      <c r="B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3"/>
    </row>
    <row r="64" spans="1:19">
      <c r="B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6"/>
    </row>
    <row r="65" spans="2:16">
      <c r="B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6"/>
    </row>
    <row r="66" spans="2:16">
      <c r="B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6"/>
    </row>
    <row r="67" spans="2:16">
      <c r="B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6"/>
    </row>
    <row r="68" spans="2:16">
      <c r="B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6"/>
    </row>
    <row r="69" spans="2:16">
      <c r="B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2:16">
      <c r="B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6"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6"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6"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6"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</sheetData>
  <mergeCells count="1">
    <mergeCell ref="E3:P3"/>
  </mergeCells>
  <phoneticPr fontId="3" type="noConversion"/>
  <pageMargins left="0.7" right="0.7" top="0.75" bottom="0.75" header="0.3" footer="0.3"/>
  <pageSetup orientation="portrait" r:id="rId1"/>
  <ignoredErrors>
    <ignoredError sqref="P7:P8 P9:P6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D666-0D56-4CCD-A51B-18A42C179A43}">
  <dimension ref="A1:S80"/>
  <sheetViews>
    <sheetView topLeftCell="A37" zoomScale="80" zoomScaleNormal="80" workbookViewId="0">
      <selection activeCell="R11" sqref="R11"/>
    </sheetView>
  </sheetViews>
  <sheetFormatPr defaultColWidth="15.25" defaultRowHeight="13"/>
  <cols>
    <col min="1" max="1" width="16.4140625" style="2" customWidth="1"/>
    <col min="2" max="3" width="12.4140625" style="5" customWidth="1"/>
    <col min="4" max="4" width="13.1640625" style="5" customWidth="1"/>
    <col min="5" max="5" width="9.1640625" style="5" customWidth="1"/>
    <col min="6" max="9" width="7.25" style="5" customWidth="1"/>
    <col min="10" max="10" width="9.08203125" style="5" customWidth="1"/>
    <col min="11" max="11" width="7.25" style="5" customWidth="1"/>
    <col min="12" max="12" width="9" style="5" customWidth="1"/>
    <col min="13" max="13" width="7.25" style="5" customWidth="1"/>
    <col min="14" max="14" width="7.75" style="5" customWidth="1"/>
    <col min="15" max="17" width="7.25" style="5" customWidth="1"/>
    <col min="18" max="16384" width="15.25" style="2"/>
  </cols>
  <sheetData>
    <row r="1" spans="1:19">
      <c r="A1" s="3" t="s">
        <v>75</v>
      </c>
    </row>
    <row r="3" spans="1:19">
      <c r="E3" s="47" t="s">
        <v>78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12"/>
    </row>
    <row r="4" spans="1:19" ht="65">
      <c r="B4" s="8" t="s">
        <v>76</v>
      </c>
      <c r="C4" s="8" t="s">
        <v>36</v>
      </c>
      <c r="D4" s="13" t="s">
        <v>77</v>
      </c>
      <c r="E4" s="10" t="s">
        <v>64</v>
      </c>
      <c r="F4" s="13" t="s">
        <v>65</v>
      </c>
      <c r="G4" s="13" t="s">
        <v>67</v>
      </c>
      <c r="H4" s="13" t="s">
        <v>68</v>
      </c>
      <c r="I4" s="13" t="s">
        <v>69</v>
      </c>
      <c r="J4" s="13" t="s">
        <v>70</v>
      </c>
      <c r="K4" s="13" t="s">
        <v>71</v>
      </c>
      <c r="L4" s="13" t="s">
        <v>72</v>
      </c>
      <c r="M4" s="13" t="s">
        <v>59</v>
      </c>
      <c r="N4" s="13" t="s">
        <v>73</v>
      </c>
      <c r="O4" s="13" t="s">
        <v>74</v>
      </c>
      <c r="P4" s="13" t="s">
        <v>66</v>
      </c>
      <c r="Q4" s="13" t="s">
        <v>36</v>
      </c>
    </row>
    <row r="5" spans="1:19">
      <c r="B5" s="9" t="s">
        <v>35</v>
      </c>
      <c r="C5" s="9"/>
      <c r="D5" s="11" t="s">
        <v>34</v>
      </c>
      <c r="E5" s="11" t="s">
        <v>35</v>
      </c>
      <c r="F5" s="11" t="s">
        <v>35</v>
      </c>
      <c r="G5" s="11" t="s">
        <v>35</v>
      </c>
      <c r="H5" s="11" t="s">
        <v>35</v>
      </c>
      <c r="I5" s="11" t="s">
        <v>35</v>
      </c>
      <c r="J5" s="11" t="s">
        <v>35</v>
      </c>
      <c r="K5" s="11" t="s">
        <v>35</v>
      </c>
      <c r="L5" s="11" t="s">
        <v>35</v>
      </c>
      <c r="M5" s="11" t="s">
        <v>35</v>
      </c>
      <c r="N5" s="11" t="s">
        <v>35</v>
      </c>
      <c r="O5" s="11" t="s">
        <v>35</v>
      </c>
      <c r="P5" s="11" t="s">
        <v>35</v>
      </c>
      <c r="Q5" s="11"/>
    </row>
    <row r="6" spans="1:19">
      <c r="A6" s="1" t="s">
        <v>28</v>
      </c>
      <c r="B6" s="17">
        <v>81.961700000000008</v>
      </c>
      <c r="C6" s="26">
        <v>10090</v>
      </c>
      <c r="D6" s="17">
        <v>5.8065639999999998</v>
      </c>
      <c r="E6" s="17">
        <v>0.3649</v>
      </c>
      <c r="F6" s="17">
        <v>1.1674</v>
      </c>
      <c r="G6" s="17">
        <v>0.158</v>
      </c>
      <c r="H6" s="17">
        <v>71.0762</v>
      </c>
      <c r="I6" s="17">
        <v>0.14779999999999999</v>
      </c>
      <c r="J6" s="17">
        <v>6.1413000000000002</v>
      </c>
      <c r="K6" s="17">
        <v>1.5671000000000002</v>
      </c>
      <c r="L6" s="17">
        <v>4.1074000000000002</v>
      </c>
      <c r="M6" s="17">
        <v>0.1164</v>
      </c>
      <c r="N6" s="17">
        <v>14.8415</v>
      </c>
      <c r="O6" s="17">
        <v>0.312</v>
      </c>
      <c r="P6" s="17">
        <v>99.999999999999886</v>
      </c>
      <c r="Q6" s="26">
        <v>8427</v>
      </c>
    </row>
    <row r="7" spans="1:19">
      <c r="A7" s="33" t="s">
        <v>29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9">
      <c r="A8" s="4" t="s">
        <v>24</v>
      </c>
      <c r="B8" s="17">
        <v>84.755346000000003</v>
      </c>
      <c r="C8" s="26">
        <v>5535</v>
      </c>
      <c r="D8" s="17">
        <v>6.3853775522081699</v>
      </c>
      <c r="E8" s="17">
        <v>0.53766330156009601</v>
      </c>
      <c r="F8" s="17">
        <v>1.9449680900225599</v>
      </c>
      <c r="G8" s="17">
        <v>0.293765717129924</v>
      </c>
      <c r="H8" s="17">
        <v>49.750627619411098</v>
      </c>
      <c r="I8" s="17">
        <v>0.25925434133825304</v>
      </c>
      <c r="J8" s="17">
        <v>10.897872723334601</v>
      </c>
      <c r="K8" s="17">
        <v>2.9016240731859702</v>
      </c>
      <c r="L8" s="17">
        <v>4.0218605016489999</v>
      </c>
      <c r="M8" s="17">
        <v>6.5911445854506909E-2</v>
      </c>
      <c r="N8" s="17">
        <v>28.809792302719899</v>
      </c>
      <c r="O8" s="17">
        <v>0.51665988379389804</v>
      </c>
      <c r="P8" s="17">
        <f>SUM(E8:O8)</f>
        <v>99.999999999999801</v>
      </c>
      <c r="Q8" s="26">
        <v>4773</v>
      </c>
      <c r="S8" s="7"/>
    </row>
    <row r="9" spans="1:19">
      <c r="A9" s="4" t="s">
        <v>23</v>
      </c>
      <c r="B9" s="17">
        <v>79.594369999999998</v>
      </c>
      <c r="C9" s="32">
        <v>4555</v>
      </c>
      <c r="D9" s="17">
        <v>5.28429269210692</v>
      </c>
      <c r="E9" s="17">
        <v>0.20892440628975201</v>
      </c>
      <c r="F9" s="17">
        <v>0.46582295303649496</v>
      </c>
      <c r="G9" s="17">
        <v>3.54511182906092E-2</v>
      </c>
      <c r="H9" s="17">
        <v>90.318614033127702</v>
      </c>
      <c r="I9" s="17">
        <v>4.7264680193339501E-2</v>
      </c>
      <c r="J9" s="17">
        <v>1.8493691140329602</v>
      </c>
      <c r="K9" s="17">
        <v>0.362853925232691</v>
      </c>
      <c r="L9" s="17">
        <v>4.1845271598184999</v>
      </c>
      <c r="M9" s="17">
        <v>0.16194241391806799</v>
      </c>
      <c r="N9" s="17">
        <v>2.2378307843604799</v>
      </c>
      <c r="O9" s="17">
        <v>0.12739941169938099</v>
      </c>
      <c r="P9" s="17">
        <f t="shared" ref="P9:P62" si="0">SUM(E9:O9)</f>
        <v>99.999999999999972</v>
      </c>
      <c r="Q9" s="26">
        <v>3654</v>
      </c>
      <c r="S9" s="7"/>
    </row>
    <row r="10" spans="1:19">
      <c r="A10" s="33" t="s">
        <v>22</v>
      </c>
      <c r="B10" s="35"/>
      <c r="C10" s="36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/>
      <c r="S10" s="7"/>
    </row>
    <row r="11" spans="1:19">
      <c r="A11" s="4" t="s">
        <v>1</v>
      </c>
      <c r="B11" s="17">
        <v>73.020455999999996</v>
      </c>
      <c r="C11" s="26">
        <v>559</v>
      </c>
      <c r="D11" s="17">
        <v>5.7358645363558196</v>
      </c>
      <c r="E11" s="17">
        <v>0.739325518946502</v>
      </c>
      <c r="F11" s="17">
        <v>2.8507175388775603</v>
      </c>
      <c r="G11" s="17">
        <v>0</v>
      </c>
      <c r="H11" s="17">
        <v>92.853752125194106</v>
      </c>
      <c r="I11" s="17">
        <v>0</v>
      </c>
      <c r="J11" s="17">
        <v>2.2905165983006199</v>
      </c>
      <c r="K11" s="17">
        <v>0</v>
      </c>
      <c r="L11" s="17">
        <v>0.14625122441574001</v>
      </c>
      <c r="M11" s="17">
        <v>0.254504147565909</v>
      </c>
      <c r="N11" s="17">
        <v>0.86493284669948689</v>
      </c>
      <c r="O11" s="17">
        <v>0</v>
      </c>
      <c r="P11" s="17">
        <f t="shared" si="0"/>
        <v>99.999999999999915</v>
      </c>
      <c r="Q11" s="26">
        <v>423</v>
      </c>
      <c r="S11" s="7"/>
    </row>
    <row r="12" spans="1:19">
      <c r="A12" s="4" t="s">
        <v>2</v>
      </c>
      <c r="B12" s="17">
        <v>73.938650999999993</v>
      </c>
      <c r="C12" s="26">
        <v>828</v>
      </c>
      <c r="D12" s="17">
        <v>5.2446118373911803</v>
      </c>
      <c r="E12" s="17">
        <v>0</v>
      </c>
      <c r="F12" s="17">
        <v>0.45000026630010304</v>
      </c>
      <c r="G12" s="17">
        <v>0</v>
      </c>
      <c r="H12" s="17">
        <v>95.974761877206404</v>
      </c>
      <c r="I12" s="17">
        <v>0</v>
      </c>
      <c r="J12" s="17">
        <v>2.27691482911092</v>
      </c>
      <c r="K12" s="17">
        <v>0.71520899191845</v>
      </c>
      <c r="L12" s="17">
        <v>0.32261010985892402</v>
      </c>
      <c r="M12" s="17">
        <v>0.122390336889108</v>
      </c>
      <c r="N12" s="17">
        <v>0.13811358871606799</v>
      </c>
      <c r="O12" s="17">
        <v>0</v>
      </c>
      <c r="P12" s="17">
        <f t="shared" si="0"/>
        <v>99.999999999999986</v>
      </c>
      <c r="Q12" s="26">
        <v>604</v>
      </c>
      <c r="S12" s="7"/>
    </row>
    <row r="13" spans="1:19">
      <c r="A13" s="4" t="s">
        <v>3</v>
      </c>
      <c r="B13" s="17">
        <v>87.716386</v>
      </c>
      <c r="C13" s="26">
        <v>561</v>
      </c>
      <c r="D13" s="17">
        <v>5.1829658513083103</v>
      </c>
      <c r="E13" s="17">
        <v>0</v>
      </c>
      <c r="F13" s="17">
        <v>0.67512816081524896</v>
      </c>
      <c r="G13" s="17">
        <v>0</v>
      </c>
      <c r="H13" s="17">
        <v>81.872628069920097</v>
      </c>
      <c r="I13" s="17">
        <v>0.187715310050834</v>
      </c>
      <c r="J13" s="17">
        <v>12.0274664896682</v>
      </c>
      <c r="K13" s="17">
        <v>2.15629410865815</v>
      </c>
      <c r="L13" s="17">
        <v>2.1099583062058498</v>
      </c>
      <c r="M13" s="17">
        <v>0</v>
      </c>
      <c r="N13" s="17">
        <v>0.42134046473820197</v>
      </c>
      <c r="O13" s="17">
        <v>0.54946908994332699</v>
      </c>
      <c r="P13" s="17">
        <f t="shared" si="0"/>
        <v>99.999999999999915</v>
      </c>
      <c r="Q13" s="26">
        <v>493</v>
      </c>
      <c r="S13" s="7"/>
    </row>
    <row r="14" spans="1:19">
      <c r="A14" s="4" t="s">
        <v>4</v>
      </c>
      <c r="B14" s="17">
        <v>86.301892999999993</v>
      </c>
      <c r="C14" s="26">
        <v>554</v>
      </c>
      <c r="D14" s="17">
        <v>6.1511381091172099</v>
      </c>
      <c r="E14" s="17">
        <v>0.46956172426061904</v>
      </c>
      <c r="F14" s="17">
        <v>3.2524703392974397</v>
      </c>
      <c r="G14" s="17">
        <v>1.39421533166847</v>
      </c>
      <c r="H14" s="17">
        <v>75.727768105888501</v>
      </c>
      <c r="I14" s="17">
        <v>7.3144647819732095E-2</v>
      </c>
      <c r="J14" s="17">
        <v>5.8802132848260307</v>
      </c>
      <c r="K14" s="17">
        <v>0.12170066009920999</v>
      </c>
      <c r="L14" s="17">
        <v>9.1355363512587395</v>
      </c>
      <c r="M14" s="17">
        <v>0.113511480511819</v>
      </c>
      <c r="N14" s="17">
        <v>2.96674291768359</v>
      </c>
      <c r="O14" s="17">
        <v>0.86513515668575502</v>
      </c>
      <c r="P14" s="17">
        <f t="shared" si="0"/>
        <v>99.999999999999886</v>
      </c>
      <c r="Q14" s="26">
        <v>475</v>
      </c>
      <c r="S14" s="7"/>
    </row>
    <row r="15" spans="1:19">
      <c r="A15" s="4" t="s">
        <v>5</v>
      </c>
      <c r="B15" s="17">
        <v>87.147123999999991</v>
      </c>
      <c r="C15" s="26">
        <v>568</v>
      </c>
      <c r="D15" s="17">
        <v>6.4374735746177896</v>
      </c>
      <c r="E15" s="17">
        <v>1.11266193041839</v>
      </c>
      <c r="F15" s="17">
        <v>2.9811768146625299</v>
      </c>
      <c r="G15" s="17">
        <v>1.1886067993986</v>
      </c>
      <c r="H15" s="17">
        <v>60.898673237463797</v>
      </c>
      <c r="I15" s="17">
        <v>0</v>
      </c>
      <c r="J15" s="17">
        <v>8.8624463198533991</v>
      </c>
      <c r="K15" s="17">
        <v>0.51018619556095601</v>
      </c>
      <c r="L15" s="17">
        <v>6.29352105286097</v>
      </c>
      <c r="M15" s="17">
        <v>1.10310798514729</v>
      </c>
      <c r="N15" s="17">
        <v>14.1773753538807</v>
      </c>
      <c r="O15" s="17">
        <v>2.87224431075327</v>
      </c>
      <c r="P15" s="17">
        <f t="shared" si="0"/>
        <v>99.999999999999915</v>
      </c>
      <c r="Q15" s="26">
        <v>505</v>
      </c>
      <c r="S15" s="7"/>
    </row>
    <row r="16" spans="1:19">
      <c r="A16" s="4" t="s">
        <v>6</v>
      </c>
      <c r="B16" s="17">
        <v>80.220230000000001</v>
      </c>
      <c r="C16" s="26">
        <v>1084</v>
      </c>
      <c r="D16" s="17">
        <v>5.06880268314685</v>
      </c>
      <c r="E16" s="17">
        <v>0.165151922321123</v>
      </c>
      <c r="F16" s="17">
        <v>0.81227593328110104</v>
      </c>
      <c r="G16" s="17">
        <v>0</v>
      </c>
      <c r="H16" s="17">
        <v>92.141157971094799</v>
      </c>
      <c r="I16" s="17">
        <v>0</v>
      </c>
      <c r="J16" s="17">
        <v>1.67026578840201</v>
      </c>
      <c r="K16" s="17">
        <v>1.22487649392954</v>
      </c>
      <c r="L16" s="17">
        <v>3.5228108323677501</v>
      </c>
      <c r="M16" s="17">
        <v>0</v>
      </c>
      <c r="N16" s="17">
        <v>0.22471409854382998</v>
      </c>
      <c r="O16" s="17">
        <v>0.23874696005974</v>
      </c>
      <c r="P16" s="17">
        <f t="shared" si="0"/>
        <v>99.999999999999901</v>
      </c>
      <c r="Q16" s="26">
        <v>862</v>
      </c>
      <c r="S16" s="7"/>
    </row>
    <row r="17" spans="1:19">
      <c r="A17" s="4" t="s">
        <v>38</v>
      </c>
      <c r="B17" s="17">
        <v>92.403257999999994</v>
      </c>
      <c r="C17" s="26">
        <v>570</v>
      </c>
      <c r="D17" s="17">
        <v>6.1207222177900498</v>
      </c>
      <c r="E17" s="17">
        <v>1.7087075549310999</v>
      </c>
      <c r="F17" s="17">
        <v>3.7133938739274002</v>
      </c>
      <c r="G17" s="17">
        <v>0.39409068745662101</v>
      </c>
      <c r="H17" s="17">
        <v>61.955735014530802</v>
      </c>
      <c r="I17" s="17">
        <v>0</v>
      </c>
      <c r="J17" s="17">
        <v>21.715881131950198</v>
      </c>
      <c r="K17" s="17">
        <v>2.554986044064</v>
      </c>
      <c r="L17" s="17">
        <v>5.0281447301330395</v>
      </c>
      <c r="M17" s="17">
        <v>0</v>
      </c>
      <c r="N17" s="17">
        <v>2.4396860646693703</v>
      </c>
      <c r="O17" s="17">
        <v>0.48937489833739006</v>
      </c>
      <c r="P17" s="17">
        <f t="shared" si="0"/>
        <v>99.999999999999915</v>
      </c>
      <c r="Q17" s="26">
        <v>531</v>
      </c>
      <c r="S17" s="7"/>
    </row>
    <row r="18" spans="1:19">
      <c r="A18" s="4" t="s">
        <v>7</v>
      </c>
      <c r="B18" s="17">
        <v>81.731201999999996</v>
      </c>
      <c r="C18" s="26">
        <v>854</v>
      </c>
      <c r="D18" s="17">
        <v>6.2314315926314796</v>
      </c>
      <c r="E18" s="17">
        <v>0</v>
      </c>
      <c r="F18" s="17">
        <v>0.17621854114275398</v>
      </c>
      <c r="G18" s="17">
        <v>0</v>
      </c>
      <c r="H18" s="17">
        <v>51.347315385010091</v>
      </c>
      <c r="I18" s="17">
        <v>0</v>
      </c>
      <c r="J18" s="17">
        <v>6.1582222933142594</v>
      </c>
      <c r="K18" s="17">
        <v>0.40963159750490802</v>
      </c>
      <c r="L18" s="17">
        <v>5.96703332542487</v>
      </c>
      <c r="M18" s="17">
        <v>0.24330497815449401</v>
      </c>
      <c r="N18" s="17">
        <v>35.166056073314003</v>
      </c>
      <c r="O18" s="17">
        <v>0.53221780613446801</v>
      </c>
      <c r="P18" s="17">
        <f t="shared" si="0"/>
        <v>99.999999999999858</v>
      </c>
      <c r="Q18" s="26">
        <v>700</v>
      </c>
      <c r="S18" s="7"/>
    </row>
    <row r="19" spans="1:19">
      <c r="A19" s="4" t="s">
        <v>8</v>
      </c>
      <c r="B19" s="17">
        <v>87.170502999999997</v>
      </c>
      <c r="C19" s="26">
        <v>557</v>
      </c>
      <c r="D19" s="17">
        <v>5.9803780482640603</v>
      </c>
      <c r="E19" s="17">
        <v>1.6796462347178303</v>
      </c>
      <c r="F19" s="17">
        <v>2.3116509832364898</v>
      </c>
      <c r="G19" s="17">
        <v>0.108207716800302</v>
      </c>
      <c r="H19" s="17">
        <v>76.236732725769897</v>
      </c>
      <c r="I19" s="17">
        <v>0</v>
      </c>
      <c r="J19" s="17">
        <v>7.5980249077825093</v>
      </c>
      <c r="K19" s="17">
        <v>6.4924975279764405</v>
      </c>
      <c r="L19" s="17">
        <v>2.72551467490121</v>
      </c>
      <c r="M19" s="17">
        <v>0</v>
      </c>
      <c r="N19" s="17">
        <v>2.5252160377637201</v>
      </c>
      <c r="O19" s="17">
        <v>0.32250919105150799</v>
      </c>
      <c r="P19" s="17">
        <f t="shared" si="0"/>
        <v>99.999999999999901</v>
      </c>
      <c r="Q19" s="26">
        <v>484</v>
      </c>
      <c r="S19" s="7"/>
    </row>
    <row r="20" spans="1:19">
      <c r="A20" s="4" t="s">
        <v>9</v>
      </c>
      <c r="B20" s="17">
        <v>74.025710000000004</v>
      </c>
      <c r="C20" s="26">
        <v>854</v>
      </c>
      <c r="D20" s="17">
        <v>6.3278596861597496</v>
      </c>
      <c r="E20" s="17">
        <v>0.27610956455721397</v>
      </c>
      <c r="F20" s="17">
        <v>1.5979443053859801E-2</v>
      </c>
      <c r="G20" s="17">
        <v>0.17942031407926101</v>
      </c>
      <c r="H20" s="17">
        <v>24.4782864770151</v>
      </c>
      <c r="I20" s="17">
        <v>1.2207191636539401</v>
      </c>
      <c r="J20" s="17">
        <v>8.8901044893455197</v>
      </c>
      <c r="K20" s="17">
        <v>2.57326554923596</v>
      </c>
      <c r="L20" s="17">
        <v>3.1477621746745101</v>
      </c>
      <c r="M20" s="17">
        <v>0</v>
      </c>
      <c r="N20" s="17">
        <v>59.218352824384503</v>
      </c>
      <c r="O20" s="17">
        <v>0</v>
      </c>
      <c r="P20" s="17">
        <f t="shared" si="0"/>
        <v>99.999999999999872</v>
      </c>
      <c r="Q20" s="26">
        <v>645</v>
      </c>
      <c r="S20" s="7"/>
    </row>
    <row r="21" spans="1:19">
      <c r="A21" s="4" t="s">
        <v>10</v>
      </c>
      <c r="B21" s="17">
        <v>81.389935000000008</v>
      </c>
      <c r="C21" s="26">
        <v>846</v>
      </c>
      <c r="D21" s="17">
        <v>6.0611525871095298</v>
      </c>
      <c r="E21" s="17">
        <v>0</v>
      </c>
      <c r="F21" s="17">
        <v>0</v>
      </c>
      <c r="G21" s="17">
        <v>0</v>
      </c>
      <c r="H21" s="17">
        <v>54.727076669392702</v>
      </c>
      <c r="I21" s="17">
        <v>0.187562018654678</v>
      </c>
      <c r="J21" s="17">
        <v>1.8407511043764702</v>
      </c>
      <c r="K21" s="17">
        <v>0.34043459404460202</v>
      </c>
      <c r="L21" s="17">
        <v>9.6234851513423898</v>
      </c>
      <c r="M21" s="17">
        <v>0.35509387415651</v>
      </c>
      <c r="N21" s="17">
        <v>32.821047506892398</v>
      </c>
      <c r="O21" s="17">
        <v>0.104549081140189</v>
      </c>
      <c r="P21" s="17">
        <f t="shared" si="0"/>
        <v>99.999999999999943</v>
      </c>
      <c r="Q21" s="26">
        <v>698</v>
      </c>
      <c r="S21" s="7"/>
    </row>
    <row r="22" spans="1:19">
      <c r="A22" s="4" t="s">
        <v>11</v>
      </c>
      <c r="B22" s="17">
        <v>91.175402000000005</v>
      </c>
      <c r="C22" s="26">
        <v>852</v>
      </c>
      <c r="D22" s="17">
        <v>6.3146722525602401</v>
      </c>
      <c r="E22" s="17">
        <v>0.27389851239083302</v>
      </c>
      <c r="F22" s="17">
        <v>0.50133053008333395</v>
      </c>
      <c r="G22" s="17">
        <v>0</v>
      </c>
      <c r="H22" s="17">
        <v>50.132770396094898</v>
      </c>
      <c r="I22" s="17">
        <v>0.16031012881661599</v>
      </c>
      <c r="J22" s="17">
        <v>11.474618530186701</v>
      </c>
      <c r="K22" s="17">
        <v>1.5320010444813299</v>
      </c>
      <c r="L22" s="17">
        <v>3.6439868657140599</v>
      </c>
      <c r="M22" s="17">
        <v>0</v>
      </c>
      <c r="N22" s="17">
        <v>32.281083992232098</v>
      </c>
      <c r="O22" s="17">
        <v>0</v>
      </c>
      <c r="P22" s="17">
        <f t="shared" si="0"/>
        <v>99.999999999999872</v>
      </c>
      <c r="Q22" s="26">
        <v>774</v>
      </c>
      <c r="S22" s="7"/>
    </row>
    <row r="23" spans="1:19">
      <c r="A23" s="4" t="s">
        <v>12</v>
      </c>
      <c r="B23" s="17">
        <v>81.901674</v>
      </c>
      <c r="C23" s="26">
        <v>837</v>
      </c>
      <c r="D23" s="17">
        <v>5.7300802971442497</v>
      </c>
      <c r="E23" s="17">
        <v>0.39858566564036202</v>
      </c>
      <c r="F23" s="17">
        <v>3.7860572808350703</v>
      </c>
      <c r="G23" s="17">
        <v>0.26563977394689003</v>
      </c>
      <c r="H23" s="17">
        <v>80.918370305739202</v>
      </c>
      <c r="I23" s="17">
        <v>0</v>
      </c>
      <c r="J23" s="17">
        <v>4.7522220728694995</v>
      </c>
      <c r="K23" s="17">
        <v>5.1102495897144102</v>
      </c>
      <c r="L23" s="17">
        <v>3.52374195043567</v>
      </c>
      <c r="M23" s="17">
        <v>9.9353941911045796E-2</v>
      </c>
      <c r="N23" s="17">
        <v>0.87630101176691699</v>
      </c>
      <c r="O23" s="17">
        <v>0.26947840714090898</v>
      </c>
      <c r="P23" s="17">
        <f t="shared" si="0"/>
        <v>99.999999999999972</v>
      </c>
      <c r="Q23" s="26">
        <v>684</v>
      </c>
      <c r="S23" s="7"/>
    </row>
    <row r="24" spans="1:19">
      <c r="A24" s="4" t="s">
        <v>13</v>
      </c>
      <c r="B24" s="17">
        <v>96.661244999999994</v>
      </c>
      <c r="C24" s="26">
        <v>566</v>
      </c>
      <c r="D24" s="17">
        <v>6.5222996990504498</v>
      </c>
      <c r="E24" s="17">
        <v>0.68903413241561906</v>
      </c>
      <c r="F24" s="17">
        <v>0</v>
      </c>
      <c r="G24" s="17">
        <v>0</v>
      </c>
      <c r="H24" s="17">
        <v>83.9027915055335</v>
      </c>
      <c r="I24" s="17">
        <v>0</v>
      </c>
      <c r="J24" s="17">
        <v>8.8592980300172695</v>
      </c>
      <c r="K24" s="17">
        <v>0</v>
      </c>
      <c r="L24" s="17">
        <v>3.4116035078645899</v>
      </c>
      <c r="M24" s="17">
        <v>0</v>
      </c>
      <c r="N24" s="17">
        <v>2.9550169108095901</v>
      </c>
      <c r="O24" s="17">
        <v>0.18225591335934599</v>
      </c>
      <c r="P24" s="17">
        <f t="shared" si="0"/>
        <v>99.999999999999901</v>
      </c>
      <c r="Q24" s="26">
        <v>549</v>
      </c>
      <c r="S24" s="7"/>
    </row>
    <row r="25" spans="1:19">
      <c r="A25" s="33" t="s">
        <v>32</v>
      </c>
      <c r="B25" s="35"/>
      <c r="C25" s="36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6"/>
      <c r="S25" s="7"/>
    </row>
    <row r="26" spans="1:19">
      <c r="A26" s="4" t="s">
        <v>39</v>
      </c>
      <c r="B26" s="17">
        <v>83.683862000000005</v>
      </c>
      <c r="C26" s="26">
        <v>4616</v>
      </c>
      <c r="D26" s="17">
        <v>5.8201024534000503</v>
      </c>
      <c r="E26" s="17">
        <v>0.38835415797416301</v>
      </c>
      <c r="F26" s="17">
        <v>0.863979880803453</v>
      </c>
      <c r="G26" s="17">
        <v>0.15895863355287601</v>
      </c>
      <c r="H26" s="17">
        <v>67.012606295528599</v>
      </c>
      <c r="I26" s="17">
        <v>0.23093920920911701</v>
      </c>
      <c r="J26" s="17">
        <v>6.8824595233620194</v>
      </c>
      <c r="K26" s="17">
        <v>0.41122042023858002</v>
      </c>
      <c r="L26" s="17">
        <v>4.8144596816433101</v>
      </c>
      <c r="M26" s="17">
        <v>0.13949085596833599</v>
      </c>
      <c r="N26" s="17">
        <v>18.809022367620702</v>
      </c>
      <c r="O26" s="17">
        <v>0.288508974098726</v>
      </c>
      <c r="P26" s="17">
        <f t="shared" si="0"/>
        <v>99.999999999999872</v>
      </c>
      <c r="Q26" s="26">
        <v>3904</v>
      </c>
      <c r="S26" s="7"/>
    </row>
    <row r="27" spans="1:19">
      <c r="A27" s="4" t="s">
        <v>40</v>
      </c>
      <c r="B27" s="17">
        <v>80.606797999999998</v>
      </c>
      <c r="C27" s="26">
        <v>5474</v>
      </c>
      <c r="D27" s="17">
        <v>5.79550593889926</v>
      </c>
      <c r="E27" s="17">
        <v>0.34565914075073101</v>
      </c>
      <c r="F27" s="17">
        <v>1.4152425880429098</v>
      </c>
      <c r="G27" s="17">
        <v>0.157173282139875</v>
      </c>
      <c r="H27" s="17">
        <v>74.395143167859402</v>
      </c>
      <c r="I27" s="17">
        <v>7.9927669964278109E-2</v>
      </c>
      <c r="J27" s="17">
        <v>5.5359564541055093</v>
      </c>
      <c r="K27" s="17">
        <v>2.5110554449171598</v>
      </c>
      <c r="L27" s="17">
        <v>3.5298702387879901</v>
      </c>
      <c r="M27" s="17">
        <v>9.7527641655301103E-2</v>
      </c>
      <c r="N27" s="17">
        <v>11.6011950664609</v>
      </c>
      <c r="O27" s="17">
        <v>0.33124930531588298</v>
      </c>
      <c r="P27" s="17">
        <f t="shared" si="0"/>
        <v>99.999999999999943</v>
      </c>
      <c r="Q27" s="26">
        <v>4523</v>
      </c>
      <c r="S27" s="7"/>
    </row>
    <row r="28" spans="1:19">
      <c r="A28" s="33" t="s">
        <v>31</v>
      </c>
      <c r="B28" s="35"/>
      <c r="C28" s="36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S28" s="7"/>
    </row>
    <row r="29" spans="1:19">
      <c r="A29" s="4" t="s">
        <v>41</v>
      </c>
      <c r="B29" s="17">
        <v>80.484679</v>
      </c>
      <c r="C29" s="26">
        <v>37</v>
      </c>
      <c r="D29" s="17">
        <v>5.6228086937338899</v>
      </c>
      <c r="E29" s="17">
        <v>0</v>
      </c>
      <c r="F29" s="17">
        <v>0</v>
      </c>
      <c r="G29" s="17">
        <v>0</v>
      </c>
      <c r="H29" s="17">
        <v>42.637059037085002</v>
      </c>
      <c r="I29" s="17">
        <v>0</v>
      </c>
      <c r="J29" s="17">
        <v>8.4288601377964198</v>
      </c>
      <c r="K29" s="17">
        <v>16.571761733140601</v>
      </c>
      <c r="L29" s="17">
        <v>11.585371781478299</v>
      </c>
      <c r="M29" s="17">
        <v>0</v>
      </c>
      <c r="N29" s="17">
        <v>17.4211222189453</v>
      </c>
      <c r="O29" s="17">
        <v>3.3558250915541801</v>
      </c>
      <c r="P29" s="17">
        <f t="shared" si="0"/>
        <v>99.999999999999801</v>
      </c>
      <c r="Q29" s="26">
        <v>30</v>
      </c>
      <c r="S29" s="7"/>
    </row>
    <row r="30" spans="1:19">
      <c r="A30" s="4" t="s">
        <v>42</v>
      </c>
      <c r="B30" s="17">
        <v>82.045489000000003</v>
      </c>
      <c r="C30" s="26">
        <v>7809</v>
      </c>
      <c r="D30" s="17">
        <v>5.6959726163064399</v>
      </c>
      <c r="E30" s="17">
        <v>0.37972090571888101</v>
      </c>
      <c r="F30" s="17">
        <v>1.2031487581917</v>
      </c>
      <c r="G30" s="17">
        <v>0.11619816696937901</v>
      </c>
      <c r="H30" s="17">
        <v>74.9634478885947</v>
      </c>
      <c r="I30" s="17">
        <v>0.11387587095239599</v>
      </c>
      <c r="J30" s="17">
        <v>5.3462689061508497</v>
      </c>
      <c r="K30" s="17">
        <v>1.7571825718265301</v>
      </c>
      <c r="L30" s="17">
        <v>4.4898697705001398</v>
      </c>
      <c r="M30" s="17">
        <v>0.11025617958167</v>
      </c>
      <c r="N30" s="17">
        <v>11.179912589728099</v>
      </c>
      <c r="O30" s="17">
        <v>0.34011839178550102</v>
      </c>
      <c r="P30" s="17">
        <f t="shared" si="0"/>
        <v>99.999999999999844</v>
      </c>
      <c r="Q30" s="26">
        <v>6507</v>
      </c>
      <c r="S30" s="7"/>
    </row>
    <row r="31" spans="1:19">
      <c r="A31" s="4" t="s">
        <v>43</v>
      </c>
      <c r="B31" s="17">
        <v>81.63170199999999</v>
      </c>
      <c r="C31" s="26">
        <v>2244</v>
      </c>
      <c r="D31" s="17">
        <v>6.2910841221481002</v>
      </c>
      <c r="E31" s="17">
        <v>0.30816159077219796</v>
      </c>
      <c r="F31" s="17">
        <v>1.03746995875587</v>
      </c>
      <c r="G31" s="17">
        <v>0.34293268328196302</v>
      </c>
      <c r="H31" s="17">
        <v>54.802396543710998</v>
      </c>
      <c r="I31" s="17">
        <v>0.29849912704089199</v>
      </c>
      <c r="J31" s="17">
        <v>9.5461885167528102</v>
      </c>
      <c r="K31" s="17">
        <v>0.41554761196637302</v>
      </c>
      <c r="L31" s="17">
        <v>2.2831943339881198</v>
      </c>
      <c r="M31" s="17">
        <v>0.145580393095079</v>
      </c>
      <c r="N31" s="17">
        <v>30.696023057831802</v>
      </c>
      <c r="O31" s="17">
        <v>0.124006182803791</v>
      </c>
      <c r="P31" s="17">
        <f t="shared" si="0"/>
        <v>99.999999999999901</v>
      </c>
      <c r="Q31" s="26">
        <v>1890</v>
      </c>
      <c r="S31" s="7"/>
    </row>
    <row r="32" spans="1:19">
      <c r="A32" s="33" t="s">
        <v>30</v>
      </c>
      <c r="B32" s="35"/>
      <c r="C32" s="36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>
        <f t="shared" si="0"/>
        <v>0</v>
      </c>
      <c r="Q32" s="36"/>
      <c r="S32" s="7"/>
    </row>
    <row r="33" spans="1:19">
      <c r="A33" s="4" t="s">
        <v>44</v>
      </c>
      <c r="B33" s="17">
        <v>85.13143199999999</v>
      </c>
      <c r="C33" s="26">
        <v>1905</v>
      </c>
      <c r="D33" s="17">
        <v>6.4986259777977304</v>
      </c>
      <c r="E33" s="17">
        <v>0.79530873788345391</v>
      </c>
      <c r="F33" s="17">
        <v>2.46920658589681</v>
      </c>
      <c r="G33" s="17">
        <v>0.29107047722144602</v>
      </c>
      <c r="H33" s="17">
        <v>56.266482156364908</v>
      </c>
      <c r="I33" s="17">
        <v>8.7934275146189095E-2</v>
      </c>
      <c r="J33" s="17">
        <v>12.468905610699901</v>
      </c>
      <c r="K33" s="17">
        <v>3.7225856337493597</v>
      </c>
      <c r="L33" s="17">
        <v>3.33924113768024</v>
      </c>
      <c r="M33" s="17">
        <v>6.2011885060008605E-2</v>
      </c>
      <c r="N33" s="17">
        <v>20.2244601497218</v>
      </c>
      <c r="O33" s="17">
        <v>0.27279335057577103</v>
      </c>
      <c r="P33" s="17">
        <f t="shared" si="0"/>
        <v>99.999999999999886</v>
      </c>
      <c r="Q33" s="26">
        <v>1661</v>
      </c>
      <c r="S33" s="7"/>
    </row>
    <row r="34" spans="1:19">
      <c r="A34" s="4" t="s">
        <v>45</v>
      </c>
      <c r="B34" s="17">
        <v>89.803921000000003</v>
      </c>
      <c r="C34" s="26">
        <v>55</v>
      </c>
      <c r="D34" s="17">
        <v>6.3187978652415699</v>
      </c>
      <c r="E34" s="17">
        <v>0</v>
      </c>
      <c r="F34" s="17">
        <v>0</v>
      </c>
      <c r="G34" s="17">
        <v>0</v>
      </c>
      <c r="H34" s="17">
        <v>46.026596785431501</v>
      </c>
      <c r="I34" s="17">
        <v>0</v>
      </c>
      <c r="J34" s="17">
        <v>0</v>
      </c>
      <c r="K34" s="17">
        <v>0</v>
      </c>
      <c r="L34" s="17">
        <v>5.5035023521942898</v>
      </c>
      <c r="M34" s="17">
        <v>0</v>
      </c>
      <c r="N34" s="17">
        <v>48.469900862374196</v>
      </c>
      <c r="O34" s="17">
        <v>0</v>
      </c>
      <c r="P34" s="17">
        <f t="shared" si="0"/>
        <v>99.999999999999986</v>
      </c>
      <c r="Q34" s="26">
        <v>48</v>
      </c>
      <c r="S34" s="7"/>
    </row>
    <row r="35" spans="1:19">
      <c r="A35" s="4" t="s">
        <v>46</v>
      </c>
      <c r="B35" s="17">
        <v>85.552076999999997</v>
      </c>
      <c r="C35" s="26">
        <v>2725</v>
      </c>
      <c r="D35" s="17">
        <v>6.2381287217396597</v>
      </c>
      <c r="E35" s="17">
        <v>0.43488804351573895</v>
      </c>
      <c r="F35" s="17">
        <v>1.77012579991696</v>
      </c>
      <c r="G35" s="17">
        <v>0.20039166483867199</v>
      </c>
      <c r="H35" s="17">
        <v>61.186820660808309</v>
      </c>
      <c r="I35" s="17">
        <v>0.32331156044561599</v>
      </c>
      <c r="J35" s="17">
        <v>8.5717886909478089</v>
      </c>
      <c r="K35" s="17">
        <v>1.8913286598707402</v>
      </c>
      <c r="L35" s="17">
        <v>3.7969196688469404</v>
      </c>
      <c r="M35" s="17">
        <v>0.106164593302494</v>
      </c>
      <c r="N35" s="17">
        <v>21.144723423076002</v>
      </c>
      <c r="O35" s="17">
        <v>0.57353723443055793</v>
      </c>
      <c r="P35" s="17">
        <f t="shared" si="0"/>
        <v>99.999999999999844</v>
      </c>
      <c r="Q35" s="26">
        <v>2355</v>
      </c>
      <c r="S35" s="7"/>
    </row>
    <row r="36" spans="1:19">
      <c r="A36" s="4" t="s">
        <v>47</v>
      </c>
      <c r="B36" s="17">
        <v>81.002472999999995</v>
      </c>
      <c r="C36" s="26">
        <v>4170</v>
      </c>
      <c r="D36" s="17">
        <v>5.6140120372402</v>
      </c>
      <c r="E36" s="17">
        <v>0.19768318049180497</v>
      </c>
      <c r="F36" s="17">
        <v>0.657653577174932</v>
      </c>
      <c r="G36" s="17">
        <v>9.2208743374712701E-2</v>
      </c>
      <c r="H36" s="17">
        <v>78.41850309801201</v>
      </c>
      <c r="I36" s="17">
        <v>0.11572387496358899</v>
      </c>
      <c r="J36" s="17">
        <v>4.0043806712776497</v>
      </c>
      <c r="K36" s="17">
        <v>0.96479702439829196</v>
      </c>
      <c r="L36" s="17">
        <v>4.0709825771966601</v>
      </c>
      <c r="M36" s="17">
        <v>6.5498279700183099E-2</v>
      </c>
      <c r="N36" s="17">
        <v>11.1568505941877</v>
      </c>
      <c r="O36" s="17">
        <v>0.25571837922241097</v>
      </c>
      <c r="P36" s="17">
        <f t="shared" si="0"/>
        <v>99.999999999999943</v>
      </c>
      <c r="Q36" s="26">
        <v>3420</v>
      </c>
      <c r="S36" s="7"/>
    </row>
    <row r="37" spans="1:19">
      <c r="A37" s="4" t="s">
        <v>48</v>
      </c>
      <c r="B37" s="17">
        <v>74.963830000000002</v>
      </c>
      <c r="C37" s="26">
        <v>946</v>
      </c>
      <c r="D37" s="17">
        <v>4.8716393051654103</v>
      </c>
      <c r="E37" s="17">
        <v>0.187898941474956</v>
      </c>
      <c r="F37" s="17">
        <v>0.21196811857933698</v>
      </c>
      <c r="G37" s="17">
        <v>0.181120357389322</v>
      </c>
      <c r="H37" s="17">
        <v>86.533589304333802</v>
      </c>
      <c r="I37" s="17">
        <v>0</v>
      </c>
      <c r="J37" s="17">
        <v>0.77554011694758396</v>
      </c>
      <c r="K37" s="17">
        <v>0.31913312508913799</v>
      </c>
      <c r="L37" s="17">
        <v>4.53882366956877</v>
      </c>
      <c r="M37" s="17">
        <v>0.37476935585621801</v>
      </c>
      <c r="N37" s="17">
        <v>6.8771570107608202</v>
      </c>
      <c r="O37" s="17">
        <v>0</v>
      </c>
      <c r="P37" s="17">
        <f t="shared" si="0"/>
        <v>99.999999999999943</v>
      </c>
      <c r="Q37" s="26">
        <v>726</v>
      </c>
      <c r="S37" s="7"/>
    </row>
    <row r="38" spans="1:19">
      <c r="A38" s="33" t="s">
        <v>0</v>
      </c>
      <c r="B38" s="35"/>
      <c r="C38" s="36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6"/>
      <c r="S38" s="7"/>
    </row>
    <row r="39" spans="1:19">
      <c r="A39" s="4" t="s">
        <v>49</v>
      </c>
      <c r="B39" s="17">
        <v>90.287569999999988</v>
      </c>
      <c r="C39" s="26">
        <v>675</v>
      </c>
      <c r="D39" s="17">
        <v>6.4929715374786996</v>
      </c>
      <c r="E39" s="17">
        <v>2.22084755876587</v>
      </c>
      <c r="F39" s="17">
        <v>2.6564625646703801</v>
      </c>
      <c r="G39" s="17">
        <v>1.01322134774902</v>
      </c>
      <c r="H39" s="17">
        <v>58.547609061791093</v>
      </c>
      <c r="I39" s="17">
        <v>0</v>
      </c>
      <c r="J39" s="17">
        <v>16.455601798652499</v>
      </c>
      <c r="K39" s="17">
        <v>1.7221715315569299</v>
      </c>
      <c r="L39" s="17">
        <v>5.6153428208437797</v>
      </c>
      <c r="M39" s="17">
        <v>0.10773045753901501</v>
      </c>
      <c r="N39" s="17">
        <v>10.623604762619699</v>
      </c>
      <c r="O39" s="17">
        <v>1.03740809581148</v>
      </c>
      <c r="P39" s="17">
        <f t="shared" si="0"/>
        <v>99.999999999999773</v>
      </c>
      <c r="Q39" s="26">
        <v>618</v>
      </c>
      <c r="S39" s="7"/>
    </row>
    <row r="40" spans="1:19">
      <c r="A40" s="4" t="s">
        <v>50</v>
      </c>
      <c r="B40" s="17">
        <v>87.023089999999996</v>
      </c>
      <c r="C40" s="26">
        <v>765</v>
      </c>
      <c r="D40" s="17">
        <v>6.5761580254083301</v>
      </c>
      <c r="E40" s="17">
        <v>0.63950487671588008</v>
      </c>
      <c r="F40" s="17">
        <v>3.1548745229582895</v>
      </c>
      <c r="G40" s="17">
        <v>0.378327557616841</v>
      </c>
      <c r="H40" s="17">
        <v>57.626385166850604</v>
      </c>
      <c r="I40" s="17">
        <v>0.53905186523748094</v>
      </c>
      <c r="J40" s="17">
        <v>12.544059898394499</v>
      </c>
      <c r="K40" s="17">
        <v>0.86052915591401802</v>
      </c>
      <c r="L40" s="17">
        <v>5.5738376296090495</v>
      </c>
      <c r="M40" s="17">
        <v>6.3780503168268401E-2</v>
      </c>
      <c r="N40" s="17">
        <v>18.158841725558101</v>
      </c>
      <c r="O40" s="17">
        <v>0.46080709797671898</v>
      </c>
      <c r="P40" s="17">
        <f t="shared" si="0"/>
        <v>99.999999999999758</v>
      </c>
      <c r="Q40" s="26">
        <v>676</v>
      </c>
      <c r="S40" s="7"/>
    </row>
    <row r="41" spans="1:19">
      <c r="A41" s="4" t="s">
        <v>51</v>
      </c>
      <c r="B41" s="17">
        <v>86.327730000000003</v>
      </c>
      <c r="C41" s="26">
        <v>839</v>
      </c>
      <c r="D41" s="17">
        <v>6.4160018570474699</v>
      </c>
      <c r="E41" s="17">
        <v>0.82894022984289495</v>
      </c>
      <c r="F41" s="17">
        <v>1.8066304162442302</v>
      </c>
      <c r="G41" s="17">
        <v>0.26834006939334298</v>
      </c>
      <c r="H41" s="17">
        <v>58.705341138410702</v>
      </c>
      <c r="I41" s="17">
        <v>0.34693106941256502</v>
      </c>
      <c r="J41" s="17">
        <v>11.4738944090041</v>
      </c>
      <c r="K41" s="17">
        <v>1.0516892495875301</v>
      </c>
      <c r="L41" s="17">
        <v>2.5335197811218899</v>
      </c>
      <c r="M41" s="17">
        <v>0.18411914384090899</v>
      </c>
      <c r="N41" s="17">
        <v>22.1050674230247</v>
      </c>
      <c r="O41" s="17">
        <v>0.69552707011691595</v>
      </c>
      <c r="P41" s="17">
        <f t="shared" si="0"/>
        <v>99.999999999999758</v>
      </c>
      <c r="Q41" s="26">
        <v>733</v>
      </c>
      <c r="S41" s="7"/>
    </row>
    <row r="42" spans="1:19">
      <c r="A42" s="4" t="s">
        <v>52</v>
      </c>
      <c r="B42" s="17">
        <v>86.749977000000001</v>
      </c>
      <c r="C42" s="26">
        <v>854</v>
      </c>
      <c r="D42" s="17">
        <v>6.3144216366228703</v>
      </c>
      <c r="E42" s="17">
        <v>0.27082839903321604</v>
      </c>
      <c r="F42" s="17">
        <v>1.5188005891604199</v>
      </c>
      <c r="G42" s="17">
        <v>0</v>
      </c>
      <c r="H42" s="17">
        <v>63.475854583121503</v>
      </c>
      <c r="I42" s="17">
        <v>0.208301954895043</v>
      </c>
      <c r="J42" s="17">
        <v>8.5581559136752308</v>
      </c>
      <c r="K42" s="17">
        <v>0.65676761102361103</v>
      </c>
      <c r="L42" s="17">
        <v>3.7737305422691603</v>
      </c>
      <c r="M42" s="17">
        <v>0.11689085893803799</v>
      </c>
      <c r="N42" s="17">
        <v>21.006401473525099</v>
      </c>
      <c r="O42" s="17">
        <v>0.41426807435862806</v>
      </c>
      <c r="P42" s="17">
        <f t="shared" si="0"/>
        <v>99.999999999999972</v>
      </c>
      <c r="Q42" s="26">
        <v>739</v>
      </c>
      <c r="S42" s="7"/>
    </row>
    <row r="43" spans="1:19">
      <c r="A43" s="4" t="s">
        <v>53</v>
      </c>
      <c r="B43" s="17">
        <v>86.685491999999996</v>
      </c>
      <c r="C43" s="26">
        <v>950</v>
      </c>
      <c r="D43" s="17">
        <v>6.2588168004764704</v>
      </c>
      <c r="E43" s="17">
        <v>0</v>
      </c>
      <c r="F43" s="17">
        <v>0.72986255870026195</v>
      </c>
      <c r="G43" s="17">
        <v>0.27252479121423101</v>
      </c>
      <c r="H43" s="17">
        <v>62.576384350924599</v>
      </c>
      <c r="I43" s="17">
        <v>6.5142318978633498E-2</v>
      </c>
      <c r="J43" s="17">
        <v>8.0618245536302293</v>
      </c>
      <c r="K43" s="17">
        <v>2.9203226768138499</v>
      </c>
      <c r="L43" s="17">
        <v>4.0234119391537604</v>
      </c>
      <c r="M43" s="17">
        <v>0</v>
      </c>
      <c r="N43" s="17">
        <v>21.070415408516798</v>
      </c>
      <c r="O43" s="17">
        <v>0.28011140206748802</v>
      </c>
      <c r="P43" s="17">
        <f t="shared" si="0"/>
        <v>99.999999999999844</v>
      </c>
      <c r="Q43" s="26">
        <v>829</v>
      </c>
      <c r="S43" s="7"/>
    </row>
    <row r="44" spans="1:19">
      <c r="A44" s="4" t="s">
        <v>54</v>
      </c>
      <c r="B44" s="17">
        <v>84.381613000000002</v>
      </c>
      <c r="C44" s="26">
        <v>1008</v>
      </c>
      <c r="D44" s="17">
        <v>6.1263579573981302</v>
      </c>
      <c r="E44" s="17">
        <v>0</v>
      </c>
      <c r="F44" s="17">
        <v>1.0769114857248101</v>
      </c>
      <c r="G44" s="17">
        <v>0</v>
      </c>
      <c r="H44" s="17">
        <v>65.552120199455899</v>
      </c>
      <c r="I44" s="17">
        <v>0.37945695644069</v>
      </c>
      <c r="J44" s="17">
        <v>6.9543809932337499</v>
      </c>
      <c r="K44" s="17">
        <v>1.49610116324625</v>
      </c>
      <c r="L44" s="17">
        <v>4.9968209231977898</v>
      </c>
      <c r="M44" s="17">
        <v>9.0131704626982306E-2</v>
      </c>
      <c r="N44" s="17">
        <v>19.410345401792199</v>
      </c>
      <c r="O44" s="17">
        <v>4.3731172281569204E-2</v>
      </c>
      <c r="P44" s="17">
        <f t="shared" si="0"/>
        <v>99.999999999999943</v>
      </c>
      <c r="Q44" s="26">
        <v>860</v>
      </c>
      <c r="S44" s="7"/>
    </row>
    <row r="45" spans="1:19">
      <c r="A45" s="4" t="s">
        <v>55</v>
      </c>
      <c r="B45" s="17">
        <v>80.794339000000008</v>
      </c>
      <c r="C45" s="26">
        <v>1101</v>
      </c>
      <c r="D45" s="17">
        <v>5.8885266843746003</v>
      </c>
      <c r="E45" s="17">
        <v>0</v>
      </c>
      <c r="F45" s="17">
        <v>0.75573150005951395</v>
      </c>
      <c r="G45" s="17">
        <v>0</v>
      </c>
      <c r="H45" s="17">
        <v>73.500173516928001</v>
      </c>
      <c r="I45" s="17">
        <v>7.3796612380969795E-2</v>
      </c>
      <c r="J45" s="17">
        <v>3.7463632106499203</v>
      </c>
      <c r="K45" s="17">
        <v>2.1879986613706301</v>
      </c>
      <c r="L45" s="17">
        <v>4.3185762748633501</v>
      </c>
      <c r="M45" s="17">
        <v>0</v>
      </c>
      <c r="N45" s="17">
        <v>15.125939838806</v>
      </c>
      <c r="O45" s="17">
        <v>0.291420384941523</v>
      </c>
      <c r="P45" s="17">
        <f t="shared" si="0"/>
        <v>99.999999999999901</v>
      </c>
      <c r="Q45" s="26">
        <v>908</v>
      </c>
      <c r="S45" s="7"/>
    </row>
    <row r="46" spans="1:19">
      <c r="A46" s="4" t="s">
        <v>56</v>
      </c>
      <c r="B46" s="17">
        <v>81.784882999999994</v>
      </c>
      <c r="C46" s="26">
        <v>1197</v>
      </c>
      <c r="D46" s="17">
        <v>5.5684117472314396</v>
      </c>
      <c r="E46" s="17">
        <v>0.166539695980612</v>
      </c>
      <c r="F46" s="17">
        <v>0.72195512760315905</v>
      </c>
      <c r="G46" s="17">
        <v>0</v>
      </c>
      <c r="H46" s="17">
        <v>77.161456691710598</v>
      </c>
      <c r="I46" s="17">
        <v>0</v>
      </c>
      <c r="J46" s="17">
        <v>2.6781751331203902</v>
      </c>
      <c r="K46" s="17">
        <v>1.21937222083944</v>
      </c>
      <c r="L46" s="17">
        <v>4.3637223085158796</v>
      </c>
      <c r="M46" s="17">
        <v>0.32050962310125697</v>
      </c>
      <c r="N46" s="17">
        <v>13.333033026553201</v>
      </c>
      <c r="O46" s="17">
        <v>3.5236172575315701E-2</v>
      </c>
      <c r="P46" s="17">
        <f t="shared" si="0"/>
        <v>99.999999999999844</v>
      </c>
      <c r="Q46" s="26">
        <v>990</v>
      </c>
      <c r="S46" s="7"/>
    </row>
    <row r="47" spans="1:19">
      <c r="A47" s="4" t="s">
        <v>57</v>
      </c>
      <c r="B47" s="17">
        <v>80.505093000000002</v>
      </c>
      <c r="C47" s="26">
        <v>1283</v>
      </c>
      <c r="D47" s="17">
        <v>5.21114176805062</v>
      </c>
      <c r="E47" s="17">
        <v>0.34268163500093601</v>
      </c>
      <c r="F47" s="17">
        <v>0.41058922114818397</v>
      </c>
      <c r="G47" s="17">
        <v>0.140394324536955</v>
      </c>
      <c r="H47" s="17">
        <v>81.902064915093604</v>
      </c>
      <c r="I47" s="17">
        <v>9.9756370383816698E-2</v>
      </c>
      <c r="J47" s="17">
        <v>1.4364620841259901</v>
      </c>
      <c r="K47" s="17">
        <v>1.2291585401141301</v>
      </c>
      <c r="L47" s="17">
        <v>3.76254268595302</v>
      </c>
      <c r="M47" s="17">
        <v>0.236986203361857</v>
      </c>
      <c r="N47" s="17">
        <v>10.0135708831746</v>
      </c>
      <c r="O47" s="17">
        <v>0.42579313710675798</v>
      </c>
      <c r="P47" s="17">
        <f t="shared" si="0"/>
        <v>99.999999999999829</v>
      </c>
      <c r="Q47" s="26">
        <v>1033</v>
      </c>
      <c r="S47" s="7"/>
    </row>
    <row r="48" spans="1:19">
      <c r="A48" s="4" t="s">
        <v>58</v>
      </c>
      <c r="B48" s="17">
        <v>70.880577000000002</v>
      </c>
      <c r="C48" s="26">
        <v>1418</v>
      </c>
      <c r="D48" s="17">
        <v>4.6797086921604896</v>
      </c>
      <c r="E48" s="17">
        <v>0.154346213404288</v>
      </c>
      <c r="F48" s="17">
        <v>0.73282001933039298</v>
      </c>
      <c r="G48" s="17">
        <v>0</v>
      </c>
      <c r="H48" s="17">
        <v>86.695112245864408</v>
      </c>
      <c r="I48" s="17">
        <v>0</v>
      </c>
      <c r="J48" s="17">
        <v>1.4034260928808699</v>
      </c>
      <c r="K48" s="17">
        <v>1.9670283352882301</v>
      </c>
      <c r="L48" s="17">
        <v>3.1487680619832004</v>
      </c>
      <c r="M48" s="17">
        <v>0</v>
      </c>
      <c r="N48" s="17">
        <v>5.8984990312485799</v>
      </c>
      <c r="O48" s="17">
        <v>0</v>
      </c>
      <c r="P48" s="17">
        <f t="shared" si="0"/>
        <v>99.999999999999972</v>
      </c>
      <c r="Q48" s="26">
        <v>1041</v>
      </c>
      <c r="S48" s="7"/>
    </row>
    <row r="49" spans="1:19">
      <c r="A49" s="33" t="s">
        <v>25</v>
      </c>
      <c r="B49" s="35"/>
      <c r="C49" s="3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6"/>
      <c r="S49" s="7"/>
    </row>
    <row r="50" spans="1:19">
      <c r="A50" s="6" t="s">
        <v>18</v>
      </c>
      <c r="B50" s="17">
        <v>72.243435000000005</v>
      </c>
      <c r="C50" s="26">
        <v>715</v>
      </c>
      <c r="D50" s="17">
        <v>4.9150948860055204</v>
      </c>
      <c r="E50" s="17">
        <v>0</v>
      </c>
      <c r="F50" s="17">
        <v>1.1545445175573699</v>
      </c>
      <c r="G50" s="17">
        <v>0</v>
      </c>
      <c r="H50" s="17">
        <v>95.968346355281795</v>
      </c>
      <c r="I50" s="17">
        <v>0</v>
      </c>
      <c r="J50" s="17">
        <v>1.7831853631202801</v>
      </c>
      <c r="K50" s="17">
        <v>0.60164208608266301</v>
      </c>
      <c r="L50" s="17">
        <v>0.39060218437072197</v>
      </c>
      <c r="M50" s="17">
        <v>0</v>
      </c>
      <c r="N50" s="17">
        <v>0.10167949358710301</v>
      </c>
      <c r="O50" s="17">
        <v>0</v>
      </c>
      <c r="P50" s="17">
        <f t="shared" si="0"/>
        <v>99.999999999999929</v>
      </c>
      <c r="Q50" s="26">
        <v>533</v>
      </c>
      <c r="S50" s="7"/>
    </row>
    <row r="51" spans="1:19">
      <c r="A51" s="6" t="s">
        <v>20</v>
      </c>
      <c r="B51" s="17">
        <v>69.119246000000004</v>
      </c>
      <c r="C51" s="26">
        <v>111</v>
      </c>
      <c r="D51" s="17">
        <v>3.9018083376924499</v>
      </c>
      <c r="E51" s="17">
        <v>0.68814794102799393</v>
      </c>
      <c r="F51" s="17">
        <v>0</v>
      </c>
      <c r="G51" s="17">
        <v>0</v>
      </c>
      <c r="H51" s="17">
        <v>99.311852058972008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f t="shared" si="0"/>
        <v>100</v>
      </c>
      <c r="Q51" s="26">
        <v>77</v>
      </c>
      <c r="S51" s="7"/>
    </row>
    <row r="52" spans="1:19">
      <c r="A52" s="6" t="s">
        <v>19</v>
      </c>
      <c r="B52" s="17">
        <v>67.826678000000001</v>
      </c>
      <c r="C52" s="26">
        <v>33</v>
      </c>
      <c r="D52" s="17">
        <v>5.0479640128310699</v>
      </c>
      <c r="E52" s="17">
        <v>0</v>
      </c>
      <c r="F52" s="17">
        <v>0</v>
      </c>
      <c r="G52" s="17">
        <v>0</v>
      </c>
      <c r="H52" s="17">
        <v>100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f t="shared" si="0"/>
        <v>100</v>
      </c>
      <c r="Q52" s="26">
        <v>21</v>
      </c>
      <c r="S52" s="7"/>
    </row>
    <row r="53" spans="1:19">
      <c r="A53" s="6" t="s">
        <v>14</v>
      </c>
      <c r="B53" s="17">
        <v>94.652037000000007</v>
      </c>
      <c r="C53" s="26">
        <v>146</v>
      </c>
      <c r="D53" s="17">
        <v>6.4873739684334497</v>
      </c>
      <c r="E53" s="17">
        <v>1.40359534775512</v>
      </c>
      <c r="F53" s="17">
        <v>7.6746413742384192</v>
      </c>
      <c r="G53" s="17">
        <v>0.70202742809502194</v>
      </c>
      <c r="H53" s="17">
        <v>43.287098856186205</v>
      </c>
      <c r="I53" s="17">
        <v>0</v>
      </c>
      <c r="J53" s="17">
        <v>41.138711225109098</v>
      </c>
      <c r="K53" s="17">
        <v>3.0782176757067101</v>
      </c>
      <c r="L53" s="17">
        <v>1.4943974284008199</v>
      </c>
      <c r="M53" s="17">
        <v>0.34308486629387702</v>
      </c>
      <c r="N53" s="17">
        <v>0.259926402814119</v>
      </c>
      <c r="O53" s="17">
        <v>0.61829939540047096</v>
      </c>
      <c r="P53" s="17">
        <f t="shared" si="0"/>
        <v>99.999999999999858</v>
      </c>
      <c r="Q53" s="26">
        <v>136</v>
      </c>
      <c r="S53" s="7"/>
    </row>
    <row r="54" spans="1:19">
      <c r="A54" s="6" t="s">
        <v>15</v>
      </c>
      <c r="B54" s="17">
        <v>85.750040999999996</v>
      </c>
      <c r="C54" s="26">
        <v>1292</v>
      </c>
      <c r="D54" s="17">
        <v>5.1976408143445401</v>
      </c>
      <c r="E54" s="17">
        <v>0.8123514229421871</v>
      </c>
      <c r="F54" s="17">
        <v>2.7276428964440598</v>
      </c>
      <c r="G54" s="17">
        <v>0</v>
      </c>
      <c r="H54" s="17">
        <v>78.689782645388888</v>
      </c>
      <c r="I54" s="17">
        <v>6.3494085627743904E-2</v>
      </c>
      <c r="J54" s="17">
        <v>11.3602113726706</v>
      </c>
      <c r="K54" s="17">
        <v>3.2620937796099101</v>
      </c>
      <c r="L54" s="17">
        <v>2.2511305267236201</v>
      </c>
      <c r="M54" s="17">
        <v>0.13821074913169401</v>
      </c>
      <c r="N54" s="17">
        <v>0.436108471542003</v>
      </c>
      <c r="O54" s="17">
        <v>0.258974049919239</v>
      </c>
      <c r="P54" s="17">
        <f t="shared" si="0"/>
        <v>99.999999999999943</v>
      </c>
      <c r="Q54" s="26">
        <v>1115</v>
      </c>
      <c r="S54" s="7"/>
    </row>
    <row r="55" spans="1:19">
      <c r="A55" s="6" t="s">
        <v>16</v>
      </c>
      <c r="B55" s="17">
        <v>81.348452999999992</v>
      </c>
      <c r="C55" s="26">
        <v>4610</v>
      </c>
      <c r="D55" s="17">
        <v>6.00781130530327</v>
      </c>
      <c r="E55" s="17">
        <v>0.15823767674825001</v>
      </c>
      <c r="F55" s="17">
        <v>0.250163362005828</v>
      </c>
      <c r="G55" s="17">
        <v>3.0932453018748099E-2</v>
      </c>
      <c r="H55" s="17">
        <v>60.832462573894595</v>
      </c>
      <c r="I55" s="17">
        <v>0.267363520625714</v>
      </c>
      <c r="J55" s="17">
        <v>4.7379162030930395</v>
      </c>
      <c r="K55" s="17">
        <v>1.0568798374470298</v>
      </c>
      <c r="L55" s="17">
        <v>5.2311647412011801</v>
      </c>
      <c r="M55" s="17">
        <v>9.9767831545394495E-2</v>
      </c>
      <c r="N55" s="17">
        <v>27.103089035502396</v>
      </c>
      <c r="O55" s="17">
        <v>0.23202276491768201</v>
      </c>
      <c r="P55" s="17">
        <f t="shared" si="0"/>
        <v>99.999999999999858</v>
      </c>
      <c r="Q55" s="26">
        <v>3781</v>
      </c>
      <c r="S55" s="7"/>
    </row>
    <row r="56" spans="1:19">
      <c r="A56" s="6" t="s">
        <v>59</v>
      </c>
      <c r="B56" s="17">
        <v>53.375260000000004</v>
      </c>
      <c r="C56" s="26">
        <v>165</v>
      </c>
      <c r="D56" s="17">
        <v>5.31958660086688</v>
      </c>
      <c r="E56" s="17">
        <v>0</v>
      </c>
      <c r="F56" s="17">
        <v>1.4876060523593</v>
      </c>
      <c r="G56" s="17">
        <v>1.3923155381183101</v>
      </c>
      <c r="H56" s="17">
        <v>85.238931482438801</v>
      </c>
      <c r="I56" s="17">
        <v>0</v>
      </c>
      <c r="J56" s="17">
        <v>2.6047464019387299</v>
      </c>
      <c r="K56" s="17">
        <v>3.6281558582728399</v>
      </c>
      <c r="L56" s="17">
        <v>2.0725651613062901</v>
      </c>
      <c r="M56" s="17">
        <v>0</v>
      </c>
      <c r="N56" s="17">
        <v>2.5991374806029</v>
      </c>
      <c r="O56" s="17">
        <v>0.97654202496278297</v>
      </c>
      <c r="P56" s="17">
        <f t="shared" si="0"/>
        <v>99.999999999999943</v>
      </c>
      <c r="Q56" s="26">
        <v>91</v>
      </c>
      <c r="S56" s="7"/>
    </row>
    <row r="57" spans="1:19">
      <c r="A57" s="6" t="s">
        <v>60</v>
      </c>
      <c r="B57" s="17">
        <v>79.864833000000004</v>
      </c>
      <c r="C57" s="26">
        <v>108</v>
      </c>
      <c r="D57" s="17">
        <v>5.0262134350354701</v>
      </c>
      <c r="E57" s="17">
        <v>0</v>
      </c>
      <c r="F57" s="17">
        <v>0</v>
      </c>
      <c r="G57" s="17">
        <v>0</v>
      </c>
      <c r="H57" s="17">
        <v>90.553471450777707</v>
      </c>
      <c r="I57" s="17">
        <v>0</v>
      </c>
      <c r="J57" s="17">
        <v>0</v>
      </c>
      <c r="K57" s="17">
        <v>6.1863922381459897</v>
      </c>
      <c r="L57" s="17">
        <v>3.2601363110762902</v>
      </c>
      <c r="M57" s="17">
        <v>0</v>
      </c>
      <c r="N57" s="17">
        <v>0</v>
      </c>
      <c r="O57" s="17">
        <v>0</v>
      </c>
      <c r="P57" s="17">
        <f t="shared" si="0"/>
        <v>99.999999999999986</v>
      </c>
      <c r="Q57" s="26">
        <v>91</v>
      </c>
      <c r="S57" s="7"/>
    </row>
    <row r="58" spans="1:19">
      <c r="A58" s="6" t="s">
        <v>21</v>
      </c>
      <c r="B58" s="17">
        <v>62.550662000000003</v>
      </c>
      <c r="C58" s="26">
        <v>35</v>
      </c>
      <c r="D58" s="17">
        <v>4.6468929196635704</v>
      </c>
      <c r="E58" s="17">
        <v>0</v>
      </c>
      <c r="F58" s="17">
        <v>0</v>
      </c>
      <c r="G58" s="17">
        <v>0</v>
      </c>
      <c r="H58" s="17">
        <v>86.209061565721598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13.790938434278299</v>
      </c>
      <c r="O58" s="17">
        <v>0</v>
      </c>
      <c r="P58" s="17">
        <f t="shared" si="0"/>
        <v>99.999999999999901</v>
      </c>
      <c r="Q58" s="26">
        <v>20</v>
      </c>
      <c r="S58" s="7"/>
    </row>
    <row r="59" spans="1:19">
      <c r="A59" s="6" t="s">
        <v>61</v>
      </c>
      <c r="B59" s="17">
        <v>85.896602000000001</v>
      </c>
      <c r="C59" s="26">
        <v>1000</v>
      </c>
      <c r="D59" s="17">
        <v>5.7984128752853401</v>
      </c>
      <c r="E59" s="17">
        <v>0.745616014294328</v>
      </c>
      <c r="F59" s="17">
        <v>1.5981103886658101</v>
      </c>
      <c r="G59" s="17">
        <v>0.18368888521995599</v>
      </c>
      <c r="H59" s="17">
        <v>81.107856850839894</v>
      </c>
      <c r="I59" s="17">
        <v>0</v>
      </c>
      <c r="J59" s="17">
        <v>8.4019336505062299</v>
      </c>
      <c r="K59" s="17">
        <v>3.3101568740619705</v>
      </c>
      <c r="L59" s="17">
        <v>2.8237976630441901</v>
      </c>
      <c r="M59" s="17">
        <v>0</v>
      </c>
      <c r="N59" s="17">
        <v>1.8288396733675401</v>
      </c>
      <c r="O59" s="17">
        <v>0</v>
      </c>
      <c r="P59" s="17">
        <f t="shared" si="0"/>
        <v>99.999999999999915</v>
      </c>
      <c r="Q59" s="26">
        <v>864</v>
      </c>
      <c r="S59" s="7"/>
    </row>
    <row r="60" spans="1:19">
      <c r="A60" s="6" t="s">
        <v>62</v>
      </c>
      <c r="B60" s="17">
        <v>87.335116999999997</v>
      </c>
      <c r="C60" s="26">
        <v>1272</v>
      </c>
      <c r="D60" s="17">
        <v>6.25469975264713</v>
      </c>
      <c r="E60" s="17">
        <v>0.55599499860263801</v>
      </c>
      <c r="F60" s="17">
        <v>3.6715502858837996</v>
      </c>
      <c r="G60" s="17">
        <v>0.98485941274441302</v>
      </c>
      <c r="H60" s="17">
        <v>74.392425029812699</v>
      </c>
      <c r="I60" s="17">
        <v>3.63521014095523E-2</v>
      </c>
      <c r="J60" s="17">
        <v>5.4938600497284797</v>
      </c>
      <c r="K60" s="17">
        <v>1.2314942952465899</v>
      </c>
      <c r="L60" s="17">
        <v>6.5062001952739799</v>
      </c>
      <c r="M60" s="17">
        <v>0.32886787709919602</v>
      </c>
      <c r="N60" s="17">
        <v>5.5413372893755195</v>
      </c>
      <c r="O60" s="17">
        <v>1.2570584648230601</v>
      </c>
      <c r="P60" s="17">
        <f t="shared" si="0"/>
        <v>99.999999999999929</v>
      </c>
      <c r="Q60" s="26">
        <v>1127</v>
      </c>
      <c r="S60" s="7"/>
    </row>
    <row r="61" spans="1:19">
      <c r="A61" s="6" t="s">
        <v>17</v>
      </c>
      <c r="B61" s="17">
        <v>84.195346000000001</v>
      </c>
      <c r="C61" s="26">
        <v>31</v>
      </c>
      <c r="D61" s="17">
        <v>4.4604164267761801</v>
      </c>
      <c r="E61" s="17">
        <v>3.3908500608673204</v>
      </c>
      <c r="F61" s="17">
        <v>0</v>
      </c>
      <c r="G61" s="17">
        <v>0</v>
      </c>
      <c r="H61" s="17">
        <v>87.77089921281231</v>
      </c>
      <c r="I61" s="17">
        <v>0</v>
      </c>
      <c r="J61" s="17">
        <v>8.83825072632035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f t="shared" si="0"/>
        <v>99.999999999999986</v>
      </c>
      <c r="Q61" s="26">
        <v>27</v>
      </c>
      <c r="S61" s="7"/>
    </row>
    <row r="62" spans="1:19">
      <c r="A62" s="6" t="s">
        <v>63</v>
      </c>
      <c r="B62" s="18">
        <v>94.795698999999999</v>
      </c>
      <c r="C62" s="27">
        <v>572</v>
      </c>
      <c r="D62" s="18">
        <v>6.3274064863205401</v>
      </c>
      <c r="E62" s="18">
        <v>0.49679842902191007</v>
      </c>
      <c r="F62" s="18">
        <v>0</v>
      </c>
      <c r="G62" s="18">
        <v>0</v>
      </c>
      <c r="H62" s="18">
        <v>87.562102323920101</v>
      </c>
      <c r="I62" s="18">
        <v>0</v>
      </c>
      <c r="J62" s="18">
        <v>5.9197482101686196</v>
      </c>
      <c r="K62" s="18">
        <v>0</v>
      </c>
      <c r="L62" s="18">
        <v>2.9243960164870799</v>
      </c>
      <c r="M62" s="18">
        <v>0.23831967554606101</v>
      </c>
      <c r="N62" s="18">
        <v>2.5106664112111501</v>
      </c>
      <c r="O62" s="18">
        <v>0.34796893364500098</v>
      </c>
      <c r="P62" s="17">
        <f t="shared" si="0"/>
        <v>99.999999999999929</v>
      </c>
      <c r="Q62" s="27">
        <v>544</v>
      </c>
      <c r="S62" s="7"/>
    </row>
    <row r="63" spans="1:19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3"/>
      <c r="Q63" s="23"/>
    </row>
    <row r="64" spans="1:19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6"/>
      <c r="Q64" s="16"/>
    </row>
    <row r="65" spans="2:17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6"/>
      <c r="Q65" s="16"/>
    </row>
    <row r="66" spans="2:17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6"/>
      <c r="Q66" s="16"/>
    </row>
    <row r="67" spans="2:17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6"/>
      <c r="Q67" s="16"/>
    </row>
    <row r="68" spans="2:17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6"/>
      <c r="Q68" s="16"/>
    </row>
    <row r="69" spans="2:17">
      <c r="B69" s="19"/>
      <c r="C69" s="16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6"/>
      <c r="Q69" s="16"/>
    </row>
    <row r="70" spans="2:17">
      <c r="B70" s="19"/>
      <c r="C70" s="16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6"/>
      <c r="Q70" s="16"/>
    </row>
    <row r="71" spans="2:17">
      <c r="B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</row>
    <row r="72" spans="2:17">
      <c r="B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</row>
    <row r="73" spans="2:17">
      <c r="B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</row>
    <row r="74" spans="2:17">
      <c r="B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</row>
    <row r="75" spans="2:17"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7"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7"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7"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7"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7"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</sheetData>
  <mergeCells count="1">
    <mergeCell ref="E3:P3"/>
  </mergeCells>
  <pageMargins left="0.7" right="0.7" top="0.75" bottom="0.75" header="0.3" footer="0.3"/>
  <ignoredErrors>
    <ignoredError sqref="P8 P9 P11:P24 P26:P27 P29:P37 P39:P48 P50:P6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667D-1435-4A91-85A9-C32E005396AD}">
  <dimension ref="A1:S86"/>
  <sheetViews>
    <sheetView topLeftCell="A49" zoomScale="80" zoomScaleNormal="80" workbookViewId="0">
      <selection activeCell="S10" sqref="S10"/>
    </sheetView>
  </sheetViews>
  <sheetFormatPr defaultColWidth="15.25" defaultRowHeight="13"/>
  <cols>
    <col min="1" max="1" width="16.4140625" style="2" customWidth="1"/>
    <col min="2" max="2" width="12.4140625" style="5" customWidth="1"/>
    <col min="3" max="3" width="7.58203125" style="5" customWidth="1"/>
    <col min="4" max="4" width="13.1640625" style="5" customWidth="1"/>
    <col min="5" max="5" width="9.1640625" style="5" customWidth="1"/>
    <col min="6" max="9" width="7.25" style="5" customWidth="1"/>
    <col min="10" max="10" width="9.08203125" style="5" customWidth="1"/>
    <col min="11" max="11" width="7.25" style="5" customWidth="1"/>
    <col min="12" max="12" width="9" style="5" customWidth="1"/>
    <col min="13" max="13" width="7.25" style="5" customWidth="1"/>
    <col min="14" max="14" width="7.75" style="5" customWidth="1"/>
    <col min="15" max="16" width="7.25" style="5" customWidth="1"/>
    <col min="17" max="17" width="9" style="5" customWidth="1"/>
    <col min="18" max="16384" width="15.25" style="2"/>
  </cols>
  <sheetData>
    <row r="1" spans="1:19">
      <c r="A1" s="3" t="s">
        <v>83</v>
      </c>
    </row>
    <row r="3" spans="1:19">
      <c r="E3" s="47" t="s">
        <v>81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12"/>
    </row>
    <row r="4" spans="1:19" ht="52">
      <c r="B4" s="8" t="s">
        <v>79</v>
      </c>
      <c r="C4" s="8" t="s">
        <v>36</v>
      </c>
      <c r="D4" s="13" t="s">
        <v>80</v>
      </c>
      <c r="E4" s="10" t="s">
        <v>64</v>
      </c>
      <c r="F4" s="13" t="s">
        <v>65</v>
      </c>
      <c r="G4" s="13" t="s">
        <v>67</v>
      </c>
      <c r="H4" s="13" t="s">
        <v>68</v>
      </c>
      <c r="I4" s="13" t="s">
        <v>69</v>
      </c>
      <c r="J4" s="13" t="s">
        <v>70</v>
      </c>
      <c r="K4" s="13" t="s">
        <v>71</v>
      </c>
      <c r="L4" s="13" t="s">
        <v>72</v>
      </c>
      <c r="M4" s="13" t="s">
        <v>59</v>
      </c>
      <c r="N4" s="13" t="s">
        <v>73</v>
      </c>
      <c r="O4" s="13" t="s">
        <v>74</v>
      </c>
      <c r="P4" s="13" t="s">
        <v>66</v>
      </c>
      <c r="Q4" s="13" t="s">
        <v>36</v>
      </c>
    </row>
    <row r="5" spans="1:19">
      <c r="B5" s="9" t="s">
        <v>35</v>
      </c>
      <c r="C5" s="9"/>
      <c r="D5" s="11" t="s">
        <v>34</v>
      </c>
      <c r="E5" s="11" t="s">
        <v>35</v>
      </c>
      <c r="F5" s="11" t="s">
        <v>35</v>
      </c>
      <c r="G5" s="11" t="s">
        <v>35</v>
      </c>
      <c r="H5" s="11" t="s">
        <v>35</v>
      </c>
      <c r="I5" s="11" t="s">
        <v>35</v>
      </c>
      <c r="J5" s="11" t="s">
        <v>35</v>
      </c>
      <c r="K5" s="11" t="s">
        <v>35</v>
      </c>
      <c r="L5" s="11" t="s">
        <v>35</v>
      </c>
      <c r="M5" s="11" t="s">
        <v>35</v>
      </c>
      <c r="N5" s="11" t="s">
        <v>35</v>
      </c>
      <c r="O5" s="11" t="s">
        <v>35</v>
      </c>
      <c r="P5" s="11" t="s">
        <v>35</v>
      </c>
      <c r="Q5" s="11"/>
    </row>
    <row r="6" spans="1:19">
      <c r="A6" s="1" t="s">
        <v>28</v>
      </c>
      <c r="B6" s="17">
        <v>51.830200000000005</v>
      </c>
      <c r="C6" s="26">
        <v>10090</v>
      </c>
      <c r="D6" s="17">
        <v>2.8683169999999998</v>
      </c>
      <c r="E6" s="17">
        <v>0.1109</v>
      </c>
      <c r="F6" s="17">
        <v>0.66680000000000006</v>
      </c>
      <c r="G6" s="17">
        <v>2.9500000000000002E-2</v>
      </c>
      <c r="H6" s="17">
        <v>94.783500000000004</v>
      </c>
      <c r="I6" s="17">
        <v>3.9899999999999998E-2</v>
      </c>
      <c r="J6" s="17">
        <v>0.39370000000000005</v>
      </c>
      <c r="K6" s="17">
        <v>1.0621</v>
      </c>
      <c r="L6" s="17">
        <v>2.766</v>
      </c>
      <c r="M6" s="17">
        <v>7.110000000000001E-2</v>
      </c>
      <c r="N6" s="17">
        <v>2.76E-2</v>
      </c>
      <c r="O6" s="17">
        <v>4.9099999999999998E-2</v>
      </c>
      <c r="P6" s="17">
        <v>99.999999999999929</v>
      </c>
      <c r="Q6" s="26">
        <f>SUM(Q8:Q9)</f>
        <v>4908</v>
      </c>
    </row>
    <row r="7" spans="1:19">
      <c r="A7" s="33" t="s">
        <v>29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9">
      <c r="A8" s="4" t="s">
        <v>24</v>
      </c>
      <c r="B8" s="17">
        <v>35.397739999999999</v>
      </c>
      <c r="C8" s="26">
        <v>5535</v>
      </c>
      <c r="D8" s="17">
        <v>2.8294015853182501</v>
      </c>
      <c r="E8" s="17">
        <v>5.94062734573962E-2</v>
      </c>
      <c r="F8" s="17">
        <v>1.3145898403537601</v>
      </c>
      <c r="G8" s="17">
        <v>0</v>
      </c>
      <c r="H8" s="17">
        <v>88.32903483669719</v>
      </c>
      <c r="I8" s="17">
        <v>4.2938381707426899E-2</v>
      </c>
      <c r="J8" s="17">
        <v>1.08938048120731</v>
      </c>
      <c r="K8" s="17">
        <v>2.15710768803803</v>
      </c>
      <c r="L8" s="17">
        <v>6.7209747412039595</v>
      </c>
      <c r="M8" s="17">
        <v>0.156240598486201</v>
      </c>
      <c r="N8" s="17">
        <v>0</v>
      </c>
      <c r="O8" s="17">
        <v>0.130327158848664</v>
      </c>
      <c r="P8" s="17">
        <f>SUM(E8:O8)</f>
        <v>99.999999999999943</v>
      </c>
      <c r="Q8" s="26">
        <v>1901</v>
      </c>
      <c r="S8" s="7"/>
    </row>
    <row r="9" spans="1:19">
      <c r="A9" s="4" t="s">
        <v>23</v>
      </c>
      <c r="B9" s="17">
        <v>65.754463000000001</v>
      </c>
      <c r="C9" s="32">
        <v>4555</v>
      </c>
      <c r="D9" s="17">
        <v>2.8860686329747098</v>
      </c>
      <c r="E9" s="17">
        <v>0.13434257233460301</v>
      </c>
      <c r="F9" s="17">
        <v>0.371345023866746</v>
      </c>
      <c r="G9" s="17">
        <v>4.2912820044419597E-2</v>
      </c>
      <c r="H9" s="17">
        <v>97.727769548555798</v>
      </c>
      <c r="I9" s="17">
        <v>3.8449147028469098E-2</v>
      </c>
      <c r="J9" s="17">
        <v>7.6299702542521206E-2</v>
      </c>
      <c r="K9" s="17">
        <v>0.56254449953423802</v>
      </c>
      <c r="L9" s="17">
        <v>0.96189297596781398</v>
      </c>
      <c r="M9" s="17">
        <v>3.22806068556463E-2</v>
      </c>
      <c r="N9" s="17">
        <v>4.0125679870228602E-2</v>
      </c>
      <c r="O9" s="17">
        <v>1.2037423399429099E-2</v>
      </c>
      <c r="P9" s="17">
        <f t="shared" ref="P9:P62" si="0">SUM(E9:O9)</f>
        <v>99.999999999999929</v>
      </c>
      <c r="Q9" s="26">
        <v>3007</v>
      </c>
      <c r="S9" s="7"/>
    </row>
    <row r="10" spans="1:19">
      <c r="A10" s="33" t="s">
        <v>22</v>
      </c>
      <c r="B10" s="35"/>
      <c r="C10" s="36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/>
      <c r="S10" s="7"/>
    </row>
    <row r="11" spans="1:19">
      <c r="A11" s="4" t="s">
        <v>1</v>
      </c>
      <c r="B11" s="17">
        <v>67.536280000000005</v>
      </c>
      <c r="C11" s="26">
        <v>559</v>
      </c>
      <c r="D11" s="17">
        <v>2.7202566137866802</v>
      </c>
      <c r="E11" s="17">
        <v>0</v>
      </c>
      <c r="F11" s="17">
        <v>2.49524339511709</v>
      </c>
      <c r="G11" s="17">
        <v>0</v>
      </c>
      <c r="H11" s="17">
        <v>96.910916033416711</v>
      </c>
      <c r="I11" s="17">
        <v>0</v>
      </c>
      <c r="J11" s="17">
        <v>0</v>
      </c>
      <c r="K11" s="17">
        <v>0</v>
      </c>
      <c r="L11" s="17">
        <v>0.552006926059877</v>
      </c>
      <c r="M11" s="17">
        <v>0</v>
      </c>
      <c r="N11" s="17">
        <v>0</v>
      </c>
      <c r="O11" s="17">
        <v>4.1833645406251702E-2</v>
      </c>
      <c r="P11" s="17">
        <f t="shared" si="0"/>
        <v>99.999999999999929</v>
      </c>
      <c r="Q11" s="26">
        <v>365</v>
      </c>
      <c r="S11" s="7"/>
    </row>
    <row r="12" spans="1:19">
      <c r="A12" s="4" t="s">
        <v>2</v>
      </c>
      <c r="B12" s="17">
        <v>68.794083999999998</v>
      </c>
      <c r="C12" s="26">
        <v>828</v>
      </c>
      <c r="D12" s="17">
        <v>2.8232799129282302</v>
      </c>
      <c r="E12" s="17">
        <v>0</v>
      </c>
      <c r="F12" s="17">
        <v>0.435386475068538</v>
      </c>
      <c r="G12" s="17">
        <v>0</v>
      </c>
      <c r="H12" s="17">
        <v>98.326084322542997</v>
      </c>
      <c r="I12" s="17">
        <v>0</v>
      </c>
      <c r="J12" s="17">
        <v>6.0096842766374198E-2</v>
      </c>
      <c r="K12" s="17">
        <v>0.865089479139727</v>
      </c>
      <c r="L12" s="17">
        <v>0.19882477593327602</v>
      </c>
      <c r="M12" s="17">
        <v>7.8245680769405301E-2</v>
      </c>
      <c r="N12" s="17">
        <v>0</v>
      </c>
      <c r="O12" s="17">
        <v>3.6272423779639601E-2</v>
      </c>
      <c r="P12" s="17">
        <f t="shared" si="0"/>
        <v>99.999999999999943</v>
      </c>
      <c r="Q12" s="26">
        <v>560</v>
      </c>
      <c r="S12" s="7"/>
    </row>
    <row r="13" spans="1:19">
      <c r="A13" s="4" t="s">
        <v>3</v>
      </c>
      <c r="B13" s="17">
        <v>68.086229000000003</v>
      </c>
      <c r="C13" s="26">
        <v>561</v>
      </c>
      <c r="D13" s="17">
        <v>2.4275112871715301</v>
      </c>
      <c r="E13" s="17">
        <v>0.11852086942174399</v>
      </c>
      <c r="F13" s="17">
        <v>0.111899490916474</v>
      </c>
      <c r="G13" s="17">
        <v>0</v>
      </c>
      <c r="H13" s="17">
        <v>92.134308851241698</v>
      </c>
      <c r="I13" s="17">
        <v>0</v>
      </c>
      <c r="J13" s="17">
        <v>0.25419412835118999</v>
      </c>
      <c r="K13" s="17">
        <v>2.1555828487847197</v>
      </c>
      <c r="L13" s="17">
        <v>4.7759614129976997</v>
      </c>
      <c r="M13" s="17">
        <v>0</v>
      </c>
      <c r="N13" s="17">
        <v>0</v>
      </c>
      <c r="O13" s="17">
        <v>0.449532398286415</v>
      </c>
      <c r="P13" s="17">
        <f t="shared" si="0"/>
        <v>99.999999999999943</v>
      </c>
      <c r="Q13" s="26">
        <v>376</v>
      </c>
      <c r="S13" s="7"/>
    </row>
    <row r="14" spans="1:19">
      <c r="A14" s="4" t="s">
        <v>4</v>
      </c>
      <c r="B14" s="17">
        <v>25.029411000000003</v>
      </c>
      <c r="C14" s="26">
        <v>554</v>
      </c>
      <c r="D14" s="17">
        <v>3.0868139480846901</v>
      </c>
      <c r="E14" s="17">
        <v>0.58597196024639708</v>
      </c>
      <c r="F14" s="17">
        <v>0</v>
      </c>
      <c r="G14" s="17">
        <v>0</v>
      </c>
      <c r="H14" s="17">
        <v>90.998863791793312</v>
      </c>
      <c r="I14" s="17">
        <v>0</v>
      </c>
      <c r="J14" s="17">
        <v>6.1101646208615197</v>
      </c>
      <c r="K14" s="17">
        <v>0</v>
      </c>
      <c r="L14" s="17">
        <v>2.3049996270987099</v>
      </c>
      <c r="M14" s="17">
        <v>0</v>
      </c>
      <c r="N14" s="17">
        <v>0</v>
      </c>
      <c r="O14" s="17">
        <v>0</v>
      </c>
      <c r="P14" s="17">
        <f t="shared" si="0"/>
        <v>99.999999999999943</v>
      </c>
      <c r="Q14" s="26">
        <v>158</v>
      </c>
      <c r="S14" s="7"/>
    </row>
    <row r="15" spans="1:19">
      <c r="A15" s="4" t="s">
        <v>5</v>
      </c>
      <c r="B15" s="17">
        <v>17.355249000000001</v>
      </c>
      <c r="C15" s="26">
        <v>568</v>
      </c>
      <c r="D15" s="17">
        <v>2.0156145279094599</v>
      </c>
      <c r="E15" s="17">
        <v>0</v>
      </c>
      <c r="F15" s="17">
        <v>0</v>
      </c>
      <c r="G15" s="17">
        <v>0</v>
      </c>
      <c r="H15" s="17">
        <v>85.579250431634506</v>
      </c>
      <c r="I15" s="17">
        <v>0</v>
      </c>
      <c r="J15" s="17">
        <v>0.59712104140369604</v>
      </c>
      <c r="K15" s="17">
        <v>1.15198189157195</v>
      </c>
      <c r="L15" s="17">
        <v>7.1878453349050799</v>
      </c>
      <c r="M15" s="17">
        <v>5.4838013004847301</v>
      </c>
      <c r="N15" s="17">
        <v>0</v>
      </c>
      <c r="O15" s="17">
        <v>0</v>
      </c>
      <c r="P15" s="17">
        <f t="shared" si="0"/>
        <v>99.999999999999957</v>
      </c>
      <c r="Q15" s="26">
        <v>90</v>
      </c>
      <c r="S15" s="7"/>
    </row>
    <row r="16" spans="1:19">
      <c r="A16" s="4" t="s">
        <v>6</v>
      </c>
      <c r="B16" s="17">
        <v>64.498827000000006</v>
      </c>
      <c r="C16" s="26">
        <v>1084</v>
      </c>
      <c r="D16" s="17">
        <v>2.8596125238741399</v>
      </c>
      <c r="E16" s="17">
        <v>0.205091663469021</v>
      </c>
      <c r="F16" s="17">
        <v>0.367345616972587</v>
      </c>
      <c r="G16" s="17">
        <v>0</v>
      </c>
      <c r="H16" s="17">
        <v>97.454557340759294</v>
      </c>
      <c r="I16" s="17">
        <v>0.102902799385447</v>
      </c>
      <c r="J16" s="17">
        <v>0</v>
      </c>
      <c r="K16" s="17">
        <v>1.1133678790278601</v>
      </c>
      <c r="L16" s="17">
        <v>0.75673470038576007</v>
      </c>
      <c r="M16" s="17">
        <v>0</v>
      </c>
      <c r="N16" s="17">
        <v>0</v>
      </c>
      <c r="O16" s="17">
        <v>0</v>
      </c>
      <c r="P16" s="17">
        <f t="shared" si="0"/>
        <v>99.999999999999972</v>
      </c>
      <c r="Q16" s="26">
        <v>715</v>
      </c>
      <c r="S16" s="7"/>
    </row>
    <row r="17" spans="1:19">
      <c r="A17" s="4" t="s">
        <v>38</v>
      </c>
      <c r="B17" s="17">
        <v>46.420696</v>
      </c>
      <c r="C17" s="26">
        <v>570</v>
      </c>
      <c r="D17" s="17">
        <v>2.5657689644724999</v>
      </c>
      <c r="E17" s="17">
        <v>4.8173675968884201E-2</v>
      </c>
      <c r="F17" s="17">
        <v>4.0921389361881593</v>
      </c>
      <c r="G17" s="17">
        <v>0</v>
      </c>
      <c r="H17" s="17">
        <v>91.088268187034302</v>
      </c>
      <c r="I17" s="17">
        <v>0</v>
      </c>
      <c r="J17" s="17">
        <v>0.25646337416980597</v>
      </c>
      <c r="K17" s="17">
        <v>0.93463689196467792</v>
      </c>
      <c r="L17" s="17">
        <v>3.2858988251483403</v>
      </c>
      <c r="M17" s="17">
        <v>0</v>
      </c>
      <c r="N17" s="17">
        <v>0.294420109525795</v>
      </c>
      <c r="O17" s="17">
        <v>0</v>
      </c>
      <c r="P17" s="17">
        <f t="shared" si="0"/>
        <v>99.999999999999957</v>
      </c>
      <c r="Q17" s="26">
        <v>258</v>
      </c>
      <c r="S17" s="7"/>
    </row>
    <row r="18" spans="1:19">
      <c r="A18" s="4" t="s">
        <v>7</v>
      </c>
      <c r="B18" s="17">
        <v>37.683544000000005</v>
      </c>
      <c r="C18" s="26">
        <v>854</v>
      </c>
      <c r="D18" s="17">
        <v>3.2286892360994899</v>
      </c>
      <c r="E18" s="17">
        <v>0.31691822317618196</v>
      </c>
      <c r="F18" s="17">
        <v>0</v>
      </c>
      <c r="G18" s="17">
        <v>0</v>
      </c>
      <c r="H18" s="17">
        <v>90.990827846335392</v>
      </c>
      <c r="I18" s="17">
        <v>0.207820069583636</v>
      </c>
      <c r="J18" s="17">
        <v>0.26550511932271298</v>
      </c>
      <c r="K18" s="17">
        <v>0</v>
      </c>
      <c r="L18" s="17">
        <v>7.97470286948134</v>
      </c>
      <c r="M18" s="17">
        <v>0</v>
      </c>
      <c r="N18" s="17">
        <v>0</v>
      </c>
      <c r="O18" s="17">
        <v>0.24422587210068702</v>
      </c>
      <c r="P18" s="17">
        <f t="shared" si="0"/>
        <v>99.999999999999943</v>
      </c>
      <c r="Q18" s="26">
        <v>305</v>
      </c>
      <c r="S18" s="7"/>
    </row>
    <row r="19" spans="1:19">
      <c r="A19" s="4" t="s">
        <v>8</v>
      </c>
      <c r="B19" s="17">
        <v>44.347742000000004</v>
      </c>
      <c r="C19" s="26">
        <v>557</v>
      </c>
      <c r="D19" s="17">
        <v>2.57097264245628</v>
      </c>
      <c r="E19" s="17">
        <v>0</v>
      </c>
      <c r="F19" s="17">
        <v>1.0399202398240599</v>
      </c>
      <c r="G19" s="17">
        <v>0</v>
      </c>
      <c r="H19" s="17">
        <v>94.727868453711196</v>
      </c>
      <c r="I19" s="17">
        <v>0</v>
      </c>
      <c r="J19" s="17">
        <v>1.03971404132848</v>
      </c>
      <c r="K19" s="17">
        <v>1.83958464765907</v>
      </c>
      <c r="L19" s="17">
        <v>1.3529126174771902</v>
      </c>
      <c r="M19" s="17">
        <v>0</v>
      </c>
      <c r="N19" s="17">
        <v>0</v>
      </c>
      <c r="O19" s="17">
        <v>0</v>
      </c>
      <c r="P19" s="17">
        <f t="shared" si="0"/>
        <v>99.999999999999986</v>
      </c>
      <c r="Q19" s="26">
        <v>236</v>
      </c>
      <c r="S19" s="7"/>
    </row>
    <row r="20" spans="1:19">
      <c r="A20" s="4" t="s">
        <v>9</v>
      </c>
      <c r="B20" s="17">
        <v>35.535409000000001</v>
      </c>
      <c r="C20" s="26">
        <v>854</v>
      </c>
      <c r="D20" s="17">
        <v>2.6220704427086301</v>
      </c>
      <c r="E20" s="17">
        <v>0</v>
      </c>
      <c r="F20" s="17">
        <v>0</v>
      </c>
      <c r="G20" s="17">
        <v>0</v>
      </c>
      <c r="H20" s="17">
        <v>86.69047191278861</v>
      </c>
      <c r="I20" s="17">
        <v>0</v>
      </c>
      <c r="J20" s="17">
        <v>1.12476018984469</v>
      </c>
      <c r="K20" s="17">
        <v>1.8871737341506101</v>
      </c>
      <c r="L20" s="17">
        <v>10.297594163216001</v>
      </c>
      <c r="M20" s="17">
        <v>0</v>
      </c>
      <c r="N20" s="17">
        <v>0</v>
      </c>
      <c r="O20" s="17">
        <v>0</v>
      </c>
      <c r="P20" s="17">
        <f t="shared" si="0"/>
        <v>99.999999999999915</v>
      </c>
      <c r="Q20" s="26">
        <v>291</v>
      </c>
      <c r="S20" s="7"/>
    </row>
    <row r="21" spans="1:19">
      <c r="A21" s="4" t="s">
        <v>10</v>
      </c>
      <c r="B21" s="17">
        <v>55.659623000000003</v>
      </c>
      <c r="C21" s="26">
        <v>846</v>
      </c>
      <c r="D21" s="17">
        <v>3.3359463002596299</v>
      </c>
      <c r="E21" s="17">
        <v>0</v>
      </c>
      <c r="F21" s="17">
        <v>0.175936005905165</v>
      </c>
      <c r="G21" s="17">
        <v>0</v>
      </c>
      <c r="H21" s="17">
        <v>96.548888660227803</v>
      </c>
      <c r="I21" s="17">
        <v>0</v>
      </c>
      <c r="J21" s="17">
        <v>0.88699689978046004</v>
      </c>
      <c r="K21" s="17">
        <v>0.37114133629546003</v>
      </c>
      <c r="L21" s="17">
        <v>1.8250179029331399</v>
      </c>
      <c r="M21" s="17">
        <v>0</v>
      </c>
      <c r="N21" s="17">
        <v>0.19201919485795502</v>
      </c>
      <c r="O21" s="17">
        <v>0</v>
      </c>
      <c r="P21" s="17">
        <f t="shared" si="0"/>
        <v>99.999999999999986</v>
      </c>
      <c r="Q21" s="26">
        <v>484</v>
      </c>
      <c r="S21" s="7"/>
    </row>
    <row r="22" spans="1:19">
      <c r="A22" s="4" t="s">
        <v>11</v>
      </c>
      <c r="B22" s="17">
        <v>41.630708999999996</v>
      </c>
      <c r="C22" s="26">
        <v>852</v>
      </c>
      <c r="D22" s="17">
        <v>3.1040078796091199</v>
      </c>
      <c r="E22" s="17">
        <v>0</v>
      </c>
      <c r="F22" s="17">
        <v>0.131690658214833</v>
      </c>
      <c r="G22" s="17">
        <v>0</v>
      </c>
      <c r="H22" s="17">
        <v>94.162853007068108</v>
      </c>
      <c r="I22" s="17">
        <v>0</v>
      </c>
      <c r="J22" s="17">
        <v>0.28043955534616299</v>
      </c>
      <c r="K22" s="17">
        <v>1.14683087854932</v>
      </c>
      <c r="L22" s="17">
        <v>4.2781859008214997</v>
      </c>
      <c r="M22" s="17">
        <v>0</v>
      </c>
      <c r="N22" s="17">
        <v>0</v>
      </c>
      <c r="O22" s="17">
        <v>0</v>
      </c>
      <c r="P22" s="17">
        <f t="shared" si="0"/>
        <v>99.999999999999929</v>
      </c>
      <c r="Q22" s="26">
        <v>344</v>
      </c>
      <c r="S22" s="7"/>
    </row>
    <row r="23" spans="1:19">
      <c r="A23" s="4" t="s">
        <v>12</v>
      </c>
      <c r="B23" s="17">
        <v>57.673428999999999</v>
      </c>
      <c r="C23" s="26">
        <v>837</v>
      </c>
      <c r="D23" s="17">
        <v>2.7487354994965001</v>
      </c>
      <c r="E23" s="17">
        <v>0</v>
      </c>
      <c r="F23" s="17">
        <v>2.09824693313143</v>
      </c>
      <c r="G23" s="17">
        <v>0.37723337221645697</v>
      </c>
      <c r="H23" s="17">
        <v>91.485243421431392</v>
      </c>
      <c r="I23" s="17">
        <v>0</v>
      </c>
      <c r="J23" s="17">
        <v>0</v>
      </c>
      <c r="K23" s="17">
        <v>2.7537569782270701</v>
      </c>
      <c r="L23" s="17">
        <v>3.1047509991155402</v>
      </c>
      <c r="M23" s="17">
        <v>0.14109190801222099</v>
      </c>
      <c r="N23" s="17">
        <v>0</v>
      </c>
      <c r="O23" s="17">
        <v>3.9676387865801396E-2</v>
      </c>
      <c r="P23" s="17">
        <f t="shared" si="0"/>
        <v>99.999999999999901</v>
      </c>
      <c r="Q23" s="26">
        <v>481</v>
      </c>
      <c r="S23" s="7"/>
    </row>
    <row r="24" spans="1:19">
      <c r="A24" s="4" t="s">
        <v>13</v>
      </c>
      <c r="B24" s="17">
        <v>46.988904999999995</v>
      </c>
      <c r="C24" s="26">
        <v>566</v>
      </c>
      <c r="D24" s="17">
        <v>3.0890997472183401</v>
      </c>
      <c r="E24" s="17">
        <v>0.46290285260634101</v>
      </c>
      <c r="F24" s="17">
        <v>0</v>
      </c>
      <c r="G24" s="17">
        <v>0</v>
      </c>
      <c r="H24" s="17">
        <v>96.067163609793099</v>
      </c>
      <c r="I24" s="17">
        <v>0</v>
      </c>
      <c r="J24" s="17">
        <v>0</v>
      </c>
      <c r="K24" s="17">
        <v>0</v>
      </c>
      <c r="L24" s="17">
        <v>3.4699335376005598</v>
      </c>
      <c r="M24" s="17">
        <v>0</v>
      </c>
      <c r="N24" s="17">
        <v>0</v>
      </c>
      <c r="O24" s="17">
        <v>0</v>
      </c>
      <c r="P24" s="17">
        <f t="shared" si="0"/>
        <v>100</v>
      </c>
      <c r="Q24" s="26">
        <v>245</v>
      </c>
      <c r="S24" s="7"/>
    </row>
    <row r="25" spans="1:19">
      <c r="A25" s="33" t="s">
        <v>32</v>
      </c>
      <c r="B25" s="35"/>
      <c r="C25" s="36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6"/>
      <c r="S25" s="7"/>
    </row>
    <row r="26" spans="1:19">
      <c r="A26" s="4" t="s">
        <v>39</v>
      </c>
      <c r="B26" s="17">
        <v>51.882345999999998</v>
      </c>
      <c r="C26" s="26">
        <v>4616</v>
      </c>
      <c r="D26" s="17">
        <v>2.8690863940551901</v>
      </c>
      <c r="E26" s="17">
        <v>0.132142675391303</v>
      </c>
      <c r="F26" s="17">
        <v>0.69662584043551701</v>
      </c>
      <c r="G26" s="17">
        <v>0</v>
      </c>
      <c r="H26" s="17">
        <v>93.7878946335248</v>
      </c>
      <c r="I26" s="17">
        <v>9.0426142119416311E-2</v>
      </c>
      <c r="J26" s="17">
        <v>0.54785230415754094</v>
      </c>
      <c r="K26" s="17">
        <v>0.64066945259786601</v>
      </c>
      <c r="L26" s="17">
        <v>3.8525013000896005</v>
      </c>
      <c r="M26" s="17">
        <v>0.12487808740308301</v>
      </c>
      <c r="N26" s="17">
        <v>6.2519833603398606E-2</v>
      </c>
      <c r="O26" s="17">
        <v>6.4489730677447302E-2</v>
      </c>
      <c r="P26" s="17">
        <f t="shared" si="0"/>
        <v>99.999999999999986</v>
      </c>
      <c r="Q26" s="26">
        <v>2273</v>
      </c>
      <c r="S26" s="7"/>
    </row>
    <row r="27" spans="1:19">
      <c r="A27" s="4" t="s">
        <v>40</v>
      </c>
      <c r="B27" s="17">
        <v>51.789103000000004</v>
      </c>
      <c r="C27" s="26">
        <v>5474</v>
      </c>
      <c r="D27" s="17">
        <v>2.8677103452627999</v>
      </c>
      <c r="E27" s="17">
        <v>9.4100530992373588E-2</v>
      </c>
      <c r="F27" s="17">
        <v>0.64334825137438001</v>
      </c>
      <c r="G27" s="17">
        <v>5.2695266077950199E-2</v>
      </c>
      <c r="H27" s="17">
        <v>95.568109015611796</v>
      </c>
      <c r="I27" s="17">
        <v>0</v>
      </c>
      <c r="J27" s="17">
        <v>0.27214290449742101</v>
      </c>
      <c r="K27" s="17">
        <v>1.39417286797375</v>
      </c>
      <c r="L27" s="17">
        <v>1.90973195482643</v>
      </c>
      <c r="M27" s="17">
        <v>2.8739812278562798E-2</v>
      </c>
      <c r="N27" s="17">
        <v>0</v>
      </c>
      <c r="O27" s="17">
        <v>3.6959396367335001E-2</v>
      </c>
      <c r="P27" s="17">
        <f t="shared" si="0"/>
        <v>99.999999999999986</v>
      </c>
      <c r="Q27" s="26">
        <v>2635</v>
      </c>
      <c r="S27" s="7"/>
    </row>
    <row r="28" spans="1:19">
      <c r="A28" s="33" t="s">
        <v>31</v>
      </c>
      <c r="B28" s="35"/>
      <c r="C28" s="36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S28" s="7"/>
    </row>
    <row r="29" spans="1:19">
      <c r="A29" s="4" t="s">
        <v>41</v>
      </c>
      <c r="B29" s="17">
        <v>35.841124999999998</v>
      </c>
      <c r="C29" s="26">
        <v>37</v>
      </c>
      <c r="D29" s="17">
        <v>3.0499723242253398</v>
      </c>
      <c r="E29" s="17">
        <v>0</v>
      </c>
      <c r="F29" s="17">
        <v>0</v>
      </c>
      <c r="G29" s="17">
        <v>0</v>
      </c>
      <c r="H29" s="17">
        <v>81.798149156169202</v>
      </c>
      <c r="I29" s="17">
        <v>0</v>
      </c>
      <c r="J29" s="17">
        <v>0</v>
      </c>
      <c r="K29" s="17">
        <v>0</v>
      </c>
      <c r="L29" s="17">
        <v>18.201850843830698</v>
      </c>
      <c r="M29" s="17">
        <v>0</v>
      </c>
      <c r="N29" s="17">
        <v>0</v>
      </c>
      <c r="O29" s="17">
        <v>0</v>
      </c>
      <c r="P29" s="17">
        <f t="shared" si="0"/>
        <v>99.999999999999901</v>
      </c>
      <c r="Q29" s="26">
        <v>13</v>
      </c>
      <c r="S29" s="7"/>
    </row>
    <row r="30" spans="1:19">
      <c r="A30" s="4" t="s">
        <v>42</v>
      </c>
      <c r="B30" s="17">
        <v>54.322941</v>
      </c>
      <c r="C30" s="26">
        <v>7809</v>
      </c>
      <c r="D30" s="17">
        <v>2.8727123959835299</v>
      </c>
      <c r="E30" s="17">
        <v>0.130785994569837</v>
      </c>
      <c r="F30" s="17">
        <v>0.71657795741615093</v>
      </c>
      <c r="G30" s="17">
        <v>0</v>
      </c>
      <c r="H30" s="17">
        <v>95.301422424793998</v>
      </c>
      <c r="I30" s="17">
        <v>4.7015842838444899E-2</v>
      </c>
      <c r="J30" s="17">
        <v>0.30279972302561398</v>
      </c>
      <c r="K30" s="17">
        <v>1.21066632124966</v>
      </c>
      <c r="L30" s="17">
        <v>2.1504263266256598</v>
      </c>
      <c r="M30" s="17">
        <v>6.4928663257085698E-2</v>
      </c>
      <c r="N30" s="17">
        <v>2.0245620049518201E-2</v>
      </c>
      <c r="O30" s="17">
        <v>5.5131126173929797E-2</v>
      </c>
      <c r="P30" s="17">
        <f t="shared" si="0"/>
        <v>99.999999999999915</v>
      </c>
      <c r="Q30" s="26">
        <v>4015</v>
      </c>
      <c r="S30" s="7"/>
    </row>
    <row r="31" spans="1:19">
      <c r="A31" s="4" t="s">
        <v>43</v>
      </c>
      <c r="B31" s="17">
        <v>41.404880999999996</v>
      </c>
      <c r="C31" s="26">
        <v>2244</v>
      </c>
      <c r="D31" s="17">
        <v>2.8399265953264901</v>
      </c>
      <c r="E31" s="17">
        <v>0</v>
      </c>
      <c r="F31" s="17">
        <v>0.39735347149319</v>
      </c>
      <c r="G31" s="17">
        <v>0.19718550476998897</v>
      </c>
      <c r="H31" s="17">
        <v>92.092858580804005</v>
      </c>
      <c r="I31" s="17">
        <v>0</v>
      </c>
      <c r="J31" s="17">
        <v>0.91653623034565601</v>
      </c>
      <c r="K31" s="17">
        <v>0.23940606826049499</v>
      </c>
      <c r="L31" s="17">
        <v>5.96379030461953</v>
      </c>
      <c r="M31" s="17">
        <v>0.107544278887596</v>
      </c>
      <c r="N31" s="17">
        <v>6.9543760880091898E-2</v>
      </c>
      <c r="O31" s="17">
        <v>1.5781799939371399E-2</v>
      </c>
      <c r="P31" s="17">
        <f t="shared" si="0"/>
        <v>99.999999999999943</v>
      </c>
      <c r="Q31" s="26">
        <v>880</v>
      </c>
      <c r="S31" s="7"/>
    </row>
    <row r="32" spans="1:19">
      <c r="A32" s="33" t="s">
        <v>30</v>
      </c>
      <c r="B32" s="35"/>
      <c r="C32" s="36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6"/>
      <c r="S32" s="7"/>
    </row>
    <row r="33" spans="1:19">
      <c r="A33" s="4" t="s">
        <v>44</v>
      </c>
      <c r="B33" s="17">
        <v>27.306760000000001</v>
      </c>
      <c r="C33" s="26">
        <v>1905</v>
      </c>
      <c r="D33" s="17">
        <v>2.6118726639481502</v>
      </c>
      <c r="E33" s="17">
        <v>0.25043470936165702</v>
      </c>
      <c r="F33" s="17">
        <v>1.3550946127796399</v>
      </c>
      <c r="G33" s="17">
        <v>0</v>
      </c>
      <c r="H33" s="17">
        <v>87.996929353204095</v>
      </c>
      <c r="I33" s="17">
        <v>0</v>
      </c>
      <c r="J33" s="17">
        <v>1.7147557880233402</v>
      </c>
      <c r="K33" s="17">
        <v>1.2060825595642599</v>
      </c>
      <c r="L33" s="17">
        <v>7.06783855324342</v>
      </c>
      <c r="M33" s="17">
        <v>0.19332797084221498</v>
      </c>
      <c r="N33" s="17">
        <v>0.12501598704043301</v>
      </c>
      <c r="O33" s="17">
        <v>9.0520465940909303E-2</v>
      </c>
      <c r="P33" s="17">
        <f t="shared" si="0"/>
        <v>99.999999999999972</v>
      </c>
      <c r="Q33" s="26">
        <v>508</v>
      </c>
      <c r="S33" s="7"/>
    </row>
    <row r="34" spans="1:19">
      <c r="A34" s="4" t="s">
        <v>45</v>
      </c>
      <c r="B34" s="17">
        <v>47.084998999999996</v>
      </c>
      <c r="C34" s="26">
        <v>55</v>
      </c>
      <c r="D34" s="17">
        <v>2.6612964836469399</v>
      </c>
      <c r="E34" s="17">
        <v>0</v>
      </c>
      <c r="F34" s="17">
        <v>0</v>
      </c>
      <c r="G34" s="17">
        <v>0</v>
      </c>
      <c r="H34" s="17">
        <v>97.6504803709729</v>
      </c>
      <c r="I34" s="17">
        <v>0</v>
      </c>
      <c r="J34" s="17">
        <v>0</v>
      </c>
      <c r="K34" s="17">
        <v>0</v>
      </c>
      <c r="L34" s="17">
        <v>2.3495196290270299</v>
      </c>
      <c r="M34" s="17">
        <v>0</v>
      </c>
      <c r="N34" s="17">
        <v>0</v>
      </c>
      <c r="O34" s="17">
        <v>0</v>
      </c>
      <c r="P34" s="17">
        <f t="shared" si="0"/>
        <v>99.999999999999929</v>
      </c>
      <c r="Q34" s="26">
        <v>25</v>
      </c>
      <c r="S34" s="7"/>
    </row>
    <row r="35" spans="1:19">
      <c r="A35" s="4" t="s">
        <v>46</v>
      </c>
      <c r="B35" s="17">
        <v>39.883783999999999</v>
      </c>
      <c r="C35" s="26">
        <v>2725</v>
      </c>
      <c r="D35" s="17">
        <v>2.7239860482992402</v>
      </c>
      <c r="E35" s="17">
        <v>8.9510334919095894E-2</v>
      </c>
      <c r="F35" s="17">
        <v>1.30478965084649</v>
      </c>
      <c r="G35" s="17">
        <v>0</v>
      </c>
      <c r="H35" s="17">
        <v>90.800789377196594</v>
      </c>
      <c r="I35" s="17">
        <v>0</v>
      </c>
      <c r="J35" s="17">
        <v>0.61527538673085003</v>
      </c>
      <c r="K35" s="17">
        <v>1.72636260268756</v>
      </c>
      <c r="L35" s="17">
        <v>5.0762632886372696</v>
      </c>
      <c r="M35" s="17">
        <v>0.183375230520477</v>
      </c>
      <c r="N35" s="17">
        <v>0</v>
      </c>
      <c r="O35" s="17">
        <v>0.203634128461576</v>
      </c>
      <c r="P35" s="17">
        <f t="shared" si="0"/>
        <v>99.999999999999901</v>
      </c>
      <c r="Q35" s="26">
        <v>1024</v>
      </c>
      <c r="S35" s="7"/>
    </row>
    <row r="36" spans="1:19">
      <c r="A36" s="4" t="s">
        <v>47</v>
      </c>
      <c r="B36" s="17">
        <v>59.574075000000008</v>
      </c>
      <c r="C36" s="26">
        <v>4170</v>
      </c>
      <c r="D36" s="17">
        <v>2.8668854959287402</v>
      </c>
      <c r="E36" s="17">
        <v>0.143947428382454</v>
      </c>
      <c r="F36" s="17">
        <v>0.39030316020056</v>
      </c>
      <c r="G36" s="17">
        <v>0</v>
      </c>
      <c r="H36" s="17">
        <v>96.294981072839207</v>
      </c>
      <c r="I36" s="17">
        <v>7.844201497778619E-2</v>
      </c>
      <c r="J36" s="17">
        <v>0.26544945461696196</v>
      </c>
      <c r="K36" s="17">
        <v>0.78852228473713493</v>
      </c>
      <c r="L36" s="17">
        <v>1.9583274884129001</v>
      </c>
      <c r="M36" s="17">
        <v>4.0148553453456103E-2</v>
      </c>
      <c r="N36" s="17">
        <v>3.3778129568279899E-2</v>
      </c>
      <c r="O36" s="17">
        <v>6.1004128112513096E-3</v>
      </c>
      <c r="P36" s="17">
        <f t="shared" si="0"/>
        <v>100</v>
      </c>
      <c r="Q36" s="26">
        <v>2441</v>
      </c>
      <c r="S36" s="7"/>
    </row>
    <row r="37" spans="1:19">
      <c r="A37" s="4" t="s">
        <v>48</v>
      </c>
      <c r="B37" s="17">
        <v>75.775330999999994</v>
      </c>
      <c r="C37" s="26">
        <v>946</v>
      </c>
      <c r="D37" s="17">
        <v>3.0705597497371202</v>
      </c>
      <c r="E37" s="17">
        <v>0</v>
      </c>
      <c r="F37" s="17">
        <v>0.66503082989564899</v>
      </c>
      <c r="G37" s="17">
        <v>0.17918068439898599</v>
      </c>
      <c r="H37" s="17">
        <v>97.28412060566211</v>
      </c>
      <c r="I37" s="17">
        <v>0</v>
      </c>
      <c r="J37" s="17">
        <v>0</v>
      </c>
      <c r="K37" s="17">
        <v>1.2565481690846501</v>
      </c>
      <c r="L37" s="17">
        <v>0.61511971095849394</v>
      </c>
      <c r="M37" s="17">
        <v>0</v>
      </c>
      <c r="N37" s="17">
        <v>0</v>
      </c>
      <c r="O37" s="17">
        <v>0</v>
      </c>
      <c r="P37" s="17">
        <f t="shared" si="0"/>
        <v>99.999999999999901</v>
      </c>
      <c r="Q37" s="26">
        <v>709</v>
      </c>
      <c r="S37" s="7"/>
    </row>
    <row r="38" spans="1:19">
      <c r="A38" s="33" t="s">
        <v>0</v>
      </c>
      <c r="B38" s="35"/>
      <c r="C38" s="36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6"/>
      <c r="S38" s="7"/>
    </row>
    <row r="39" spans="1:19">
      <c r="A39" s="4" t="s">
        <v>49</v>
      </c>
      <c r="B39" s="17">
        <v>20.037376999999999</v>
      </c>
      <c r="C39" s="26">
        <v>675</v>
      </c>
      <c r="D39" s="17">
        <v>2.51694047584833</v>
      </c>
      <c r="E39" s="17">
        <v>1.3236283694973501</v>
      </c>
      <c r="F39" s="17">
        <v>1.8258815784048901</v>
      </c>
      <c r="G39" s="17">
        <v>0</v>
      </c>
      <c r="H39" s="17">
        <v>84.922468891119891</v>
      </c>
      <c r="I39" s="17">
        <v>0</v>
      </c>
      <c r="J39" s="17">
        <v>4.2069593235102403</v>
      </c>
      <c r="K39" s="17">
        <v>0.96485728789192704</v>
      </c>
      <c r="L39" s="17">
        <v>6.2707756818809299</v>
      </c>
      <c r="M39" s="17">
        <v>0.48542886769473897</v>
      </c>
      <c r="N39" s="17">
        <v>0</v>
      </c>
      <c r="O39" s="17">
        <v>0</v>
      </c>
      <c r="P39" s="17">
        <f t="shared" si="0"/>
        <v>99.999999999999972</v>
      </c>
      <c r="Q39" s="26">
        <v>127</v>
      </c>
      <c r="S39" s="7"/>
    </row>
    <row r="40" spans="1:19">
      <c r="A40" s="4" t="s">
        <v>50</v>
      </c>
      <c r="B40" s="17">
        <v>30.057996999999997</v>
      </c>
      <c r="C40" s="26">
        <v>765</v>
      </c>
      <c r="D40" s="17">
        <v>2.41951939133514</v>
      </c>
      <c r="E40" s="17">
        <v>0</v>
      </c>
      <c r="F40" s="17">
        <v>1.8616939665597001</v>
      </c>
      <c r="G40" s="17">
        <v>0</v>
      </c>
      <c r="H40" s="17">
        <v>88.333190957536502</v>
      </c>
      <c r="I40" s="17">
        <v>0</v>
      </c>
      <c r="J40" s="17">
        <v>0.74314960112524797</v>
      </c>
      <c r="K40" s="17">
        <v>0.29041613013470302</v>
      </c>
      <c r="L40" s="17">
        <v>8.2926868947596102</v>
      </c>
      <c r="M40" s="17">
        <v>0.47886244988414101</v>
      </c>
      <c r="N40" s="17">
        <v>0</v>
      </c>
      <c r="O40" s="17">
        <v>0</v>
      </c>
      <c r="P40" s="17">
        <f t="shared" si="0"/>
        <v>99.999999999999915</v>
      </c>
      <c r="Q40" s="26">
        <v>199</v>
      </c>
      <c r="S40" s="7"/>
    </row>
    <row r="41" spans="1:19">
      <c r="A41" s="4" t="s">
        <v>51</v>
      </c>
      <c r="B41" s="17">
        <v>34.225172000000001</v>
      </c>
      <c r="C41" s="26">
        <v>839</v>
      </c>
      <c r="D41" s="17">
        <v>2.7102830306536099</v>
      </c>
      <c r="E41" s="17">
        <v>0.122405414741675</v>
      </c>
      <c r="F41" s="17">
        <v>0.93233447266196701</v>
      </c>
      <c r="G41" s="17">
        <v>0</v>
      </c>
      <c r="H41" s="17">
        <v>92.794431882816397</v>
      </c>
      <c r="I41" s="17">
        <v>0</v>
      </c>
      <c r="J41" s="17">
        <v>1.8361431472084098</v>
      </c>
      <c r="K41" s="17">
        <v>0</v>
      </c>
      <c r="L41" s="17">
        <v>3.98539460550887</v>
      </c>
      <c r="M41" s="17">
        <v>0.32929047706257997</v>
      </c>
      <c r="N41" s="17">
        <v>0</v>
      </c>
      <c r="O41" s="17">
        <v>0</v>
      </c>
      <c r="P41" s="17">
        <f t="shared" si="0"/>
        <v>99.999999999999901</v>
      </c>
      <c r="Q41" s="26">
        <v>264</v>
      </c>
      <c r="S41" s="7"/>
    </row>
    <row r="42" spans="1:19">
      <c r="A42" s="4" t="s">
        <v>52</v>
      </c>
      <c r="B42" s="17">
        <v>40.244237999999996</v>
      </c>
      <c r="C42" s="26">
        <v>854</v>
      </c>
      <c r="D42" s="17">
        <v>2.5854287294266398</v>
      </c>
      <c r="E42" s="17">
        <v>2.7619359598446903E-2</v>
      </c>
      <c r="F42" s="17">
        <v>0.53553953335948501</v>
      </c>
      <c r="G42" s="17">
        <v>0</v>
      </c>
      <c r="H42" s="17">
        <v>91.352665782245708</v>
      </c>
      <c r="I42" s="17">
        <v>0</v>
      </c>
      <c r="J42" s="17">
        <v>0.54154144362038503</v>
      </c>
      <c r="K42" s="17">
        <v>0.26938980637808002</v>
      </c>
      <c r="L42" s="17">
        <v>7.2229044329051808</v>
      </c>
      <c r="M42" s="17">
        <v>0</v>
      </c>
      <c r="N42" s="17">
        <v>0</v>
      </c>
      <c r="O42" s="17">
        <v>5.0339641892670803E-2</v>
      </c>
      <c r="P42" s="17">
        <f t="shared" si="0"/>
        <v>99.999999999999972</v>
      </c>
      <c r="Q42" s="26">
        <v>333</v>
      </c>
      <c r="S42" s="7"/>
    </row>
    <row r="43" spans="1:19">
      <c r="A43" s="4" t="s">
        <v>53</v>
      </c>
      <c r="B43" s="17">
        <v>44.325947999999997</v>
      </c>
      <c r="C43" s="26">
        <v>950</v>
      </c>
      <c r="D43" s="17">
        <v>2.8971668609701502</v>
      </c>
      <c r="E43" s="17">
        <v>0</v>
      </c>
      <c r="F43" s="17">
        <v>0.61255140644598904</v>
      </c>
      <c r="G43" s="17">
        <v>0</v>
      </c>
      <c r="H43" s="17">
        <v>93.345322749441394</v>
      </c>
      <c r="I43" s="17">
        <v>0</v>
      </c>
      <c r="J43" s="17">
        <v>0.59983768387374503</v>
      </c>
      <c r="K43" s="17">
        <v>1.83983613473679</v>
      </c>
      <c r="L43" s="17">
        <v>3.3980166935083398</v>
      </c>
      <c r="M43" s="17">
        <v>0</v>
      </c>
      <c r="N43" s="17">
        <v>0</v>
      </c>
      <c r="O43" s="17">
        <v>0.20443533199371999</v>
      </c>
      <c r="P43" s="17">
        <f t="shared" si="0"/>
        <v>99.999999999999972</v>
      </c>
      <c r="Q43" s="26">
        <v>399</v>
      </c>
      <c r="S43" s="7"/>
    </row>
    <row r="44" spans="1:19">
      <c r="A44" s="4" t="s">
        <v>54</v>
      </c>
      <c r="B44" s="17">
        <v>47.017956999999996</v>
      </c>
      <c r="C44" s="26">
        <v>1008</v>
      </c>
      <c r="D44" s="17">
        <v>2.8000010245742901</v>
      </c>
      <c r="E44" s="17">
        <v>0.59282139392765909</v>
      </c>
      <c r="F44" s="17">
        <v>0.31172562202787801</v>
      </c>
      <c r="G44" s="17">
        <v>0</v>
      </c>
      <c r="H44" s="17">
        <v>94.742436963881005</v>
      </c>
      <c r="I44" s="17">
        <v>0</v>
      </c>
      <c r="J44" s="17">
        <v>0.56898639937934592</v>
      </c>
      <c r="K44" s="17">
        <v>0.20790787460406701</v>
      </c>
      <c r="L44" s="17">
        <v>3.4590407031563899</v>
      </c>
      <c r="M44" s="17">
        <v>0</v>
      </c>
      <c r="N44" s="17">
        <v>0.11708104302359701</v>
      </c>
      <c r="O44" s="17">
        <v>0</v>
      </c>
      <c r="P44" s="17">
        <f t="shared" si="0"/>
        <v>99.999999999999943</v>
      </c>
      <c r="Q44" s="26">
        <v>455</v>
      </c>
      <c r="S44" s="7"/>
    </row>
    <row r="45" spans="1:19">
      <c r="A45" s="4" t="s">
        <v>55</v>
      </c>
      <c r="B45" s="17">
        <v>57.067788</v>
      </c>
      <c r="C45" s="26">
        <v>1101</v>
      </c>
      <c r="D45" s="17">
        <v>2.8256889222827599</v>
      </c>
      <c r="E45" s="17">
        <v>0</v>
      </c>
      <c r="F45" s="17">
        <v>0.71806375526467492</v>
      </c>
      <c r="G45" s="17">
        <v>0</v>
      </c>
      <c r="H45" s="17">
        <v>95.437146883483805</v>
      </c>
      <c r="I45" s="17">
        <v>0</v>
      </c>
      <c r="J45" s="17">
        <v>0.29684479056680402</v>
      </c>
      <c r="K45" s="17">
        <v>1.0234064269160201</v>
      </c>
      <c r="L45" s="17">
        <v>2.3331725284615397</v>
      </c>
      <c r="M45" s="17">
        <v>0</v>
      </c>
      <c r="N45" s="17">
        <v>0.147083724540127</v>
      </c>
      <c r="O45" s="17">
        <v>4.4281890766959597E-2</v>
      </c>
      <c r="P45" s="17">
        <f t="shared" si="0"/>
        <v>99.999999999999943</v>
      </c>
      <c r="Q45" s="26">
        <v>614</v>
      </c>
      <c r="S45" s="7"/>
    </row>
    <row r="46" spans="1:19">
      <c r="A46" s="4" t="s">
        <v>56</v>
      </c>
      <c r="B46" s="17">
        <v>58.601088000000004</v>
      </c>
      <c r="C46" s="26">
        <v>1197</v>
      </c>
      <c r="D46" s="17">
        <v>2.9836642999536398</v>
      </c>
      <c r="E46" s="17">
        <v>0.14675569001389699</v>
      </c>
      <c r="F46" s="17">
        <v>0.57464947165343605</v>
      </c>
      <c r="G46" s="17">
        <v>0</v>
      </c>
      <c r="H46" s="17">
        <v>95.984492380517096</v>
      </c>
      <c r="I46" s="17">
        <v>9.623548120654371E-2</v>
      </c>
      <c r="J46" s="17">
        <v>0</v>
      </c>
      <c r="K46" s="17">
        <v>1.23117681277754</v>
      </c>
      <c r="L46" s="17">
        <v>1.9666901638313998</v>
      </c>
      <c r="M46" s="17">
        <v>0</v>
      </c>
      <c r="N46" s="17">
        <v>0</v>
      </c>
      <c r="O46" s="17">
        <v>0</v>
      </c>
      <c r="P46" s="17">
        <f t="shared" si="0"/>
        <v>99.999999999999915</v>
      </c>
      <c r="Q46" s="26">
        <v>680</v>
      </c>
      <c r="S46" s="7"/>
    </row>
    <row r="47" spans="1:19">
      <c r="A47" s="4" t="s">
        <v>57</v>
      </c>
      <c r="B47" s="17">
        <v>67.915655999999998</v>
      </c>
      <c r="C47" s="26">
        <v>1283</v>
      </c>
      <c r="D47" s="17">
        <v>3.00895615359945</v>
      </c>
      <c r="E47" s="17">
        <v>0</v>
      </c>
      <c r="F47" s="17">
        <v>0.52994688385508504</v>
      </c>
      <c r="G47" s="17">
        <v>0.162523436126777</v>
      </c>
      <c r="H47" s="17">
        <v>96.120127822385498</v>
      </c>
      <c r="I47" s="17">
        <v>0</v>
      </c>
      <c r="J47" s="17">
        <v>0</v>
      </c>
      <c r="K47" s="17">
        <v>1.2577249490946498</v>
      </c>
      <c r="L47" s="17">
        <v>1.77505326699872</v>
      </c>
      <c r="M47" s="17">
        <v>2.9650712639642904E-2</v>
      </c>
      <c r="N47" s="17">
        <v>0</v>
      </c>
      <c r="O47" s="17">
        <v>0.124972928899571</v>
      </c>
      <c r="P47" s="17">
        <f t="shared" si="0"/>
        <v>99.999999999999943</v>
      </c>
      <c r="Q47" s="26">
        <v>842</v>
      </c>
      <c r="S47" s="7"/>
    </row>
    <row r="48" spans="1:19">
      <c r="A48" s="4" t="s">
        <v>58</v>
      </c>
      <c r="B48" s="17">
        <v>70.184732999999994</v>
      </c>
      <c r="C48" s="26">
        <v>1418</v>
      </c>
      <c r="D48" s="17">
        <v>2.9456317352072001</v>
      </c>
      <c r="E48" s="17">
        <v>0</v>
      </c>
      <c r="F48" s="17">
        <v>0.62564170122724094</v>
      </c>
      <c r="G48" s="17">
        <v>0</v>
      </c>
      <c r="H48" s="17">
        <v>96.589722771470903</v>
      </c>
      <c r="I48" s="17">
        <v>0.117384491934745</v>
      </c>
      <c r="J48" s="17">
        <v>6.8168680240118698E-2</v>
      </c>
      <c r="K48" s="17">
        <v>1.47698245491766</v>
      </c>
      <c r="L48" s="17">
        <v>1.02092758069748</v>
      </c>
      <c r="M48" s="17">
        <v>9.0686735662874191E-2</v>
      </c>
      <c r="N48" s="17">
        <v>0</v>
      </c>
      <c r="O48" s="17">
        <v>1.0485583848963601E-2</v>
      </c>
      <c r="P48" s="17">
        <f t="shared" si="0"/>
        <v>99.999999999999972</v>
      </c>
      <c r="Q48" s="26">
        <v>995</v>
      </c>
      <c r="S48" s="7"/>
    </row>
    <row r="49" spans="1:19">
      <c r="A49" s="33" t="s">
        <v>25</v>
      </c>
      <c r="B49" s="35"/>
      <c r="C49" s="3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6"/>
      <c r="S49" s="7"/>
    </row>
    <row r="50" spans="1:19">
      <c r="A50" s="6" t="s">
        <v>18</v>
      </c>
      <c r="B50" s="17">
        <v>75.064087999999998</v>
      </c>
      <c r="C50" s="26">
        <v>715</v>
      </c>
      <c r="D50" s="17">
        <v>2.6849625374003598</v>
      </c>
      <c r="E50" s="17">
        <v>0.49068217405761</v>
      </c>
      <c r="F50" s="17">
        <v>0.45480069448337895</v>
      </c>
      <c r="G50" s="17">
        <v>0</v>
      </c>
      <c r="H50" s="17">
        <v>97.188589443103695</v>
      </c>
      <c r="I50" s="17">
        <v>0</v>
      </c>
      <c r="J50" s="17">
        <v>0.13348970449921899</v>
      </c>
      <c r="K50" s="17">
        <v>0.56239660914325895</v>
      </c>
      <c r="L50" s="17">
        <v>1.06611553632872</v>
      </c>
      <c r="M50" s="17">
        <v>0.10392583838402399</v>
      </c>
      <c r="N50" s="17">
        <v>0</v>
      </c>
      <c r="O50" s="17">
        <v>0</v>
      </c>
      <c r="P50" s="17">
        <f t="shared" si="0"/>
        <v>99.999999999999929</v>
      </c>
      <c r="Q50" s="26">
        <v>544</v>
      </c>
      <c r="S50" s="7"/>
    </row>
    <row r="51" spans="1:19">
      <c r="A51" s="6" t="s">
        <v>20</v>
      </c>
      <c r="B51" s="17">
        <v>72.722777000000008</v>
      </c>
      <c r="C51" s="26">
        <v>111</v>
      </c>
      <c r="D51" s="17">
        <v>2.9407917380528601</v>
      </c>
      <c r="E51" s="17">
        <v>0</v>
      </c>
      <c r="F51" s="17">
        <v>0</v>
      </c>
      <c r="G51" s="17">
        <v>0</v>
      </c>
      <c r="H51" s="17">
        <v>100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f t="shared" si="0"/>
        <v>100</v>
      </c>
      <c r="Q51" s="26">
        <v>84</v>
      </c>
      <c r="S51" s="7"/>
    </row>
    <row r="52" spans="1:19">
      <c r="A52" s="6" t="s">
        <v>19</v>
      </c>
      <c r="B52" s="17">
        <v>67.941074999999998</v>
      </c>
      <c r="C52" s="26">
        <v>33</v>
      </c>
      <c r="D52" s="17">
        <v>3.0497334439007</v>
      </c>
      <c r="E52" s="17">
        <v>0</v>
      </c>
      <c r="F52" s="17">
        <v>0</v>
      </c>
      <c r="G52" s="17">
        <v>0</v>
      </c>
      <c r="H52" s="17">
        <v>100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f t="shared" si="0"/>
        <v>100</v>
      </c>
      <c r="Q52" s="26">
        <v>23</v>
      </c>
      <c r="S52" s="7"/>
    </row>
    <row r="53" spans="1:19">
      <c r="A53" s="6" t="s">
        <v>14</v>
      </c>
      <c r="B53" s="17">
        <v>18.268111000000001</v>
      </c>
      <c r="C53" s="26">
        <v>146</v>
      </c>
      <c r="D53" s="17">
        <v>1.88642641203621</v>
      </c>
      <c r="E53" s="17">
        <v>0</v>
      </c>
      <c r="F53" s="17">
        <v>0</v>
      </c>
      <c r="G53" s="17">
        <v>0</v>
      </c>
      <c r="H53" s="17">
        <v>88.2416727311778</v>
      </c>
      <c r="I53" s="17">
        <v>0</v>
      </c>
      <c r="J53" s="17">
        <v>1.3467491439886701</v>
      </c>
      <c r="K53" s="17">
        <v>10.411578124833399</v>
      </c>
      <c r="L53" s="17">
        <v>0</v>
      </c>
      <c r="M53" s="17">
        <v>0</v>
      </c>
      <c r="N53" s="17">
        <v>0</v>
      </c>
      <c r="O53" s="17">
        <v>0</v>
      </c>
      <c r="P53" s="17">
        <f t="shared" si="0"/>
        <v>99.999999999999872</v>
      </c>
      <c r="Q53" s="26">
        <v>21</v>
      </c>
      <c r="S53" s="7"/>
    </row>
    <row r="54" spans="1:19">
      <c r="A54" s="6" t="s">
        <v>15</v>
      </c>
      <c r="B54" s="17">
        <v>63.683371000000001</v>
      </c>
      <c r="C54" s="26">
        <v>1292</v>
      </c>
      <c r="D54" s="17">
        <v>2.52044879585128</v>
      </c>
      <c r="E54" s="17">
        <v>4.1900118544408699E-2</v>
      </c>
      <c r="F54" s="17">
        <v>1.4880187551268</v>
      </c>
      <c r="G54" s="17">
        <v>0</v>
      </c>
      <c r="H54" s="17">
        <v>93.596923423695301</v>
      </c>
      <c r="I54" s="17">
        <v>0</v>
      </c>
      <c r="J54" s="17">
        <v>0.277913038515259</v>
      </c>
      <c r="K54" s="17">
        <v>1.9304331613180601</v>
      </c>
      <c r="L54" s="17">
        <v>2.4763448862317001</v>
      </c>
      <c r="M54" s="17">
        <v>7.7298927545784199E-2</v>
      </c>
      <c r="N54" s="17">
        <v>7.2889446897118904E-2</v>
      </c>
      <c r="O54" s="17">
        <v>3.8278242125507206E-2</v>
      </c>
      <c r="P54" s="17">
        <f t="shared" si="0"/>
        <v>99.999999999999943</v>
      </c>
      <c r="Q54" s="26">
        <v>787</v>
      </c>
      <c r="S54" s="7"/>
    </row>
    <row r="55" spans="1:19">
      <c r="A55" s="6" t="s">
        <v>16</v>
      </c>
      <c r="B55" s="17">
        <v>48.871036000000004</v>
      </c>
      <c r="C55" s="26">
        <v>4610</v>
      </c>
      <c r="D55" s="17">
        <v>3.0046804736928898</v>
      </c>
      <c r="E55" s="17">
        <v>4.2282658593885795E-2</v>
      </c>
      <c r="F55" s="17">
        <v>0.21557065784466498</v>
      </c>
      <c r="G55" s="17">
        <v>0</v>
      </c>
      <c r="H55" s="17">
        <v>94.6662069799617</v>
      </c>
      <c r="I55" s="17">
        <v>2.7726979417897001E-2</v>
      </c>
      <c r="J55" s="17">
        <v>0.40673550893737204</v>
      </c>
      <c r="K55" s="17">
        <v>0.88725633335796505</v>
      </c>
      <c r="L55" s="17">
        <v>3.67560900188208</v>
      </c>
      <c r="M55" s="17">
        <v>0</v>
      </c>
      <c r="N55" s="17">
        <v>3.53769203642601E-2</v>
      </c>
      <c r="O55" s="17">
        <v>4.3234959640183701E-2</v>
      </c>
      <c r="P55" s="17">
        <f t="shared" si="0"/>
        <v>100.00000000000001</v>
      </c>
      <c r="Q55" s="26">
        <v>2171</v>
      </c>
      <c r="S55" s="7"/>
    </row>
    <row r="56" spans="1:19">
      <c r="A56" s="6" t="s">
        <v>59</v>
      </c>
      <c r="B56" s="17">
        <v>70.058930000000004</v>
      </c>
      <c r="C56" s="26">
        <v>165</v>
      </c>
      <c r="D56" s="17">
        <v>2.8642338632572399</v>
      </c>
      <c r="E56" s="17">
        <v>0</v>
      </c>
      <c r="F56" s="17">
        <v>0.38597465548457299</v>
      </c>
      <c r="G56" s="17">
        <v>1.0607527661059701</v>
      </c>
      <c r="H56" s="17">
        <v>93.865036191767501</v>
      </c>
      <c r="I56" s="17">
        <v>0.95041619317133308</v>
      </c>
      <c r="J56" s="17">
        <v>0</v>
      </c>
      <c r="K56" s="17">
        <v>2.92215087723006</v>
      </c>
      <c r="L56" s="17">
        <v>0</v>
      </c>
      <c r="M56" s="17">
        <v>0</v>
      </c>
      <c r="N56" s="17">
        <v>0</v>
      </c>
      <c r="O56" s="17">
        <v>0.8156693162404961</v>
      </c>
      <c r="P56" s="17">
        <f t="shared" si="0"/>
        <v>99.999999999999943</v>
      </c>
      <c r="Q56" s="26">
        <v>108</v>
      </c>
      <c r="S56" s="7"/>
    </row>
    <row r="57" spans="1:19">
      <c r="A57" s="6" t="s">
        <v>60</v>
      </c>
      <c r="B57" s="17">
        <v>62.759641000000002</v>
      </c>
      <c r="C57" s="26">
        <v>108</v>
      </c>
      <c r="D57" s="17">
        <v>3.01458013578159</v>
      </c>
      <c r="E57" s="17">
        <v>0</v>
      </c>
      <c r="F57" s="17">
        <v>0</v>
      </c>
      <c r="G57" s="17">
        <v>0</v>
      </c>
      <c r="H57" s="17">
        <v>100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f t="shared" si="0"/>
        <v>100</v>
      </c>
      <c r="Q57" s="26">
        <v>71</v>
      </c>
      <c r="S57" s="7"/>
    </row>
    <row r="58" spans="1:19">
      <c r="A58" s="6" t="s">
        <v>21</v>
      </c>
      <c r="B58" s="17">
        <v>69.995805000000004</v>
      </c>
      <c r="C58" s="26">
        <v>35</v>
      </c>
      <c r="D58" s="17">
        <v>4.7842018387669603</v>
      </c>
      <c r="E58" s="17">
        <v>0</v>
      </c>
      <c r="F58" s="17">
        <v>8.2540894906271003</v>
      </c>
      <c r="G58" s="17">
        <v>0</v>
      </c>
      <c r="H58" s="17">
        <v>91.745910509372891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f t="shared" si="0"/>
        <v>99.999999999999986</v>
      </c>
      <c r="Q58" s="26">
        <v>26</v>
      </c>
      <c r="S58" s="7"/>
    </row>
    <row r="59" spans="1:19">
      <c r="A59" s="6" t="s">
        <v>61</v>
      </c>
      <c r="B59" s="17">
        <v>50.295272000000004</v>
      </c>
      <c r="C59" s="26">
        <v>1000</v>
      </c>
      <c r="D59" s="17">
        <v>2.8184351768437899</v>
      </c>
      <c r="E59" s="17">
        <v>1.9265029426279601E-2</v>
      </c>
      <c r="F59" s="17">
        <v>2.22695299314984</v>
      </c>
      <c r="G59" s="17">
        <v>0</v>
      </c>
      <c r="H59" s="17">
        <v>93.820991423495201</v>
      </c>
      <c r="I59" s="17">
        <v>0</v>
      </c>
      <c r="J59" s="17">
        <v>0</v>
      </c>
      <c r="K59" s="17">
        <v>1.0423625197416801</v>
      </c>
      <c r="L59" s="17">
        <v>2.8904280341869497</v>
      </c>
      <c r="M59" s="17">
        <v>0</v>
      </c>
      <c r="N59" s="17">
        <v>0</v>
      </c>
      <c r="O59" s="17">
        <v>0</v>
      </c>
      <c r="P59" s="17">
        <f t="shared" si="0"/>
        <v>99.999999999999957</v>
      </c>
      <c r="Q59" s="26">
        <v>458</v>
      </c>
      <c r="S59" s="7"/>
    </row>
    <row r="60" spans="1:19">
      <c r="A60" s="6" t="s">
        <v>62</v>
      </c>
      <c r="B60" s="17">
        <v>28.288699000000001</v>
      </c>
      <c r="C60" s="26">
        <v>1272</v>
      </c>
      <c r="D60" s="17">
        <v>2.5412929167534499</v>
      </c>
      <c r="E60" s="17">
        <v>0.26075343121128802</v>
      </c>
      <c r="F60" s="17">
        <v>0.14346767036253399</v>
      </c>
      <c r="G60" s="17">
        <v>0</v>
      </c>
      <c r="H60" s="17">
        <v>91.343791417326202</v>
      </c>
      <c r="I60" s="17">
        <v>0</v>
      </c>
      <c r="J60" s="17">
        <v>2.7189805967601499</v>
      </c>
      <c r="K60" s="17">
        <v>1.6197376211786099</v>
      </c>
      <c r="L60" s="17">
        <v>2.9423798162020902</v>
      </c>
      <c r="M60" s="17">
        <v>0.97088944695909907</v>
      </c>
      <c r="N60" s="17">
        <v>0</v>
      </c>
      <c r="O60" s="17">
        <v>0</v>
      </c>
      <c r="P60" s="17">
        <f t="shared" si="0"/>
        <v>99.999999999999986</v>
      </c>
      <c r="Q60" s="26">
        <v>311</v>
      </c>
      <c r="S60" s="7"/>
    </row>
    <row r="61" spans="1:19">
      <c r="A61" s="6" t="s">
        <v>17</v>
      </c>
      <c r="B61" s="17">
        <v>61.699183000000005</v>
      </c>
      <c r="C61" s="26">
        <v>31</v>
      </c>
      <c r="D61" s="17">
        <v>2.2086704857062198</v>
      </c>
      <c r="E61" s="17">
        <v>0</v>
      </c>
      <c r="F61" s="17">
        <v>8.46446208508155</v>
      </c>
      <c r="G61" s="17">
        <v>0</v>
      </c>
      <c r="H61" s="17">
        <v>91.535537914918393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f t="shared" si="0"/>
        <v>99.999999999999943</v>
      </c>
      <c r="Q61" s="26">
        <v>18</v>
      </c>
      <c r="S61" s="7"/>
    </row>
    <row r="62" spans="1:19">
      <c r="A62" s="6" t="s">
        <v>63</v>
      </c>
      <c r="B62" s="18">
        <v>54.946857999999999</v>
      </c>
      <c r="C62" s="27">
        <v>572</v>
      </c>
      <c r="D62" s="18">
        <v>3.1107402725914599</v>
      </c>
      <c r="E62" s="18">
        <v>0.37102565041233798</v>
      </c>
      <c r="F62" s="18">
        <v>0</v>
      </c>
      <c r="G62" s="18">
        <v>0</v>
      </c>
      <c r="H62" s="18">
        <v>97.172602464368296</v>
      </c>
      <c r="I62" s="18">
        <v>0</v>
      </c>
      <c r="J62" s="18">
        <v>0</v>
      </c>
      <c r="K62" s="18">
        <v>0</v>
      </c>
      <c r="L62" s="18">
        <v>2.4563718852193097</v>
      </c>
      <c r="M62" s="18">
        <v>0</v>
      </c>
      <c r="N62" s="18">
        <v>0</v>
      </c>
      <c r="O62" s="18">
        <v>0</v>
      </c>
      <c r="P62" s="17">
        <f t="shared" si="0"/>
        <v>99.999999999999943</v>
      </c>
      <c r="Q62" s="26">
        <v>286</v>
      </c>
      <c r="S62" s="7"/>
    </row>
    <row r="63" spans="1:19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9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</row>
    <row r="65" spans="2:16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</row>
    <row r="66" spans="2:16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</row>
    <row r="67" spans="2:16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</row>
    <row r="68" spans="2:16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</row>
    <row r="69" spans="2:16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6"/>
    </row>
    <row r="70" spans="2:16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6"/>
    </row>
    <row r="71" spans="2:16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</row>
    <row r="72" spans="2:16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</row>
    <row r="73" spans="2:16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</row>
    <row r="74" spans="2:16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</row>
    <row r="75" spans="2:16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</row>
    <row r="76" spans="2:16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</row>
    <row r="77" spans="2:16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</row>
    <row r="78" spans="2:16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</row>
    <row r="79" spans="2:16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6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</row>
    <row r="81" spans="2:15">
      <c r="B81" s="1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>
      <c r="B82" s="1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>
      <c r="B83" s="1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>
      <c r="B84" s="1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>
      <c r="B85" s="1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>
      <c r="B86" s="1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</sheetData>
  <mergeCells count="1">
    <mergeCell ref="E3:P3"/>
  </mergeCells>
  <pageMargins left="0.7" right="0.7" top="0.75" bottom="0.75" header="0.3" footer="0.3"/>
  <ignoredErrors>
    <ignoredError sqref="P8 P9 P50:P62 P39:P48 P33:P37 P29:P31 P26:P27 P11:P2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815A-3555-4D63-849D-F77116B6AD96}">
  <dimension ref="A1:S80"/>
  <sheetViews>
    <sheetView topLeftCell="A45" zoomScale="80" zoomScaleNormal="80" workbookViewId="0">
      <selection activeCell="R10" sqref="R10"/>
    </sheetView>
  </sheetViews>
  <sheetFormatPr defaultColWidth="15.25" defaultRowHeight="13"/>
  <cols>
    <col min="1" max="1" width="16.4140625" style="2" customWidth="1"/>
    <col min="2" max="2" width="12.4140625" style="5" customWidth="1"/>
    <col min="3" max="3" width="8.58203125" style="5" customWidth="1"/>
    <col min="4" max="4" width="13.1640625" style="5" customWidth="1"/>
    <col min="5" max="5" width="9.1640625" style="5" customWidth="1"/>
    <col min="6" max="9" width="7.25" style="5" customWidth="1"/>
    <col min="10" max="10" width="9.08203125" style="5" customWidth="1"/>
    <col min="11" max="11" width="7.25" style="5" customWidth="1"/>
    <col min="12" max="12" width="9" style="5" customWidth="1"/>
    <col min="13" max="13" width="7.25" style="5" customWidth="1"/>
    <col min="14" max="14" width="7.75" style="5" customWidth="1"/>
    <col min="15" max="16" width="7.25" style="5" customWidth="1"/>
    <col min="17" max="17" width="9.25" style="5" customWidth="1"/>
    <col min="18" max="16384" width="15.25" style="2"/>
  </cols>
  <sheetData>
    <row r="1" spans="1:19">
      <c r="A1" s="3" t="s">
        <v>82</v>
      </c>
    </row>
    <row r="3" spans="1:19">
      <c r="E3" s="47" t="s">
        <v>86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12"/>
    </row>
    <row r="4" spans="1:19" ht="65">
      <c r="B4" s="8" t="s">
        <v>84</v>
      </c>
      <c r="C4" s="8" t="s">
        <v>36</v>
      </c>
      <c r="D4" s="13" t="s">
        <v>85</v>
      </c>
      <c r="E4" s="10" t="s">
        <v>64</v>
      </c>
      <c r="F4" s="13" t="s">
        <v>65</v>
      </c>
      <c r="G4" s="13" t="s">
        <v>67</v>
      </c>
      <c r="H4" s="13" t="s">
        <v>68</v>
      </c>
      <c r="I4" s="13" t="s">
        <v>69</v>
      </c>
      <c r="J4" s="13" t="s">
        <v>70</v>
      </c>
      <c r="K4" s="13" t="s">
        <v>71</v>
      </c>
      <c r="L4" s="13" t="s">
        <v>72</v>
      </c>
      <c r="M4" s="13" t="s">
        <v>59</v>
      </c>
      <c r="N4" s="13" t="s">
        <v>73</v>
      </c>
      <c r="O4" s="13" t="s">
        <v>74</v>
      </c>
      <c r="P4" s="13" t="s">
        <v>66</v>
      </c>
      <c r="Q4" s="13" t="s">
        <v>36</v>
      </c>
    </row>
    <row r="5" spans="1:19">
      <c r="B5" s="9" t="s">
        <v>35</v>
      </c>
      <c r="C5" s="9"/>
      <c r="D5" s="11" t="s">
        <v>34</v>
      </c>
      <c r="E5" s="11" t="s">
        <v>35</v>
      </c>
      <c r="F5" s="11" t="s">
        <v>35</v>
      </c>
      <c r="G5" s="11" t="s">
        <v>35</v>
      </c>
      <c r="H5" s="11" t="s">
        <v>35</v>
      </c>
      <c r="I5" s="11" t="s">
        <v>35</v>
      </c>
      <c r="J5" s="11" t="s">
        <v>35</v>
      </c>
      <c r="K5" s="11" t="s">
        <v>35</v>
      </c>
      <c r="L5" s="11" t="s">
        <v>35</v>
      </c>
      <c r="M5" s="11" t="s">
        <v>35</v>
      </c>
      <c r="N5" s="11" t="s">
        <v>35</v>
      </c>
      <c r="O5" s="11" t="s">
        <v>35</v>
      </c>
      <c r="P5" s="11" t="s">
        <v>35</v>
      </c>
      <c r="Q5" s="11"/>
    </row>
    <row r="6" spans="1:19">
      <c r="A6" s="1" t="s">
        <v>28</v>
      </c>
      <c r="B6" s="17">
        <v>82.519900000000007</v>
      </c>
      <c r="C6" s="26">
        <v>10090</v>
      </c>
      <c r="D6" s="17">
        <v>6.5355400000000001</v>
      </c>
      <c r="E6" s="17">
        <v>0.27579999999999999</v>
      </c>
      <c r="F6" s="17">
        <v>1.0392000000000001</v>
      </c>
      <c r="G6" s="17">
        <v>0.1171</v>
      </c>
      <c r="H6" s="17">
        <v>93.628799999999998</v>
      </c>
      <c r="I6" s="17">
        <v>6.6299999999999998E-2</v>
      </c>
      <c r="J6" s="17">
        <v>6.4399999999999999E-2</v>
      </c>
      <c r="K6" s="17">
        <v>1.3839999999999999</v>
      </c>
      <c r="L6" s="17">
        <v>2.4527000000000001</v>
      </c>
      <c r="M6" s="17">
        <v>5.4900000000000004E-2</v>
      </c>
      <c r="N6" s="17">
        <v>0.81410000000000005</v>
      </c>
      <c r="O6" s="17">
        <v>0.10269999999999999</v>
      </c>
      <c r="P6" s="17">
        <v>99.999999999999943</v>
      </c>
      <c r="Q6" s="26">
        <f>SUM(Q8:Q9)</f>
        <v>8157</v>
      </c>
    </row>
    <row r="7" spans="1:19">
      <c r="A7" s="33" t="s">
        <v>29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9">
      <c r="A8" s="4" t="s">
        <v>24</v>
      </c>
      <c r="B8" s="17">
        <v>78.300358000000003</v>
      </c>
      <c r="C8" s="26">
        <v>5535</v>
      </c>
      <c r="D8" s="17">
        <v>6.5138794128555597</v>
      </c>
      <c r="E8" s="17">
        <v>0.39649722393609799</v>
      </c>
      <c r="F8" s="17">
        <v>1.8403025592065099</v>
      </c>
      <c r="G8" s="17">
        <v>0.26893991188227701</v>
      </c>
      <c r="H8" s="17">
        <v>88.428872889351695</v>
      </c>
      <c r="I8" s="17">
        <v>0.15229564829728098</v>
      </c>
      <c r="J8" s="17">
        <v>6.7552010877497598E-2</v>
      </c>
      <c r="K8" s="17">
        <v>2.52914300094114</v>
      </c>
      <c r="L8" s="17">
        <v>4.5981945380454396</v>
      </c>
      <c r="M8" s="17">
        <v>1.5083709909312199E-2</v>
      </c>
      <c r="N8" s="17">
        <v>1.5408664190592201</v>
      </c>
      <c r="O8" s="17">
        <v>0.16225208849346201</v>
      </c>
      <c r="P8" s="17">
        <f>SUM(E8:O8)</f>
        <v>99.999999999999915</v>
      </c>
      <c r="Q8" s="26">
        <v>4242</v>
      </c>
      <c r="S8" s="7"/>
    </row>
    <row r="9" spans="1:19">
      <c r="A9" s="4" t="s">
        <v>23</v>
      </c>
      <c r="B9" s="17">
        <v>86.095477000000002</v>
      </c>
      <c r="C9" s="32">
        <v>4555</v>
      </c>
      <c r="D9" s="17">
        <v>6.5522325946136402</v>
      </c>
      <c r="E9" s="17">
        <v>0.182712925909328</v>
      </c>
      <c r="F9" s="17">
        <v>0.42181997199769106</v>
      </c>
      <c r="G9" s="17">
        <v>0</v>
      </c>
      <c r="H9" s="17">
        <v>97.636045122324305</v>
      </c>
      <c r="I9" s="17">
        <v>0</v>
      </c>
      <c r="J9" s="17">
        <v>6.2046651044354396E-2</v>
      </c>
      <c r="K9" s="17">
        <v>0.50142703688856494</v>
      </c>
      <c r="L9" s="17">
        <v>0.79936193867723904</v>
      </c>
      <c r="M9" s="17">
        <v>8.5597701915834504E-2</v>
      </c>
      <c r="N9" s="17">
        <v>0.25409671086951102</v>
      </c>
      <c r="O9" s="17">
        <v>5.6891940373136801E-2</v>
      </c>
      <c r="P9" s="17">
        <f t="shared" ref="P9:P62" si="0">SUM(E9:O9)</f>
        <v>99.999999999999957</v>
      </c>
      <c r="Q9" s="26">
        <v>3915</v>
      </c>
      <c r="S9" s="7"/>
    </row>
    <row r="10" spans="1:19">
      <c r="A10" s="33" t="s">
        <v>22</v>
      </c>
      <c r="B10" s="35"/>
      <c r="C10" s="36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/>
      <c r="S10" s="7"/>
    </row>
    <row r="11" spans="1:19">
      <c r="A11" s="4" t="s">
        <v>1</v>
      </c>
      <c r="B11" s="17">
        <v>82.613117000000003</v>
      </c>
      <c r="C11" s="26">
        <v>559</v>
      </c>
      <c r="D11" s="17">
        <v>6.5684502272464904</v>
      </c>
      <c r="E11" s="17">
        <v>0.91675032436804205</v>
      </c>
      <c r="F11" s="17">
        <v>1.7184997052264099</v>
      </c>
      <c r="G11" s="17">
        <v>0</v>
      </c>
      <c r="H11" s="17">
        <v>93.879362126236998</v>
      </c>
      <c r="I11" s="17">
        <v>0</v>
      </c>
      <c r="J11" s="17">
        <v>0.23487258512930498</v>
      </c>
      <c r="K11" s="17">
        <v>1.3904386534253501</v>
      </c>
      <c r="L11" s="17">
        <v>0.44938565700046501</v>
      </c>
      <c r="M11" s="17">
        <v>0</v>
      </c>
      <c r="N11" s="17">
        <v>1.3764919147997901</v>
      </c>
      <c r="O11" s="17">
        <v>3.4199033813589699E-2</v>
      </c>
      <c r="P11" s="17">
        <f t="shared" si="0"/>
        <v>99.999999999999943</v>
      </c>
      <c r="Q11" s="26">
        <v>457</v>
      </c>
      <c r="S11" s="7"/>
    </row>
    <row r="12" spans="1:19">
      <c r="A12" s="4" t="s">
        <v>2</v>
      </c>
      <c r="B12" s="17">
        <v>90.385507000000004</v>
      </c>
      <c r="C12" s="26">
        <v>828</v>
      </c>
      <c r="D12" s="17">
        <v>6.5632116018757296</v>
      </c>
      <c r="E12" s="17">
        <v>0</v>
      </c>
      <c r="F12" s="17">
        <v>0.49271000765239698</v>
      </c>
      <c r="G12" s="17">
        <v>0</v>
      </c>
      <c r="H12" s="17">
        <v>98.657005974835101</v>
      </c>
      <c r="I12" s="17">
        <v>0</v>
      </c>
      <c r="J12" s="17">
        <v>3.5198532400606601E-2</v>
      </c>
      <c r="K12" s="17">
        <v>0.66375626622249895</v>
      </c>
      <c r="L12" s="17">
        <v>0.15132921888937101</v>
      </c>
      <c r="M12" s="17">
        <v>0</v>
      </c>
      <c r="N12" s="17">
        <v>0</v>
      </c>
      <c r="O12" s="17">
        <v>0</v>
      </c>
      <c r="P12" s="17">
        <f t="shared" si="0"/>
        <v>99.999999999999972</v>
      </c>
      <c r="Q12" s="26">
        <v>742</v>
      </c>
      <c r="S12" s="7"/>
    </row>
    <row r="13" spans="1:19">
      <c r="A13" s="4" t="s">
        <v>3</v>
      </c>
      <c r="B13" s="17">
        <v>74.093657999999991</v>
      </c>
      <c r="C13" s="26">
        <v>561</v>
      </c>
      <c r="D13" s="17">
        <v>6.4038820142462001</v>
      </c>
      <c r="E13" s="17">
        <v>0.42011646465368202</v>
      </c>
      <c r="F13" s="17">
        <v>0.93178251342810103</v>
      </c>
      <c r="G13" s="17">
        <v>0</v>
      </c>
      <c r="H13" s="17">
        <v>93.570903357629604</v>
      </c>
      <c r="I13" s="17">
        <v>0</v>
      </c>
      <c r="J13" s="17">
        <v>0</v>
      </c>
      <c r="K13" s="17">
        <v>1.04713656899956</v>
      </c>
      <c r="L13" s="17">
        <v>1.35454836680202</v>
      </c>
      <c r="M13" s="17">
        <v>0</v>
      </c>
      <c r="N13" s="17">
        <v>2.6755127284870102</v>
      </c>
      <c r="O13" s="17">
        <v>0</v>
      </c>
      <c r="P13" s="17">
        <f t="shared" si="0"/>
        <v>99.999999999999972</v>
      </c>
      <c r="Q13" s="26">
        <v>423</v>
      </c>
      <c r="S13" s="7"/>
    </row>
    <row r="14" spans="1:19">
      <c r="A14" s="4" t="s">
        <v>4</v>
      </c>
      <c r="B14" s="17">
        <v>64.192784000000003</v>
      </c>
      <c r="C14" s="26">
        <v>554</v>
      </c>
      <c r="D14" s="17">
        <v>6.2626335835362301</v>
      </c>
      <c r="E14" s="17">
        <v>1.9533264959478502</v>
      </c>
      <c r="F14" s="17">
        <v>1.77346616724283</v>
      </c>
      <c r="G14" s="17">
        <v>0</v>
      </c>
      <c r="H14" s="17">
        <v>93.005821452411396</v>
      </c>
      <c r="I14" s="17">
        <v>0</v>
      </c>
      <c r="J14" s="17">
        <v>0.23299616767804301</v>
      </c>
      <c r="K14" s="17">
        <v>0.52013629413294105</v>
      </c>
      <c r="L14" s="17">
        <v>2.5142534225869198</v>
      </c>
      <c r="M14" s="17">
        <v>0</v>
      </c>
      <c r="N14" s="17">
        <v>0</v>
      </c>
      <c r="O14" s="17">
        <v>0</v>
      </c>
      <c r="P14" s="17">
        <f t="shared" si="0"/>
        <v>99.999999999999972</v>
      </c>
      <c r="Q14" s="26">
        <v>363</v>
      </c>
      <c r="S14" s="7"/>
    </row>
    <row r="15" spans="1:19">
      <c r="A15" s="4" t="s">
        <v>5</v>
      </c>
      <c r="B15" s="17">
        <v>68.411918</v>
      </c>
      <c r="C15" s="26">
        <v>568</v>
      </c>
      <c r="D15" s="17">
        <v>6.1507360864871403</v>
      </c>
      <c r="E15" s="17">
        <v>0.650153766847266</v>
      </c>
      <c r="F15" s="17">
        <v>1.7516909401724199</v>
      </c>
      <c r="G15" s="17">
        <v>0.41057548947716099</v>
      </c>
      <c r="H15" s="17">
        <v>86.134563273596797</v>
      </c>
      <c r="I15" s="17">
        <v>2.7131597725886003</v>
      </c>
      <c r="J15" s="17">
        <v>0</v>
      </c>
      <c r="K15" s="17">
        <v>0.93132434376968398</v>
      </c>
      <c r="L15" s="17">
        <v>5.2079013486230599</v>
      </c>
      <c r="M15" s="17">
        <v>0.29708675892139302</v>
      </c>
      <c r="N15" s="17">
        <v>1.48051486842699</v>
      </c>
      <c r="O15" s="17">
        <v>0.42302943757662098</v>
      </c>
      <c r="P15" s="17">
        <f t="shared" si="0"/>
        <v>99.999999999999986</v>
      </c>
      <c r="Q15" s="26">
        <v>379</v>
      </c>
      <c r="S15" s="7"/>
    </row>
    <row r="16" spans="1:19">
      <c r="A16" s="4" t="s">
        <v>6</v>
      </c>
      <c r="B16" s="17">
        <v>84.136049999999997</v>
      </c>
      <c r="C16" s="26">
        <v>1084</v>
      </c>
      <c r="D16" s="17">
        <v>6.5442479858458098</v>
      </c>
      <c r="E16" s="17">
        <v>0</v>
      </c>
      <c r="F16" s="17">
        <v>0.59155371773006793</v>
      </c>
      <c r="G16" s="17">
        <v>0</v>
      </c>
      <c r="H16" s="17">
        <v>96.485328325419488</v>
      </c>
      <c r="I16" s="17">
        <v>0</v>
      </c>
      <c r="J16" s="17">
        <v>0.113618235302822</v>
      </c>
      <c r="K16" s="17">
        <v>1.3389243725114699</v>
      </c>
      <c r="L16" s="17">
        <v>0.99172387836745513</v>
      </c>
      <c r="M16" s="17">
        <v>0.15722358763048799</v>
      </c>
      <c r="N16" s="17">
        <v>0.178055451760842</v>
      </c>
      <c r="O16" s="17">
        <v>0.14357243127733699</v>
      </c>
      <c r="P16" s="17">
        <f t="shared" si="0"/>
        <v>99.999999999999957</v>
      </c>
      <c r="Q16" s="26">
        <v>912</v>
      </c>
      <c r="S16" s="7"/>
    </row>
    <row r="17" spans="1:19">
      <c r="A17" s="4" t="s">
        <v>38</v>
      </c>
      <c r="B17" s="17">
        <v>80.254733999999999</v>
      </c>
      <c r="C17" s="26">
        <v>570</v>
      </c>
      <c r="D17" s="17">
        <v>6.1100524007105896</v>
      </c>
      <c r="E17" s="17">
        <v>0.47366345442959101</v>
      </c>
      <c r="F17" s="17">
        <v>5.9688207831884297</v>
      </c>
      <c r="G17" s="17">
        <v>0.22961605150945899</v>
      </c>
      <c r="H17" s="17">
        <v>87.970861746231705</v>
      </c>
      <c r="I17" s="17">
        <v>0</v>
      </c>
      <c r="J17" s="17">
        <v>0</v>
      </c>
      <c r="K17" s="17">
        <v>2.06828270436892</v>
      </c>
      <c r="L17" s="17">
        <v>2.9573326591</v>
      </c>
      <c r="M17" s="17">
        <v>0</v>
      </c>
      <c r="N17" s="17">
        <v>0.33142260117182198</v>
      </c>
      <c r="O17" s="17">
        <v>0</v>
      </c>
      <c r="P17" s="17">
        <f t="shared" si="0"/>
        <v>99.999999999999943</v>
      </c>
      <c r="Q17" s="26">
        <v>455</v>
      </c>
      <c r="S17" s="7"/>
    </row>
    <row r="18" spans="1:19">
      <c r="A18" s="4" t="s">
        <v>7</v>
      </c>
      <c r="B18" s="17">
        <v>76.738827999999998</v>
      </c>
      <c r="C18" s="26">
        <v>854</v>
      </c>
      <c r="D18" s="17">
        <v>6.7975449144870197</v>
      </c>
      <c r="E18" s="17">
        <v>0.15351701733621301</v>
      </c>
      <c r="F18" s="17">
        <v>0.315003737941493</v>
      </c>
      <c r="G18" s="17">
        <v>0.32395342343426997</v>
      </c>
      <c r="H18" s="17">
        <v>88.716278812765907</v>
      </c>
      <c r="I18" s="17">
        <v>0</v>
      </c>
      <c r="J18" s="17">
        <v>0</v>
      </c>
      <c r="K18" s="17">
        <v>0.27114641385138899</v>
      </c>
      <c r="L18" s="17">
        <v>6.4899089622204098</v>
      </c>
      <c r="M18" s="17">
        <v>0</v>
      </c>
      <c r="N18" s="17">
        <v>3.4012116416728704</v>
      </c>
      <c r="O18" s="17">
        <v>0.32897999077737899</v>
      </c>
      <c r="P18" s="17">
        <f t="shared" si="0"/>
        <v>99.999999999999929</v>
      </c>
      <c r="Q18" s="26">
        <v>645</v>
      </c>
      <c r="S18" s="7"/>
    </row>
    <row r="19" spans="1:19">
      <c r="A19" s="4" t="s">
        <v>8</v>
      </c>
      <c r="B19" s="17">
        <v>74.872070000000008</v>
      </c>
      <c r="C19" s="26">
        <v>557</v>
      </c>
      <c r="D19" s="17">
        <v>6.2118657503717198</v>
      </c>
      <c r="E19" s="17">
        <v>1.51947785267345</v>
      </c>
      <c r="F19" s="17">
        <v>1.79523795603171</v>
      </c>
      <c r="G19" s="17">
        <v>0</v>
      </c>
      <c r="H19" s="17">
        <v>88.427265967230298</v>
      </c>
      <c r="I19" s="17">
        <v>0</v>
      </c>
      <c r="J19" s="17">
        <v>0.34097802291357604</v>
      </c>
      <c r="K19" s="17">
        <v>4.6156009083019001</v>
      </c>
      <c r="L19" s="17">
        <v>2.1143786343401398</v>
      </c>
      <c r="M19" s="17">
        <v>0</v>
      </c>
      <c r="N19" s="17">
        <v>1.1870606585088599</v>
      </c>
      <c r="O19" s="17">
        <v>0</v>
      </c>
      <c r="P19" s="17">
        <f t="shared" si="0"/>
        <v>99.999999999999929</v>
      </c>
      <c r="Q19" s="26">
        <v>413</v>
      </c>
      <c r="S19" s="7"/>
    </row>
    <row r="20" spans="1:19">
      <c r="A20" s="4" t="s">
        <v>9</v>
      </c>
      <c r="B20" s="17">
        <v>86.570062000000007</v>
      </c>
      <c r="C20" s="26">
        <v>854</v>
      </c>
      <c r="D20" s="17">
        <v>6.6026068524288899</v>
      </c>
      <c r="E20" s="17">
        <v>0.15523579455470099</v>
      </c>
      <c r="F20" s="17">
        <v>0.19574942301071602</v>
      </c>
      <c r="G20" s="17">
        <v>0.41075245614149097</v>
      </c>
      <c r="H20" s="17">
        <v>91.0923953494529</v>
      </c>
      <c r="I20" s="17">
        <v>0</v>
      </c>
      <c r="J20" s="17">
        <v>4.2443424035444099E-2</v>
      </c>
      <c r="K20" s="17">
        <v>2.3086457068919102</v>
      </c>
      <c r="L20" s="17">
        <v>4.7925361805458202</v>
      </c>
      <c r="M20" s="17">
        <v>0</v>
      </c>
      <c r="N20" s="17">
        <v>1.0022416653669999</v>
      </c>
      <c r="O20" s="17">
        <v>0</v>
      </c>
      <c r="P20" s="17">
        <f t="shared" si="0"/>
        <v>99.999999999999972</v>
      </c>
      <c r="Q20" s="26">
        <v>731</v>
      </c>
      <c r="S20" s="7"/>
    </row>
    <row r="21" spans="1:19">
      <c r="A21" s="4" t="s">
        <v>10</v>
      </c>
      <c r="B21" s="17">
        <v>88.630613999999994</v>
      </c>
      <c r="C21" s="26">
        <v>846</v>
      </c>
      <c r="D21" s="17">
        <v>6.7685984771805003</v>
      </c>
      <c r="E21" s="17">
        <v>0</v>
      </c>
      <c r="F21" s="17">
        <v>0</v>
      </c>
      <c r="G21" s="17">
        <v>6.1407263673147895E-2</v>
      </c>
      <c r="H21" s="17">
        <v>96.271735431108496</v>
      </c>
      <c r="I21" s="17">
        <v>0</v>
      </c>
      <c r="J21" s="17">
        <v>0</v>
      </c>
      <c r="K21" s="17">
        <v>0.40482290151182804</v>
      </c>
      <c r="L21" s="17">
        <v>2.80555810154056</v>
      </c>
      <c r="M21" s="17">
        <v>0</v>
      </c>
      <c r="N21" s="17">
        <v>0.45647630216594204</v>
      </c>
      <c r="O21" s="17">
        <v>0</v>
      </c>
      <c r="P21" s="17">
        <f t="shared" si="0"/>
        <v>99.999999999999957</v>
      </c>
      <c r="Q21" s="26">
        <v>746</v>
      </c>
      <c r="S21" s="7"/>
    </row>
    <row r="22" spans="1:19">
      <c r="A22" s="4" t="s">
        <v>11</v>
      </c>
      <c r="B22" s="17">
        <v>83.011932999999999</v>
      </c>
      <c r="C22" s="26">
        <v>852</v>
      </c>
      <c r="D22" s="17">
        <v>6.6732314185020396</v>
      </c>
      <c r="E22" s="17">
        <v>0</v>
      </c>
      <c r="F22" s="17">
        <v>0.42609601953426796</v>
      </c>
      <c r="G22" s="17">
        <v>8.44491269094131E-2</v>
      </c>
      <c r="H22" s="17">
        <v>92.999362360659504</v>
      </c>
      <c r="I22" s="17">
        <v>0</v>
      </c>
      <c r="J22" s="17">
        <v>0</v>
      </c>
      <c r="K22" s="17">
        <v>0.99165685669493997</v>
      </c>
      <c r="L22" s="17">
        <v>3.9629729714456898</v>
      </c>
      <c r="M22" s="17">
        <v>0</v>
      </c>
      <c r="N22" s="17">
        <v>1.3635742675907498</v>
      </c>
      <c r="O22" s="17">
        <v>0.17188839716541598</v>
      </c>
      <c r="P22" s="17">
        <f t="shared" si="0"/>
        <v>99.999999999999986</v>
      </c>
      <c r="Q22" s="26">
        <v>696</v>
      </c>
      <c r="S22" s="7"/>
    </row>
    <row r="23" spans="1:19">
      <c r="A23" s="4" t="s">
        <v>12</v>
      </c>
      <c r="B23" s="17">
        <v>83.276966999999999</v>
      </c>
      <c r="C23" s="26">
        <v>837</v>
      </c>
      <c r="D23" s="17">
        <v>6.2705789111213104</v>
      </c>
      <c r="E23" s="17">
        <v>0.24699005410914401</v>
      </c>
      <c r="F23" s="17">
        <v>3.8991952335203797</v>
      </c>
      <c r="G23" s="17">
        <v>0.259797687914888</v>
      </c>
      <c r="H23" s="17">
        <v>89.091841416501012</v>
      </c>
      <c r="I23" s="17">
        <v>0</v>
      </c>
      <c r="J23" s="17">
        <v>3.2874601479005998E-2</v>
      </c>
      <c r="K23" s="17">
        <v>4.06363791194521</v>
      </c>
      <c r="L23" s="17">
        <v>1.72645156087664</v>
      </c>
      <c r="M23" s="17">
        <v>0.21579274401089901</v>
      </c>
      <c r="N23" s="17">
        <v>0.16203264397320399</v>
      </c>
      <c r="O23" s="17">
        <v>0.301386145669582</v>
      </c>
      <c r="P23" s="17">
        <f t="shared" si="0"/>
        <v>99.999999999999972</v>
      </c>
      <c r="Q23" s="26">
        <v>699</v>
      </c>
      <c r="S23" s="7"/>
    </row>
    <row r="24" spans="1:19">
      <c r="A24" s="4" t="s">
        <v>13</v>
      </c>
      <c r="B24" s="17">
        <v>88.851539000000002</v>
      </c>
      <c r="C24" s="26">
        <v>566</v>
      </c>
      <c r="D24" s="17">
        <v>6.5851190685265601</v>
      </c>
      <c r="E24" s="17">
        <v>0.52249288553779194</v>
      </c>
      <c r="F24" s="17">
        <v>0.11725153810870799</v>
      </c>
      <c r="G24" s="17">
        <v>0</v>
      </c>
      <c r="H24" s="17">
        <v>97.640795727753101</v>
      </c>
      <c r="I24" s="17">
        <v>0.14589681147140998</v>
      </c>
      <c r="J24" s="17">
        <v>0</v>
      </c>
      <c r="K24" s="17">
        <v>0</v>
      </c>
      <c r="L24" s="17">
        <v>1.57356303712895</v>
      </c>
      <c r="M24" s="17">
        <v>0</v>
      </c>
      <c r="N24" s="17">
        <v>0</v>
      </c>
      <c r="O24" s="17">
        <v>0</v>
      </c>
      <c r="P24" s="17">
        <f t="shared" si="0"/>
        <v>99.999999999999972</v>
      </c>
      <c r="Q24" s="26">
        <v>496</v>
      </c>
      <c r="S24" s="7"/>
    </row>
    <row r="25" spans="1:19">
      <c r="A25" s="33" t="s">
        <v>32</v>
      </c>
      <c r="B25" s="35"/>
      <c r="C25" s="36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6"/>
      <c r="S25" s="7"/>
    </row>
    <row r="26" spans="1:19">
      <c r="A26" s="4" t="s">
        <v>39</v>
      </c>
      <c r="B26" s="17">
        <v>83.784694999999999</v>
      </c>
      <c r="C26" s="26">
        <v>4616</v>
      </c>
      <c r="D26" s="17">
        <v>6.5679112274911802</v>
      </c>
      <c r="E26" s="17">
        <v>0.34842119094968499</v>
      </c>
      <c r="F26" s="17">
        <v>0.72107745681490398</v>
      </c>
      <c r="G26" s="17">
        <v>7.1435597661026196E-2</v>
      </c>
      <c r="H26" s="17">
        <v>94.375584991096289</v>
      </c>
      <c r="I26" s="17">
        <v>1.05583730446198E-2</v>
      </c>
      <c r="J26" s="17">
        <v>8.1972505979975102E-2</v>
      </c>
      <c r="K26" s="17">
        <v>0.47093233487471203</v>
      </c>
      <c r="L26" s="17">
        <v>3.10150395626547</v>
      </c>
      <c r="M26" s="17">
        <v>2.3039292091628898E-2</v>
      </c>
      <c r="N26" s="17">
        <v>0.667457500017129</v>
      </c>
      <c r="O26" s="17">
        <v>0.12801680120450401</v>
      </c>
      <c r="P26" s="17">
        <f t="shared" si="0"/>
        <v>99.999999999999957</v>
      </c>
      <c r="Q26" s="26">
        <v>3781</v>
      </c>
      <c r="S26" s="7"/>
    </row>
    <row r="27" spans="1:19">
      <c r="A27" s="4" t="s">
        <v>40</v>
      </c>
      <c r="B27" s="17">
        <v>81.524958999999996</v>
      </c>
      <c r="C27" s="26">
        <v>5474</v>
      </c>
      <c r="D27" s="17">
        <v>6.5093676716476798</v>
      </c>
      <c r="E27" s="17">
        <v>0.21701182033984898</v>
      </c>
      <c r="F27" s="17">
        <v>1.29639014254862</v>
      </c>
      <c r="G27" s="17">
        <v>0.15393297490441399</v>
      </c>
      <c r="H27" s="17">
        <v>93.024957742882094</v>
      </c>
      <c r="I27" s="17">
        <v>0.11133899767230701</v>
      </c>
      <c r="J27" s="17">
        <v>5.02699213933104E-2</v>
      </c>
      <c r="K27" s="17">
        <v>2.1221449732370901</v>
      </c>
      <c r="L27" s="17">
        <v>1.9282219283227</v>
      </c>
      <c r="M27" s="17">
        <v>8.0673189301298201E-2</v>
      </c>
      <c r="N27" s="17">
        <v>0.932739635998588</v>
      </c>
      <c r="O27" s="17">
        <v>8.2318673399650294E-2</v>
      </c>
      <c r="P27" s="17">
        <f t="shared" si="0"/>
        <v>99.999999999999915</v>
      </c>
      <c r="Q27" s="26">
        <v>4376</v>
      </c>
      <c r="S27" s="7"/>
    </row>
    <row r="28" spans="1:19">
      <c r="A28" s="33" t="s">
        <v>31</v>
      </c>
      <c r="B28" s="35"/>
      <c r="C28" s="36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S28" s="7"/>
    </row>
    <row r="29" spans="1:19">
      <c r="A29" s="4" t="s">
        <v>41</v>
      </c>
      <c r="B29" s="17">
        <v>62.201859999999996</v>
      </c>
      <c r="C29" s="26">
        <v>37</v>
      </c>
      <c r="D29" s="17">
        <v>6.7047381440225502</v>
      </c>
      <c r="E29" s="17">
        <v>0</v>
      </c>
      <c r="F29" s="17">
        <v>0</v>
      </c>
      <c r="G29" s="17">
        <v>0</v>
      </c>
      <c r="H29" s="17">
        <v>49.996656659577496</v>
      </c>
      <c r="I29" s="17">
        <v>0</v>
      </c>
      <c r="J29" s="17">
        <v>0</v>
      </c>
      <c r="K29" s="17">
        <v>17.790550139753499</v>
      </c>
      <c r="L29" s="17">
        <v>32.212793200668898</v>
      </c>
      <c r="M29" s="17">
        <v>0</v>
      </c>
      <c r="N29" s="17">
        <v>0</v>
      </c>
      <c r="O29" s="17">
        <v>0</v>
      </c>
      <c r="P29" s="17">
        <f t="shared" si="0"/>
        <v>99.999999999999886</v>
      </c>
      <c r="Q29" s="26">
        <v>22</v>
      </c>
      <c r="S29" s="7"/>
    </row>
    <row r="30" spans="1:19">
      <c r="A30" s="4" t="s">
        <v>42</v>
      </c>
      <c r="B30" s="17">
        <v>82.864488000000009</v>
      </c>
      <c r="C30" s="26">
        <v>7809</v>
      </c>
      <c r="D30" s="17">
        <v>6.5276224221927599</v>
      </c>
      <c r="E30" s="17">
        <v>0.27202187267136402</v>
      </c>
      <c r="F30" s="17">
        <v>1.1224770000441702</v>
      </c>
      <c r="G30" s="17">
        <v>8.4451004597207002E-2</v>
      </c>
      <c r="H30" s="17">
        <v>93.798521016188403</v>
      </c>
      <c r="I30" s="17">
        <v>6.9169475832026497E-2</v>
      </c>
      <c r="J30" s="17">
        <v>7.6477610080152497E-2</v>
      </c>
      <c r="K30" s="17">
        <v>1.54435406217175</v>
      </c>
      <c r="L30" s="17">
        <v>2.0720757663287301</v>
      </c>
      <c r="M30" s="17">
        <v>6.76051420791043E-2</v>
      </c>
      <c r="N30" s="17">
        <v>0.78434910529631008</v>
      </c>
      <c r="O30" s="17">
        <v>0.108497944710754</v>
      </c>
      <c r="P30" s="17">
        <f t="shared" si="0"/>
        <v>99.999999999999972</v>
      </c>
      <c r="Q30" s="26">
        <v>6364</v>
      </c>
      <c r="S30" s="7"/>
    </row>
    <row r="31" spans="1:19">
      <c r="A31" s="4" t="s">
        <v>43</v>
      </c>
      <c r="B31" s="17">
        <v>81.477224000000007</v>
      </c>
      <c r="C31" s="26">
        <v>2244</v>
      </c>
      <c r="D31" s="17">
        <v>6.5675114342548904</v>
      </c>
      <c r="E31" s="17">
        <v>0.296822053337089</v>
      </c>
      <c r="F31" s="17">
        <v>0.69045153559255001</v>
      </c>
      <c r="G31" s="17">
        <v>0.26235920698618098</v>
      </c>
      <c r="H31" s="17">
        <v>93.614955541876398</v>
      </c>
      <c r="I31" s="17">
        <v>5.4711735005481495E-2</v>
      </c>
      <c r="J31" s="17">
        <v>1.26092663673796E-2</v>
      </c>
      <c r="K31" s="17">
        <v>0.40325800780665499</v>
      </c>
      <c r="L31" s="17">
        <v>3.6268247130286597</v>
      </c>
      <c r="M31" s="17">
        <v>0</v>
      </c>
      <c r="N31" s="17">
        <v>0.9588147305585959</v>
      </c>
      <c r="O31" s="17">
        <v>7.9193209440897805E-2</v>
      </c>
      <c r="P31" s="17">
        <f t="shared" si="0"/>
        <v>99.999999999999886</v>
      </c>
      <c r="Q31" s="26">
        <v>1771</v>
      </c>
      <c r="S31" s="7"/>
    </row>
    <row r="32" spans="1:19">
      <c r="A32" s="33" t="s">
        <v>30</v>
      </c>
      <c r="B32" s="35"/>
      <c r="C32" s="36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6"/>
      <c r="S32" s="7"/>
    </row>
    <row r="33" spans="1:19">
      <c r="A33" s="4" t="s">
        <v>44</v>
      </c>
      <c r="B33" s="17">
        <v>72.357429999999994</v>
      </c>
      <c r="C33" s="26">
        <v>1905</v>
      </c>
      <c r="D33" s="17">
        <v>6.3891994369869298</v>
      </c>
      <c r="E33" s="17">
        <v>0.71675642297185993</v>
      </c>
      <c r="F33" s="17">
        <v>2.15285455780137</v>
      </c>
      <c r="G33" s="17">
        <v>0.12851251826054799</v>
      </c>
      <c r="H33" s="17">
        <v>87.010331476601593</v>
      </c>
      <c r="I33" s="17">
        <v>6.6271992988692199E-2</v>
      </c>
      <c r="J33" s="17">
        <v>9.7455419488307896E-2</v>
      </c>
      <c r="K33" s="17">
        <v>3.5320619332856897</v>
      </c>
      <c r="L33" s="17">
        <v>4.2911209597795601</v>
      </c>
      <c r="M33" s="17">
        <v>0</v>
      </c>
      <c r="N33" s="17">
        <v>1.89498641211385</v>
      </c>
      <c r="O33" s="17">
        <v>0.10964830670849</v>
      </c>
      <c r="P33" s="17">
        <f t="shared" si="0"/>
        <v>99.999999999999972</v>
      </c>
      <c r="Q33" s="26">
        <v>1338</v>
      </c>
      <c r="S33" s="7"/>
    </row>
    <row r="34" spans="1:19">
      <c r="A34" s="4" t="s">
        <v>45</v>
      </c>
      <c r="B34" s="17">
        <v>85.295090000000002</v>
      </c>
      <c r="C34" s="26">
        <v>55</v>
      </c>
      <c r="D34" s="17">
        <v>6.6878065046852297</v>
      </c>
      <c r="E34" s="17">
        <v>0</v>
      </c>
      <c r="F34" s="17">
        <v>0</v>
      </c>
      <c r="G34" s="17">
        <v>0</v>
      </c>
      <c r="H34" s="17">
        <v>100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f t="shared" si="0"/>
        <v>100</v>
      </c>
      <c r="Q34" s="26">
        <v>42</v>
      </c>
      <c r="S34" s="7"/>
    </row>
    <row r="35" spans="1:19">
      <c r="A35" s="4" t="s">
        <v>46</v>
      </c>
      <c r="B35" s="17">
        <v>79.512446999999995</v>
      </c>
      <c r="C35" s="26">
        <v>2725</v>
      </c>
      <c r="D35" s="17">
        <v>6.5174470749675599</v>
      </c>
      <c r="E35" s="17">
        <v>0.25622874055371703</v>
      </c>
      <c r="F35" s="17">
        <v>1.86347609184693</v>
      </c>
      <c r="G35" s="17">
        <v>0.34468080921928096</v>
      </c>
      <c r="H35" s="17">
        <v>90.633520440392303</v>
      </c>
      <c r="I35" s="17">
        <v>0.19245583251953402</v>
      </c>
      <c r="J35" s="17">
        <v>0.11444652766919899</v>
      </c>
      <c r="K35" s="17">
        <v>1.60369436000859</v>
      </c>
      <c r="L35" s="17">
        <v>3.7412186556443801</v>
      </c>
      <c r="M35" s="17">
        <v>9.2387454363284591E-2</v>
      </c>
      <c r="N35" s="17">
        <v>1.0737020881750299</v>
      </c>
      <c r="O35" s="17">
        <v>8.4188999607711493E-2</v>
      </c>
      <c r="P35" s="17">
        <f t="shared" si="0"/>
        <v>99.999999999999957</v>
      </c>
      <c r="Q35" s="26">
        <v>2127</v>
      </c>
      <c r="S35" s="7"/>
    </row>
    <row r="36" spans="1:19">
      <c r="A36" s="4" t="s">
        <v>47</v>
      </c>
      <c r="B36" s="17">
        <v>86.425274000000002</v>
      </c>
      <c r="C36" s="26">
        <v>4170</v>
      </c>
      <c r="D36" s="17">
        <v>6.5704924907380997</v>
      </c>
      <c r="E36" s="17">
        <v>0.25050493154299103</v>
      </c>
      <c r="F36" s="17">
        <v>0.47889121171028198</v>
      </c>
      <c r="G36" s="17">
        <v>3.8312894823615003E-2</v>
      </c>
      <c r="H36" s="17">
        <v>95.938342897997401</v>
      </c>
      <c r="I36" s="17">
        <v>1.1362425971113701E-2</v>
      </c>
      <c r="J36" s="17">
        <v>5.1594636956563904E-2</v>
      </c>
      <c r="K36" s="17">
        <v>0.87339162578811103</v>
      </c>
      <c r="L36" s="17">
        <v>1.62464086001021</v>
      </c>
      <c r="M36" s="17">
        <v>7.1396056303667008E-2</v>
      </c>
      <c r="N36" s="17">
        <v>0.51541219885349998</v>
      </c>
      <c r="O36" s="17">
        <v>0.146150260042475</v>
      </c>
      <c r="P36" s="17">
        <f t="shared" si="0"/>
        <v>99.999999999999943</v>
      </c>
      <c r="Q36" s="26">
        <v>3576</v>
      </c>
      <c r="S36" s="7"/>
    </row>
    <row r="37" spans="1:19">
      <c r="A37" s="4" t="s">
        <v>48</v>
      </c>
      <c r="B37" s="17">
        <v>86.924616999999998</v>
      </c>
      <c r="C37" s="26">
        <v>946</v>
      </c>
      <c r="D37" s="17">
        <v>6.5803612638551003</v>
      </c>
      <c r="E37" s="17">
        <v>0</v>
      </c>
      <c r="F37" s="17">
        <v>0.46107412618402899</v>
      </c>
      <c r="G37" s="17">
        <v>0</v>
      </c>
      <c r="H37" s="17">
        <v>98.102070107337596</v>
      </c>
      <c r="I37" s="17">
        <v>5.3413495018765599E-2</v>
      </c>
      <c r="J37" s="17">
        <v>0</v>
      </c>
      <c r="K37" s="17">
        <v>0.94130437164987502</v>
      </c>
      <c r="L37" s="17">
        <v>0.15882477340957202</v>
      </c>
      <c r="M37" s="17">
        <v>0</v>
      </c>
      <c r="N37" s="17">
        <v>0.283313126400068</v>
      </c>
      <c r="O37" s="17">
        <v>0</v>
      </c>
      <c r="P37" s="17">
        <f t="shared" si="0"/>
        <v>99.999999999999915</v>
      </c>
      <c r="Q37" s="26">
        <v>828</v>
      </c>
      <c r="S37" s="7"/>
    </row>
    <row r="38" spans="1:19">
      <c r="A38" s="33" t="s">
        <v>0</v>
      </c>
      <c r="B38" s="35"/>
      <c r="C38" s="36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6"/>
      <c r="S38" s="7"/>
    </row>
    <row r="39" spans="1:19">
      <c r="A39" s="4" t="s">
        <v>49</v>
      </c>
      <c r="B39" s="17">
        <v>64.605942999999996</v>
      </c>
      <c r="C39" s="26">
        <v>675</v>
      </c>
      <c r="D39" s="17">
        <v>6.1560320400832698</v>
      </c>
      <c r="E39" s="17">
        <v>2.07390725389515</v>
      </c>
      <c r="F39" s="17">
        <v>2.9010479802066902</v>
      </c>
      <c r="G39" s="17">
        <v>0.19141632231910499</v>
      </c>
      <c r="H39" s="17">
        <v>86.552181918503607</v>
      </c>
      <c r="I39" s="17">
        <v>0.64312010006106801</v>
      </c>
      <c r="J39" s="17">
        <v>0.42570226562427105</v>
      </c>
      <c r="K39" s="17">
        <v>1.48772395273489</v>
      </c>
      <c r="L39" s="17">
        <v>4.6910478444067198</v>
      </c>
      <c r="M39" s="17">
        <v>0.332489441189738</v>
      </c>
      <c r="N39" s="17">
        <v>0.55388570398473602</v>
      </c>
      <c r="O39" s="17">
        <v>0.14747721707398501</v>
      </c>
      <c r="P39" s="17">
        <f t="shared" si="0"/>
        <v>99.999999999999957</v>
      </c>
      <c r="Q39" s="26">
        <v>427</v>
      </c>
      <c r="S39" s="7"/>
    </row>
    <row r="40" spans="1:19">
      <c r="A40" s="4" t="s">
        <v>50</v>
      </c>
      <c r="B40" s="17">
        <v>77.267348999999996</v>
      </c>
      <c r="C40" s="26">
        <v>765</v>
      </c>
      <c r="D40" s="17">
        <v>6.3714005108680798</v>
      </c>
      <c r="E40" s="17">
        <v>0.31967041212402497</v>
      </c>
      <c r="F40" s="17">
        <v>3.5394669012606101</v>
      </c>
      <c r="G40" s="17">
        <v>0.29514911981248498</v>
      </c>
      <c r="H40" s="17">
        <v>88.937166561842389</v>
      </c>
      <c r="I40" s="17">
        <v>0.17700513480682201</v>
      </c>
      <c r="J40" s="17">
        <v>0</v>
      </c>
      <c r="K40" s="17">
        <v>0.19684926661140298</v>
      </c>
      <c r="L40" s="17">
        <v>4.6348660274632403</v>
      </c>
      <c r="M40" s="17">
        <v>0</v>
      </c>
      <c r="N40" s="17">
        <v>1.8669312872989101</v>
      </c>
      <c r="O40" s="17">
        <v>3.2895288780083798E-2</v>
      </c>
      <c r="P40" s="17">
        <f t="shared" si="0"/>
        <v>99.999999999999972</v>
      </c>
      <c r="Q40" s="26">
        <v>563</v>
      </c>
      <c r="S40" s="7"/>
    </row>
    <row r="41" spans="1:19">
      <c r="A41" s="4" t="s">
        <v>51</v>
      </c>
      <c r="B41" s="17">
        <v>79.967597999999995</v>
      </c>
      <c r="C41" s="26">
        <v>839</v>
      </c>
      <c r="D41" s="17">
        <v>6.5200545931971901</v>
      </c>
      <c r="E41" s="17">
        <v>0.52963438251023398</v>
      </c>
      <c r="F41" s="17">
        <v>1.9285967866690401</v>
      </c>
      <c r="G41" s="17">
        <v>0</v>
      </c>
      <c r="H41" s="17">
        <v>91.407774194537097</v>
      </c>
      <c r="I41" s="17">
        <v>7.2937318801479994E-2</v>
      </c>
      <c r="J41" s="17">
        <v>3.2516062656644598E-2</v>
      </c>
      <c r="K41" s="17">
        <v>0.91989924796373101</v>
      </c>
      <c r="L41" s="17">
        <v>3.5973357059707598</v>
      </c>
      <c r="M41" s="17">
        <v>4.4506456004041899E-2</v>
      </c>
      <c r="N41" s="17">
        <v>1.46679984488687</v>
      </c>
      <c r="O41" s="17">
        <v>0</v>
      </c>
      <c r="P41" s="17">
        <f t="shared" si="0"/>
        <v>99.999999999999886</v>
      </c>
      <c r="Q41" s="26">
        <v>653</v>
      </c>
      <c r="S41" s="7"/>
    </row>
    <row r="42" spans="1:19">
      <c r="A42" s="4" t="s">
        <v>52</v>
      </c>
      <c r="B42" s="17">
        <v>80.011564000000007</v>
      </c>
      <c r="C42" s="26">
        <v>854</v>
      </c>
      <c r="D42" s="17">
        <v>6.60200184518005</v>
      </c>
      <c r="E42" s="17">
        <v>0.28907393826747502</v>
      </c>
      <c r="F42" s="17">
        <v>0.66192166487845794</v>
      </c>
      <c r="G42" s="17">
        <v>0.58866136921246104</v>
      </c>
      <c r="H42" s="17">
        <v>92.711554007255103</v>
      </c>
      <c r="I42" s="17">
        <v>0.185596757571484</v>
      </c>
      <c r="J42" s="17">
        <v>0.110262565889633</v>
      </c>
      <c r="K42" s="17">
        <v>0.393282296190825</v>
      </c>
      <c r="L42" s="17">
        <v>3.3721769735911602</v>
      </c>
      <c r="M42" s="17">
        <v>0</v>
      </c>
      <c r="N42" s="17">
        <v>1.16251672291546</v>
      </c>
      <c r="O42" s="17">
        <v>0.52495370422790499</v>
      </c>
      <c r="P42" s="17">
        <f t="shared" si="0"/>
        <v>99.999999999999972</v>
      </c>
      <c r="Q42" s="26">
        <v>677</v>
      </c>
      <c r="S42" s="7"/>
    </row>
    <row r="43" spans="1:19">
      <c r="A43" s="4" t="s">
        <v>53</v>
      </c>
      <c r="B43" s="17">
        <v>82.872713000000005</v>
      </c>
      <c r="C43" s="26">
        <v>950</v>
      </c>
      <c r="D43" s="17">
        <v>6.6317284496918196</v>
      </c>
      <c r="E43" s="17">
        <v>0.35701198506374904</v>
      </c>
      <c r="F43" s="17">
        <v>0.78635115035444703</v>
      </c>
      <c r="G43" s="17">
        <v>0</v>
      </c>
      <c r="H43" s="17">
        <v>91.690109564233296</v>
      </c>
      <c r="I43" s="17">
        <v>0</v>
      </c>
      <c r="J43" s="17">
        <v>0.11205141960852599</v>
      </c>
      <c r="K43" s="17">
        <v>2.0245162946540498</v>
      </c>
      <c r="L43" s="17">
        <v>3.4448211297686098</v>
      </c>
      <c r="M43" s="17">
        <v>0</v>
      </c>
      <c r="N43" s="17">
        <v>1.4757925728221</v>
      </c>
      <c r="O43" s="17">
        <v>0.10934588349517101</v>
      </c>
      <c r="P43" s="17">
        <f t="shared" si="0"/>
        <v>99.999999999999943</v>
      </c>
      <c r="Q43" s="26">
        <v>760</v>
      </c>
      <c r="S43" s="7"/>
    </row>
    <row r="44" spans="1:19">
      <c r="A44" s="4" t="s">
        <v>54</v>
      </c>
      <c r="B44" s="17">
        <v>82.051684000000009</v>
      </c>
      <c r="C44" s="26">
        <v>1008</v>
      </c>
      <c r="D44" s="17">
        <v>6.5498524823408601</v>
      </c>
      <c r="E44" s="17">
        <v>0.24498488419914199</v>
      </c>
      <c r="F44" s="17">
        <v>0.85413584459041891</v>
      </c>
      <c r="G44" s="17">
        <v>5.6415266604897797E-2</v>
      </c>
      <c r="H44" s="17">
        <v>92.568974372599996</v>
      </c>
      <c r="I44" s="17">
        <v>0</v>
      </c>
      <c r="J44" s="17">
        <v>0</v>
      </c>
      <c r="K44" s="17">
        <v>1.1864239574231998</v>
      </c>
      <c r="L44" s="17">
        <v>4.2110150448358796</v>
      </c>
      <c r="M44" s="17">
        <v>0.33970358093061997</v>
      </c>
      <c r="N44" s="17">
        <v>0.53834704881582596</v>
      </c>
      <c r="O44" s="17">
        <v>0</v>
      </c>
      <c r="P44" s="17">
        <f t="shared" si="0"/>
        <v>99.999999999999972</v>
      </c>
      <c r="Q44" s="26">
        <v>826</v>
      </c>
      <c r="S44" s="7"/>
    </row>
    <row r="45" spans="1:19">
      <c r="A45" s="4" t="s">
        <v>55</v>
      </c>
      <c r="B45" s="17">
        <v>84.877465999999998</v>
      </c>
      <c r="C45" s="26">
        <v>1101</v>
      </c>
      <c r="D45" s="17">
        <v>6.6569926073740104</v>
      </c>
      <c r="E45" s="17">
        <v>0</v>
      </c>
      <c r="F45" s="17">
        <v>0.65943971528823397</v>
      </c>
      <c r="G45" s="17">
        <v>0.13874767155471199</v>
      </c>
      <c r="H45" s="17">
        <v>94.856147435305701</v>
      </c>
      <c r="I45" s="17">
        <v>5.8068366015185398E-2</v>
      </c>
      <c r="J45" s="17">
        <v>0</v>
      </c>
      <c r="K45" s="17">
        <v>1.8492169938057099</v>
      </c>
      <c r="L45" s="17">
        <v>1.62225780485816</v>
      </c>
      <c r="M45" s="17">
        <v>0</v>
      </c>
      <c r="N45" s="17">
        <v>0.81113851549111693</v>
      </c>
      <c r="O45" s="17">
        <v>4.9834976811820898E-3</v>
      </c>
      <c r="P45" s="17">
        <f t="shared" si="0"/>
        <v>100.00000000000001</v>
      </c>
      <c r="Q45" s="26">
        <v>924</v>
      </c>
      <c r="S45" s="7"/>
    </row>
    <row r="46" spans="1:19">
      <c r="A46" s="4" t="s">
        <v>56</v>
      </c>
      <c r="B46" s="17">
        <v>85.290841999999998</v>
      </c>
      <c r="C46" s="26">
        <v>1197</v>
      </c>
      <c r="D46" s="17">
        <v>6.5870069402512099</v>
      </c>
      <c r="E46" s="17">
        <v>0.20478892892410197</v>
      </c>
      <c r="F46" s="17">
        <v>0.48582779762815298</v>
      </c>
      <c r="G46" s="17">
        <v>0</v>
      </c>
      <c r="H46" s="17">
        <v>95.066636620192398</v>
      </c>
      <c r="I46" s="17">
        <v>0</v>
      </c>
      <c r="J46" s="17">
        <v>0.18694264308896</v>
      </c>
      <c r="K46" s="17">
        <v>1.88016847857514</v>
      </c>
      <c r="L46" s="17">
        <v>1.6665960152994601</v>
      </c>
      <c r="M46" s="17">
        <v>0</v>
      </c>
      <c r="N46" s="17">
        <v>0.50903951629175104</v>
      </c>
      <c r="O46" s="17">
        <v>0</v>
      </c>
      <c r="P46" s="17">
        <f t="shared" si="0"/>
        <v>99.999999999999957</v>
      </c>
      <c r="Q46" s="26">
        <v>999</v>
      </c>
      <c r="S46" s="7"/>
    </row>
    <row r="47" spans="1:19">
      <c r="A47" s="4" t="s">
        <v>57</v>
      </c>
      <c r="B47" s="17">
        <v>88.193250999999989</v>
      </c>
      <c r="C47" s="26">
        <v>1283</v>
      </c>
      <c r="D47" s="17">
        <v>6.5954150985573401</v>
      </c>
      <c r="E47" s="17">
        <v>6.7449609220135709E-2</v>
      </c>
      <c r="F47" s="17">
        <v>0.43242356297434503</v>
      </c>
      <c r="G47" s="17">
        <v>0.16377692419340401</v>
      </c>
      <c r="H47" s="17">
        <v>96.12802943687619</v>
      </c>
      <c r="I47" s="17">
        <v>0</v>
      </c>
      <c r="J47" s="17">
        <v>0</v>
      </c>
      <c r="K47" s="17">
        <v>1.2388820020781901</v>
      </c>
      <c r="L47" s="17">
        <v>1.3204891012706099</v>
      </c>
      <c r="M47" s="17">
        <v>2.28333526930324E-2</v>
      </c>
      <c r="N47" s="17">
        <v>0.34464683386469297</v>
      </c>
      <c r="O47" s="17">
        <v>0.281469176829304</v>
      </c>
      <c r="P47" s="17">
        <f t="shared" si="0"/>
        <v>99.999999999999886</v>
      </c>
      <c r="Q47" s="26">
        <v>1110</v>
      </c>
      <c r="S47" s="7"/>
    </row>
    <row r="48" spans="1:19">
      <c r="A48" s="4" t="s">
        <v>58</v>
      </c>
      <c r="B48" s="17">
        <v>85.055750000000003</v>
      </c>
      <c r="C48" s="26">
        <v>1418</v>
      </c>
      <c r="D48" s="17">
        <v>6.4464700287048498</v>
      </c>
      <c r="E48" s="17">
        <v>4.7725805390152601E-2</v>
      </c>
      <c r="F48" s="17">
        <v>0.8563740167325451</v>
      </c>
      <c r="G48" s="17">
        <v>0</v>
      </c>
      <c r="H48" s="17">
        <v>96.172906044637898</v>
      </c>
      <c r="I48" s="17">
        <v>0</v>
      </c>
      <c r="J48" s="17">
        <v>0</v>
      </c>
      <c r="K48" s="17">
        <v>1.6529506003013701</v>
      </c>
      <c r="L48" s="17">
        <v>0.74405380974915702</v>
      </c>
      <c r="M48" s="17">
        <v>0</v>
      </c>
      <c r="N48" s="17">
        <v>0.51733742274998396</v>
      </c>
      <c r="O48" s="17">
        <v>8.6523004388043591E-3</v>
      </c>
      <c r="P48" s="17">
        <f t="shared" si="0"/>
        <v>99.999999999999929</v>
      </c>
      <c r="Q48" s="26">
        <v>1218</v>
      </c>
      <c r="S48" s="7"/>
    </row>
    <row r="49" spans="1:19">
      <c r="A49" s="33" t="s">
        <v>25</v>
      </c>
      <c r="B49" s="35"/>
      <c r="C49" s="3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6"/>
      <c r="S49" s="7"/>
    </row>
    <row r="50" spans="1:19">
      <c r="A50" s="6" t="s">
        <v>18</v>
      </c>
      <c r="B50" s="17">
        <v>87.218919999999997</v>
      </c>
      <c r="C50" s="26">
        <v>715</v>
      </c>
      <c r="D50" s="17">
        <v>6.3966024428065102</v>
      </c>
      <c r="E50" s="17">
        <v>0</v>
      </c>
      <c r="F50" s="17">
        <v>0.88488219750174801</v>
      </c>
      <c r="G50" s="17">
        <v>0</v>
      </c>
      <c r="H50" s="17">
        <v>97.144536359591001</v>
      </c>
      <c r="I50" s="17">
        <v>0</v>
      </c>
      <c r="J50" s="17">
        <v>0</v>
      </c>
      <c r="K50" s="17">
        <v>0.58235113892666202</v>
      </c>
      <c r="L50" s="17">
        <v>0.27255592208641599</v>
      </c>
      <c r="M50" s="17">
        <v>0.42230068492948303</v>
      </c>
      <c r="N50" s="17">
        <v>0.69337369696467799</v>
      </c>
      <c r="O50" s="17">
        <v>0</v>
      </c>
      <c r="P50" s="17">
        <f t="shared" si="0"/>
        <v>100</v>
      </c>
      <c r="Q50" s="26">
        <v>627</v>
      </c>
      <c r="S50" s="7"/>
    </row>
    <row r="51" spans="1:19">
      <c r="A51" s="6" t="s">
        <v>20</v>
      </c>
      <c r="B51" s="17">
        <v>93.747206000000006</v>
      </c>
      <c r="C51" s="26">
        <v>111</v>
      </c>
      <c r="D51" s="17">
        <v>6.4299853216277301</v>
      </c>
      <c r="E51" s="17">
        <v>0.50736729960605598</v>
      </c>
      <c r="F51" s="17">
        <v>0</v>
      </c>
      <c r="G51" s="17">
        <v>0</v>
      </c>
      <c r="H51" s="17">
        <v>99.492632700393898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f t="shared" si="0"/>
        <v>99.999999999999957</v>
      </c>
      <c r="Q51" s="26">
        <v>102</v>
      </c>
      <c r="S51" s="7"/>
    </row>
    <row r="52" spans="1:19">
      <c r="A52" s="6" t="s">
        <v>19</v>
      </c>
      <c r="B52" s="17">
        <v>84.215364999999991</v>
      </c>
      <c r="C52" s="26">
        <v>33</v>
      </c>
      <c r="D52" s="17">
        <v>6.30457259502837</v>
      </c>
      <c r="E52" s="17">
        <v>0</v>
      </c>
      <c r="F52" s="17">
        <v>0</v>
      </c>
      <c r="G52" s="17">
        <v>0</v>
      </c>
      <c r="H52" s="17">
        <v>99.004062983290098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0.99593701670985701</v>
      </c>
      <c r="O52" s="17">
        <v>0</v>
      </c>
      <c r="P52" s="17">
        <f t="shared" si="0"/>
        <v>99.999999999999957</v>
      </c>
      <c r="Q52" s="26">
        <v>26</v>
      </c>
      <c r="S52" s="7"/>
    </row>
    <row r="53" spans="1:19">
      <c r="A53" s="6" t="s">
        <v>14</v>
      </c>
      <c r="B53" s="17">
        <v>60.557134000000005</v>
      </c>
      <c r="C53" s="26">
        <v>146</v>
      </c>
      <c r="D53" s="17">
        <v>5.7534310152575596</v>
      </c>
      <c r="E53" s="17">
        <v>2.77807989927273</v>
      </c>
      <c r="F53" s="17">
        <v>9.5073155965172695</v>
      </c>
      <c r="G53" s="17">
        <v>2.2339813173830803</v>
      </c>
      <c r="H53" s="17">
        <v>77.273787009510002</v>
      </c>
      <c r="I53" s="17">
        <v>0</v>
      </c>
      <c r="J53" s="17">
        <v>1.30457161427121</v>
      </c>
      <c r="K53" s="17">
        <v>5.3076226528162902</v>
      </c>
      <c r="L53" s="17">
        <v>0.62822732997516795</v>
      </c>
      <c r="M53" s="17">
        <v>0</v>
      </c>
      <c r="N53" s="17">
        <v>0</v>
      </c>
      <c r="O53" s="17">
        <v>0.96641458025424209</v>
      </c>
      <c r="P53" s="17">
        <f t="shared" si="0"/>
        <v>99.999999999999986</v>
      </c>
      <c r="Q53" s="26">
        <v>82</v>
      </c>
      <c r="S53" s="7"/>
    </row>
    <row r="54" spans="1:19">
      <c r="A54" s="6" t="s">
        <v>15</v>
      </c>
      <c r="B54" s="17">
        <v>78.767370999999997</v>
      </c>
      <c r="C54" s="26">
        <v>1292</v>
      </c>
      <c r="D54" s="17">
        <v>6.3680103448692398</v>
      </c>
      <c r="E54" s="17">
        <v>0.73590776965751004</v>
      </c>
      <c r="F54" s="17">
        <v>2.8802458967901403</v>
      </c>
      <c r="G54" s="17">
        <v>0</v>
      </c>
      <c r="H54" s="17">
        <v>91.1988145196392</v>
      </c>
      <c r="I54" s="17">
        <v>0</v>
      </c>
      <c r="J54" s="17">
        <v>0.192550042393168</v>
      </c>
      <c r="K54" s="17">
        <v>2.2179110379354001</v>
      </c>
      <c r="L54" s="17">
        <v>1.52119480589113</v>
      </c>
      <c r="M54" s="17">
        <v>0.13801841157202799</v>
      </c>
      <c r="N54" s="17">
        <v>1.0844095807482599</v>
      </c>
      <c r="O54" s="17">
        <v>3.0947935373075702E-2</v>
      </c>
      <c r="P54" s="17">
        <f t="shared" si="0"/>
        <v>99.999999999999901</v>
      </c>
      <c r="Q54" s="26">
        <v>988</v>
      </c>
      <c r="S54" s="7"/>
    </row>
    <row r="55" spans="1:19">
      <c r="A55" s="6" t="s">
        <v>16</v>
      </c>
      <c r="B55" s="17">
        <v>84.852722</v>
      </c>
      <c r="C55" s="26">
        <v>4610</v>
      </c>
      <c r="D55" s="17">
        <v>6.6700997488036204</v>
      </c>
      <c r="E55" s="17">
        <v>8.7601101119378202E-2</v>
      </c>
      <c r="F55" s="17">
        <v>0.25165240955865598</v>
      </c>
      <c r="G55" s="17">
        <v>0.15267251289191999</v>
      </c>
      <c r="H55" s="17">
        <v>94.05884419111969</v>
      </c>
      <c r="I55" s="17">
        <v>0</v>
      </c>
      <c r="J55" s="17">
        <v>5.3353974438552401E-2</v>
      </c>
      <c r="K55" s="17">
        <v>1.0025552820796499</v>
      </c>
      <c r="L55" s="17">
        <v>3.2316894079551397</v>
      </c>
      <c r="M55" s="17">
        <v>0</v>
      </c>
      <c r="N55" s="17">
        <v>1.0066170296977599</v>
      </c>
      <c r="O55" s="17">
        <v>0.15501409113922801</v>
      </c>
      <c r="P55" s="17">
        <f t="shared" si="0"/>
        <v>99.999999999999986</v>
      </c>
      <c r="Q55" s="26">
        <v>3880</v>
      </c>
      <c r="S55" s="7"/>
    </row>
    <row r="56" spans="1:19">
      <c r="A56" s="6" t="s">
        <v>59</v>
      </c>
      <c r="B56" s="17">
        <v>72.054700000000011</v>
      </c>
      <c r="C56" s="26">
        <v>165</v>
      </c>
      <c r="D56" s="17">
        <v>6.4186342039293702</v>
      </c>
      <c r="E56" s="17">
        <v>0</v>
      </c>
      <c r="F56" s="17">
        <v>0</v>
      </c>
      <c r="G56" s="17">
        <v>0</v>
      </c>
      <c r="H56" s="17">
        <v>96.331268657972004</v>
      </c>
      <c r="I56" s="17">
        <v>0</v>
      </c>
      <c r="J56" s="17">
        <v>0</v>
      </c>
      <c r="K56" s="17">
        <v>2.84121317422743</v>
      </c>
      <c r="L56" s="17">
        <v>0</v>
      </c>
      <c r="M56" s="17">
        <v>0</v>
      </c>
      <c r="N56" s="17">
        <v>0.82751816780049803</v>
      </c>
      <c r="O56" s="17">
        <v>0</v>
      </c>
      <c r="P56" s="17">
        <f t="shared" si="0"/>
        <v>99.999999999999929</v>
      </c>
      <c r="Q56" s="26">
        <v>118</v>
      </c>
      <c r="S56" s="7"/>
    </row>
    <row r="57" spans="1:19">
      <c r="A57" s="6" t="s">
        <v>60</v>
      </c>
      <c r="B57" s="17">
        <v>85.209693000000001</v>
      </c>
      <c r="C57" s="26">
        <v>108</v>
      </c>
      <c r="D57" s="17">
        <v>6.6476065200939498</v>
      </c>
      <c r="E57" s="17">
        <v>0</v>
      </c>
      <c r="F57" s="17">
        <v>0</v>
      </c>
      <c r="G57" s="17">
        <v>0</v>
      </c>
      <c r="H57" s="17">
        <v>89.180333930159804</v>
      </c>
      <c r="I57" s="17">
        <v>0</v>
      </c>
      <c r="J57" s="17">
        <v>0</v>
      </c>
      <c r="K57" s="17">
        <v>7.8740815001161399</v>
      </c>
      <c r="L57" s="17">
        <v>2.9035194905281401</v>
      </c>
      <c r="M57" s="17">
        <v>0</v>
      </c>
      <c r="N57" s="17">
        <v>4.2065079195879498E-2</v>
      </c>
      <c r="O57" s="17">
        <v>0</v>
      </c>
      <c r="P57" s="17">
        <f t="shared" si="0"/>
        <v>99.999999999999957</v>
      </c>
      <c r="Q57" s="26">
        <v>93</v>
      </c>
      <c r="S57" s="7"/>
    </row>
    <row r="58" spans="1:19">
      <c r="A58" s="6" t="s">
        <v>21</v>
      </c>
      <c r="B58" s="17">
        <v>89.131932000000006</v>
      </c>
      <c r="C58" s="26">
        <v>35</v>
      </c>
      <c r="D58" s="17">
        <v>6.6245052580128299</v>
      </c>
      <c r="E58" s="17">
        <v>0</v>
      </c>
      <c r="F58" s="17">
        <v>3.9273760629938197</v>
      </c>
      <c r="G58" s="17">
        <v>0</v>
      </c>
      <c r="H58" s="17">
        <v>92.203885377945809</v>
      </c>
      <c r="I58" s="17">
        <v>0</v>
      </c>
      <c r="J58" s="17">
        <v>0</v>
      </c>
      <c r="K58" s="17">
        <v>3.8687385590603203</v>
      </c>
      <c r="L58" s="17">
        <v>0</v>
      </c>
      <c r="M58" s="17">
        <v>0</v>
      </c>
      <c r="N58" s="17">
        <v>0</v>
      </c>
      <c r="O58" s="17">
        <v>0</v>
      </c>
      <c r="P58" s="17">
        <f t="shared" si="0"/>
        <v>99.999999999999943</v>
      </c>
      <c r="Q58" s="26">
        <v>31</v>
      </c>
      <c r="S58" s="7"/>
    </row>
    <row r="59" spans="1:19">
      <c r="A59" s="6" t="s">
        <v>61</v>
      </c>
      <c r="B59" s="17">
        <v>81.599052</v>
      </c>
      <c r="C59" s="26">
        <v>1000</v>
      </c>
      <c r="D59" s="17">
        <v>6.3332765675876797</v>
      </c>
      <c r="E59" s="17">
        <v>0.26492836601997299</v>
      </c>
      <c r="F59" s="17">
        <v>2.0408921742933397</v>
      </c>
      <c r="G59" s="17">
        <v>9.7850532244725313E-2</v>
      </c>
      <c r="H59" s="17">
        <v>91.4101345293344</v>
      </c>
      <c r="I59" s="17">
        <v>0</v>
      </c>
      <c r="J59" s="17">
        <v>0</v>
      </c>
      <c r="K59" s="17">
        <v>2.96140335768898</v>
      </c>
      <c r="L59" s="17">
        <v>2.6107141897755302</v>
      </c>
      <c r="M59" s="17">
        <v>0</v>
      </c>
      <c r="N59" s="17">
        <v>0.61407685064305895</v>
      </c>
      <c r="O59" s="17">
        <v>0</v>
      </c>
      <c r="P59" s="17">
        <f t="shared" si="0"/>
        <v>100.00000000000001</v>
      </c>
      <c r="Q59" s="26">
        <v>804</v>
      </c>
      <c r="S59" s="7"/>
    </row>
    <row r="60" spans="1:19">
      <c r="A60" s="6" t="s">
        <v>62</v>
      </c>
      <c r="B60" s="17">
        <v>71.101309999999998</v>
      </c>
      <c r="C60" s="26">
        <v>1272</v>
      </c>
      <c r="D60" s="17">
        <v>6.3093690605998098</v>
      </c>
      <c r="E60" s="17">
        <v>1.0674759997799099</v>
      </c>
      <c r="F60" s="17">
        <v>2.85170940292821</v>
      </c>
      <c r="G60" s="17">
        <v>0.114003287218733</v>
      </c>
      <c r="H60" s="17">
        <v>90.673435965579699</v>
      </c>
      <c r="I60" s="17">
        <v>0.75335508512360305</v>
      </c>
      <c r="J60" s="17">
        <v>5.1991414089429103E-2</v>
      </c>
      <c r="K60" s="17">
        <v>1.1020455417911201</v>
      </c>
      <c r="L60" s="17">
        <v>2.7749405554757001</v>
      </c>
      <c r="M60" s="17">
        <v>8.2491205574224097E-2</v>
      </c>
      <c r="N60" s="17">
        <v>0.41109020412256303</v>
      </c>
      <c r="O60" s="17">
        <v>0.11746133831671199</v>
      </c>
      <c r="P60" s="17">
        <f t="shared" si="0"/>
        <v>99.999999999999886</v>
      </c>
      <c r="Q60" s="26">
        <v>879</v>
      </c>
      <c r="S60" s="7"/>
    </row>
    <row r="61" spans="1:19">
      <c r="A61" s="6" t="s">
        <v>17</v>
      </c>
      <c r="B61" s="17">
        <v>59.896704999999997</v>
      </c>
      <c r="C61" s="26">
        <v>31</v>
      </c>
      <c r="D61" s="17">
        <v>6.4134856461885503</v>
      </c>
      <c r="E61" s="17">
        <v>0</v>
      </c>
      <c r="F61" s="17">
        <v>0</v>
      </c>
      <c r="G61" s="17">
        <v>0</v>
      </c>
      <c r="H61" s="17">
        <v>100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f t="shared" si="0"/>
        <v>100</v>
      </c>
      <c r="Q61" s="26">
        <v>19</v>
      </c>
      <c r="S61" s="7"/>
    </row>
    <row r="62" spans="1:19">
      <c r="A62" s="37" t="s">
        <v>63</v>
      </c>
      <c r="B62" s="18">
        <v>89.670345999999995</v>
      </c>
      <c r="C62" s="27">
        <v>572</v>
      </c>
      <c r="D62" s="18">
        <v>6.6212093604512097</v>
      </c>
      <c r="E62" s="18">
        <v>0.17017553677056099</v>
      </c>
      <c r="F62" s="18">
        <v>0.10889207316296</v>
      </c>
      <c r="G62" s="18">
        <v>0</v>
      </c>
      <c r="H62" s="18">
        <v>98.319625489996497</v>
      </c>
      <c r="I62" s="18">
        <v>0.135495077721352</v>
      </c>
      <c r="J62" s="18">
        <v>0</v>
      </c>
      <c r="K62" s="18">
        <v>0</v>
      </c>
      <c r="L62" s="18">
        <v>1.2658118223486401</v>
      </c>
      <c r="M62" s="18">
        <v>0</v>
      </c>
      <c r="N62" s="18">
        <v>0</v>
      </c>
      <c r="O62" s="18">
        <v>0</v>
      </c>
      <c r="P62" s="18">
        <f t="shared" si="0"/>
        <v>100.00000000000001</v>
      </c>
      <c r="Q62" s="26">
        <v>508</v>
      </c>
      <c r="S62" s="7"/>
    </row>
    <row r="63" spans="1:19">
      <c r="A63" s="3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9">
      <c r="A64" s="38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</row>
    <row r="65" spans="1:16">
      <c r="A65" s="38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</row>
    <row r="66" spans="1:16">
      <c r="A66" s="38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</row>
    <row r="67" spans="1:16">
      <c r="A67" s="38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</row>
    <row r="68" spans="1:16">
      <c r="A68" s="38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</row>
    <row r="69" spans="1:16">
      <c r="A69" s="38"/>
      <c r="B69" s="19"/>
      <c r="C69" s="16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6"/>
    </row>
    <row r="70" spans="1:16">
      <c r="B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</row>
    <row r="71" spans="1:16">
      <c r="B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</row>
    <row r="72" spans="1:16">
      <c r="B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</row>
    <row r="73" spans="1:16">
      <c r="B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</row>
    <row r="74" spans="1:16">
      <c r="B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</row>
    <row r="75" spans="1:16"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1:16"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1:16"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1:16"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1:16"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1:16"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</sheetData>
  <mergeCells count="1">
    <mergeCell ref="E3:P3"/>
  </mergeCells>
  <pageMargins left="0.7" right="0.7" top="0.75" bottom="0.75" header="0.3" footer="0.3"/>
  <ignoredErrors>
    <ignoredError sqref="P8 P9 P50:P62 P39:P48 P33:P37 P29:P31 P26:P27 P11:P2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3281-C7B3-450D-AED0-6FEDF76AB090}">
  <dimension ref="A1:R86"/>
  <sheetViews>
    <sheetView topLeftCell="A46" zoomScale="80" zoomScaleNormal="80" workbookViewId="0">
      <selection activeCell="S9" sqref="S9"/>
    </sheetView>
  </sheetViews>
  <sheetFormatPr defaultColWidth="15.25" defaultRowHeight="13"/>
  <cols>
    <col min="1" max="1" width="16.4140625" style="2" customWidth="1"/>
    <col min="2" max="2" width="12.4140625" style="5" customWidth="1"/>
    <col min="3" max="3" width="8.58203125" style="5" customWidth="1"/>
    <col min="4" max="4" width="13.1640625" style="5" customWidth="1"/>
    <col min="5" max="5" width="9.1640625" style="5" customWidth="1"/>
    <col min="6" max="9" width="7.25" style="5" customWidth="1"/>
    <col min="10" max="10" width="9.08203125" style="5" customWidth="1"/>
    <col min="11" max="11" width="7.25" style="5" customWidth="1"/>
    <col min="12" max="12" width="9" style="5" customWidth="1"/>
    <col min="13" max="13" width="7.25" style="5" customWidth="1"/>
    <col min="14" max="14" width="7.75" style="5" customWidth="1"/>
    <col min="15" max="17" width="7.25" style="5" customWidth="1"/>
    <col min="18" max="16384" width="15.25" style="2"/>
  </cols>
  <sheetData>
    <row r="1" spans="1:18">
      <c r="A1" s="3" t="s">
        <v>122</v>
      </c>
    </row>
    <row r="3" spans="1:18">
      <c r="E3" s="47" t="s">
        <v>123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12"/>
    </row>
    <row r="4" spans="1:18" ht="65">
      <c r="B4" s="8" t="s">
        <v>124</v>
      </c>
      <c r="C4" s="8" t="s">
        <v>36</v>
      </c>
      <c r="D4" s="13" t="s">
        <v>125</v>
      </c>
      <c r="E4" s="10" t="s">
        <v>64</v>
      </c>
      <c r="F4" s="13" t="s">
        <v>65</v>
      </c>
      <c r="G4" s="13" t="s">
        <v>67</v>
      </c>
      <c r="H4" s="13" t="s">
        <v>68</v>
      </c>
      <c r="I4" s="13" t="s">
        <v>69</v>
      </c>
      <c r="J4" s="13" t="s">
        <v>70</v>
      </c>
      <c r="K4" s="13" t="s">
        <v>71</v>
      </c>
      <c r="L4" s="13" t="s">
        <v>72</v>
      </c>
      <c r="M4" s="13" t="s">
        <v>59</v>
      </c>
      <c r="N4" s="13" t="s">
        <v>73</v>
      </c>
      <c r="O4" s="13" t="s">
        <v>74</v>
      </c>
      <c r="P4" s="13" t="s">
        <v>66</v>
      </c>
      <c r="Q4" s="13" t="s">
        <v>36</v>
      </c>
    </row>
    <row r="5" spans="1:18">
      <c r="B5" s="9" t="s">
        <v>35</v>
      </c>
      <c r="C5" s="9"/>
      <c r="D5" s="11" t="s">
        <v>34</v>
      </c>
      <c r="E5" s="11" t="s">
        <v>35</v>
      </c>
      <c r="F5" s="11" t="s">
        <v>35</v>
      </c>
      <c r="G5" s="11" t="s">
        <v>35</v>
      </c>
      <c r="H5" s="11" t="s">
        <v>35</v>
      </c>
      <c r="I5" s="11" t="s">
        <v>35</v>
      </c>
      <c r="J5" s="11" t="s">
        <v>35</v>
      </c>
      <c r="K5" s="11" t="s">
        <v>35</v>
      </c>
      <c r="L5" s="11" t="s">
        <v>35</v>
      </c>
      <c r="M5" s="11" t="s">
        <v>35</v>
      </c>
      <c r="N5" s="11" t="s">
        <v>35</v>
      </c>
      <c r="O5" s="11" t="s">
        <v>35</v>
      </c>
      <c r="P5" s="11" t="s">
        <v>35</v>
      </c>
      <c r="Q5" s="11"/>
    </row>
    <row r="6" spans="1:18">
      <c r="A6" s="1" t="s">
        <v>28</v>
      </c>
      <c r="B6" s="17">
        <v>52.935600000000008</v>
      </c>
      <c r="C6" s="26">
        <v>10090</v>
      </c>
      <c r="D6" s="17">
        <v>5.7123119999999998</v>
      </c>
      <c r="E6" s="17">
        <v>7.46E-2</v>
      </c>
      <c r="F6" s="17">
        <v>0.86380000000000001</v>
      </c>
      <c r="G6" s="17">
        <v>0</v>
      </c>
      <c r="H6" s="17">
        <v>96.702100000000002</v>
      </c>
      <c r="I6" s="17">
        <v>5.04E-2</v>
      </c>
      <c r="J6" s="17">
        <v>8.3600000000000008E-2</v>
      </c>
      <c r="K6" s="17">
        <v>0.91420000000000012</v>
      </c>
      <c r="L6" s="17">
        <v>1.1641000000000001</v>
      </c>
      <c r="M6" s="17">
        <v>1.0799999999999999E-2</v>
      </c>
      <c r="N6" s="17">
        <v>2.8499999999999998E-2</v>
      </c>
      <c r="O6" s="17">
        <v>0.10790000000000001</v>
      </c>
      <c r="P6" s="17">
        <v>99.999999999999972</v>
      </c>
      <c r="Q6" s="26">
        <f>SUM(Q8:Q9)</f>
        <v>5008.5560349500001</v>
      </c>
    </row>
    <row r="7" spans="1:18">
      <c r="A7" s="33" t="s">
        <v>29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6"/>
    </row>
    <row r="8" spans="1:18">
      <c r="A8" s="4" t="s">
        <v>24</v>
      </c>
      <c r="B8" s="17">
        <v>33.079029999999996</v>
      </c>
      <c r="C8" s="26">
        <v>5535</v>
      </c>
      <c r="D8" s="17">
        <v>5.3880636204019101</v>
      </c>
      <c r="E8" s="17">
        <v>3.2325769187412201E-2</v>
      </c>
      <c r="F8" s="17">
        <v>1.7984951590190499</v>
      </c>
      <c r="G8" s="30">
        <v>3.2325769187412201E-2</v>
      </c>
      <c r="H8" s="17">
        <v>92.363890531063291</v>
      </c>
      <c r="I8" s="17">
        <v>0</v>
      </c>
      <c r="J8" s="17">
        <v>9.5076044845410601E-2</v>
      </c>
      <c r="K8" s="17">
        <v>2.0510114240579602</v>
      </c>
      <c r="L8" s="17">
        <v>3.3582041970050902</v>
      </c>
      <c r="M8" s="17">
        <v>0</v>
      </c>
      <c r="N8" s="17">
        <v>9.9296515184123899E-2</v>
      </c>
      <c r="O8" s="17">
        <v>0.201700359637565</v>
      </c>
      <c r="P8" s="17">
        <f>SUM(E8:O8)</f>
        <v>100.03232576918732</v>
      </c>
      <c r="Q8" s="28">
        <v>1830.9243104999998</v>
      </c>
      <c r="R8" s="29"/>
    </row>
    <row r="9" spans="1:18">
      <c r="A9" s="4" t="s">
        <v>23</v>
      </c>
      <c r="B9" s="17">
        <v>69.761398999999997</v>
      </c>
      <c r="C9" s="32">
        <v>4555</v>
      </c>
      <c r="D9" s="17">
        <v>5.8425949277355702</v>
      </c>
      <c r="E9" s="17">
        <v>9.1627272284664607E-2</v>
      </c>
      <c r="F9" s="17">
        <v>0.48829960619530199</v>
      </c>
      <c r="G9" s="17">
        <v>3.2325769187412201E-2</v>
      </c>
      <c r="H9" s="17">
        <v>98.445167021209102</v>
      </c>
      <c r="I9" s="17">
        <v>7.0688612680139901E-2</v>
      </c>
      <c r="J9" s="17">
        <v>7.8998692102248705E-2</v>
      </c>
      <c r="K9" s="17">
        <v>0.457430774697142</v>
      </c>
      <c r="L9" s="17">
        <v>0.28244701951881401</v>
      </c>
      <c r="M9" s="17">
        <v>1.51282645085718E-2</v>
      </c>
      <c r="N9" s="17">
        <v>0</v>
      </c>
      <c r="O9" s="17">
        <v>7.0212736803939302E-2</v>
      </c>
      <c r="P9" s="17">
        <f t="shared" ref="P9:P62" si="0">SUM(E9:O9)</f>
        <v>100.03232576918734</v>
      </c>
      <c r="Q9" s="28">
        <v>3177.6317244500001</v>
      </c>
      <c r="R9" s="29"/>
    </row>
    <row r="10" spans="1:18">
      <c r="A10" s="33" t="s">
        <v>22</v>
      </c>
      <c r="B10" s="35"/>
      <c r="C10" s="36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41"/>
      <c r="R10" s="29"/>
    </row>
    <row r="11" spans="1:18">
      <c r="A11" s="4" t="s">
        <v>1</v>
      </c>
      <c r="B11" s="17">
        <v>71.705677999999992</v>
      </c>
      <c r="C11" s="26">
        <v>559</v>
      </c>
      <c r="D11" s="17">
        <v>5.8369225449767601</v>
      </c>
      <c r="E11" s="17">
        <v>0.49350834863958998</v>
      </c>
      <c r="F11" s="17">
        <v>1.6192192306904802</v>
      </c>
      <c r="G11" s="17">
        <v>3.2325769187412201E-2</v>
      </c>
      <c r="H11" s="17">
        <v>97.847871234591693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3.9401186078212296E-2</v>
      </c>
      <c r="P11" s="17">
        <f t="shared" si="0"/>
        <v>100.03232576918738</v>
      </c>
      <c r="Q11" s="28">
        <v>400.83474001999997</v>
      </c>
      <c r="R11" s="29"/>
    </row>
    <row r="12" spans="1:18">
      <c r="A12" s="4" t="s">
        <v>2</v>
      </c>
      <c r="B12" s="17">
        <v>75.356853000000001</v>
      </c>
      <c r="C12" s="26">
        <v>828</v>
      </c>
      <c r="D12" s="17">
        <v>5.9467862487999801</v>
      </c>
      <c r="E12" s="17">
        <v>0</v>
      </c>
      <c r="F12" s="17">
        <v>0.33333231383408202</v>
      </c>
      <c r="G12" s="17">
        <v>3.2325769187412201E-2</v>
      </c>
      <c r="H12" s="17">
        <v>98.714603597773703</v>
      </c>
      <c r="I12" s="17">
        <v>0.24147463682971099</v>
      </c>
      <c r="J12" s="17">
        <v>0</v>
      </c>
      <c r="K12" s="17">
        <v>0.52908017077095904</v>
      </c>
      <c r="L12" s="17">
        <v>0.181509280791466</v>
      </c>
      <c r="M12" s="17">
        <v>0</v>
      </c>
      <c r="N12" s="17">
        <v>0</v>
      </c>
      <c r="O12" s="17">
        <v>0</v>
      </c>
      <c r="P12" s="17">
        <f t="shared" si="0"/>
        <v>100.03232576918732</v>
      </c>
      <c r="Q12" s="28">
        <v>623.95474283999999</v>
      </c>
      <c r="R12" s="29"/>
    </row>
    <row r="13" spans="1:18">
      <c r="A13" s="4" t="s">
        <v>3</v>
      </c>
      <c r="B13" s="17">
        <v>69.551297000000005</v>
      </c>
      <c r="C13" s="26">
        <v>561</v>
      </c>
      <c r="D13" s="17">
        <v>5.4225068252595001</v>
      </c>
      <c r="E13" s="17">
        <v>0</v>
      </c>
      <c r="F13" s="17">
        <v>0.429848469674039</v>
      </c>
      <c r="G13" s="17">
        <v>3.2325769187412201E-2</v>
      </c>
      <c r="H13" s="17">
        <v>97.463903256238609</v>
      </c>
      <c r="I13" s="17">
        <v>0</v>
      </c>
      <c r="J13" s="17">
        <v>0</v>
      </c>
      <c r="K13" s="17">
        <v>0.15678382274285199</v>
      </c>
      <c r="L13" s="17">
        <v>1.0502272693838399</v>
      </c>
      <c r="M13" s="17">
        <v>0</v>
      </c>
      <c r="N13" s="17">
        <v>0.45917398643610002</v>
      </c>
      <c r="O13" s="17">
        <v>0.44006319552447198</v>
      </c>
      <c r="P13" s="17">
        <f t="shared" si="0"/>
        <v>100.03232576918732</v>
      </c>
      <c r="Q13" s="28">
        <v>390.18277617000001</v>
      </c>
      <c r="R13" s="29"/>
    </row>
    <row r="14" spans="1:18">
      <c r="A14" s="4" t="s">
        <v>4</v>
      </c>
      <c r="B14" s="17">
        <v>26.396374000000002</v>
      </c>
      <c r="C14" s="26">
        <v>554</v>
      </c>
      <c r="D14" s="17">
        <v>5.3251840880216701</v>
      </c>
      <c r="E14" s="17">
        <v>0</v>
      </c>
      <c r="F14" s="17">
        <v>0</v>
      </c>
      <c r="G14" s="17">
        <v>3.2325769187412201E-2</v>
      </c>
      <c r="H14" s="17">
        <v>98.684316823407798</v>
      </c>
      <c r="I14" s="17">
        <v>0</v>
      </c>
      <c r="J14" s="17">
        <v>0</v>
      </c>
      <c r="K14" s="17">
        <v>0</v>
      </c>
      <c r="L14" s="17">
        <v>1.31568317659211</v>
      </c>
      <c r="M14" s="17">
        <v>0</v>
      </c>
      <c r="N14" s="17">
        <v>0</v>
      </c>
      <c r="O14" s="17">
        <v>0</v>
      </c>
      <c r="P14" s="17">
        <f t="shared" si="0"/>
        <v>100.03232576918732</v>
      </c>
      <c r="Q14" s="28">
        <v>146.23591196000001</v>
      </c>
      <c r="R14" s="29"/>
    </row>
    <row r="15" spans="1:18">
      <c r="A15" s="4" t="s">
        <v>5</v>
      </c>
      <c r="B15" s="17">
        <v>17.551051000000001</v>
      </c>
      <c r="C15" s="26">
        <v>568</v>
      </c>
      <c r="D15" s="17">
        <v>4.5075598807177402</v>
      </c>
      <c r="E15" s="17">
        <v>0</v>
      </c>
      <c r="F15" s="17">
        <v>0</v>
      </c>
      <c r="G15" s="17">
        <v>3.2325769187412201E-2</v>
      </c>
      <c r="H15" s="17">
        <v>97.4706518923077</v>
      </c>
      <c r="I15" s="17">
        <v>0</v>
      </c>
      <c r="J15" s="17">
        <v>0</v>
      </c>
      <c r="K15" s="17">
        <v>0</v>
      </c>
      <c r="L15" s="17">
        <v>2.5293481076922202</v>
      </c>
      <c r="M15" s="17">
        <v>0</v>
      </c>
      <c r="N15" s="17">
        <v>0</v>
      </c>
      <c r="O15" s="17">
        <v>0</v>
      </c>
      <c r="P15" s="17">
        <f t="shared" si="0"/>
        <v>100.03232576918732</v>
      </c>
      <c r="Q15" s="28">
        <v>99.689969680000004</v>
      </c>
      <c r="R15" s="29"/>
    </row>
    <row r="16" spans="1:18">
      <c r="A16" s="4" t="s">
        <v>6</v>
      </c>
      <c r="B16" s="17">
        <v>71.391450000000006</v>
      </c>
      <c r="C16" s="26">
        <v>1084</v>
      </c>
      <c r="D16" s="17">
        <v>5.9078151037348201</v>
      </c>
      <c r="E16" s="17">
        <v>0</v>
      </c>
      <c r="F16" s="17">
        <v>0.60772003796655705</v>
      </c>
      <c r="G16" s="17">
        <v>3.2325769187412201E-2</v>
      </c>
      <c r="H16" s="17">
        <v>97.4520902622221</v>
      </c>
      <c r="I16" s="17">
        <v>0</v>
      </c>
      <c r="J16" s="17">
        <v>0.20265435304145599</v>
      </c>
      <c r="K16" s="17">
        <v>1.4102565949120098</v>
      </c>
      <c r="L16" s="17">
        <v>0.15807617631089599</v>
      </c>
      <c r="M16" s="17">
        <v>0</v>
      </c>
      <c r="N16" s="17">
        <v>0</v>
      </c>
      <c r="O16" s="17">
        <v>0.16920257554689699</v>
      </c>
      <c r="P16" s="17">
        <f t="shared" si="0"/>
        <v>100.03232576918732</v>
      </c>
      <c r="Q16" s="28">
        <v>773.88331800000003</v>
      </c>
      <c r="R16" s="29"/>
    </row>
    <row r="17" spans="1:18">
      <c r="A17" s="4" t="s">
        <v>38</v>
      </c>
      <c r="B17" s="17">
        <v>49.963963999999997</v>
      </c>
      <c r="C17" s="26">
        <v>570</v>
      </c>
      <c r="D17" s="17">
        <v>4.8199691208152</v>
      </c>
      <c r="E17" s="17">
        <v>0.508145220006051</v>
      </c>
      <c r="F17" s="17">
        <v>1.8019979963269401</v>
      </c>
      <c r="G17" s="17">
        <v>3.2325769187412201E-2</v>
      </c>
      <c r="H17" s="17">
        <v>95.236883747690499</v>
      </c>
      <c r="I17" s="17">
        <v>0</v>
      </c>
      <c r="J17" s="17">
        <v>0</v>
      </c>
      <c r="K17" s="17">
        <v>1.0963148032975301</v>
      </c>
      <c r="L17" s="17">
        <v>1.3566582326789201</v>
      </c>
      <c r="M17" s="17">
        <v>0</v>
      </c>
      <c r="N17" s="17">
        <v>0</v>
      </c>
      <c r="O17" s="17">
        <v>0</v>
      </c>
      <c r="P17" s="17">
        <f t="shared" si="0"/>
        <v>100.03232576918735</v>
      </c>
      <c r="Q17" s="28">
        <v>284.79459479999997</v>
      </c>
      <c r="R17" s="29"/>
    </row>
    <row r="18" spans="1:18">
      <c r="A18" s="4" t="s">
        <v>7</v>
      </c>
      <c r="B18" s="17">
        <v>24.961127000000001</v>
      </c>
      <c r="C18" s="26">
        <v>854</v>
      </c>
      <c r="D18" s="17">
        <v>5.0087069794110999</v>
      </c>
      <c r="E18" s="17">
        <v>0</v>
      </c>
      <c r="F18" s="17">
        <v>0</v>
      </c>
      <c r="G18" s="17">
        <v>3.2325769187412201E-2</v>
      </c>
      <c r="H18" s="17">
        <v>93.66104683105641</v>
      </c>
      <c r="I18" s="17">
        <v>0</v>
      </c>
      <c r="J18" s="17">
        <v>0</v>
      </c>
      <c r="K18" s="17">
        <v>0</v>
      </c>
      <c r="L18" s="17">
        <v>5.9702480019280895</v>
      </c>
      <c r="M18" s="17">
        <v>0</v>
      </c>
      <c r="N18" s="17">
        <v>0</v>
      </c>
      <c r="O18" s="17">
        <v>0.36870516701550304</v>
      </c>
      <c r="P18" s="17">
        <f t="shared" si="0"/>
        <v>100.03232576918741</v>
      </c>
      <c r="Q18" s="28">
        <v>213.16802458000001</v>
      </c>
      <c r="R18" s="29"/>
    </row>
    <row r="19" spans="1:18">
      <c r="A19" s="4" t="s">
        <v>8</v>
      </c>
      <c r="B19" s="17">
        <v>51.543677000000002</v>
      </c>
      <c r="C19" s="26">
        <v>557</v>
      </c>
      <c r="D19" s="17">
        <v>4.4517628858742002</v>
      </c>
      <c r="E19" s="17">
        <v>0.26390482120922099</v>
      </c>
      <c r="F19" s="17">
        <v>1.3473054824216899</v>
      </c>
      <c r="G19" s="17">
        <v>3.2325769187412201E-2</v>
      </c>
      <c r="H19" s="17">
        <v>93.898286535551406</v>
      </c>
      <c r="I19" s="17">
        <v>0</v>
      </c>
      <c r="J19" s="17">
        <v>0</v>
      </c>
      <c r="K19" s="17">
        <v>3.0927974446508899</v>
      </c>
      <c r="L19" s="17">
        <v>1.3977057161667399</v>
      </c>
      <c r="M19" s="17">
        <v>0</v>
      </c>
      <c r="N19" s="17">
        <v>0</v>
      </c>
      <c r="O19" s="17">
        <v>0</v>
      </c>
      <c r="P19" s="17">
        <f t="shared" si="0"/>
        <v>100.03232576918735</v>
      </c>
      <c r="Q19" s="28">
        <v>287.09828089000001</v>
      </c>
      <c r="R19" s="29"/>
    </row>
    <row r="20" spans="1:18">
      <c r="A20" s="4" t="s">
        <v>9</v>
      </c>
      <c r="B20" s="17">
        <v>23.658714</v>
      </c>
      <c r="C20" s="26">
        <v>854</v>
      </c>
      <c r="D20" s="17">
        <v>5.4138770227155897</v>
      </c>
      <c r="E20" s="17">
        <v>0</v>
      </c>
      <c r="F20" s="17">
        <v>0</v>
      </c>
      <c r="G20" s="17">
        <v>3.2325769187412201E-2</v>
      </c>
      <c r="H20" s="17">
        <v>98.455300745388101</v>
      </c>
      <c r="I20" s="17">
        <v>0</v>
      </c>
      <c r="J20" s="17">
        <v>0</v>
      </c>
      <c r="K20" s="17">
        <v>0</v>
      </c>
      <c r="L20" s="17">
        <v>1.5446992546118901</v>
      </c>
      <c r="M20" s="17">
        <v>0</v>
      </c>
      <c r="N20" s="17">
        <v>0</v>
      </c>
      <c r="O20" s="17">
        <v>0</v>
      </c>
      <c r="P20" s="17">
        <f t="shared" si="0"/>
        <v>100.03232576918739</v>
      </c>
      <c r="Q20" s="28">
        <v>202.04541756</v>
      </c>
      <c r="R20" s="29"/>
    </row>
    <row r="21" spans="1:18">
      <c r="A21" s="4" t="s">
        <v>10</v>
      </c>
      <c r="B21" s="17">
        <v>69.523362000000006</v>
      </c>
      <c r="C21" s="26">
        <v>846</v>
      </c>
      <c r="D21" s="17">
        <v>6.34026239949507</v>
      </c>
      <c r="E21" s="17">
        <v>0</v>
      </c>
      <c r="F21" s="17">
        <v>0.15721386567044301</v>
      </c>
      <c r="G21" s="17">
        <v>3.2325769187412201E-2</v>
      </c>
      <c r="H21" s="17">
        <v>97.18627313953661</v>
      </c>
      <c r="I21" s="17">
        <v>0</v>
      </c>
      <c r="J21" s="17">
        <v>0</v>
      </c>
      <c r="K21" s="17">
        <v>0.450823214272633</v>
      </c>
      <c r="L21" s="17">
        <v>2.2056897805202698</v>
      </c>
      <c r="M21" s="17">
        <v>0</v>
      </c>
      <c r="N21" s="17">
        <v>0</v>
      </c>
      <c r="O21" s="17">
        <v>0</v>
      </c>
      <c r="P21" s="17">
        <f t="shared" si="0"/>
        <v>100.03232576918737</v>
      </c>
      <c r="Q21" s="28">
        <v>588.16764252000007</v>
      </c>
      <c r="R21" s="29"/>
    </row>
    <row r="22" spans="1:18">
      <c r="A22" s="4" t="s">
        <v>11</v>
      </c>
      <c r="B22" s="17">
        <v>35.010998000000001</v>
      </c>
      <c r="C22" s="26">
        <v>852</v>
      </c>
      <c r="D22" s="17">
        <v>5.8591629233168803</v>
      </c>
      <c r="E22" s="17">
        <v>0</v>
      </c>
      <c r="F22" s="17">
        <v>0.696962270700202</v>
      </c>
      <c r="G22" s="17">
        <v>3.2325769187412201E-2</v>
      </c>
      <c r="H22" s="17">
        <v>93.770365067134591</v>
      </c>
      <c r="I22" s="17">
        <v>0</v>
      </c>
      <c r="J22" s="17">
        <v>0.54192558376079702</v>
      </c>
      <c r="K22" s="17">
        <v>0.96132208602399594</v>
      </c>
      <c r="L22" s="17">
        <v>4.02942499238035</v>
      </c>
      <c r="M22" s="17">
        <v>0</v>
      </c>
      <c r="N22" s="17">
        <v>0</v>
      </c>
      <c r="O22" s="17">
        <v>0</v>
      </c>
      <c r="P22" s="17">
        <f t="shared" si="0"/>
        <v>100.03232576918737</v>
      </c>
      <c r="Q22" s="28">
        <v>298.29370295999996</v>
      </c>
      <c r="R22" s="29"/>
    </row>
    <row r="23" spans="1:18">
      <c r="A23" s="4" t="s">
        <v>12</v>
      </c>
      <c r="B23" s="17">
        <v>71.121414000000001</v>
      </c>
      <c r="C23" s="26">
        <v>837</v>
      </c>
      <c r="D23" s="17">
        <v>5.7068117715150102</v>
      </c>
      <c r="E23" s="17">
        <v>0.185894510455267</v>
      </c>
      <c r="F23" s="17">
        <v>3.8247177353814901</v>
      </c>
      <c r="G23" s="17">
        <v>3.2325769187412201E-2</v>
      </c>
      <c r="H23" s="17">
        <v>92.149362201334398</v>
      </c>
      <c r="I23" s="17">
        <v>0.14348913190756798</v>
      </c>
      <c r="J23" s="17">
        <v>0</v>
      </c>
      <c r="K23" s="17">
        <v>1.9750734672758299</v>
      </c>
      <c r="L23" s="17">
        <v>1.32945078088868</v>
      </c>
      <c r="M23" s="17">
        <v>0.11441355983886201</v>
      </c>
      <c r="N23" s="17">
        <v>5.62980620103447E-2</v>
      </c>
      <c r="O23" s="17">
        <v>0.22130055090748899</v>
      </c>
      <c r="P23" s="17">
        <f t="shared" si="0"/>
        <v>100.03232576918735</v>
      </c>
      <c r="Q23" s="28">
        <v>595.28623518000006</v>
      </c>
      <c r="R23" s="29"/>
    </row>
    <row r="24" spans="1:18">
      <c r="A24" s="4" t="s">
        <v>13</v>
      </c>
      <c r="B24" s="17">
        <v>21.450330000000001</v>
      </c>
      <c r="C24" s="26">
        <v>566</v>
      </c>
      <c r="D24" s="17">
        <v>4.5619810768439697</v>
      </c>
      <c r="E24" s="17">
        <v>0</v>
      </c>
      <c r="F24" s="17">
        <v>0</v>
      </c>
      <c r="G24" s="17">
        <v>3.2325769187412201E-2</v>
      </c>
      <c r="H24" s="17">
        <v>100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f t="shared" si="0"/>
        <v>100.03232576918741</v>
      </c>
      <c r="Q24" s="28">
        <v>121.40886780000001</v>
      </c>
      <c r="R24" s="29"/>
    </row>
    <row r="25" spans="1:18">
      <c r="A25" s="33" t="s">
        <v>32</v>
      </c>
      <c r="B25" s="35"/>
      <c r="C25" s="36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41"/>
      <c r="R25" s="29"/>
    </row>
    <row r="26" spans="1:18">
      <c r="A26" s="4" t="s">
        <v>39</v>
      </c>
      <c r="B26" s="17">
        <v>50.208960999999995</v>
      </c>
      <c r="C26" s="26">
        <v>4616</v>
      </c>
      <c r="D26" s="17">
        <v>5.5977128069187003</v>
      </c>
      <c r="E26" s="17">
        <v>0.105043755420912</v>
      </c>
      <c r="F26" s="17">
        <v>0.59863471062391094</v>
      </c>
      <c r="G26" s="17">
        <v>3.2325769187412201E-2</v>
      </c>
      <c r="H26" s="17">
        <v>96.958694731833688</v>
      </c>
      <c r="I26" s="17">
        <v>0</v>
      </c>
      <c r="J26" s="17">
        <v>0.20019450159921301</v>
      </c>
      <c r="K26" s="17">
        <v>0.51361922136869598</v>
      </c>
      <c r="L26" s="17">
        <v>1.4307801459809699</v>
      </c>
      <c r="M26" s="17">
        <v>2.5841209447480203E-2</v>
      </c>
      <c r="N26" s="17">
        <v>0</v>
      </c>
      <c r="O26" s="17">
        <v>0.167191723725123</v>
      </c>
      <c r="P26" s="17">
        <f t="shared" si="0"/>
        <v>100.03232576918741</v>
      </c>
      <c r="Q26" s="28">
        <v>2317.64563976</v>
      </c>
      <c r="R26" s="29"/>
    </row>
    <row r="27" spans="1:18">
      <c r="A27" s="4" t="s">
        <v>40</v>
      </c>
      <c r="B27" s="17">
        <v>55.080620000000003</v>
      </c>
      <c r="C27" s="26">
        <v>5474</v>
      </c>
      <c r="D27" s="17">
        <v>5.7944931236580501</v>
      </c>
      <c r="E27" s="17">
        <v>5.2819083784784004E-2</v>
      </c>
      <c r="F27" s="17">
        <v>1.0540279670024799</v>
      </c>
      <c r="G27" s="17">
        <v>3.2325769187412201E-2</v>
      </c>
      <c r="H27" s="17">
        <v>96.518061765992996</v>
      </c>
      <c r="I27" s="17">
        <v>8.6589158028566107E-2</v>
      </c>
      <c r="J27" s="17">
        <v>0</v>
      </c>
      <c r="K27" s="17">
        <v>1.20146503174324</v>
      </c>
      <c r="L27" s="17">
        <v>0.97278232925391805</v>
      </c>
      <c r="M27" s="17">
        <v>0</v>
      </c>
      <c r="N27" s="17">
        <v>4.8871724724630701E-2</v>
      </c>
      <c r="O27" s="17">
        <v>6.5382939469304499E-2</v>
      </c>
      <c r="P27" s="17">
        <f t="shared" si="0"/>
        <v>100.03232576918732</v>
      </c>
      <c r="Q27" s="28">
        <v>3015.1131388000003</v>
      </c>
      <c r="R27" s="29"/>
    </row>
    <row r="28" spans="1:18">
      <c r="A28" s="33" t="s">
        <v>31</v>
      </c>
      <c r="B28" s="35"/>
      <c r="C28" s="36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41"/>
      <c r="R28" s="29"/>
    </row>
    <row r="29" spans="1:18">
      <c r="A29" s="4" t="s">
        <v>41</v>
      </c>
      <c r="B29" s="17">
        <v>19.060756999999999</v>
      </c>
      <c r="C29" s="26">
        <v>37</v>
      </c>
      <c r="D29" s="17">
        <v>5.4270458587052399</v>
      </c>
      <c r="E29" s="17">
        <v>0</v>
      </c>
      <c r="F29" s="17">
        <v>0</v>
      </c>
      <c r="G29" s="17">
        <v>3.2325769187412201E-2</v>
      </c>
      <c r="H29" s="17">
        <v>65.718773731143401</v>
      </c>
      <c r="I29" s="17">
        <v>0</v>
      </c>
      <c r="J29" s="17">
        <v>0</v>
      </c>
      <c r="K29" s="17">
        <v>0</v>
      </c>
      <c r="L29" s="17">
        <v>34.2812262688565</v>
      </c>
      <c r="M29" s="17">
        <v>0</v>
      </c>
      <c r="N29" s="17">
        <v>0</v>
      </c>
      <c r="O29" s="17">
        <v>0</v>
      </c>
      <c r="P29" s="17">
        <f t="shared" si="0"/>
        <v>100.03232576918731</v>
      </c>
      <c r="Q29" s="28">
        <v>7.0524800899999995</v>
      </c>
      <c r="R29" s="29"/>
    </row>
    <row r="30" spans="1:18">
      <c r="A30" s="4" t="s">
        <v>42</v>
      </c>
      <c r="B30" s="17">
        <v>56.967619999999997</v>
      </c>
      <c r="C30" s="26">
        <v>7809</v>
      </c>
      <c r="D30" s="17">
        <v>5.7315881455893098</v>
      </c>
      <c r="E30" s="17">
        <v>4.1863920823125796E-2</v>
      </c>
      <c r="F30" s="17">
        <v>0.94065131264227198</v>
      </c>
      <c r="G30" s="17">
        <v>3.2325769187412201E-2</v>
      </c>
      <c r="H30" s="17">
        <v>96.757630137980996</v>
      </c>
      <c r="I30" s="17">
        <v>5.7934896189868398E-2</v>
      </c>
      <c r="J30" s="17">
        <v>3.1309164757383802E-2</v>
      </c>
      <c r="K30" s="17">
        <v>1.0220198153654401</v>
      </c>
      <c r="L30" s="17">
        <v>0.98218002011830796</v>
      </c>
      <c r="M30" s="17">
        <v>1.2398806548982101E-2</v>
      </c>
      <c r="N30" s="17">
        <v>3.2698993303609897E-2</v>
      </c>
      <c r="O30" s="17">
        <v>0.12131293226995199</v>
      </c>
      <c r="P30" s="17">
        <f t="shared" si="0"/>
        <v>100.03232576918737</v>
      </c>
      <c r="Q30" s="28">
        <v>4448.6014458</v>
      </c>
      <c r="R30" s="29"/>
    </row>
    <row r="31" spans="1:18">
      <c r="A31" s="4" t="s">
        <v>43</v>
      </c>
      <c r="B31" s="17">
        <v>36.249110000000002</v>
      </c>
      <c r="C31" s="26">
        <v>2244</v>
      </c>
      <c r="D31" s="17">
        <v>5.5846442450837701</v>
      </c>
      <c r="E31" s="17">
        <v>0.298110785651028</v>
      </c>
      <c r="F31" s="17">
        <v>0.35197587131784697</v>
      </c>
      <c r="G31" s="17">
        <v>3.2325769187412201E-2</v>
      </c>
      <c r="H31" s="17">
        <v>96.682987313984</v>
      </c>
      <c r="I31" s="17">
        <v>0</v>
      </c>
      <c r="J31" s="17">
        <v>0.43989797716963497</v>
      </c>
      <c r="K31" s="17">
        <v>0.192224898785746</v>
      </c>
      <c r="L31" s="17">
        <v>2.0167766818713</v>
      </c>
      <c r="M31" s="17">
        <v>0</v>
      </c>
      <c r="N31" s="17">
        <v>0</v>
      </c>
      <c r="O31" s="17">
        <v>1.8026471220385702E-2</v>
      </c>
      <c r="P31" s="17">
        <f t="shared" si="0"/>
        <v>100.03232576918737</v>
      </c>
      <c r="Q31" s="28">
        <v>813.43002839999997</v>
      </c>
      <c r="R31" s="29"/>
    </row>
    <row r="32" spans="1:18">
      <c r="A32" s="33" t="s">
        <v>30</v>
      </c>
      <c r="B32" s="35"/>
      <c r="C32" s="36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41"/>
      <c r="R32" s="29"/>
    </row>
    <row r="33" spans="1:18">
      <c r="A33" s="4" t="s">
        <v>44</v>
      </c>
      <c r="B33" s="17">
        <v>26.733225999999998</v>
      </c>
      <c r="C33" s="26">
        <v>1905</v>
      </c>
      <c r="D33" s="17">
        <v>5.1837799335219801</v>
      </c>
      <c r="E33" s="17">
        <v>4.96954835046165E-2</v>
      </c>
      <c r="F33" s="17">
        <v>2.5431392946663403</v>
      </c>
      <c r="G33" s="17">
        <v>3.2325769187412201E-2</v>
      </c>
      <c r="H33" s="17">
        <v>92.901780858307603</v>
      </c>
      <c r="I33" s="17">
        <v>0</v>
      </c>
      <c r="J33" s="17">
        <v>0</v>
      </c>
      <c r="K33" s="17">
        <v>1.9071772051904099</v>
      </c>
      <c r="L33" s="17">
        <v>2.56922820339173</v>
      </c>
      <c r="M33" s="17">
        <v>0</v>
      </c>
      <c r="N33" s="17">
        <v>0</v>
      </c>
      <c r="O33" s="17">
        <v>2.8978954939198897E-2</v>
      </c>
      <c r="P33" s="17">
        <f t="shared" si="0"/>
        <v>100.03232576918731</v>
      </c>
      <c r="Q33" s="28">
        <v>509.26795529999998</v>
      </c>
      <c r="R33" s="29"/>
    </row>
    <row r="34" spans="1:18">
      <c r="A34" s="4" t="s">
        <v>45</v>
      </c>
      <c r="B34" s="17">
        <v>45.291030999999997</v>
      </c>
      <c r="C34" s="26">
        <v>55</v>
      </c>
      <c r="D34" s="17">
        <v>5.8504152511008698</v>
      </c>
      <c r="E34" s="17">
        <v>0</v>
      </c>
      <c r="F34" s="17">
        <v>0</v>
      </c>
      <c r="G34" s="17">
        <v>3.2325769187412201E-2</v>
      </c>
      <c r="H34" s="17">
        <v>97.457255361172798</v>
      </c>
      <c r="I34" s="17">
        <v>0</v>
      </c>
      <c r="J34" s="17">
        <v>0</v>
      </c>
      <c r="K34" s="17">
        <v>0</v>
      </c>
      <c r="L34" s="17">
        <v>2.5427446388271502</v>
      </c>
      <c r="M34" s="17">
        <v>0</v>
      </c>
      <c r="N34" s="17">
        <v>0</v>
      </c>
      <c r="O34" s="17">
        <v>0</v>
      </c>
      <c r="P34" s="17">
        <f t="shared" si="0"/>
        <v>100.03232576918735</v>
      </c>
      <c r="Q34" s="28">
        <v>24.910067049999999</v>
      </c>
      <c r="R34" s="29"/>
    </row>
    <row r="35" spans="1:18">
      <c r="A35" s="4" t="s">
        <v>46</v>
      </c>
      <c r="B35" s="17">
        <v>40.920403</v>
      </c>
      <c r="C35" s="26">
        <v>2725</v>
      </c>
      <c r="D35" s="17">
        <v>5.4670441619366104</v>
      </c>
      <c r="E35" s="17">
        <v>9.9616037328838392E-2</v>
      </c>
      <c r="F35" s="17">
        <v>1.41649992393619</v>
      </c>
      <c r="G35" s="17">
        <v>3.2325769187412201E-2</v>
      </c>
      <c r="H35" s="17">
        <v>94.858048068606507</v>
      </c>
      <c r="I35" s="17">
        <v>0.19440480836439</v>
      </c>
      <c r="J35" s="17">
        <v>0.14360318059243798</v>
      </c>
      <c r="K35" s="17">
        <v>1.1713641575369</v>
      </c>
      <c r="L35" s="17">
        <v>1.8331370577979602</v>
      </c>
      <c r="M35" s="17">
        <v>5.6868590068800497E-2</v>
      </c>
      <c r="N35" s="17">
        <v>2.7982622117896299E-2</v>
      </c>
      <c r="O35" s="17">
        <v>0.19847555364998501</v>
      </c>
      <c r="P35" s="17">
        <f t="shared" si="0"/>
        <v>100.03232576918731</v>
      </c>
      <c r="Q35" s="28">
        <v>1115.0809817500001</v>
      </c>
      <c r="R35" s="29"/>
    </row>
    <row r="36" spans="1:18">
      <c r="A36" s="4" t="s">
        <v>47</v>
      </c>
      <c r="B36" s="17">
        <v>61.873863999999998</v>
      </c>
      <c r="C36" s="26">
        <v>4170</v>
      </c>
      <c r="D36" s="17">
        <v>5.74525177228728</v>
      </c>
      <c r="E36" s="17">
        <v>0.100187308625968</v>
      </c>
      <c r="F36" s="17">
        <v>0.55807855719127997</v>
      </c>
      <c r="G36" s="17">
        <v>3.2325769187412201E-2</v>
      </c>
      <c r="H36" s="17">
        <v>97.390499399042298</v>
      </c>
      <c r="I36" s="17">
        <v>2.6195143705649598E-2</v>
      </c>
      <c r="J36" s="17">
        <v>0.109071194011374</v>
      </c>
      <c r="K36" s="17">
        <v>0.71922148492322402</v>
      </c>
      <c r="L36" s="17">
        <v>0.96527962738137707</v>
      </c>
      <c r="M36" s="17">
        <v>0</v>
      </c>
      <c r="N36" s="17">
        <v>0</v>
      </c>
      <c r="O36" s="17">
        <v>0.131467285118748</v>
      </c>
      <c r="P36" s="17">
        <f t="shared" si="0"/>
        <v>100.03232576918734</v>
      </c>
      <c r="Q36" s="28">
        <v>2580.1401288000002</v>
      </c>
      <c r="R36" s="29"/>
    </row>
    <row r="37" spans="1:18">
      <c r="A37" s="4" t="s">
        <v>48</v>
      </c>
      <c r="B37" s="17">
        <v>76.884591</v>
      </c>
      <c r="C37" s="26">
        <v>946</v>
      </c>
      <c r="D37" s="17">
        <v>6.1377019105325497</v>
      </c>
      <c r="E37" s="17">
        <v>0</v>
      </c>
      <c r="F37" s="17">
        <v>0.636605583370498</v>
      </c>
      <c r="G37" s="17">
        <v>3.2325769187412201E-2</v>
      </c>
      <c r="H37" s="17">
        <v>98.067237003851503</v>
      </c>
      <c r="I37" s="17">
        <v>0</v>
      </c>
      <c r="J37" s="17">
        <v>0</v>
      </c>
      <c r="K37" s="17">
        <v>1.0301294422961</v>
      </c>
      <c r="L37" s="17">
        <v>0.12433708791576401</v>
      </c>
      <c r="M37" s="17">
        <v>0</v>
      </c>
      <c r="N37" s="17">
        <v>0.14169088256611098</v>
      </c>
      <c r="O37" s="17">
        <v>0</v>
      </c>
      <c r="P37" s="17">
        <f t="shared" si="0"/>
        <v>100.03232576918738</v>
      </c>
      <c r="Q37" s="28">
        <v>727.32823086000008</v>
      </c>
      <c r="R37" s="29"/>
    </row>
    <row r="38" spans="1:18">
      <c r="A38" s="33" t="s">
        <v>0</v>
      </c>
      <c r="B38" s="35"/>
      <c r="C38" s="36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41"/>
      <c r="R38" s="29"/>
    </row>
    <row r="39" spans="1:18">
      <c r="A39" s="4" t="s">
        <v>49</v>
      </c>
      <c r="B39" s="17">
        <v>20.559294000000001</v>
      </c>
      <c r="C39" s="26">
        <v>675</v>
      </c>
      <c r="D39" s="17">
        <v>4.4251905456878298</v>
      </c>
      <c r="E39" s="17">
        <v>0</v>
      </c>
      <c r="F39" s="17">
        <v>2.1807172847920899</v>
      </c>
      <c r="G39" s="17">
        <v>3.2325769187412201E-2</v>
      </c>
      <c r="H39" s="17">
        <v>93.559670414410306</v>
      </c>
      <c r="I39" s="17">
        <v>0</v>
      </c>
      <c r="J39" s="17">
        <v>0</v>
      </c>
      <c r="K39" s="17">
        <v>1.26935545729543</v>
      </c>
      <c r="L39" s="17">
        <v>2.5171510486928801</v>
      </c>
      <c r="M39" s="17">
        <v>0.47310579480920906</v>
      </c>
      <c r="N39" s="17">
        <v>0</v>
      </c>
      <c r="O39" s="17">
        <v>0</v>
      </c>
      <c r="P39" s="17">
        <f t="shared" si="0"/>
        <v>100.03232576918734</v>
      </c>
      <c r="Q39" s="28">
        <v>138.77523450000001</v>
      </c>
      <c r="R39" s="29"/>
    </row>
    <row r="40" spans="1:18">
      <c r="A40" s="4" t="s">
        <v>50</v>
      </c>
      <c r="B40" s="17">
        <v>29.578852999999999</v>
      </c>
      <c r="C40" s="26">
        <v>765</v>
      </c>
      <c r="D40" s="17">
        <v>5.3281232050516101</v>
      </c>
      <c r="E40" s="17">
        <v>0.47770655185623001</v>
      </c>
      <c r="F40" s="17">
        <v>1.8770590133994101</v>
      </c>
      <c r="G40" s="17">
        <v>3.2325769187412201E-2</v>
      </c>
      <c r="H40" s="17">
        <v>95.373968386463304</v>
      </c>
      <c r="I40" s="17">
        <v>0</v>
      </c>
      <c r="J40" s="17">
        <v>0</v>
      </c>
      <c r="K40" s="17">
        <v>0.35895755742778501</v>
      </c>
      <c r="L40" s="17">
        <v>1.91230849085323</v>
      </c>
      <c r="M40" s="17">
        <v>0</v>
      </c>
      <c r="N40" s="17">
        <v>0</v>
      </c>
      <c r="O40" s="17">
        <v>0</v>
      </c>
      <c r="P40" s="17">
        <f t="shared" si="0"/>
        <v>100.03232576918738</v>
      </c>
      <c r="Q40" s="28">
        <v>226.27822545000001</v>
      </c>
      <c r="R40" s="29"/>
    </row>
    <row r="41" spans="1:18">
      <c r="A41" s="4" t="s">
        <v>51</v>
      </c>
      <c r="B41" s="17">
        <v>34.473407000000002</v>
      </c>
      <c r="C41" s="26">
        <v>839</v>
      </c>
      <c r="D41" s="17">
        <v>5.1558823567543799</v>
      </c>
      <c r="E41" s="17">
        <v>0.39271462639834698</v>
      </c>
      <c r="F41" s="17">
        <v>1.04802711293174</v>
      </c>
      <c r="G41" s="17">
        <v>3.2325769187412201E-2</v>
      </c>
      <c r="H41" s="17">
        <v>96.396906321440298</v>
      </c>
      <c r="I41" s="17">
        <v>0</v>
      </c>
      <c r="J41" s="17">
        <v>0.32978434502700898</v>
      </c>
      <c r="K41" s="17">
        <v>0.346102934262496</v>
      </c>
      <c r="L41" s="17">
        <v>1.4864646599400999</v>
      </c>
      <c r="M41" s="17">
        <v>0</v>
      </c>
      <c r="N41" s="17">
        <v>0</v>
      </c>
      <c r="O41" s="17">
        <v>0</v>
      </c>
      <c r="P41" s="17">
        <f t="shared" si="0"/>
        <v>100.03232576918739</v>
      </c>
      <c r="Q41" s="28">
        <v>289.23188472999999</v>
      </c>
      <c r="R41" s="29"/>
    </row>
    <row r="42" spans="1:18">
      <c r="A42" s="4" t="s">
        <v>52</v>
      </c>
      <c r="B42" s="17">
        <v>38.847123000000003</v>
      </c>
      <c r="C42" s="26">
        <v>854</v>
      </c>
      <c r="D42" s="17">
        <v>5.48726257010554</v>
      </c>
      <c r="E42" s="17">
        <v>0.22727200855191901</v>
      </c>
      <c r="F42" s="17">
        <v>0.71226370262985095</v>
      </c>
      <c r="G42" s="17">
        <v>3.2325769187412201E-2</v>
      </c>
      <c r="H42" s="17">
        <v>96.444576186454299</v>
      </c>
      <c r="I42" s="17">
        <v>0</v>
      </c>
      <c r="J42" s="17">
        <v>0</v>
      </c>
      <c r="K42" s="17">
        <v>0.122918780397532</v>
      </c>
      <c r="L42" s="17">
        <v>2.44081924309243</v>
      </c>
      <c r="M42" s="17">
        <v>0</v>
      </c>
      <c r="N42" s="17">
        <v>0</v>
      </c>
      <c r="O42" s="17">
        <v>5.2150078873861798E-2</v>
      </c>
      <c r="P42" s="17">
        <f t="shared" si="0"/>
        <v>100.03232576918731</v>
      </c>
      <c r="Q42" s="28">
        <v>331.75443042000006</v>
      </c>
      <c r="R42" s="29"/>
    </row>
    <row r="43" spans="1:18">
      <c r="A43" s="4" t="s">
        <v>53</v>
      </c>
      <c r="B43" s="17">
        <v>43.352257999999999</v>
      </c>
      <c r="C43" s="26">
        <v>950</v>
      </c>
      <c r="D43" s="17">
        <v>5.5667053049754402</v>
      </c>
      <c r="E43" s="17">
        <v>0</v>
      </c>
      <c r="F43" s="17">
        <v>0.89747559174561098</v>
      </c>
      <c r="G43" s="17">
        <v>3.2325769187412201E-2</v>
      </c>
      <c r="H43" s="17">
        <v>97.270943162229003</v>
      </c>
      <c r="I43" s="17">
        <v>0</v>
      </c>
      <c r="J43" s="17">
        <v>0.15364775208947398</v>
      </c>
      <c r="K43" s="17">
        <v>0</v>
      </c>
      <c r="L43" s="17">
        <v>1.46890655235939</v>
      </c>
      <c r="M43" s="17">
        <v>0</v>
      </c>
      <c r="N43" s="17">
        <v>0</v>
      </c>
      <c r="O43" s="17">
        <v>0.20902694157645699</v>
      </c>
      <c r="P43" s="17">
        <f t="shared" si="0"/>
        <v>100.03232576918734</v>
      </c>
      <c r="Q43" s="28">
        <v>411.846451</v>
      </c>
      <c r="R43" s="29"/>
    </row>
    <row r="44" spans="1:18">
      <c r="A44" s="4" t="s">
        <v>54</v>
      </c>
      <c r="B44" s="17">
        <v>47.899930000000005</v>
      </c>
      <c r="C44" s="26">
        <v>1008</v>
      </c>
      <c r="D44" s="17">
        <v>5.3952691278686098</v>
      </c>
      <c r="E44" s="17">
        <v>0.28193754770569601</v>
      </c>
      <c r="F44" s="17">
        <v>1.31603761418952</v>
      </c>
      <c r="G44" s="17">
        <v>3.2325769187412201E-2</v>
      </c>
      <c r="H44" s="17">
        <v>95.835071730480507</v>
      </c>
      <c r="I44" s="17">
        <v>0</v>
      </c>
      <c r="J44" s="17">
        <v>0</v>
      </c>
      <c r="K44" s="17">
        <v>0.8263877561435109</v>
      </c>
      <c r="L44" s="17">
        <v>1.7405653514806803</v>
      </c>
      <c r="M44" s="17">
        <v>0</v>
      </c>
      <c r="N44" s="17">
        <v>0</v>
      </c>
      <c r="O44" s="17">
        <v>0</v>
      </c>
      <c r="P44" s="17">
        <f t="shared" si="0"/>
        <v>100.03232576918734</v>
      </c>
      <c r="Q44" s="28">
        <v>482.83129440000005</v>
      </c>
      <c r="R44" s="29"/>
    </row>
    <row r="45" spans="1:18">
      <c r="A45" s="4" t="s">
        <v>55</v>
      </c>
      <c r="B45" s="17">
        <v>55.455304000000005</v>
      </c>
      <c r="C45" s="26">
        <v>1101</v>
      </c>
      <c r="D45" s="17">
        <v>5.7483174940841897</v>
      </c>
      <c r="E45" s="17">
        <v>0</v>
      </c>
      <c r="F45" s="17">
        <v>0.73419819570209199</v>
      </c>
      <c r="G45" s="17">
        <v>3.2325769187412201E-2</v>
      </c>
      <c r="H45" s="17">
        <v>96.592560082663397</v>
      </c>
      <c r="I45" s="17">
        <v>0</v>
      </c>
      <c r="J45" s="17">
        <v>0</v>
      </c>
      <c r="K45" s="17">
        <v>1.25394001829535</v>
      </c>
      <c r="L45" s="17">
        <v>1.4193017033390498</v>
      </c>
      <c r="M45" s="17">
        <v>0</v>
      </c>
      <c r="N45" s="17">
        <v>0</v>
      </c>
      <c r="O45" s="17">
        <v>0</v>
      </c>
      <c r="P45" s="17">
        <f t="shared" si="0"/>
        <v>100.0323257691873</v>
      </c>
      <c r="Q45" s="28">
        <v>610.56289704000005</v>
      </c>
      <c r="R45" s="29"/>
    </row>
    <row r="46" spans="1:18">
      <c r="A46" s="4" t="s">
        <v>56</v>
      </c>
      <c r="B46" s="17">
        <v>60.699161000000004</v>
      </c>
      <c r="C46" s="26">
        <v>1197</v>
      </c>
      <c r="D46" s="17">
        <v>5.7900455203843499</v>
      </c>
      <c r="E46" s="17">
        <v>0</v>
      </c>
      <c r="F46" s="17">
        <v>0.65087882355747995</v>
      </c>
      <c r="G46" s="17">
        <v>3.2325769187412201E-2</v>
      </c>
      <c r="H46" s="17">
        <v>97.431964347835603</v>
      </c>
      <c r="I46" s="17">
        <v>0</v>
      </c>
      <c r="J46" s="17">
        <v>0</v>
      </c>
      <c r="K46" s="17">
        <v>0.89305507169456488</v>
      </c>
      <c r="L46" s="17">
        <v>1.0241017569122899</v>
      </c>
      <c r="M46" s="17">
        <v>0</v>
      </c>
      <c r="N46" s="17">
        <v>0</v>
      </c>
      <c r="O46" s="17">
        <v>0</v>
      </c>
      <c r="P46" s="17">
        <f t="shared" si="0"/>
        <v>100.03232576918734</v>
      </c>
      <c r="Q46" s="28">
        <v>726.56895716999998</v>
      </c>
      <c r="R46" s="29"/>
    </row>
    <row r="47" spans="1:18">
      <c r="A47" s="4" t="s">
        <v>57</v>
      </c>
      <c r="B47" s="17">
        <v>71.841478000000009</v>
      </c>
      <c r="C47" s="26">
        <v>1283</v>
      </c>
      <c r="D47" s="17">
        <v>5.8769126571456196</v>
      </c>
      <c r="E47" s="17">
        <v>0</v>
      </c>
      <c r="F47" s="17">
        <v>0.48312887762031098</v>
      </c>
      <c r="G47" s="17">
        <v>3.2325769187412201E-2</v>
      </c>
      <c r="H47" s="17">
        <v>96.920261665184498</v>
      </c>
      <c r="I47" s="17">
        <v>7.2068277980314607E-2</v>
      </c>
      <c r="J47" s="17">
        <v>0</v>
      </c>
      <c r="K47" s="17">
        <v>1.2454422618186201</v>
      </c>
      <c r="L47" s="17">
        <v>0.78714505716274508</v>
      </c>
      <c r="M47" s="17">
        <v>0</v>
      </c>
      <c r="N47" s="17">
        <v>2.8276039646878002E-2</v>
      </c>
      <c r="O47" s="17">
        <v>0.46367782058655893</v>
      </c>
      <c r="P47" s="17">
        <f t="shared" si="0"/>
        <v>100.03232576918735</v>
      </c>
      <c r="Q47" s="28">
        <v>921.72616274000018</v>
      </c>
      <c r="R47" s="29"/>
    </row>
    <row r="48" spans="1:18">
      <c r="A48" s="4" t="s">
        <v>58</v>
      </c>
      <c r="B48" s="17">
        <v>73.608150000000009</v>
      </c>
      <c r="C48" s="26">
        <v>1418</v>
      </c>
      <c r="D48" s="17">
        <v>6.0425083305929403</v>
      </c>
      <c r="E48" s="17">
        <v>0</v>
      </c>
      <c r="F48" s="17">
        <v>0.89100413626164099</v>
      </c>
      <c r="G48" s="17">
        <v>3.2325769187412201E-2</v>
      </c>
      <c r="H48" s="17">
        <v>96.929278763945803</v>
      </c>
      <c r="I48" s="17">
        <v>0.15971818462810899</v>
      </c>
      <c r="J48" s="17">
        <v>0.24397797129755203</v>
      </c>
      <c r="K48" s="17">
        <v>1.1921988413234501</v>
      </c>
      <c r="L48" s="17">
        <v>0.47359597237054002</v>
      </c>
      <c r="M48" s="17">
        <v>0</v>
      </c>
      <c r="N48" s="17">
        <v>0.10022821677873101</v>
      </c>
      <c r="O48" s="17">
        <v>9.9979133941491792E-3</v>
      </c>
      <c r="P48" s="17">
        <f t="shared" si="0"/>
        <v>100.03232576918738</v>
      </c>
      <c r="Q48" s="28">
        <v>1043.763567</v>
      </c>
      <c r="R48" s="29"/>
    </row>
    <row r="49" spans="1:18">
      <c r="A49" s="33" t="s">
        <v>25</v>
      </c>
      <c r="B49" s="35"/>
      <c r="C49" s="3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41"/>
      <c r="R49" s="29"/>
    </row>
    <row r="50" spans="1:18">
      <c r="A50" s="6" t="s">
        <v>18</v>
      </c>
      <c r="B50" s="17">
        <v>83.18432</v>
      </c>
      <c r="C50" s="26">
        <v>715</v>
      </c>
      <c r="D50" s="17">
        <v>6.1277005489871099</v>
      </c>
      <c r="E50" s="17">
        <v>0</v>
      </c>
      <c r="F50" s="17">
        <v>0.68814492270227501</v>
      </c>
      <c r="G50" s="17">
        <v>3.2325769187412201E-2</v>
      </c>
      <c r="H50" s="17">
        <v>98.399815451979904</v>
      </c>
      <c r="I50" s="17">
        <v>0</v>
      </c>
      <c r="J50" s="17">
        <v>0.48427644026677902</v>
      </c>
      <c r="K50" s="17">
        <v>0.34013986516412897</v>
      </c>
      <c r="L50" s="17">
        <v>8.7623319886935697E-2</v>
      </c>
      <c r="M50" s="17">
        <v>0</v>
      </c>
      <c r="N50" s="17">
        <v>0</v>
      </c>
      <c r="O50" s="17">
        <v>0</v>
      </c>
      <c r="P50" s="17">
        <f t="shared" si="0"/>
        <v>100.03232576918744</v>
      </c>
      <c r="Q50" s="26">
        <v>594.76788799999997</v>
      </c>
      <c r="R50" s="40"/>
    </row>
    <row r="51" spans="1:18">
      <c r="A51" s="6" t="s">
        <v>20</v>
      </c>
      <c r="B51" s="17">
        <v>87.227816000000004</v>
      </c>
      <c r="C51" s="26">
        <v>111</v>
      </c>
      <c r="D51" s="17">
        <v>6.2817860908030001</v>
      </c>
      <c r="E51" s="17">
        <v>0</v>
      </c>
      <c r="F51" s="17">
        <v>0.72680454626907798</v>
      </c>
      <c r="G51" s="17">
        <v>3.2325769187412201E-2</v>
      </c>
      <c r="H51" s="17">
        <v>99.273195453730906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f t="shared" si="0"/>
        <v>100.03232576918739</v>
      </c>
      <c r="Q51" s="26">
        <v>96.822875760000002</v>
      </c>
      <c r="R51" s="40"/>
    </row>
    <row r="52" spans="1:18">
      <c r="A52" s="6" t="s">
        <v>19</v>
      </c>
      <c r="B52" s="17">
        <v>70.520187000000007</v>
      </c>
      <c r="C52" s="26">
        <v>33</v>
      </c>
      <c r="D52" s="17">
        <v>6.3938450956336599</v>
      </c>
      <c r="E52" s="17">
        <v>0</v>
      </c>
      <c r="F52" s="17">
        <v>0</v>
      </c>
      <c r="G52" s="17">
        <v>3.2325769187412201E-2</v>
      </c>
      <c r="H52" s="17">
        <v>100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f t="shared" si="0"/>
        <v>100.03232576918741</v>
      </c>
      <c r="Q52" s="26">
        <v>23.271661710000004</v>
      </c>
      <c r="R52" s="40"/>
    </row>
    <row r="53" spans="1:18">
      <c r="A53" s="6" t="s">
        <v>14</v>
      </c>
      <c r="B53" s="17">
        <v>29.159528000000002</v>
      </c>
      <c r="C53" s="26">
        <v>146</v>
      </c>
      <c r="D53" s="17">
        <v>4.5910165711960298</v>
      </c>
      <c r="E53" s="17">
        <v>0</v>
      </c>
      <c r="F53" s="17">
        <v>16.3144461992188</v>
      </c>
      <c r="G53" s="17">
        <v>3.2325769187412201E-2</v>
      </c>
      <c r="H53" s="17">
        <v>78.463592918002405</v>
      </c>
      <c r="I53" s="17">
        <v>0</v>
      </c>
      <c r="J53" s="17">
        <v>0</v>
      </c>
      <c r="K53" s="17">
        <v>0</v>
      </c>
      <c r="L53" s="17">
        <v>5.2219608827787294</v>
      </c>
      <c r="M53" s="17">
        <v>0</v>
      </c>
      <c r="N53" s="17">
        <v>0</v>
      </c>
      <c r="O53" s="17">
        <v>0</v>
      </c>
      <c r="P53" s="17">
        <f t="shared" si="0"/>
        <v>100.03232576918735</v>
      </c>
      <c r="Q53" s="26">
        <v>42.572910880000002</v>
      </c>
      <c r="R53" s="40"/>
    </row>
    <row r="54" spans="1:18">
      <c r="A54" s="6" t="s">
        <v>15</v>
      </c>
      <c r="B54" s="17">
        <v>67.848187999999993</v>
      </c>
      <c r="C54" s="26">
        <v>1292</v>
      </c>
      <c r="D54" s="17">
        <v>5.5581738692343796</v>
      </c>
      <c r="E54" s="17">
        <v>0.271599442145043</v>
      </c>
      <c r="F54" s="17">
        <v>2.1770134626852897</v>
      </c>
      <c r="G54" s="17">
        <v>3.2325769187412201E-2</v>
      </c>
      <c r="H54" s="17">
        <v>95.046959724072394</v>
      </c>
      <c r="I54" s="17">
        <v>0</v>
      </c>
      <c r="J54" s="17">
        <v>0</v>
      </c>
      <c r="K54" s="17">
        <v>1.6016578100446699</v>
      </c>
      <c r="L54" s="17">
        <v>0.79428702028481302</v>
      </c>
      <c r="M54" s="17">
        <v>7.2553983478223893E-2</v>
      </c>
      <c r="N54" s="17">
        <v>0</v>
      </c>
      <c r="O54" s="17">
        <v>3.59285572895503E-2</v>
      </c>
      <c r="P54" s="17">
        <f t="shared" si="0"/>
        <v>100.03232576918741</v>
      </c>
      <c r="Q54" s="26">
        <v>876.59858896000003</v>
      </c>
      <c r="R54" s="40"/>
    </row>
    <row r="55" spans="1:18">
      <c r="A55" s="6" t="s">
        <v>16</v>
      </c>
      <c r="B55" s="17">
        <v>47.732189000000005</v>
      </c>
      <c r="C55" s="26">
        <v>4610</v>
      </c>
      <c r="D55" s="17">
        <v>5.8091011187269697</v>
      </c>
      <c r="E55" s="17">
        <v>0</v>
      </c>
      <c r="F55" s="17">
        <v>0.32836588324341798</v>
      </c>
      <c r="G55" s="17">
        <v>3.2325769187412201E-2</v>
      </c>
      <c r="H55" s="17">
        <v>96.853878024569795</v>
      </c>
      <c r="I55" s="17">
        <v>0.108696150886517</v>
      </c>
      <c r="J55" s="17">
        <v>5.87415516452513E-2</v>
      </c>
      <c r="K55" s="17">
        <v>0.74256673155389907</v>
      </c>
      <c r="L55" s="17">
        <v>1.73451440495118</v>
      </c>
      <c r="M55" s="17">
        <v>0</v>
      </c>
      <c r="N55" s="17">
        <v>0</v>
      </c>
      <c r="O55" s="17">
        <v>0.173237253149888</v>
      </c>
      <c r="P55" s="17">
        <f t="shared" si="0"/>
        <v>100.03232576918737</v>
      </c>
      <c r="Q55" s="26">
        <v>2200.4539129</v>
      </c>
      <c r="R55" s="40"/>
    </row>
    <row r="56" spans="1:18">
      <c r="A56" s="6" t="s">
        <v>59</v>
      </c>
      <c r="B56" s="17">
        <v>65.673201000000006</v>
      </c>
      <c r="C56" s="26">
        <v>165</v>
      </c>
      <c r="D56" s="17">
        <v>6.3782793388370704</v>
      </c>
      <c r="E56" s="17">
        <v>0.97906187399677302</v>
      </c>
      <c r="F56" s="17">
        <v>0.21659905464668699</v>
      </c>
      <c r="G56" s="17">
        <v>3.2325769187412201E-2</v>
      </c>
      <c r="H56" s="17">
        <v>93.908974538941607</v>
      </c>
      <c r="I56" s="17">
        <v>0</v>
      </c>
      <c r="J56" s="17">
        <v>0</v>
      </c>
      <c r="K56" s="17">
        <v>3.1172953646571999</v>
      </c>
      <c r="L56" s="17">
        <v>0</v>
      </c>
      <c r="M56" s="17">
        <v>0</v>
      </c>
      <c r="N56" s="17">
        <v>0.90792854688052405</v>
      </c>
      <c r="O56" s="17">
        <v>0.87014062087712696</v>
      </c>
      <c r="P56" s="17">
        <f t="shared" si="0"/>
        <v>100.03232576918732</v>
      </c>
      <c r="Q56" s="26">
        <v>108.36078165000001</v>
      </c>
      <c r="R56" s="40"/>
    </row>
    <row r="57" spans="1:18">
      <c r="A57" s="6" t="s">
        <v>60</v>
      </c>
      <c r="B57" s="17">
        <v>59.850521999999998</v>
      </c>
      <c r="C57" s="26">
        <v>108</v>
      </c>
      <c r="D57" s="17">
        <v>5.4049271777923096</v>
      </c>
      <c r="E57" s="17">
        <v>0</v>
      </c>
      <c r="F57" s="17">
        <v>0</v>
      </c>
      <c r="G57" s="17">
        <v>3.2325769187412201E-2</v>
      </c>
      <c r="H57" s="17">
        <v>100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f t="shared" si="0"/>
        <v>100.03232576918741</v>
      </c>
      <c r="Q57" s="26">
        <v>64.638563759999997</v>
      </c>
      <c r="R57" s="38"/>
    </row>
    <row r="58" spans="1:18">
      <c r="A58" s="6" t="s">
        <v>21</v>
      </c>
      <c r="B58" s="17">
        <v>73.886531000000005</v>
      </c>
      <c r="C58" s="26">
        <v>35</v>
      </c>
      <c r="D58" s="17">
        <v>5.2980734000191498</v>
      </c>
      <c r="E58" s="17">
        <v>0</v>
      </c>
      <c r="F58" s="17">
        <v>4.7377324620538595</v>
      </c>
      <c r="G58" s="17">
        <v>3.2325769187412201E-2</v>
      </c>
      <c r="H58" s="17">
        <v>95.262267537946101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f t="shared" si="0"/>
        <v>100.03232576918737</v>
      </c>
      <c r="Q58" s="26">
        <v>25.86028585</v>
      </c>
      <c r="R58" s="38"/>
    </row>
    <row r="59" spans="1:18">
      <c r="A59" s="6" t="s">
        <v>61</v>
      </c>
      <c r="B59" s="17">
        <v>60.391417999999994</v>
      </c>
      <c r="C59" s="26">
        <v>1000</v>
      </c>
      <c r="D59" s="17">
        <v>5.2202994659541204</v>
      </c>
      <c r="E59" s="17">
        <v>8.9280675368459808E-2</v>
      </c>
      <c r="F59" s="17">
        <v>0.87744145649253802</v>
      </c>
      <c r="G59" s="17">
        <v>3.2325769187412201E-2</v>
      </c>
      <c r="H59" s="17">
        <v>96.468359227235098</v>
      </c>
      <c r="I59" s="17">
        <v>0</v>
      </c>
      <c r="J59" s="17">
        <v>0</v>
      </c>
      <c r="K59" s="17">
        <v>1.31635807805553</v>
      </c>
      <c r="L59" s="17">
        <v>1.2485605628483398</v>
      </c>
      <c r="M59" s="17">
        <v>0</v>
      </c>
      <c r="N59" s="17">
        <v>0</v>
      </c>
      <c r="O59" s="17">
        <v>0</v>
      </c>
      <c r="P59" s="17">
        <f t="shared" si="0"/>
        <v>100.03232576918738</v>
      </c>
      <c r="Q59" s="26">
        <v>603.91417999999999</v>
      </c>
    </row>
    <row r="60" spans="1:18">
      <c r="A60" s="6" t="s">
        <v>62</v>
      </c>
      <c r="B60" s="17">
        <v>32.992938000000002</v>
      </c>
      <c r="C60" s="26">
        <v>1272</v>
      </c>
      <c r="D60" s="17">
        <v>5.3586526556114</v>
      </c>
      <c r="E60" s="17">
        <v>0</v>
      </c>
      <c r="F60" s="17">
        <v>0.97029810811843897</v>
      </c>
      <c r="G60" s="17">
        <v>3.2325769187412201E-2</v>
      </c>
      <c r="H60" s="17">
        <v>96.41977765739999</v>
      </c>
      <c r="I60" s="17">
        <v>0</v>
      </c>
      <c r="J60" s="17">
        <v>0</v>
      </c>
      <c r="K60" s="17">
        <v>1.3164391988089501</v>
      </c>
      <c r="L60" s="17">
        <v>1.2012405178168599</v>
      </c>
      <c r="M60" s="17">
        <v>0</v>
      </c>
      <c r="N60" s="17">
        <v>9.2244517855733094E-2</v>
      </c>
      <c r="O60" s="17">
        <v>0</v>
      </c>
      <c r="P60" s="17">
        <f t="shared" si="0"/>
        <v>100.03232576918738</v>
      </c>
      <c r="Q60" s="26">
        <v>419.67017136000004</v>
      </c>
    </row>
    <row r="61" spans="1:18">
      <c r="A61" s="6" t="s">
        <v>17</v>
      </c>
      <c r="B61" s="17">
        <v>51.563596000000004</v>
      </c>
      <c r="C61" s="26">
        <v>31</v>
      </c>
      <c r="D61" s="17">
        <v>5.1561132077310798</v>
      </c>
      <c r="E61" s="17">
        <v>0</v>
      </c>
      <c r="F61" s="17">
        <v>0</v>
      </c>
      <c r="G61" s="17">
        <v>3.2325769187412201E-2</v>
      </c>
      <c r="H61" s="17">
        <v>100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f t="shared" si="0"/>
        <v>100.03232576918741</v>
      </c>
      <c r="Q61" s="26">
        <v>15.984714759999999</v>
      </c>
    </row>
    <row r="62" spans="1:18">
      <c r="A62" s="6" t="s">
        <v>63</v>
      </c>
      <c r="B62" s="18">
        <v>32.577592000000003</v>
      </c>
      <c r="C62" s="27">
        <v>572</v>
      </c>
      <c r="D62" s="18">
        <v>5.0505323460298897</v>
      </c>
      <c r="E62" s="18">
        <v>0</v>
      </c>
      <c r="F62" s="18">
        <v>0</v>
      </c>
      <c r="G62" s="18">
        <v>3.2325769187412201E-2</v>
      </c>
      <c r="H62" s="18">
        <v>100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7">
        <f t="shared" si="0"/>
        <v>100.03232576918741</v>
      </c>
      <c r="Q62" s="26">
        <v>186.34382624000003</v>
      </c>
    </row>
    <row r="63" spans="1:18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8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</row>
    <row r="65" spans="2:16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</row>
    <row r="66" spans="2:16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</row>
    <row r="67" spans="2:16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</row>
    <row r="68" spans="2:16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</row>
    <row r="69" spans="2:16">
      <c r="B69" s="19"/>
      <c r="C69" s="16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</row>
    <row r="70" spans="2:16">
      <c r="B70" s="19"/>
      <c r="C70" s="16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</row>
    <row r="71" spans="2:16">
      <c r="B71" s="19"/>
      <c r="C71" s="16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</row>
    <row r="72" spans="2:16">
      <c r="B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</row>
    <row r="73" spans="2:16">
      <c r="B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2:16">
      <c r="B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</row>
    <row r="75" spans="2:16">
      <c r="B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</row>
    <row r="76" spans="2:16">
      <c r="B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</row>
    <row r="77" spans="2:16">
      <c r="B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</row>
    <row r="78" spans="2:16">
      <c r="B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</row>
    <row r="79" spans="2:16">
      <c r="B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6">
      <c r="B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</row>
    <row r="81" spans="5:15"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5:15"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5:15"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5:15"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5:15"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5:15"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</sheetData>
  <mergeCells count="1">
    <mergeCell ref="E3:P3"/>
  </mergeCells>
  <pageMargins left="0.7" right="0.7" top="0.75" bottom="0.75" header="0.3" footer="0.3"/>
  <pageSetup orientation="portrait" r:id="rId1"/>
  <ignoredErrors>
    <ignoredError sqref="P8 P9 P50:P62 P39:P48 P33:P37 P29:P31 P26:P27 P11:P24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85D8-757D-4D08-8668-F5724E46AA2E}">
  <dimension ref="A1:N91"/>
  <sheetViews>
    <sheetView zoomScale="80" zoomScaleNormal="80" workbookViewId="0">
      <selection activeCell="L6" sqref="L6"/>
    </sheetView>
  </sheetViews>
  <sheetFormatPr defaultColWidth="15.25" defaultRowHeight="13"/>
  <cols>
    <col min="1" max="1" width="16.4140625" style="2" customWidth="1"/>
    <col min="2" max="2" width="12.6640625" style="5" customWidth="1"/>
    <col min="3" max="3" width="7.6640625" style="5" customWidth="1"/>
    <col min="4" max="9" width="12.6640625" style="5" customWidth="1"/>
    <col min="10" max="10" width="7.25" style="5" customWidth="1"/>
    <col min="11" max="16384" width="15.25" style="2"/>
  </cols>
  <sheetData>
    <row r="1" spans="1:12">
      <c r="A1" s="3" t="s">
        <v>94</v>
      </c>
    </row>
    <row r="3" spans="1:12" ht="104">
      <c r="B3" s="8" t="s">
        <v>87</v>
      </c>
      <c r="C3" s="8" t="s">
        <v>36</v>
      </c>
      <c r="D3" s="13" t="s">
        <v>88</v>
      </c>
      <c r="E3" s="13" t="s">
        <v>91</v>
      </c>
      <c r="F3" s="13" t="s">
        <v>92</v>
      </c>
      <c r="G3" s="13" t="s">
        <v>93</v>
      </c>
      <c r="H3" s="31" t="s">
        <v>133</v>
      </c>
      <c r="I3" s="13" t="s">
        <v>90</v>
      </c>
      <c r="J3" s="13" t="s">
        <v>36</v>
      </c>
    </row>
    <row r="4" spans="1:12">
      <c r="B4" s="8"/>
      <c r="C4" s="8"/>
      <c r="D4" s="31" t="s">
        <v>134</v>
      </c>
      <c r="E4" s="31" t="s">
        <v>135</v>
      </c>
      <c r="F4" s="31" t="s">
        <v>136</v>
      </c>
      <c r="G4" s="31" t="s">
        <v>137</v>
      </c>
      <c r="H4" s="31" t="s">
        <v>138</v>
      </c>
      <c r="I4" s="31"/>
      <c r="J4" s="31"/>
    </row>
    <row r="5" spans="1:12">
      <c r="B5" s="9" t="s">
        <v>35</v>
      </c>
      <c r="C5" s="9"/>
      <c r="D5" s="11" t="s">
        <v>89</v>
      </c>
      <c r="E5" s="11" t="s">
        <v>89</v>
      </c>
      <c r="F5" s="11" t="s">
        <v>89</v>
      </c>
      <c r="G5" s="11" t="s">
        <v>89</v>
      </c>
      <c r="H5" s="11" t="s">
        <v>89</v>
      </c>
      <c r="I5" s="11" t="s">
        <v>34</v>
      </c>
      <c r="J5" s="11"/>
    </row>
    <row r="6" spans="1:12">
      <c r="A6" s="1" t="s">
        <v>28</v>
      </c>
      <c r="B6" s="17">
        <v>6.0956999999999999</v>
      </c>
      <c r="C6" s="26">
        <v>10090</v>
      </c>
      <c r="D6" s="21">
        <v>234.76234500000001</v>
      </c>
      <c r="E6" s="21">
        <v>75.820010999999994</v>
      </c>
      <c r="F6" s="21">
        <v>8.6087399999999992</v>
      </c>
      <c r="G6" s="21">
        <v>86.377621000000005</v>
      </c>
      <c r="H6" s="49">
        <v>64</v>
      </c>
      <c r="I6" s="14"/>
      <c r="J6" s="14">
        <v>741</v>
      </c>
      <c r="L6" s="64"/>
    </row>
    <row r="7" spans="1:12">
      <c r="A7" s="33" t="s">
        <v>29</v>
      </c>
      <c r="B7" s="34"/>
      <c r="C7" s="34"/>
      <c r="D7" s="34"/>
      <c r="E7" s="34"/>
      <c r="F7" s="34"/>
      <c r="G7" s="34"/>
      <c r="H7" s="52"/>
      <c r="I7" s="34"/>
      <c r="J7" s="34"/>
    </row>
    <row r="8" spans="1:12">
      <c r="A8" s="4" t="s">
        <v>24</v>
      </c>
      <c r="B8" s="17">
        <v>11.462071382491001</v>
      </c>
      <c r="C8" s="26">
        <v>5535</v>
      </c>
      <c r="D8" s="21">
        <v>260.33934316612499</v>
      </c>
      <c r="E8" s="21">
        <v>81.638362212338507</v>
      </c>
      <c r="F8" s="21">
        <v>9.4658571820228392</v>
      </c>
      <c r="G8" s="21">
        <v>97.260381519534604</v>
      </c>
      <c r="H8" s="49">
        <v>71.974742252229305</v>
      </c>
      <c r="I8" s="17"/>
      <c r="J8" s="14">
        <v>658</v>
      </c>
      <c r="K8" s="7"/>
    </row>
    <row r="9" spans="1:12">
      <c r="A9" s="4" t="s">
        <v>23</v>
      </c>
      <c r="B9" s="17">
        <v>1.54836324265976</v>
      </c>
      <c r="C9" s="32">
        <v>4555</v>
      </c>
      <c r="D9" s="21">
        <v>74.322645546246903</v>
      </c>
      <c r="E9" s="21">
        <v>39.322591202314896</v>
      </c>
      <c r="F9" s="21">
        <v>3.2322076083554498</v>
      </c>
      <c r="G9" s="21">
        <v>18.112112151875099</v>
      </c>
      <c r="H9" s="49">
        <v>13.655734583701401</v>
      </c>
      <c r="I9" s="17"/>
      <c r="J9" s="14">
        <v>83</v>
      </c>
      <c r="K9" s="7"/>
    </row>
    <row r="10" spans="1:12">
      <c r="A10" s="33" t="s">
        <v>22</v>
      </c>
      <c r="B10" s="35"/>
      <c r="C10" s="36"/>
      <c r="D10" s="42"/>
      <c r="E10" s="42"/>
      <c r="F10" s="42"/>
      <c r="G10" s="42"/>
      <c r="H10" s="53"/>
      <c r="I10" s="35"/>
      <c r="J10" s="34"/>
      <c r="K10" s="7"/>
    </row>
    <row r="11" spans="1:12">
      <c r="A11" s="4" t="s">
        <v>1</v>
      </c>
      <c r="B11" s="17">
        <v>0.25077055487138999</v>
      </c>
      <c r="C11" s="26">
        <v>559</v>
      </c>
      <c r="D11" s="21">
        <v>24.789197385880001</v>
      </c>
      <c r="E11" s="21">
        <v>18.769850430214799</v>
      </c>
      <c r="F11" s="21">
        <v>6.0193469556652701</v>
      </c>
      <c r="G11" s="21">
        <v>0</v>
      </c>
      <c r="H11" s="49">
        <v>0</v>
      </c>
      <c r="I11" s="17"/>
      <c r="J11" s="14">
        <v>2</v>
      </c>
      <c r="K11" s="7"/>
    </row>
    <row r="12" spans="1:12">
      <c r="A12" s="4" t="s">
        <v>2</v>
      </c>
      <c r="B12" s="17">
        <v>6.7166570353672794E-2</v>
      </c>
      <c r="C12" s="26">
        <v>828</v>
      </c>
      <c r="D12" s="21">
        <v>200</v>
      </c>
      <c r="E12" s="21">
        <v>100</v>
      </c>
      <c r="F12" s="21">
        <v>0</v>
      </c>
      <c r="G12" s="21">
        <v>0</v>
      </c>
      <c r="H12" s="49">
        <v>100</v>
      </c>
      <c r="I12" s="17"/>
      <c r="J12" s="14">
        <v>1</v>
      </c>
      <c r="K12" s="7"/>
    </row>
    <row r="13" spans="1:12">
      <c r="A13" s="4" t="s">
        <v>3</v>
      </c>
      <c r="B13" s="17">
        <v>0.16567109091815199</v>
      </c>
      <c r="C13" s="26">
        <v>561</v>
      </c>
      <c r="D13" s="21">
        <v>78.347327282592403</v>
      </c>
      <c r="E13" s="21">
        <v>25</v>
      </c>
      <c r="F13" s="21">
        <v>10.669465456518401</v>
      </c>
      <c r="G13" s="21">
        <v>10.669465456518401</v>
      </c>
      <c r="H13" s="49">
        <v>32.008396369555399</v>
      </c>
      <c r="I13" s="17"/>
      <c r="J13" s="14">
        <v>2</v>
      </c>
      <c r="K13" s="7"/>
    </row>
    <row r="14" spans="1:12">
      <c r="A14" s="4" t="s">
        <v>4</v>
      </c>
      <c r="B14" s="17">
        <v>15.9711497401473</v>
      </c>
      <c r="C14" s="26">
        <v>554</v>
      </c>
      <c r="D14" s="21">
        <v>149.13829223414601</v>
      </c>
      <c r="E14" s="21">
        <v>110.355544068809</v>
      </c>
      <c r="F14" s="21">
        <v>23.555608781046502</v>
      </c>
      <c r="G14" s="21">
        <v>3.40547212395404</v>
      </c>
      <c r="H14" s="49">
        <v>11.8216672603359</v>
      </c>
      <c r="I14" s="17"/>
      <c r="J14" s="14">
        <v>75</v>
      </c>
      <c r="K14" s="7"/>
    </row>
    <row r="15" spans="1:12">
      <c r="A15" s="4" t="s">
        <v>5</v>
      </c>
      <c r="B15" s="17">
        <v>35.869046711177297</v>
      </c>
      <c r="C15" s="26">
        <v>568</v>
      </c>
      <c r="D15" s="21">
        <v>127.148591756874</v>
      </c>
      <c r="E15" s="21">
        <v>98.469198502189997</v>
      </c>
      <c r="F15" s="21">
        <v>10.201324492531599</v>
      </c>
      <c r="G15" s="21">
        <v>1.98635346220845</v>
      </c>
      <c r="H15" s="49">
        <v>16.491715299944801</v>
      </c>
      <c r="I15" s="17"/>
      <c r="J15" s="14">
        <v>189</v>
      </c>
      <c r="K15" s="7"/>
    </row>
    <row r="16" spans="1:12">
      <c r="A16" s="4" t="s">
        <v>6</v>
      </c>
      <c r="B16" s="17">
        <v>1.2091214886725801</v>
      </c>
      <c r="C16" s="26">
        <v>1084</v>
      </c>
      <c r="D16" s="21">
        <v>76.141399410070903</v>
      </c>
      <c r="E16" s="21">
        <v>27.5937183876025</v>
      </c>
      <c r="F16" s="21">
        <v>0.96643072357465798</v>
      </c>
      <c r="G16" s="21">
        <v>30.960877094521699</v>
      </c>
      <c r="H16" s="49">
        <v>16.620373204372001</v>
      </c>
      <c r="I16" s="17"/>
      <c r="J16" s="14">
        <v>13</v>
      </c>
      <c r="K16" s="7"/>
    </row>
    <row r="17" spans="1:14">
      <c r="A17" s="4" t="s">
        <v>38</v>
      </c>
      <c r="B17" s="17">
        <v>2.6735992741844199</v>
      </c>
      <c r="C17" s="26">
        <v>570</v>
      </c>
      <c r="D17" s="21">
        <v>204.95820627643801</v>
      </c>
      <c r="E17" s="21">
        <v>52.440614397886399</v>
      </c>
      <c r="F17" s="21">
        <v>5.5422756323919398</v>
      </c>
      <c r="G17" s="21">
        <v>9.5360910469644704</v>
      </c>
      <c r="H17" s="49">
        <v>137.43922519919499</v>
      </c>
      <c r="I17" s="17"/>
      <c r="J17" s="14">
        <v>16</v>
      </c>
      <c r="K17" s="7"/>
    </row>
    <row r="18" spans="1:14">
      <c r="A18" s="4" t="s">
        <v>7</v>
      </c>
      <c r="B18" s="17">
        <v>11.411578210252999</v>
      </c>
      <c r="C18" s="26">
        <v>854</v>
      </c>
      <c r="D18" s="21">
        <v>23.242940505273001</v>
      </c>
      <c r="E18" s="21">
        <v>18.311148692090899</v>
      </c>
      <c r="F18" s="21">
        <v>1.19769814219441</v>
      </c>
      <c r="G18" s="21">
        <v>0</v>
      </c>
      <c r="H18" s="49">
        <v>3.7340936709876602</v>
      </c>
      <c r="I18" s="17"/>
      <c r="J18" s="14">
        <v>95</v>
      </c>
      <c r="K18" s="7"/>
    </row>
    <row r="19" spans="1:14">
      <c r="A19" s="4" t="s">
        <v>8</v>
      </c>
      <c r="B19" s="17">
        <v>2.33698074578529</v>
      </c>
      <c r="C19" s="26">
        <v>557</v>
      </c>
      <c r="D19" s="21">
        <v>404.609174474562</v>
      </c>
      <c r="E19" s="21">
        <v>186.229027534419</v>
      </c>
      <c r="F19" s="21">
        <v>7.7799727180623703</v>
      </c>
      <c r="G19" s="21">
        <v>103.32941031664799</v>
      </c>
      <c r="H19" s="49">
        <v>107.27076390543201</v>
      </c>
      <c r="I19" s="17"/>
      <c r="J19" s="14">
        <v>17</v>
      </c>
      <c r="K19" s="7"/>
    </row>
    <row r="20" spans="1:14">
      <c r="A20" s="4" t="s">
        <v>9</v>
      </c>
      <c r="B20" s="17">
        <v>8.4372324162910299</v>
      </c>
      <c r="C20" s="26">
        <v>854</v>
      </c>
      <c r="D20" s="21">
        <v>566.68108687499898</v>
      </c>
      <c r="E20" s="21">
        <v>39.481721903857199</v>
      </c>
      <c r="F20" s="21">
        <v>0.49466634288199302</v>
      </c>
      <c r="G20" s="21">
        <v>485.82829665525099</v>
      </c>
      <c r="H20" s="49">
        <v>40.876401973007901</v>
      </c>
      <c r="I20" s="17"/>
      <c r="J20" s="14">
        <v>71</v>
      </c>
      <c r="K20" s="7"/>
    </row>
    <row r="21" spans="1:14">
      <c r="A21" s="4" t="s">
        <v>10</v>
      </c>
      <c r="B21" s="17">
        <v>4.19965365960587</v>
      </c>
      <c r="C21" s="26">
        <v>846</v>
      </c>
      <c r="D21" s="21">
        <v>54.954049011948698</v>
      </c>
      <c r="E21" s="21">
        <v>51.315297587155001</v>
      </c>
      <c r="F21" s="21">
        <v>0.77908757122852501</v>
      </c>
      <c r="G21" s="21">
        <v>0.102152307151512</v>
      </c>
      <c r="H21" s="49">
        <v>2.7575115464136601</v>
      </c>
      <c r="I21" s="17"/>
      <c r="J21" s="14">
        <v>36</v>
      </c>
      <c r="K21" s="7"/>
    </row>
    <row r="22" spans="1:14">
      <c r="A22" s="4" t="s">
        <v>11</v>
      </c>
      <c r="B22" s="17">
        <v>7.0478420070916608</v>
      </c>
      <c r="C22" s="26">
        <v>852</v>
      </c>
      <c r="D22" s="21">
        <v>78.6617350064368</v>
      </c>
      <c r="E22" s="21">
        <v>45.119648136916901</v>
      </c>
      <c r="F22" s="21">
        <v>5.8415591091519197</v>
      </c>
      <c r="G22" s="21">
        <v>11.770711844750601</v>
      </c>
      <c r="H22" s="49">
        <v>15.929815915617199</v>
      </c>
      <c r="I22" s="17"/>
      <c r="J22" s="14">
        <v>63</v>
      </c>
      <c r="K22" s="7"/>
    </row>
    <row r="23" spans="1:14">
      <c r="A23" s="4" t="s">
        <v>12</v>
      </c>
      <c r="B23" s="17">
        <v>1.35361292923869</v>
      </c>
      <c r="C23" s="26">
        <v>837</v>
      </c>
      <c r="D23" s="21">
        <v>74.407269762877107</v>
      </c>
      <c r="E23" s="21">
        <v>16.4749958363319</v>
      </c>
      <c r="F23" s="21">
        <v>4.35381497193677</v>
      </c>
      <c r="G23" s="21">
        <v>36.646138908929402</v>
      </c>
      <c r="H23" s="49">
        <v>16.9323200456789</v>
      </c>
      <c r="I23" s="17"/>
      <c r="J23" s="14">
        <v>16</v>
      </c>
      <c r="K23" s="7"/>
    </row>
    <row r="24" spans="1:14">
      <c r="A24" s="4" t="s">
        <v>13</v>
      </c>
      <c r="B24" s="17">
        <v>27.686524397023899</v>
      </c>
      <c r="C24" s="26">
        <v>566</v>
      </c>
      <c r="D24" s="21">
        <v>505.43547050952202</v>
      </c>
      <c r="E24" s="21">
        <v>145.41615095304601</v>
      </c>
      <c r="F24" s="21">
        <v>16.3082642295992</v>
      </c>
      <c r="G24" s="21">
        <v>85.359432783580502</v>
      </c>
      <c r="H24" s="49">
        <v>258.35162254329498</v>
      </c>
      <c r="I24" s="17"/>
      <c r="J24" s="14">
        <v>145</v>
      </c>
      <c r="K24" s="7"/>
    </row>
    <row r="25" spans="1:14">
      <c r="A25" s="33" t="s">
        <v>32</v>
      </c>
      <c r="B25" s="35"/>
      <c r="C25" s="36"/>
      <c r="D25" s="42"/>
      <c r="E25" s="42"/>
      <c r="F25" s="42"/>
      <c r="G25" s="42"/>
      <c r="H25" s="53"/>
      <c r="I25" s="35"/>
      <c r="J25" s="34"/>
      <c r="K25" s="7"/>
    </row>
    <row r="26" spans="1:14">
      <c r="A26" s="4" t="s">
        <v>39</v>
      </c>
      <c r="B26" s="17">
        <v>6.8121207200470799</v>
      </c>
      <c r="C26" s="26">
        <v>4616</v>
      </c>
      <c r="D26" s="21">
        <v>174.87667155049499</v>
      </c>
      <c r="E26" s="21">
        <v>61.773195124745001</v>
      </c>
      <c r="F26" s="21">
        <v>7.9580547449488099</v>
      </c>
      <c r="G26" s="21">
        <v>94.582029458266007</v>
      </c>
      <c r="H26" s="49">
        <v>10.5633922225355</v>
      </c>
      <c r="I26" s="17"/>
      <c r="J26" s="14">
        <v>353</v>
      </c>
      <c r="K26" s="7"/>
    </row>
    <row r="27" spans="1:14">
      <c r="A27" s="4" t="s">
        <v>40</v>
      </c>
      <c r="B27" s="17">
        <v>5.5320491159221197</v>
      </c>
      <c r="C27" s="26">
        <v>5474</v>
      </c>
      <c r="D27" s="21">
        <v>292.77559066715997</v>
      </c>
      <c r="E27" s="21">
        <v>89.427630053330901</v>
      </c>
      <c r="F27" s="21">
        <v>9.2390811597348304</v>
      </c>
      <c r="G27" s="21">
        <v>78.429738032757996</v>
      </c>
      <c r="H27" s="49">
        <v>115.67914142133699</v>
      </c>
      <c r="I27" s="17"/>
      <c r="J27" s="14">
        <v>388</v>
      </c>
      <c r="K27" s="7"/>
    </row>
    <row r="28" spans="1:14">
      <c r="A28" s="33" t="s">
        <v>31</v>
      </c>
      <c r="B28" s="35"/>
      <c r="C28" s="36"/>
      <c r="D28" s="42"/>
      <c r="E28" s="42"/>
      <c r="F28" s="42"/>
      <c r="G28" s="42"/>
      <c r="H28" s="53"/>
      <c r="I28" s="35"/>
      <c r="J28" s="34"/>
      <c r="K28" s="24"/>
      <c r="L28" s="24"/>
      <c r="M28" s="24"/>
      <c r="N28" s="24"/>
    </row>
    <row r="29" spans="1:14">
      <c r="A29" s="4" t="s">
        <v>41</v>
      </c>
      <c r="B29" s="17">
        <v>5.7762384094190198</v>
      </c>
      <c r="C29" s="26">
        <v>37</v>
      </c>
      <c r="D29" s="21">
        <v>92.548414660458803</v>
      </c>
      <c r="E29" s="21">
        <v>85.672025928018996</v>
      </c>
      <c r="F29" s="21">
        <v>0</v>
      </c>
      <c r="G29" s="21">
        <v>0</v>
      </c>
      <c r="H29" s="49">
        <v>6.8763887324397199</v>
      </c>
      <c r="I29" s="17"/>
      <c r="J29" s="14">
        <v>3</v>
      </c>
      <c r="K29" s="7"/>
    </row>
    <row r="30" spans="1:14">
      <c r="A30" s="4" t="s">
        <v>42</v>
      </c>
      <c r="B30" s="17">
        <v>5.0457262431068397</v>
      </c>
      <c r="C30" s="26">
        <v>7809</v>
      </c>
      <c r="D30" s="21">
        <v>219.24184636855099</v>
      </c>
      <c r="E30" s="21">
        <v>69.896409073358001</v>
      </c>
      <c r="F30" s="21">
        <v>7.6391422347764903</v>
      </c>
      <c r="G30" s="21">
        <v>119.533954326496</v>
      </c>
      <c r="H30" s="49">
        <v>22.1723407339204</v>
      </c>
      <c r="I30" s="17"/>
      <c r="J30" s="14">
        <v>477</v>
      </c>
      <c r="K30" s="7"/>
    </row>
    <row r="31" spans="1:14">
      <c r="A31" s="4" t="s">
        <v>43</v>
      </c>
      <c r="B31" s="17">
        <v>10.641894673232501</v>
      </c>
      <c r="C31" s="26">
        <v>2244</v>
      </c>
      <c r="D31" s="21">
        <v>268.27421340274702</v>
      </c>
      <c r="E31" s="21">
        <v>87.844710274644498</v>
      </c>
      <c r="F31" s="21">
        <v>10.6990063381113</v>
      </c>
      <c r="G31" s="21">
        <v>19.444302298701</v>
      </c>
      <c r="H31" s="49">
        <v>150.28619449128999</v>
      </c>
      <c r="I31" s="17"/>
      <c r="J31" s="14">
        <v>261</v>
      </c>
      <c r="K31" s="7"/>
    </row>
    <row r="32" spans="1:14">
      <c r="A32" s="33" t="s">
        <v>30</v>
      </c>
      <c r="B32" s="35"/>
      <c r="C32" s="36"/>
      <c r="D32" s="45"/>
      <c r="E32" s="45"/>
      <c r="F32" s="45"/>
      <c r="G32" s="45"/>
      <c r="H32" s="53"/>
      <c r="I32" s="35"/>
      <c r="J32" s="34"/>
      <c r="K32" s="7"/>
    </row>
    <row r="33" spans="1:11">
      <c r="A33" s="4" t="s">
        <v>44</v>
      </c>
      <c r="B33" s="17">
        <v>8.7660096789067197</v>
      </c>
      <c r="C33" s="26">
        <v>1905</v>
      </c>
      <c r="D33" s="21">
        <v>121.775813183262</v>
      </c>
      <c r="E33" s="21">
        <v>90.610088676991694</v>
      </c>
      <c r="F33" s="21">
        <v>7.9661820040800304</v>
      </c>
      <c r="G33" s="21">
        <v>13.997135508417101</v>
      </c>
      <c r="H33" s="49">
        <v>9.2024069937737103</v>
      </c>
      <c r="I33" s="17"/>
      <c r="J33" s="14">
        <v>186</v>
      </c>
      <c r="K33" s="7"/>
    </row>
    <row r="34" spans="1:11">
      <c r="A34" s="4" t="s">
        <v>45</v>
      </c>
      <c r="B34" s="17">
        <v>2.4757892786168698</v>
      </c>
      <c r="C34" s="26">
        <v>55</v>
      </c>
      <c r="D34" s="21">
        <v>147.325125076115</v>
      </c>
      <c r="E34" s="21">
        <v>111.951846670234</v>
      </c>
      <c r="F34" s="21">
        <v>35.373278405880903</v>
      </c>
      <c r="G34" s="21">
        <v>0</v>
      </c>
      <c r="H34" s="49">
        <v>0</v>
      </c>
      <c r="I34" s="17"/>
      <c r="J34" s="14">
        <v>3</v>
      </c>
      <c r="K34" s="7"/>
    </row>
    <row r="35" spans="1:11">
      <c r="A35" s="4" t="s">
        <v>46</v>
      </c>
      <c r="B35" s="17">
        <v>9.1786703594711003</v>
      </c>
      <c r="C35" s="26">
        <v>2725</v>
      </c>
      <c r="D35" s="21">
        <v>242.50195589574699</v>
      </c>
      <c r="E35" s="21">
        <v>73.704696848136194</v>
      </c>
      <c r="F35" s="21">
        <v>10.3350402509662</v>
      </c>
      <c r="G35" s="21">
        <v>19.197262681341801</v>
      </c>
      <c r="H35" s="49">
        <v>139.26495611530299</v>
      </c>
      <c r="I35" s="17"/>
      <c r="J35" s="14">
        <v>274</v>
      </c>
      <c r="K35" s="7"/>
    </row>
    <row r="36" spans="1:11">
      <c r="A36" s="4" t="s">
        <v>47</v>
      </c>
      <c r="B36" s="17">
        <v>4.7545660110089498</v>
      </c>
      <c r="C36" s="26">
        <v>4170</v>
      </c>
      <c r="D36" s="21">
        <v>328.37447440551102</v>
      </c>
      <c r="E36" s="21">
        <v>72.263575839060195</v>
      </c>
      <c r="F36" s="21">
        <v>7.30531156214247</v>
      </c>
      <c r="G36" s="21">
        <v>220.72897166567199</v>
      </c>
      <c r="H36" s="51">
        <v>28.0766153386353</v>
      </c>
      <c r="I36" s="17"/>
      <c r="J36" s="14">
        <v>239</v>
      </c>
      <c r="K36" s="7"/>
    </row>
    <row r="37" spans="1:11">
      <c r="A37" s="4" t="s">
        <v>48</v>
      </c>
      <c r="B37" s="17">
        <v>2.0526408609201003</v>
      </c>
      <c r="C37" s="26">
        <v>946</v>
      </c>
      <c r="D37" s="21">
        <v>77.699979947567201</v>
      </c>
      <c r="E37" s="21">
        <v>55.793363760691598</v>
      </c>
      <c r="F37" s="21">
        <v>5.0810679616589898</v>
      </c>
      <c r="G37" s="21">
        <v>0</v>
      </c>
      <c r="H37" s="49">
        <v>16.825548225216501</v>
      </c>
      <c r="I37" s="17"/>
      <c r="J37" s="14">
        <v>30</v>
      </c>
      <c r="K37" s="7"/>
    </row>
    <row r="38" spans="1:11">
      <c r="A38" s="33" t="s">
        <v>0</v>
      </c>
      <c r="B38" s="35"/>
      <c r="C38" s="36"/>
      <c r="D38" s="42"/>
      <c r="E38" s="42"/>
      <c r="F38" s="42"/>
      <c r="G38" s="42"/>
      <c r="H38" s="53"/>
      <c r="I38" s="35"/>
      <c r="J38" s="34"/>
      <c r="K38" s="7"/>
    </row>
    <row r="39" spans="1:11">
      <c r="A39" s="4" t="s">
        <v>49</v>
      </c>
      <c r="B39" s="17">
        <v>11.093161294799</v>
      </c>
      <c r="C39" s="26">
        <v>675</v>
      </c>
      <c r="D39" s="21">
        <v>118.514127323647</v>
      </c>
      <c r="E39" s="21">
        <v>93.719145219701403</v>
      </c>
      <c r="F39" s="21">
        <v>4.1634806828717696</v>
      </c>
      <c r="G39" s="21">
        <v>5.6982517541550601</v>
      </c>
      <c r="H39" s="49">
        <v>14.933249666919</v>
      </c>
      <c r="I39" s="17"/>
      <c r="J39" s="14">
        <v>87</v>
      </c>
      <c r="K39" s="7"/>
    </row>
    <row r="40" spans="1:11">
      <c r="A40" s="4" t="s">
        <v>50</v>
      </c>
      <c r="B40" s="17">
        <v>9.9731080774903695</v>
      </c>
      <c r="C40" s="26">
        <v>765</v>
      </c>
      <c r="D40" s="21">
        <v>96.097912432166495</v>
      </c>
      <c r="E40" s="21">
        <v>71.059031410615006</v>
      </c>
      <c r="F40" s="21">
        <v>5.7567082480591498</v>
      </c>
      <c r="G40" s="21">
        <v>15.3175547414048</v>
      </c>
      <c r="H40" s="49">
        <v>3.9646180320874902</v>
      </c>
      <c r="I40" s="17"/>
      <c r="J40" s="14">
        <v>85</v>
      </c>
      <c r="K40" s="7"/>
    </row>
    <row r="41" spans="1:11">
      <c r="A41" s="4" t="s">
        <v>51</v>
      </c>
      <c r="B41" s="17">
        <v>10.583445919679001</v>
      </c>
      <c r="C41" s="26">
        <v>839</v>
      </c>
      <c r="D41" s="21">
        <v>87.750721748681897</v>
      </c>
      <c r="E41" s="21">
        <v>61.120947943079798</v>
      </c>
      <c r="F41" s="21">
        <v>5.72047800872246</v>
      </c>
      <c r="G41" s="21">
        <v>9.8441409177543697</v>
      </c>
      <c r="H41" s="49">
        <v>11.0651548791253</v>
      </c>
      <c r="I41" s="17"/>
      <c r="J41" s="14">
        <v>95</v>
      </c>
      <c r="K41" s="7"/>
    </row>
    <row r="42" spans="1:11">
      <c r="A42" s="4" t="s">
        <v>52</v>
      </c>
      <c r="B42" s="17">
        <v>8.0180230773344299</v>
      </c>
      <c r="C42" s="26">
        <v>854</v>
      </c>
      <c r="D42" s="21">
        <v>113.453257704667</v>
      </c>
      <c r="E42" s="21">
        <v>79.818775305711299</v>
      </c>
      <c r="F42" s="21">
        <v>12.8456105306228</v>
      </c>
      <c r="G42" s="21">
        <v>13.4557216830486</v>
      </c>
      <c r="H42" s="49">
        <v>7.3331501852844996</v>
      </c>
      <c r="I42" s="17"/>
      <c r="J42" s="14">
        <v>73</v>
      </c>
      <c r="K42" s="7"/>
    </row>
    <row r="43" spans="1:11">
      <c r="A43" s="4" t="s">
        <v>53</v>
      </c>
      <c r="B43" s="17">
        <v>7.4902081905098505</v>
      </c>
      <c r="C43" s="26">
        <v>950</v>
      </c>
      <c r="D43" s="21">
        <v>394.46122741743801</v>
      </c>
      <c r="E43" s="21">
        <v>94.001674765657896</v>
      </c>
      <c r="F43" s="21">
        <v>12.076385333931301</v>
      </c>
      <c r="G43" s="21">
        <v>280.91352822387603</v>
      </c>
      <c r="H43" s="49">
        <v>7.4696390939728996</v>
      </c>
      <c r="I43" s="17"/>
      <c r="J43" s="14">
        <v>83</v>
      </c>
      <c r="K43" s="7"/>
    </row>
    <row r="44" spans="1:11">
      <c r="A44" s="4" t="s">
        <v>54</v>
      </c>
      <c r="B44" s="17">
        <v>8.2510146310993413</v>
      </c>
      <c r="C44" s="26">
        <v>1008</v>
      </c>
      <c r="D44" s="21">
        <v>125.059490896124</v>
      </c>
      <c r="E44" s="21">
        <v>58.543220387337598</v>
      </c>
      <c r="F44" s="21">
        <v>4.7429294696816999</v>
      </c>
      <c r="G44" s="21">
        <v>35.317311138569501</v>
      </c>
      <c r="H44" s="49">
        <v>26.456029900535899</v>
      </c>
      <c r="I44" s="17"/>
      <c r="J44" s="14">
        <v>95</v>
      </c>
      <c r="K44" s="7"/>
    </row>
    <row r="45" spans="1:11">
      <c r="A45" s="4" t="s">
        <v>55</v>
      </c>
      <c r="B45" s="17">
        <v>6.3188512448896601</v>
      </c>
      <c r="C45" s="26">
        <v>1101</v>
      </c>
      <c r="D45" s="21">
        <v>547.85157061761595</v>
      </c>
      <c r="E45" s="21">
        <v>71.7599075180526</v>
      </c>
      <c r="F45" s="21">
        <v>9.7298186818307109</v>
      </c>
      <c r="G45" s="21">
        <v>397.64751886580001</v>
      </c>
      <c r="H45" s="49">
        <v>68.714325551932205</v>
      </c>
      <c r="I45" s="17"/>
      <c r="J45" s="14">
        <v>75</v>
      </c>
      <c r="K45" s="7"/>
    </row>
    <row r="46" spans="1:11">
      <c r="A46" s="4" t="s">
        <v>56</v>
      </c>
      <c r="B46" s="17">
        <v>3.72746271083814</v>
      </c>
      <c r="C46" s="26">
        <v>1197</v>
      </c>
      <c r="D46" s="21">
        <v>125.14368821881099</v>
      </c>
      <c r="E46" s="21">
        <v>94.764723183070501</v>
      </c>
      <c r="F46" s="21">
        <v>17.729253614353699</v>
      </c>
      <c r="G46" s="21">
        <v>3.4643152257990502</v>
      </c>
      <c r="H46" s="49">
        <v>9.1853961955877104</v>
      </c>
      <c r="I46" s="17"/>
      <c r="J46" s="14">
        <v>62</v>
      </c>
      <c r="K46" s="7"/>
    </row>
    <row r="47" spans="1:11">
      <c r="A47" s="4" t="s">
        <v>57</v>
      </c>
      <c r="B47" s="17">
        <v>3.2897375294827302</v>
      </c>
      <c r="C47" s="26">
        <v>1283</v>
      </c>
      <c r="D47" s="21">
        <v>710.80291188731496</v>
      </c>
      <c r="E47" s="21">
        <v>60.868445975128303</v>
      </c>
      <c r="F47" s="21">
        <v>12.1554447854455</v>
      </c>
      <c r="G47" s="21">
        <v>15.2772365789425</v>
      </c>
      <c r="H47" s="49">
        <v>622.50178454779905</v>
      </c>
      <c r="I47" s="17"/>
      <c r="J47" s="14">
        <v>52</v>
      </c>
      <c r="K47" s="7"/>
    </row>
    <row r="48" spans="1:11">
      <c r="A48" s="4" t="s">
        <v>58</v>
      </c>
      <c r="B48" s="17">
        <v>1.8095147895220001</v>
      </c>
      <c r="C48" s="26">
        <v>1418</v>
      </c>
      <c r="D48" s="21">
        <v>112.64779084846801</v>
      </c>
      <c r="E48" s="21">
        <v>85.288258761399703</v>
      </c>
      <c r="F48" s="21">
        <v>3.73586987546935</v>
      </c>
      <c r="G48" s="21">
        <v>9.7858577782270508</v>
      </c>
      <c r="H48" s="49">
        <v>13.837804433372799</v>
      </c>
      <c r="I48" s="17"/>
      <c r="J48" s="14">
        <v>34</v>
      </c>
      <c r="K48" s="7"/>
    </row>
    <row r="49" spans="1:11">
      <c r="A49" s="33" t="s">
        <v>25</v>
      </c>
      <c r="B49" s="35"/>
      <c r="C49" s="36"/>
      <c r="D49" s="42"/>
      <c r="E49" s="42"/>
      <c r="F49" s="42"/>
      <c r="G49" s="42"/>
      <c r="H49" s="53"/>
      <c r="I49" s="35"/>
      <c r="J49" s="34"/>
      <c r="K49" s="7"/>
    </row>
    <row r="50" spans="1:11">
      <c r="A50" s="6" t="s">
        <v>18</v>
      </c>
      <c r="B50" s="17">
        <v>0.30872186425377302</v>
      </c>
      <c r="C50" s="26">
        <v>715</v>
      </c>
      <c r="D50" s="21">
        <v>29.3612538588566</v>
      </c>
      <c r="E50" s="21">
        <v>6.0253546495738002</v>
      </c>
      <c r="F50" s="21">
        <v>5.6882985699954398</v>
      </c>
      <c r="G50" s="21">
        <v>2.9669737098590501</v>
      </c>
      <c r="H50" s="49">
        <v>14.6806269294283</v>
      </c>
      <c r="I50" s="17"/>
      <c r="J50" s="14">
        <v>3</v>
      </c>
      <c r="K50" s="7"/>
    </row>
    <row r="51" spans="1:11">
      <c r="A51" s="6" t="s">
        <v>20</v>
      </c>
      <c r="B51" s="17">
        <v>0</v>
      </c>
      <c r="C51" s="26">
        <v>111</v>
      </c>
      <c r="D51" s="21">
        <v>0</v>
      </c>
      <c r="E51" s="21">
        <v>0</v>
      </c>
      <c r="F51" s="21">
        <v>0</v>
      </c>
      <c r="G51" s="21">
        <v>0</v>
      </c>
      <c r="H51" s="49">
        <v>0</v>
      </c>
      <c r="I51" s="17"/>
      <c r="J51" s="14">
        <v>0</v>
      </c>
      <c r="K51" s="7"/>
    </row>
    <row r="52" spans="1:11">
      <c r="A52" s="6" t="s">
        <v>19</v>
      </c>
      <c r="B52" s="17">
        <v>1.2352759820608701</v>
      </c>
      <c r="C52" s="26">
        <v>33</v>
      </c>
      <c r="D52" s="21">
        <v>50</v>
      </c>
      <c r="E52" s="21">
        <v>50</v>
      </c>
      <c r="F52" s="21">
        <v>0</v>
      </c>
      <c r="G52" s="21">
        <v>0</v>
      </c>
      <c r="H52" s="49">
        <v>0</v>
      </c>
      <c r="I52" s="17"/>
      <c r="J52" s="14">
        <v>1</v>
      </c>
      <c r="K52" s="7"/>
    </row>
    <row r="53" spans="1:11">
      <c r="A53" s="6" t="s">
        <v>14</v>
      </c>
      <c r="B53" s="17">
        <v>1.6334894347060198</v>
      </c>
      <c r="C53" s="26">
        <v>146</v>
      </c>
      <c r="D53" s="21">
        <v>10.1867197318191</v>
      </c>
      <c r="E53" s="21">
        <v>9.3607565748097201</v>
      </c>
      <c r="F53" s="21">
        <v>0.53996232724186199</v>
      </c>
      <c r="G53" s="21">
        <v>0.286000829767525</v>
      </c>
      <c r="H53" s="49">
        <v>0</v>
      </c>
      <c r="I53" s="17"/>
      <c r="J53" s="14">
        <v>5</v>
      </c>
      <c r="K53" s="7"/>
    </row>
    <row r="54" spans="1:11">
      <c r="A54" s="6" t="s">
        <v>15</v>
      </c>
      <c r="B54" s="17">
        <v>0.674076512025512</v>
      </c>
      <c r="C54" s="26">
        <v>1292</v>
      </c>
      <c r="D54" s="21">
        <v>46.849186381583202</v>
      </c>
      <c r="E54" s="21">
        <v>21.548323916024898</v>
      </c>
      <c r="F54" s="21">
        <v>5.6215042714781802</v>
      </c>
      <c r="G54" s="21">
        <v>12.8460346946705</v>
      </c>
      <c r="H54" s="49">
        <v>6.8333234994095999</v>
      </c>
      <c r="I54" s="17"/>
      <c r="J54" s="14">
        <v>12</v>
      </c>
      <c r="K54" s="7"/>
    </row>
    <row r="55" spans="1:11">
      <c r="A55" s="6" t="s">
        <v>16</v>
      </c>
      <c r="B55" s="17">
        <v>5.7147526047591697</v>
      </c>
      <c r="C55" s="26">
        <v>4610</v>
      </c>
      <c r="D55" s="21">
        <v>192.60841684735101</v>
      </c>
      <c r="E55" s="21">
        <v>33.044225089998697</v>
      </c>
      <c r="F55" s="21">
        <v>1.9219690177067601</v>
      </c>
      <c r="G55" s="21">
        <v>139.71576092092101</v>
      </c>
      <c r="H55" s="49">
        <v>17.926461818724299</v>
      </c>
      <c r="I55" s="17"/>
      <c r="J55" s="14">
        <v>279</v>
      </c>
      <c r="K55" s="7"/>
    </row>
    <row r="56" spans="1:11">
      <c r="A56" s="6" t="s">
        <v>59</v>
      </c>
      <c r="B56" s="17">
        <v>1.38055868146137</v>
      </c>
      <c r="C56" s="26">
        <v>165</v>
      </c>
      <c r="D56" s="21">
        <v>91.956372910029899</v>
      </c>
      <c r="E56" s="21">
        <v>63.309768501903797</v>
      </c>
      <c r="F56" s="21">
        <v>0</v>
      </c>
      <c r="G56" s="21">
        <v>0</v>
      </c>
      <c r="H56" s="49">
        <v>28.646604408125999</v>
      </c>
      <c r="I56" s="17"/>
      <c r="J56" s="14">
        <v>3</v>
      </c>
      <c r="K56" s="7"/>
    </row>
    <row r="57" spans="1:11">
      <c r="A57" s="6" t="s">
        <v>60</v>
      </c>
      <c r="B57" s="17">
        <v>2.2220606929630802</v>
      </c>
      <c r="C57" s="26">
        <v>108</v>
      </c>
      <c r="D57" s="21">
        <v>25.814599763493199</v>
      </c>
      <c r="E57" s="21">
        <v>8.6088042284699196</v>
      </c>
      <c r="F57" s="21">
        <v>2.6251174873998999</v>
      </c>
      <c r="G57" s="21">
        <v>0</v>
      </c>
      <c r="H57" s="49">
        <v>14.580678047623399</v>
      </c>
      <c r="I57" s="17"/>
      <c r="J57" s="14">
        <v>3</v>
      </c>
      <c r="K57" s="7"/>
    </row>
    <row r="58" spans="1:11">
      <c r="A58" s="6" t="s">
        <v>21</v>
      </c>
      <c r="B58" s="17">
        <v>0</v>
      </c>
      <c r="C58" s="26">
        <v>35</v>
      </c>
      <c r="D58" s="14">
        <v>0</v>
      </c>
      <c r="E58" s="21">
        <v>0</v>
      </c>
      <c r="F58" s="21">
        <v>0</v>
      </c>
      <c r="G58" s="21">
        <v>0</v>
      </c>
      <c r="H58" s="49">
        <v>0</v>
      </c>
      <c r="I58" s="17"/>
      <c r="J58" s="14">
        <v>0</v>
      </c>
      <c r="K58" s="7"/>
    </row>
    <row r="59" spans="1:11">
      <c r="A59" s="6" t="s">
        <v>61</v>
      </c>
      <c r="B59" s="17">
        <v>2.5005317512609202</v>
      </c>
      <c r="C59" s="26">
        <v>1000</v>
      </c>
      <c r="D59" s="21">
        <v>291.398085260389</v>
      </c>
      <c r="E59" s="21">
        <v>115.18717179990099</v>
      </c>
      <c r="F59" s="21">
        <v>3.6329346381019798</v>
      </c>
      <c r="G59" s="21">
        <v>65.964438906874605</v>
      </c>
      <c r="H59" s="49">
        <v>106.613539915511</v>
      </c>
      <c r="I59" s="17"/>
      <c r="J59" s="14">
        <v>35</v>
      </c>
      <c r="K59" s="7"/>
    </row>
    <row r="60" spans="1:11">
      <c r="A60" s="6" t="s">
        <v>62</v>
      </c>
      <c r="B60" s="17">
        <v>18.568683643748098</v>
      </c>
      <c r="C60" s="26">
        <v>1272</v>
      </c>
      <c r="D60" s="21">
        <v>150.29029586993099</v>
      </c>
      <c r="E60" s="21">
        <v>106.57871661503501</v>
      </c>
      <c r="F60" s="21">
        <v>16.312561046898299</v>
      </c>
      <c r="G60" s="21">
        <v>14.193861593560101</v>
      </c>
      <c r="H60" s="49">
        <v>13.205156614437501</v>
      </c>
      <c r="I60" s="17"/>
      <c r="J60" s="14">
        <v>268</v>
      </c>
      <c r="K60" s="7"/>
    </row>
    <row r="61" spans="1:11">
      <c r="A61" s="6" t="s">
        <v>17</v>
      </c>
      <c r="B61" s="17">
        <v>0</v>
      </c>
      <c r="C61" s="26">
        <v>31</v>
      </c>
      <c r="D61" s="21">
        <v>0</v>
      </c>
      <c r="E61" s="21">
        <v>0</v>
      </c>
      <c r="F61" s="21">
        <v>0</v>
      </c>
      <c r="G61" s="21">
        <v>0</v>
      </c>
      <c r="H61" s="49">
        <v>0</v>
      </c>
      <c r="I61" s="17"/>
      <c r="J61" s="14">
        <v>0</v>
      </c>
      <c r="K61" s="7"/>
    </row>
    <row r="62" spans="1:11">
      <c r="A62" s="6" t="s">
        <v>63</v>
      </c>
      <c r="B62" s="18">
        <v>24.092045398548002</v>
      </c>
      <c r="C62" s="27">
        <v>572</v>
      </c>
      <c r="D62" s="21">
        <v>514.307292924389</v>
      </c>
      <c r="E62" s="21">
        <v>146.549366317281</v>
      </c>
      <c r="F62" s="21">
        <v>16.777857805837801</v>
      </c>
      <c r="G62" s="21">
        <v>72.709309532407701</v>
      </c>
      <c r="H62" s="50">
        <v>278.27075926886198</v>
      </c>
      <c r="I62" s="18"/>
      <c r="J62" s="15">
        <v>132</v>
      </c>
      <c r="K62" s="7"/>
    </row>
    <row r="63" spans="1:11">
      <c r="B63" s="20"/>
      <c r="C63" s="20"/>
      <c r="D63" s="25"/>
      <c r="E63" s="20"/>
      <c r="F63" s="20"/>
      <c r="G63" s="20"/>
      <c r="H63" s="25"/>
      <c r="I63" s="20"/>
      <c r="J63" s="23"/>
    </row>
    <row r="64" spans="1:11">
      <c r="B64" s="19"/>
      <c r="C64" s="19"/>
      <c r="D64" s="24"/>
      <c r="E64" s="19"/>
      <c r="F64" s="19"/>
      <c r="G64" s="19"/>
      <c r="H64" s="24"/>
      <c r="I64" s="19"/>
      <c r="J64" s="16"/>
    </row>
    <row r="65" spans="2:10">
      <c r="B65" s="19"/>
      <c r="C65" s="19"/>
      <c r="D65" s="24"/>
      <c r="E65" s="19"/>
      <c r="F65" s="19"/>
      <c r="G65" s="19"/>
      <c r="H65" s="24"/>
      <c r="I65" s="19"/>
      <c r="J65" s="16"/>
    </row>
    <row r="66" spans="2:10">
      <c r="B66" s="19"/>
      <c r="C66" s="19"/>
      <c r="D66" s="24"/>
      <c r="E66" s="19"/>
      <c r="F66" s="19"/>
      <c r="G66" s="19"/>
      <c r="H66" s="24"/>
      <c r="I66" s="19"/>
      <c r="J66" s="16"/>
    </row>
    <row r="67" spans="2:10">
      <c r="B67" s="19"/>
      <c r="C67" s="19"/>
      <c r="D67" s="24"/>
      <c r="E67" s="19"/>
      <c r="F67" s="19"/>
      <c r="G67" s="19"/>
      <c r="H67" s="24"/>
      <c r="I67" s="19"/>
      <c r="J67" s="16"/>
    </row>
    <row r="68" spans="2:10">
      <c r="B68" s="19"/>
      <c r="C68" s="19"/>
      <c r="D68" s="19"/>
      <c r="E68" s="19"/>
      <c r="F68" s="19"/>
      <c r="G68" s="19"/>
      <c r="H68" s="24"/>
      <c r="I68" s="19"/>
      <c r="J68" s="16"/>
    </row>
    <row r="69" spans="2:10">
      <c r="B69" s="19"/>
      <c r="C69" s="19"/>
      <c r="D69" s="19"/>
      <c r="E69" s="19"/>
      <c r="F69" s="19"/>
      <c r="G69" s="19"/>
      <c r="H69" s="19"/>
      <c r="I69" s="16"/>
      <c r="J69" s="16"/>
    </row>
    <row r="70" spans="2:10">
      <c r="B70" s="19"/>
      <c r="C70" s="19"/>
      <c r="D70" s="19"/>
      <c r="E70" s="19"/>
      <c r="F70" s="19"/>
      <c r="G70" s="19"/>
      <c r="H70" s="19"/>
      <c r="I70" s="16"/>
      <c r="J70" s="16"/>
    </row>
    <row r="71" spans="2:10">
      <c r="B71" s="19"/>
      <c r="C71" s="19"/>
      <c r="D71" s="19"/>
      <c r="E71" s="19"/>
      <c r="F71" s="19"/>
      <c r="G71" s="19"/>
      <c r="H71" s="19"/>
      <c r="I71" s="16"/>
      <c r="J71" s="16"/>
    </row>
    <row r="72" spans="2:10">
      <c r="B72" s="19"/>
      <c r="C72" s="19"/>
      <c r="D72" s="19"/>
      <c r="E72" s="19"/>
      <c r="F72" s="19"/>
      <c r="G72" s="19"/>
      <c r="H72" s="19"/>
      <c r="I72" s="16"/>
      <c r="J72" s="16"/>
    </row>
    <row r="73" spans="2:10">
      <c r="B73" s="19"/>
      <c r="C73" s="19"/>
      <c r="D73" s="19"/>
      <c r="E73" s="19"/>
      <c r="F73" s="19"/>
      <c r="G73" s="19"/>
      <c r="H73" s="19"/>
      <c r="I73" s="16"/>
      <c r="J73" s="16"/>
    </row>
    <row r="74" spans="2:10">
      <c r="B74" s="19"/>
      <c r="C74" s="19"/>
      <c r="D74" s="19"/>
      <c r="E74" s="19"/>
      <c r="F74" s="19"/>
      <c r="G74" s="19"/>
      <c r="H74" s="19"/>
      <c r="I74" s="16"/>
      <c r="J74" s="16"/>
    </row>
    <row r="75" spans="2:10">
      <c r="B75" s="19"/>
      <c r="C75" s="16"/>
      <c r="D75" s="19"/>
      <c r="E75" s="19"/>
      <c r="F75" s="19"/>
      <c r="G75" s="19"/>
      <c r="H75" s="19"/>
      <c r="I75" s="16"/>
      <c r="J75" s="16"/>
    </row>
    <row r="76" spans="2:10">
      <c r="B76" s="19"/>
      <c r="D76" s="19"/>
      <c r="E76" s="19"/>
      <c r="F76" s="19"/>
      <c r="G76" s="19"/>
      <c r="H76" s="19"/>
    </row>
    <row r="77" spans="2:10">
      <c r="B77" s="19"/>
      <c r="D77" s="19"/>
      <c r="E77" s="19"/>
      <c r="F77" s="19"/>
      <c r="G77" s="19"/>
      <c r="H77" s="19"/>
    </row>
    <row r="78" spans="2:10">
      <c r="B78" s="19"/>
      <c r="D78" s="19"/>
      <c r="E78" s="19"/>
      <c r="F78" s="19"/>
      <c r="G78" s="19"/>
      <c r="H78" s="19"/>
    </row>
    <row r="79" spans="2:10">
      <c r="B79" s="19"/>
      <c r="D79" s="19"/>
      <c r="E79" s="19"/>
      <c r="F79" s="19"/>
      <c r="G79" s="19"/>
      <c r="H79" s="19"/>
    </row>
    <row r="80" spans="2:10">
      <c r="B80" s="19"/>
      <c r="D80" s="16"/>
      <c r="E80" s="16"/>
      <c r="F80" s="16"/>
      <c r="G80" s="16"/>
      <c r="H80" s="19"/>
    </row>
    <row r="81" spans="2:8">
      <c r="B81" s="16"/>
      <c r="E81" s="16"/>
      <c r="F81" s="16"/>
      <c r="G81" s="16"/>
      <c r="H81" s="19"/>
    </row>
    <row r="82" spans="2:8">
      <c r="E82" s="16"/>
      <c r="F82" s="16"/>
      <c r="G82" s="16"/>
      <c r="H82" s="19"/>
    </row>
    <row r="83" spans="2:8">
      <c r="E83" s="16"/>
      <c r="F83" s="16"/>
      <c r="G83" s="16"/>
      <c r="H83" s="19"/>
    </row>
    <row r="84" spans="2:8">
      <c r="E84" s="16"/>
      <c r="F84" s="16"/>
      <c r="G84" s="16"/>
      <c r="H84" s="19"/>
    </row>
    <row r="85" spans="2:8">
      <c r="E85" s="16"/>
      <c r="F85" s="16"/>
      <c r="G85" s="16"/>
      <c r="H85" s="19"/>
    </row>
    <row r="86" spans="2:8">
      <c r="H86" s="16"/>
    </row>
    <row r="87" spans="2:8">
      <c r="H87" s="16"/>
    </row>
    <row r="88" spans="2:8">
      <c r="H88" s="16"/>
    </row>
    <row r="89" spans="2:8">
      <c r="H89" s="16"/>
    </row>
    <row r="90" spans="2:8">
      <c r="H90" s="16"/>
    </row>
    <row r="91" spans="2:8">
      <c r="H9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9094-9EC8-49C4-8965-3D70D1482C1F}">
  <dimension ref="A1:M98"/>
  <sheetViews>
    <sheetView tabSelected="1" zoomScale="80" zoomScaleNormal="80" workbookViewId="0">
      <selection activeCell="H6" sqref="H6"/>
    </sheetView>
  </sheetViews>
  <sheetFormatPr defaultColWidth="15.25" defaultRowHeight="13"/>
  <cols>
    <col min="1" max="1" width="16.4140625" style="2" customWidth="1"/>
    <col min="2" max="2" width="12.6640625" style="5" customWidth="1"/>
    <col min="3" max="3" width="7.6640625" style="5" customWidth="1"/>
    <col min="4" max="9" width="12.6640625" style="5" customWidth="1"/>
    <col min="10" max="10" width="7.25" style="5" customWidth="1"/>
    <col min="11" max="16384" width="15.25" style="2"/>
  </cols>
  <sheetData>
    <row r="1" spans="1:13">
      <c r="A1" s="3" t="s">
        <v>95</v>
      </c>
    </row>
    <row r="3" spans="1:13" ht="104">
      <c r="B3" s="8" t="s">
        <v>96</v>
      </c>
      <c r="C3" s="8" t="s">
        <v>36</v>
      </c>
      <c r="D3" s="13" t="s">
        <v>101</v>
      </c>
      <c r="E3" s="13" t="s">
        <v>97</v>
      </c>
      <c r="F3" s="13" t="s">
        <v>98</v>
      </c>
      <c r="G3" s="13" t="s">
        <v>99</v>
      </c>
      <c r="H3" s="31" t="s">
        <v>139</v>
      </c>
      <c r="I3" s="13" t="s">
        <v>100</v>
      </c>
      <c r="J3" s="13" t="s">
        <v>36</v>
      </c>
    </row>
    <row r="4" spans="1:13">
      <c r="B4" s="8"/>
      <c r="C4" s="8"/>
      <c r="D4" s="31" t="s">
        <v>134</v>
      </c>
      <c r="E4" s="31" t="s">
        <v>135</v>
      </c>
      <c r="F4" s="31" t="s">
        <v>136</v>
      </c>
      <c r="G4" s="31" t="s">
        <v>137</v>
      </c>
      <c r="H4" s="31" t="s">
        <v>138</v>
      </c>
      <c r="I4" s="31"/>
      <c r="J4" s="31"/>
    </row>
    <row r="5" spans="1:13">
      <c r="B5" s="9" t="s">
        <v>35</v>
      </c>
      <c r="C5" s="9"/>
      <c r="D5" s="11" t="s">
        <v>89</v>
      </c>
      <c r="E5" s="11" t="s">
        <v>89</v>
      </c>
      <c r="F5" s="11" t="s">
        <v>89</v>
      </c>
      <c r="G5" s="11" t="s">
        <v>89</v>
      </c>
      <c r="H5" s="11" t="s">
        <v>89</v>
      </c>
      <c r="I5" s="11" t="s">
        <v>34</v>
      </c>
      <c r="J5" s="11"/>
    </row>
    <row r="6" spans="1:13">
      <c r="A6" s="1" t="s">
        <v>28</v>
      </c>
      <c r="B6" s="17">
        <v>21.825500000000002</v>
      </c>
      <c r="C6" s="26">
        <v>10090</v>
      </c>
      <c r="D6" s="21">
        <v>371.541652</v>
      </c>
      <c r="E6" s="21">
        <v>227.109286</v>
      </c>
      <c r="F6" s="21">
        <v>12.439439</v>
      </c>
      <c r="G6" s="21">
        <v>10.225834000000001</v>
      </c>
      <c r="H6" s="54">
        <v>122</v>
      </c>
      <c r="I6" s="14"/>
      <c r="J6" s="26">
        <f>SUM(J8:J9)</f>
        <v>2311</v>
      </c>
    </row>
    <row r="7" spans="1:13">
      <c r="A7" s="33" t="s">
        <v>29</v>
      </c>
      <c r="B7" s="34"/>
      <c r="C7" s="34"/>
      <c r="D7" s="34"/>
      <c r="E7" s="34"/>
      <c r="F7" s="34"/>
      <c r="G7" s="34"/>
      <c r="H7" s="52"/>
      <c r="I7" s="34"/>
      <c r="J7" s="36"/>
    </row>
    <row r="8" spans="1:13">
      <c r="A8" s="4" t="s">
        <v>24</v>
      </c>
      <c r="B8" s="17">
        <v>44.584753191993997</v>
      </c>
      <c r="C8" s="26">
        <v>5535</v>
      </c>
      <c r="D8" s="26">
        <v>351.75902930776499</v>
      </c>
      <c r="E8" s="26">
        <v>214.21218139701401</v>
      </c>
      <c r="F8" s="26">
        <v>12.435755585378701</v>
      </c>
      <c r="G8" s="26">
        <v>8.3549982058823797</v>
      </c>
      <c r="H8" s="55">
        <v>116.75609411948901</v>
      </c>
      <c r="I8" s="17"/>
      <c r="J8" s="26">
        <v>2233</v>
      </c>
      <c r="L8" s="7"/>
      <c r="M8" s="7"/>
    </row>
    <row r="9" spans="1:13">
      <c r="A9" s="4" t="s">
        <v>23</v>
      </c>
      <c r="B9" s="17">
        <v>2.5399490985155904</v>
      </c>
      <c r="C9" s="32">
        <v>4555</v>
      </c>
      <c r="D9" s="26">
        <v>665.79217560622203</v>
      </c>
      <c r="E9" s="26">
        <v>418.94329441953198</v>
      </c>
      <c r="F9" s="26">
        <v>12.494230287775199</v>
      </c>
      <c r="G9" s="26">
        <v>38.052998903457699</v>
      </c>
      <c r="H9" s="55">
        <v>196.30165199545601</v>
      </c>
      <c r="I9" s="17"/>
      <c r="J9" s="26">
        <v>78</v>
      </c>
      <c r="L9" s="7"/>
      <c r="M9" s="7"/>
    </row>
    <row r="10" spans="1:13">
      <c r="A10" s="33" t="s">
        <v>22</v>
      </c>
      <c r="B10" s="35"/>
      <c r="C10" s="36"/>
      <c r="D10" s="36"/>
      <c r="E10" s="36"/>
      <c r="F10" s="36"/>
      <c r="G10" s="36"/>
      <c r="H10" s="60"/>
      <c r="I10" s="35"/>
      <c r="J10" s="36"/>
      <c r="L10" s="7"/>
      <c r="M10" s="7"/>
    </row>
    <row r="11" spans="1:13">
      <c r="A11" s="4" t="s">
        <v>1</v>
      </c>
      <c r="B11" s="17">
        <v>5.2279069098936495E-2</v>
      </c>
      <c r="C11" s="26">
        <v>559</v>
      </c>
      <c r="D11" s="26">
        <v>600</v>
      </c>
      <c r="E11" s="26">
        <v>300</v>
      </c>
      <c r="F11" s="26">
        <v>0</v>
      </c>
      <c r="G11" s="26">
        <v>0</v>
      </c>
      <c r="H11" s="55">
        <v>300</v>
      </c>
      <c r="I11" s="17"/>
      <c r="J11" s="26">
        <v>1</v>
      </c>
      <c r="L11" s="7"/>
      <c r="M11" s="7"/>
    </row>
    <row r="12" spans="1:13">
      <c r="A12" s="4" t="s">
        <v>2</v>
      </c>
      <c r="B12" s="17">
        <v>0.59139013529655193</v>
      </c>
      <c r="C12" s="26">
        <v>828</v>
      </c>
      <c r="D12" s="26">
        <v>269.33626389872802</v>
      </c>
      <c r="E12" s="26">
        <v>96.995798991676594</v>
      </c>
      <c r="F12" s="26">
        <v>21.559971404852199</v>
      </c>
      <c r="G12" s="26">
        <v>0</v>
      </c>
      <c r="H12" s="55">
        <v>150.78049350219899</v>
      </c>
      <c r="I12" s="17"/>
      <c r="J12" s="26">
        <v>5</v>
      </c>
      <c r="L12" s="7"/>
      <c r="M12" s="7"/>
    </row>
    <row r="13" spans="1:13">
      <c r="A13" s="4" t="s">
        <v>3</v>
      </c>
      <c r="B13" s="17">
        <v>0.49212417984312401</v>
      </c>
      <c r="C13" s="26">
        <v>561</v>
      </c>
      <c r="D13" s="26">
        <v>261.44925788069799</v>
      </c>
      <c r="E13" s="26">
        <v>203.55764299563401</v>
      </c>
      <c r="F13" s="26">
        <v>0</v>
      </c>
      <c r="G13" s="26">
        <v>0</v>
      </c>
      <c r="H13" s="55">
        <v>57.891614885063902</v>
      </c>
      <c r="I13" s="17"/>
      <c r="J13" s="26">
        <v>3</v>
      </c>
      <c r="L13" s="7"/>
      <c r="M13" s="7"/>
    </row>
    <row r="14" spans="1:13">
      <c r="A14" s="4" t="s">
        <v>4</v>
      </c>
      <c r="B14" s="17">
        <v>22.870548599314301</v>
      </c>
      <c r="C14" s="26">
        <v>554</v>
      </c>
      <c r="D14" s="26">
        <v>201.47136434991199</v>
      </c>
      <c r="E14" s="26">
        <v>155.63783839109101</v>
      </c>
      <c r="F14" s="26">
        <v>11.221435640657999</v>
      </c>
      <c r="G14" s="26">
        <v>16.524752941413599</v>
      </c>
      <c r="H14" s="55">
        <v>18.087337376748501</v>
      </c>
      <c r="I14" s="17"/>
      <c r="J14" s="26">
        <v>111</v>
      </c>
      <c r="L14" s="7"/>
      <c r="M14" s="7"/>
    </row>
    <row r="15" spans="1:13">
      <c r="A15" s="4" t="s">
        <v>5</v>
      </c>
      <c r="B15" s="17">
        <v>52.658687430629904</v>
      </c>
      <c r="C15" s="26">
        <v>568</v>
      </c>
      <c r="D15" s="26">
        <v>228.825398295562</v>
      </c>
      <c r="E15" s="26">
        <v>181.92479657573401</v>
      </c>
      <c r="F15" s="26">
        <v>19.701018999070602</v>
      </c>
      <c r="G15" s="26">
        <v>3.11527784422996</v>
      </c>
      <c r="H15" s="55">
        <v>24.084304876526801</v>
      </c>
      <c r="I15" s="17"/>
      <c r="J15" s="26">
        <v>289</v>
      </c>
      <c r="L15" s="7"/>
      <c r="M15" s="7"/>
    </row>
    <row r="16" spans="1:13">
      <c r="A16" s="4" t="s">
        <v>6</v>
      </c>
      <c r="B16" s="17">
        <v>0.92341331114094793</v>
      </c>
      <c r="C16" s="26">
        <v>1084</v>
      </c>
      <c r="D16" s="26">
        <v>3313.64102543127</v>
      </c>
      <c r="E16" s="26">
        <v>1943.9737636954601</v>
      </c>
      <c r="F16" s="26">
        <v>36.208964432282798</v>
      </c>
      <c r="G16" s="26">
        <v>257.27937467246898</v>
      </c>
      <c r="H16" s="55">
        <v>1076.17892263106</v>
      </c>
      <c r="I16" s="17"/>
      <c r="J16" s="26">
        <v>9</v>
      </c>
      <c r="L16" s="7"/>
      <c r="M16" s="7"/>
    </row>
    <row r="17" spans="1:13">
      <c r="A17" s="4" t="s">
        <v>38</v>
      </c>
      <c r="B17" s="17">
        <v>0.83394203447833204</v>
      </c>
      <c r="C17" s="26">
        <v>570</v>
      </c>
      <c r="D17" s="26">
        <v>262.23096084049502</v>
      </c>
      <c r="E17" s="26">
        <v>114.89238433619801</v>
      </c>
      <c r="F17" s="26">
        <v>16.223096084049502</v>
      </c>
      <c r="G17" s="26">
        <v>0</v>
      </c>
      <c r="H17" s="55">
        <v>131.115480420247</v>
      </c>
      <c r="I17" s="17"/>
      <c r="J17" s="26">
        <v>2</v>
      </c>
      <c r="L17" s="7"/>
      <c r="M17" s="7"/>
    </row>
    <row r="18" spans="1:13">
      <c r="A18" s="4" t="s">
        <v>7</v>
      </c>
      <c r="B18" s="17">
        <v>66.628211696766797</v>
      </c>
      <c r="C18" s="26">
        <v>854</v>
      </c>
      <c r="D18" s="26">
        <v>375.10659114003101</v>
      </c>
      <c r="E18" s="26">
        <v>229.23916705996501</v>
      </c>
      <c r="F18" s="26">
        <v>11.556067413471901</v>
      </c>
      <c r="G18" s="26">
        <v>1.57210783681344</v>
      </c>
      <c r="H18" s="55">
        <v>132.73924882978</v>
      </c>
      <c r="I18" s="17"/>
      <c r="J18" s="26">
        <v>588</v>
      </c>
      <c r="L18" s="7"/>
    </row>
    <row r="19" spans="1:13">
      <c r="A19" s="4" t="s">
        <v>8</v>
      </c>
      <c r="B19" s="17">
        <v>0</v>
      </c>
      <c r="C19" s="26">
        <v>557</v>
      </c>
      <c r="D19" s="26">
        <v>0</v>
      </c>
      <c r="E19" s="26">
        <v>0</v>
      </c>
      <c r="F19" s="26">
        <v>0</v>
      </c>
      <c r="G19" s="26">
        <v>0</v>
      </c>
      <c r="H19" s="55">
        <v>0</v>
      </c>
      <c r="I19" s="17"/>
      <c r="J19" s="26">
        <v>0</v>
      </c>
      <c r="L19" s="7"/>
    </row>
    <row r="20" spans="1:13">
      <c r="A20" s="4" t="s">
        <v>9</v>
      </c>
      <c r="B20" s="17">
        <v>59.042669298335902</v>
      </c>
      <c r="C20" s="26">
        <v>854</v>
      </c>
      <c r="D20" s="26">
        <v>453.549081395455</v>
      </c>
      <c r="E20" s="26">
        <v>263.77293271193201</v>
      </c>
      <c r="F20" s="26">
        <v>14.6079615771669</v>
      </c>
      <c r="G20" s="26">
        <v>15.4707390947933</v>
      </c>
      <c r="H20" s="55">
        <v>159.69744801156199</v>
      </c>
      <c r="I20" s="17"/>
      <c r="J20" s="26">
        <v>526</v>
      </c>
      <c r="L20" s="7"/>
    </row>
    <row r="21" spans="1:13">
      <c r="A21" s="4" t="s">
        <v>10</v>
      </c>
      <c r="B21" s="17">
        <v>38.938495871734006</v>
      </c>
      <c r="C21" s="26">
        <v>846</v>
      </c>
      <c r="D21" s="26">
        <v>293.74860726229099</v>
      </c>
      <c r="E21" s="26">
        <v>183.43803488447099</v>
      </c>
      <c r="F21" s="26">
        <v>4.6187731384331903</v>
      </c>
      <c r="G21" s="26">
        <v>7.2543298889981003</v>
      </c>
      <c r="H21" s="55">
        <v>98.437469350389406</v>
      </c>
      <c r="I21" s="17"/>
      <c r="J21" s="26">
        <v>348</v>
      </c>
      <c r="L21" s="7"/>
    </row>
    <row r="22" spans="1:13">
      <c r="A22" s="4" t="s">
        <v>11</v>
      </c>
      <c r="B22" s="17">
        <v>51.917487525421699</v>
      </c>
      <c r="C22" s="26">
        <v>852</v>
      </c>
      <c r="D22" s="26">
        <v>280.503945296854</v>
      </c>
      <c r="E22" s="26">
        <v>169.231029199814</v>
      </c>
      <c r="F22" s="26">
        <v>13.653099302032</v>
      </c>
      <c r="G22" s="26">
        <v>6.79860363867133</v>
      </c>
      <c r="H22" s="55">
        <v>90.821213156336995</v>
      </c>
      <c r="I22" s="17"/>
      <c r="J22" s="26">
        <v>470</v>
      </c>
      <c r="L22" s="7"/>
    </row>
    <row r="23" spans="1:13">
      <c r="A23" s="4" t="s">
        <v>12</v>
      </c>
      <c r="B23" s="17">
        <v>0.20336821311527903</v>
      </c>
      <c r="C23" s="26">
        <v>837</v>
      </c>
      <c r="D23" s="26">
        <v>20</v>
      </c>
      <c r="E23" s="26">
        <v>10</v>
      </c>
      <c r="F23" s="26">
        <v>10</v>
      </c>
      <c r="G23" s="26">
        <v>0</v>
      </c>
      <c r="H23" s="55">
        <v>0</v>
      </c>
      <c r="I23" s="17"/>
      <c r="J23" s="26">
        <v>1</v>
      </c>
      <c r="L23" s="7"/>
    </row>
    <row r="24" spans="1:13">
      <c r="A24" s="4" t="s">
        <v>13</v>
      </c>
      <c r="B24" s="17">
        <v>4.0310309449421595</v>
      </c>
      <c r="C24" s="26">
        <v>566</v>
      </c>
      <c r="D24" s="26">
        <v>99.639415305457504</v>
      </c>
      <c r="E24" s="26">
        <v>67.901804704594397</v>
      </c>
      <c r="F24" s="26">
        <v>9.2635683144690404</v>
      </c>
      <c r="G24" s="26">
        <v>21.910587451208698</v>
      </c>
      <c r="H24" s="55">
        <v>0.56345483518529205</v>
      </c>
      <c r="I24" s="17"/>
      <c r="J24" s="26">
        <v>24</v>
      </c>
      <c r="L24" s="7"/>
    </row>
    <row r="25" spans="1:13">
      <c r="A25" s="33" t="s">
        <v>32</v>
      </c>
      <c r="B25" s="35"/>
      <c r="C25" s="36"/>
      <c r="D25" s="36"/>
      <c r="E25" s="36"/>
      <c r="F25" s="36"/>
      <c r="G25" s="36"/>
      <c r="H25" s="60"/>
      <c r="I25" s="35"/>
      <c r="J25" s="36"/>
      <c r="L25" s="7"/>
    </row>
    <row r="26" spans="1:13">
      <c r="A26" s="4" t="s">
        <v>39</v>
      </c>
      <c r="B26" s="17">
        <v>28.235386197623203</v>
      </c>
      <c r="C26" s="26">
        <v>4616</v>
      </c>
      <c r="D26" s="26">
        <v>338.01266183126501</v>
      </c>
      <c r="E26" s="26">
        <v>222.52566263973699</v>
      </c>
      <c r="F26" s="26">
        <v>10.6244427884765</v>
      </c>
      <c r="G26" s="26">
        <v>6.6789145282813003</v>
      </c>
      <c r="H26" s="55">
        <v>98.183641874769606</v>
      </c>
      <c r="I26" s="17"/>
      <c r="J26" s="26">
        <v>1377</v>
      </c>
      <c r="L26" s="7"/>
    </row>
    <row r="27" spans="1:13">
      <c r="A27" s="4" t="s">
        <v>40</v>
      </c>
      <c r="B27" s="17">
        <v>16.782769927263399</v>
      </c>
      <c r="C27" s="26">
        <v>5474</v>
      </c>
      <c r="D27" s="26">
        <v>415.918707610534</v>
      </c>
      <c r="E27" s="26">
        <v>233.175908464679</v>
      </c>
      <c r="F27" s="26">
        <v>14.841664757952699</v>
      </c>
      <c r="G27" s="26">
        <v>14.9203331427757</v>
      </c>
      <c r="H27" s="55">
        <v>152.980801245127</v>
      </c>
      <c r="I27" s="17"/>
      <c r="J27" s="26">
        <v>1000</v>
      </c>
      <c r="L27" s="7"/>
    </row>
    <row r="28" spans="1:13">
      <c r="A28" s="33" t="s">
        <v>31</v>
      </c>
      <c r="B28" s="35"/>
      <c r="C28" s="36"/>
      <c r="D28" s="36"/>
      <c r="E28" s="36"/>
      <c r="F28" s="36"/>
      <c r="G28" s="36"/>
      <c r="H28" s="60"/>
      <c r="I28" s="35"/>
      <c r="J28" s="36"/>
      <c r="L28" s="7"/>
    </row>
    <row r="29" spans="1:13">
      <c r="A29" s="4" t="s">
        <v>41</v>
      </c>
      <c r="B29" s="17">
        <v>24.004644363148699</v>
      </c>
      <c r="C29" s="26">
        <v>37</v>
      </c>
      <c r="D29" s="26">
        <v>203.98199730303401</v>
      </c>
      <c r="E29" s="26">
        <v>191.454132511235</v>
      </c>
      <c r="F29" s="26">
        <v>1.4584118155041801</v>
      </c>
      <c r="G29" s="26">
        <v>0</v>
      </c>
      <c r="H29" s="55">
        <v>11.069452976294601</v>
      </c>
      <c r="I29" s="17"/>
      <c r="J29" s="26">
        <v>8</v>
      </c>
      <c r="L29" s="7"/>
    </row>
    <row r="30" spans="1:13">
      <c r="A30" s="4" t="s">
        <v>42</v>
      </c>
      <c r="B30" s="17">
        <v>15.688323365063999</v>
      </c>
      <c r="C30" s="26">
        <v>7809</v>
      </c>
      <c r="D30" s="26">
        <v>360.69121752261498</v>
      </c>
      <c r="E30" s="26">
        <v>214.59342418822499</v>
      </c>
      <c r="F30" s="26">
        <v>10.710290185062201</v>
      </c>
      <c r="G30" s="26">
        <v>13.9669062032371</v>
      </c>
      <c r="H30" s="55">
        <v>121.42059694609</v>
      </c>
      <c r="I30" s="17"/>
      <c r="J30" s="26">
        <v>1330</v>
      </c>
      <c r="L30" s="7"/>
    </row>
    <row r="31" spans="1:13">
      <c r="A31" s="4" t="s">
        <v>43</v>
      </c>
      <c r="B31" s="17">
        <v>48.309875916682799</v>
      </c>
      <c r="C31" s="26">
        <v>2244</v>
      </c>
      <c r="D31" s="26">
        <v>388.60621181020099</v>
      </c>
      <c r="E31" s="26">
        <v>245.07055492015701</v>
      </c>
      <c r="F31" s="26">
        <v>14.9870771312649</v>
      </c>
      <c r="G31" s="26">
        <v>5.08530942355394</v>
      </c>
      <c r="H31" s="55">
        <v>123.463270335225</v>
      </c>
      <c r="I31" s="17"/>
      <c r="J31" s="26">
        <v>1039</v>
      </c>
      <c r="L31" s="7"/>
    </row>
    <row r="32" spans="1:13">
      <c r="A32" s="33" t="s">
        <v>30</v>
      </c>
      <c r="B32" s="35"/>
      <c r="C32" s="36"/>
      <c r="D32" s="36"/>
      <c r="E32" s="36"/>
      <c r="F32" s="36"/>
      <c r="G32" s="36"/>
      <c r="H32" s="59"/>
      <c r="I32" s="35"/>
      <c r="J32" s="36"/>
      <c r="L32" s="7"/>
    </row>
    <row r="33" spans="1:12">
      <c r="A33" s="4" t="s">
        <v>44</v>
      </c>
      <c r="B33" s="17">
        <v>33.472863136805699</v>
      </c>
      <c r="C33" s="26">
        <v>1905</v>
      </c>
      <c r="D33" s="26">
        <v>392.01809678990998</v>
      </c>
      <c r="E33" s="26">
        <v>240.53193589750401</v>
      </c>
      <c r="F33" s="26">
        <v>19.758728159541899</v>
      </c>
      <c r="G33" s="26">
        <v>6.1867478868908297</v>
      </c>
      <c r="H33" s="55">
        <v>125.540684845973</v>
      </c>
      <c r="I33" s="17"/>
      <c r="J33" s="26">
        <v>602</v>
      </c>
      <c r="L33" s="7"/>
    </row>
    <row r="34" spans="1:12">
      <c r="A34" s="4" t="s">
        <v>45</v>
      </c>
      <c r="B34" s="17">
        <v>24.725906420428501</v>
      </c>
      <c r="C34" s="26">
        <v>55</v>
      </c>
      <c r="D34" s="26">
        <v>206.27660876385499</v>
      </c>
      <c r="E34" s="26">
        <v>163.539284316786</v>
      </c>
      <c r="F34" s="26">
        <v>0</v>
      </c>
      <c r="G34" s="26">
        <v>0</v>
      </c>
      <c r="H34" s="55">
        <v>42.737324447068502</v>
      </c>
      <c r="I34" s="17"/>
      <c r="J34" s="26">
        <v>15</v>
      </c>
      <c r="L34" s="7"/>
    </row>
    <row r="35" spans="1:12">
      <c r="A35" s="4" t="s">
        <v>46</v>
      </c>
      <c r="B35" s="17">
        <v>35.958896965280303</v>
      </c>
      <c r="C35" s="26">
        <v>2725</v>
      </c>
      <c r="D35" s="26">
        <v>315.23434495362699</v>
      </c>
      <c r="E35" s="26">
        <v>201.05885004508499</v>
      </c>
      <c r="F35" s="26">
        <v>8.2282750153911994</v>
      </c>
      <c r="G35" s="26">
        <v>0.93240851426820903</v>
      </c>
      <c r="H35" s="55">
        <v>105.014811378882</v>
      </c>
      <c r="I35" s="17"/>
      <c r="J35" s="26">
        <v>971</v>
      </c>
      <c r="L35" s="7"/>
    </row>
    <row r="36" spans="1:12">
      <c r="A36" s="4" t="s">
        <v>47</v>
      </c>
      <c r="B36" s="17">
        <v>14.431183072794401</v>
      </c>
      <c r="C36" s="26">
        <v>4170</v>
      </c>
      <c r="D36" s="26">
        <v>386.42179175041701</v>
      </c>
      <c r="E36" s="26">
        <v>242.00785714742901</v>
      </c>
      <c r="F36" s="26">
        <v>10.3438402989535</v>
      </c>
      <c r="G36" s="26">
        <v>11.2819272155585</v>
      </c>
      <c r="H36" s="55">
        <v>122.788167088476</v>
      </c>
      <c r="I36" s="17"/>
      <c r="J36" s="26">
        <v>676</v>
      </c>
      <c r="L36" s="7"/>
    </row>
    <row r="37" spans="1:12">
      <c r="A37" s="4" t="s">
        <v>48</v>
      </c>
      <c r="B37" s="17">
        <v>7.8302236398159</v>
      </c>
      <c r="C37" s="26">
        <v>946</v>
      </c>
      <c r="D37" s="26">
        <v>769.19955897914701</v>
      </c>
      <c r="E37" s="26">
        <v>329.04667278077102</v>
      </c>
      <c r="F37" s="26">
        <v>26.624756198752401</v>
      </c>
      <c r="G37" s="26">
        <v>125.221375440711</v>
      </c>
      <c r="H37" s="55">
        <v>288.306754558911</v>
      </c>
      <c r="I37" s="17"/>
      <c r="J37" s="26">
        <v>89</v>
      </c>
      <c r="L37" s="7"/>
    </row>
    <row r="38" spans="1:12">
      <c r="A38" s="33" t="s">
        <v>0</v>
      </c>
      <c r="B38" s="35"/>
      <c r="C38" s="36"/>
      <c r="D38" s="36"/>
      <c r="E38" s="36"/>
      <c r="F38" s="36"/>
      <c r="G38" s="36"/>
      <c r="H38" s="59"/>
      <c r="I38" s="35"/>
      <c r="J38" s="36"/>
      <c r="L38" s="7"/>
    </row>
    <row r="39" spans="1:12">
      <c r="A39" s="4" t="s">
        <v>49</v>
      </c>
      <c r="B39" s="17">
        <v>24.675096255157001</v>
      </c>
      <c r="C39" s="26">
        <v>675</v>
      </c>
      <c r="D39" s="26">
        <v>198.90164713761399</v>
      </c>
      <c r="E39" s="26">
        <v>146.55214797159101</v>
      </c>
      <c r="F39" s="26">
        <v>2.3132735076865401</v>
      </c>
      <c r="G39" s="26">
        <v>0.75709264448340097</v>
      </c>
      <c r="H39" s="55">
        <v>49.279133013853702</v>
      </c>
      <c r="I39" s="17"/>
      <c r="J39" s="26">
        <v>155</v>
      </c>
      <c r="L39" s="7"/>
    </row>
    <row r="40" spans="1:12">
      <c r="A40" s="4" t="s">
        <v>50</v>
      </c>
      <c r="B40" s="17">
        <v>33.884725991047802</v>
      </c>
      <c r="C40" s="26">
        <v>765</v>
      </c>
      <c r="D40" s="26">
        <v>267.39645465576598</v>
      </c>
      <c r="E40" s="26">
        <v>174.26450163002599</v>
      </c>
      <c r="F40" s="26">
        <v>12.8418190052057</v>
      </c>
      <c r="G40" s="26">
        <v>1.17860918555556</v>
      </c>
      <c r="H40" s="55">
        <v>79.111524834978297</v>
      </c>
      <c r="I40" s="17"/>
      <c r="J40" s="26">
        <v>246</v>
      </c>
      <c r="L40" s="7"/>
    </row>
    <row r="41" spans="1:12">
      <c r="A41" s="4" t="s">
        <v>51</v>
      </c>
      <c r="B41" s="17">
        <v>39.294769854536298</v>
      </c>
      <c r="C41" s="26">
        <v>839</v>
      </c>
      <c r="D41" s="26">
        <v>264.29295654930098</v>
      </c>
      <c r="E41" s="26">
        <v>163.67731918867401</v>
      </c>
      <c r="F41" s="26">
        <v>4.7195454677278299</v>
      </c>
      <c r="G41" s="26">
        <v>17.619361839230699</v>
      </c>
      <c r="H41" s="55">
        <v>78.276730053668402</v>
      </c>
      <c r="I41" s="17"/>
      <c r="J41" s="26">
        <v>314</v>
      </c>
      <c r="L41" s="7"/>
    </row>
    <row r="42" spans="1:12">
      <c r="A42" s="4" t="s">
        <v>52</v>
      </c>
      <c r="B42" s="17">
        <v>33.366415752135595</v>
      </c>
      <c r="C42" s="26">
        <v>854</v>
      </c>
      <c r="D42" s="26">
        <v>415.48347731829301</v>
      </c>
      <c r="E42" s="26">
        <v>291.60485446990299</v>
      </c>
      <c r="F42" s="26">
        <v>20.3226597053681</v>
      </c>
      <c r="G42" s="26">
        <v>4.1581785535356603</v>
      </c>
      <c r="H42" s="55">
        <v>99.397784589486704</v>
      </c>
      <c r="I42" s="17"/>
      <c r="J42" s="26">
        <v>265</v>
      </c>
      <c r="L42" s="7"/>
    </row>
    <row r="43" spans="1:12">
      <c r="A43" s="4" t="s">
        <v>53</v>
      </c>
      <c r="B43" s="17">
        <v>31.406130236714102</v>
      </c>
      <c r="C43" s="26">
        <v>950</v>
      </c>
      <c r="D43" s="26">
        <v>349.45826756871799</v>
      </c>
      <c r="E43" s="26">
        <v>219.901556728548</v>
      </c>
      <c r="F43" s="26">
        <v>11.101573353937599</v>
      </c>
      <c r="G43" s="26">
        <v>1.5518067254157</v>
      </c>
      <c r="H43" s="55">
        <v>116.903330760816</v>
      </c>
      <c r="I43" s="17"/>
      <c r="J43" s="26">
        <v>311</v>
      </c>
      <c r="L43" s="7"/>
    </row>
    <row r="44" spans="1:12">
      <c r="A44" s="4" t="s">
        <v>54</v>
      </c>
      <c r="B44" s="17">
        <v>27.528551397203</v>
      </c>
      <c r="C44" s="26">
        <v>1008</v>
      </c>
      <c r="D44" s="26">
        <v>348.77585523872301</v>
      </c>
      <c r="E44" s="26">
        <v>215.627604025594</v>
      </c>
      <c r="F44" s="26">
        <v>8.2079707890488294</v>
      </c>
      <c r="G44" s="26">
        <v>2.2005401687936499</v>
      </c>
      <c r="H44" s="55">
        <v>122.73974025528599</v>
      </c>
      <c r="I44" s="17"/>
      <c r="J44" s="26">
        <v>293</v>
      </c>
      <c r="L44" s="7"/>
    </row>
    <row r="45" spans="1:12">
      <c r="A45" s="4" t="s">
        <v>55</v>
      </c>
      <c r="B45" s="17">
        <v>22.0800647746597</v>
      </c>
      <c r="C45" s="26">
        <v>1101</v>
      </c>
      <c r="D45" s="26">
        <v>403.62591902765598</v>
      </c>
      <c r="E45" s="26">
        <v>198.17462467748999</v>
      </c>
      <c r="F45" s="26">
        <v>12.243274359913</v>
      </c>
      <c r="G45" s="26">
        <v>46.357529951357897</v>
      </c>
      <c r="H45" s="55">
        <v>146.850490038895</v>
      </c>
      <c r="I45" s="17"/>
      <c r="J45" s="26">
        <v>263</v>
      </c>
      <c r="L45" s="7"/>
    </row>
    <row r="46" spans="1:12">
      <c r="A46" s="4" t="s">
        <v>56</v>
      </c>
      <c r="B46" s="17">
        <v>18.152272881212099</v>
      </c>
      <c r="C46" s="26">
        <v>1197</v>
      </c>
      <c r="D46" s="26">
        <v>581.41361918664597</v>
      </c>
      <c r="E46" s="26">
        <v>391.36999474521002</v>
      </c>
      <c r="F46" s="26">
        <v>20.250928430770902</v>
      </c>
      <c r="G46" s="26">
        <v>5.3825031300125099</v>
      </c>
      <c r="H46" s="55">
        <v>164.410192880652</v>
      </c>
      <c r="I46" s="17"/>
      <c r="J46" s="26">
        <v>255</v>
      </c>
      <c r="L46" s="7"/>
    </row>
    <row r="47" spans="1:12">
      <c r="A47" s="4" t="s">
        <v>57</v>
      </c>
      <c r="B47" s="17">
        <v>10.9539127338623</v>
      </c>
      <c r="C47" s="26">
        <v>1283</v>
      </c>
      <c r="D47" s="26">
        <v>459.40562922536498</v>
      </c>
      <c r="E47" s="26">
        <v>254.684479615821</v>
      </c>
      <c r="F47" s="26">
        <v>15.346482544041701</v>
      </c>
      <c r="G47" s="26">
        <v>4.85427848090103</v>
      </c>
      <c r="H47" s="55">
        <v>184.52038858460099</v>
      </c>
      <c r="I47" s="17"/>
      <c r="J47" s="26">
        <v>171</v>
      </c>
      <c r="L47" s="7"/>
    </row>
    <row r="48" spans="1:12">
      <c r="A48" s="4" t="s">
        <v>58</v>
      </c>
      <c r="B48" s="17">
        <v>5.8194982798417696</v>
      </c>
      <c r="C48" s="26">
        <v>1418</v>
      </c>
      <c r="D48" s="26">
        <v>497.818860504611</v>
      </c>
      <c r="E48" s="26">
        <v>182.27790278741301</v>
      </c>
      <c r="F48" s="26">
        <v>21.817123924351499</v>
      </c>
      <c r="G48" s="26">
        <v>19.6957582966422</v>
      </c>
      <c r="H48" s="55">
        <v>274.028075496204</v>
      </c>
      <c r="I48" s="17"/>
      <c r="J48" s="26">
        <v>104</v>
      </c>
      <c r="L48" s="7"/>
    </row>
    <row r="49" spans="1:12">
      <c r="A49" s="33" t="s">
        <v>25</v>
      </c>
      <c r="B49" s="35"/>
      <c r="C49" s="36"/>
      <c r="D49" s="36"/>
      <c r="E49" s="36"/>
      <c r="F49" s="36"/>
      <c r="G49" s="36"/>
      <c r="H49" s="59"/>
      <c r="I49" s="35"/>
      <c r="J49" s="36"/>
      <c r="L49" s="7"/>
    </row>
    <row r="50" spans="1:12">
      <c r="A50" s="6" t="s">
        <v>18</v>
      </c>
      <c r="B50" s="17">
        <v>0</v>
      </c>
      <c r="C50" s="26">
        <v>715</v>
      </c>
      <c r="D50" s="26">
        <v>0</v>
      </c>
      <c r="E50" s="26">
        <v>0</v>
      </c>
      <c r="F50" s="26">
        <v>0</v>
      </c>
      <c r="G50" s="26">
        <v>0</v>
      </c>
      <c r="H50" s="55">
        <v>0</v>
      </c>
      <c r="I50" s="17"/>
      <c r="J50" s="26">
        <v>0</v>
      </c>
      <c r="L50" s="7"/>
    </row>
    <row r="51" spans="1:12">
      <c r="A51" s="6" t="s">
        <v>20</v>
      </c>
      <c r="B51" s="17">
        <v>0</v>
      </c>
      <c r="C51" s="26">
        <v>111</v>
      </c>
      <c r="D51" s="26">
        <v>0</v>
      </c>
      <c r="E51" s="26">
        <v>0</v>
      </c>
      <c r="F51" s="26">
        <v>0</v>
      </c>
      <c r="G51" s="26">
        <v>0</v>
      </c>
      <c r="H51" s="55">
        <v>0</v>
      </c>
      <c r="I51" s="17"/>
      <c r="J51" s="26">
        <v>0</v>
      </c>
      <c r="L51" s="7"/>
    </row>
    <row r="52" spans="1:12">
      <c r="A52" s="6" t="s">
        <v>19</v>
      </c>
      <c r="B52" s="17">
        <v>0</v>
      </c>
      <c r="C52" s="26">
        <v>33</v>
      </c>
      <c r="D52" s="26">
        <v>0</v>
      </c>
      <c r="E52" s="26">
        <v>0</v>
      </c>
      <c r="F52" s="26">
        <v>0</v>
      </c>
      <c r="G52" s="26">
        <v>0</v>
      </c>
      <c r="H52" s="55">
        <v>0</v>
      </c>
      <c r="I52" s="17"/>
      <c r="J52" s="26">
        <v>0</v>
      </c>
      <c r="L52" s="7"/>
    </row>
    <row r="53" spans="1:12">
      <c r="A53" s="6" t="s">
        <v>14</v>
      </c>
      <c r="B53" s="17">
        <v>2.15710946517641</v>
      </c>
      <c r="C53" s="26">
        <v>146</v>
      </c>
      <c r="D53" s="26">
        <v>42.061198885401197</v>
      </c>
      <c r="E53" s="26">
        <v>38.613839492760199</v>
      </c>
      <c r="F53" s="26">
        <v>0</v>
      </c>
      <c r="G53" s="26">
        <v>0.183232689935698</v>
      </c>
      <c r="H53" s="55">
        <v>3.2641267027052798</v>
      </c>
      <c r="I53" s="17"/>
      <c r="J53" s="26">
        <v>7</v>
      </c>
      <c r="L53" s="7"/>
    </row>
    <row r="54" spans="1:12">
      <c r="A54" s="6" t="s">
        <v>15</v>
      </c>
      <c r="B54" s="17">
        <v>0</v>
      </c>
      <c r="C54" s="26">
        <v>1292</v>
      </c>
      <c r="D54" s="26">
        <v>0</v>
      </c>
      <c r="E54" s="26">
        <v>0</v>
      </c>
      <c r="F54" s="26">
        <v>0</v>
      </c>
      <c r="G54" s="26">
        <v>0</v>
      </c>
      <c r="H54" s="55">
        <v>0</v>
      </c>
      <c r="I54" s="17"/>
      <c r="J54" s="26">
        <v>0</v>
      </c>
      <c r="L54" s="7"/>
    </row>
    <row r="55" spans="1:12">
      <c r="A55" s="6" t="s">
        <v>16</v>
      </c>
      <c r="B55" s="17">
        <v>37.066318591858099</v>
      </c>
      <c r="C55" s="26">
        <v>4610</v>
      </c>
      <c r="D55" s="26">
        <v>392.34157863389498</v>
      </c>
      <c r="E55" s="26">
        <v>234.53651623106401</v>
      </c>
      <c r="F55" s="26">
        <v>12.0661273781449</v>
      </c>
      <c r="G55" s="26">
        <v>10.3665037853523</v>
      </c>
      <c r="H55" s="55">
        <v>135.372431239333</v>
      </c>
      <c r="I55" s="17"/>
      <c r="J55" s="26">
        <v>1937</v>
      </c>
      <c r="L55" s="7"/>
    </row>
    <row r="56" spans="1:12">
      <c r="A56" s="6" t="s">
        <v>59</v>
      </c>
      <c r="B56" s="17">
        <v>2.1204321464731599</v>
      </c>
      <c r="C56" s="26">
        <v>165</v>
      </c>
      <c r="D56" s="26">
        <v>574.42487629573304</v>
      </c>
      <c r="E56" s="26">
        <v>548.786728662212</v>
      </c>
      <c r="F56" s="26">
        <v>1.68863546841396</v>
      </c>
      <c r="G56" s="26">
        <v>0</v>
      </c>
      <c r="H56" s="55">
        <v>23.9495121651068</v>
      </c>
      <c r="I56" s="17"/>
      <c r="J56" s="26">
        <v>4</v>
      </c>
      <c r="L56" s="7"/>
    </row>
    <row r="57" spans="1:12">
      <c r="A57" s="6" t="s">
        <v>60</v>
      </c>
      <c r="B57" s="17">
        <v>1.6663635334624001</v>
      </c>
      <c r="C57" s="26">
        <v>108</v>
      </c>
      <c r="D57" s="26">
        <v>73.545947695268893</v>
      </c>
      <c r="E57" s="26">
        <v>30.691785377334799</v>
      </c>
      <c r="F57" s="26">
        <v>3.8886054472224401</v>
      </c>
      <c r="G57" s="26">
        <v>0</v>
      </c>
      <c r="H57" s="55">
        <v>38.965556870711602</v>
      </c>
      <c r="I57" s="17"/>
      <c r="J57" s="26">
        <v>3</v>
      </c>
      <c r="L57" s="7"/>
    </row>
    <row r="58" spans="1:12">
      <c r="A58" s="6" t="s">
        <v>21</v>
      </c>
      <c r="B58" s="17">
        <v>0</v>
      </c>
      <c r="C58" s="26">
        <v>35</v>
      </c>
      <c r="D58" s="26">
        <v>0</v>
      </c>
      <c r="E58" s="26">
        <v>0</v>
      </c>
      <c r="F58" s="26">
        <v>0</v>
      </c>
      <c r="G58" s="26">
        <v>0</v>
      </c>
      <c r="H58" s="55">
        <v>0</v>
      </c>
      <c r="I58" s="17"/>
      <c r="J58" s="26">
        <v>0</v>
      </c>
      <c r="L58" s="7"/>
    </row>
    <row r="59" spans="1:12">
      <c r="A59" s="6" t="s">
        <v>61</v>
      </c>
      <c r="B59" s="17">
        <v>1.7493410989478899</v>
      </c>
      <c r="C59" s="26">
        <v>1000</v>
      </c>
      <c r="D59" s="26">
        <v>377.72291504288802</v>
      </c>
      <c r="E59" s="26">
        <v>196.772390622128</v>
      </c>
      <c r="F59" s="26">
        <v>1.98475803634764</v>
      </c>
      <c r="G59" s="26">
        <v>0</v>
      </c>
      <c r="H59" s="55">
        <v>178.96576638441201</v>
      </c>
      <c r="I59" s="17"/>
      <c r="J59" s="26">
        <v>18</v>
      </c>
      <c r="L59" s="7"/>
    </row>
    <row r="60" spans="1:12">
      <c r="A60" s="6" t="s">
        <v>62</v>
      </c>
      <c r="B60" s="17">
        <v>25.676482657027798</v>
      </c>
      <c r="C60" s="26">
        <v>1272</v>
      </c>
      <c r="D60" s="26">
        <v>221.05150911457301</v>
      </c>
      <c r="E60" s="26">
        <v>175.96931221035899</v>
      </c>
      <c r="F60" s="26">
        <v>16.622499367946102</v>
      </c>
      <c r="G60" s="26">
        <v>9.2446007011949707</v>
      </c>
      <c r="H60" s="55">
        <v>19.215096835072</v>
      </c>
      <c r="I60" s="17"/>
      <c r="J60" s="26">
        <v>389</v>
      </c>
      <c r="L60" s="7"/>
    </row>
    <row r="61" spans="1:12">
      <c r="A61" s="6" t="s">
        <v>17</v>
      </c>
      <c r="B61" s="17">
        <v>0</v>
      </c>
      <c r="C61" s="26">
        <v>31</v>
      </c>
      <c r="D61" s="26">
        <v>0</v>
      </c>
      <c r="E61" s="26">
        <v>0</v>
      </c>
      <c r="F61" s="26">
        <v>0</v>
      </c>
      <c r="G61" s="26">
        <v>0</v>
      </c>
      <c r="H61" s="55">
        <v>0</v>
      </c>
      <c r="I61" s="17"/>
      <c r="J61" s="26">
        <v>0</v>
      </c>
      <c r="L61" s="7"/>
    </row>
    <row r="62" spans="1:12">
      <c r="A62" s="6" t="s">
        <v>63</v>
      </c>
      <c r="B62" s="18">
        <v>3.2061031381618603</v>
      </c>
      <c r="C62" s="27">
        <v>572</v>
      </c>
      <c r="D62" s="27">
        <v>109.533703851133</v>
      </c>
      <c r="E62" s="27">
        <v>72.133455825498004</v>
      </c>
      <c r="F62" s="27">
        <v>10.9163779504602</v>
      </c>
      <c r="G62" s="27">
        <v>25.8198833985406</v>
      </c>
      <c r="H62" s="56">
        <v>0.66398667663406596</v>
      </c>
      <c r="I62" s="18"/>
      <c r="J62" s="27">
        <v>19</v>
      </c>
      <c r="L62" s="7"/>
    </row>
    <row r="63" spans="1:12">
      <c r="B63" s="20"/>
      <c r="C63" s="23"/>
      <c r="D63" s="25"/>
      <c r="E63" s="20"/>
      <c r="F63" s="20"/>
      <c r="G63" s="20"/>
      <c r="H63" s="58"/>
      <c r="I63" s="20"/>
      <c r="J63" s="23"/>
    </row>
    <row r="64" spans="1:12">
      <c r="B64" s="19"/>
      <c r="C64" s="16"/>
      <c r="D64" s="24"/>
      <c r="E64" s="19"/>
      <c r="F64" s="19"/>
      <c r="G64" s="19"/>
      <c r="H64" s="57"/>
      <c r="I64" s="19"/>
      <c r="J64" s="16"/>
    </row>
    <row r="65" spans="2:10">
      <c r="B65" s="19"/>
      <c r="C65" s="16"/>
      <c r="D65" s="24"/>
      <c r="E65" s="19"/>
      <c r="F65" s="19"/>
      <c r="G65" s="19"/>
      <c r="H65" s="57"/>
      <c r="I65" s="19"/>
      <c r="J65" s="16"/>
    </row>
    <row r="66" spans="2:10">
      <c r="B66" s="19"/>
      <c r="C66" s="16"/>
      <c r="D66" s="24"/>
      <c r="E66" s="19"/>
      <c r="F66" s="19"/>
      <c r="G66" s="19"/>
      <c r="H66" s="57"/>
      <c r="I66" s="19"/>
      <c r="J66" s="16"/>
    </row>
    <row r="67" spans="2:10">
      <c r="B67" s="19"/>
      <c r="C67" s="16"/>
      <c r="D67" s="24"/>
      <c r="E67" s="19"/>
      <c r="F67" s="19"/>
      <c r="G67" s="19"/>
      <c r="H67" s="57"/>
      <c r="I67" s="19"/>
      <c r="J67" s="16"/>
    </row>
    <row r="68" spans="2:10">
      <c r="B68" s="19"/>
      <c r="C68" s="16"/>
      <c r="D68" s="24"/>
      <c r="E68" s="19"/>
      <c r="F68" s="19"/>
      <c r="G68" s="19"/>
      <c r="H68" s="57"/>
      <c r="I68" s="19"/>
      <c r="J68" s="16"/>
    </row>
    <row r="69" spans="2:10">
      <c r="B69" s="19"/>
      <c r="C69" s="19"/>
      <c r="D69" s="24"/>
      <c r="E69" s="19"/>
      <c r="F69" s="19"/>
      <c r="G69" s="19"/>
      <c r="H69" s="19"/>
      <c r="I69" s="19"/>
      <c r="J69" s="16"/>
    </row>
    <row r="70" spans="2:10">
      <c r="B70" s="19"/>
      <c r="C70" s="19"/>
      <c r="D70" s="24"/>
      <c r="E70" s="19"/>
      <c r="F70" s="19"/>
      <c r="G70" s="19"/>
      <c r="H70" s="19"/>
      <c r="I70" s="19"/>
      <c r="J70" s="16"/>
    </row>
    <row r="71" spans="2:10">
      <c r="B71" s="19"/>
      <c r="C71" s="19"/>
      <c r="D71" s="24"/>
      <c r="E71" s="19"/>
      <c r="F71" s="19"/>
      <c r="G71" s="19"/>
      <c r="H71" s="19"/>
      <c r="I71" s="19"/>
      <c r="J71" s="16"/>
    </row>
    <row r="72" spans="2:10">
      <c r="B72" s="19"/>
      <c r="C72" s="19"/>
      <c r="D72" s="24"/>
      <c r="E72" s="19"/>
      <c r="F72" s="19"/>
      <c r="G72" s="19"/>
      <c r="H72" s="19"/>
      <c r="I72" s="19"/>
      <c r="J72" s="16"/>
    </row>
    <row r="73" spans="2:10">
      <c r="B73" s="19"/>
      <c r="C73" s="19"/>
      <c r="D73" s="24"/>
      <c r="E73" s="19"/>
      <c r="F73" s="19"/>
      <c r="G73" s="19"/>
      <c r="H73" s="19"/>
      <c r="I73" s="19"/>
      <c r="J73" s="16"/>
    </row>
    <row r="74" spans="2:10">
      <c r="B74" s="19"/>
      <c r="C74" s="19"/>
      <c r="D74" s="24"/>
      <c r="E74" s="19"/>
      <c r="F74" s="19"/>
      <c r="G74" s="19"/>
      <c r="H74" s="19"/>
      <c r="I74" s="19"/>
      <c r="J74" s="16"/>
    </row>
    <row r="75" spans="2:10">
      <c r="B75" s="19"/>
      <c r="C75" s="19"/>
      <c r="D75" s="19"/>
      <c r="E75" s="19"/>
      <c r="F75" s="19"/>
      <c r="G75" s="19"/>
      <c r="H75" s="19"/>
      <c r="I75" s="16"/>
      <c r="J75" s="16"/>
    </row>
    <row r="76" spans="2:10">
      <c r="B76" s="19"/>
      <c r="C76" s="19"/>
      <c r="D76" s="19"/>
      <c r="E76" s="19"/>
      <c r="F76" s="19"/>
      <c r="G76" s="19"/>
      <c r="H76" s="19"/>
      <c r="I76" s="16"/>
      <c r="J76" s="16"/>
    </row>
    <row r="77" spans="2:10">
      <c r="B77" s="19"/>
      <c r="C77" s="19"/>
      <c r="D77" s="19"/>
      <c r="E77" s="19"/>
      <c r="F77" s="19"/>
      <c r="G77" s="19"/>
      <c r="H77" s="19"/>
      <c r="I77" s="16"/>
      <c r="J77" s="16"/>
    </row>
    <row r="78" spans="2:10">
      <c r="B78" s="19"/>
      <c r="C78" s="19"/>
      <c r="D78" s="19"/>
      <c r="E78" s="19"/>
      <c r="F78" s="19"/>
      <c r="G78" s="19"/>
      <c r="H78" s="19"/>
      <c r="I78" s="16"/>
      <c r="J78" s="16"/>
    </row>
    <row r="79" spans="2:10">
      <c r="B79" s="19"/>
      <c r="C79" s="19"/>
      <c r="D79" s="19"/>
      <c r="E79" s="19"/>
      <c r="F79" s="19"/>
      <c r="G79" s="19"/>
      <c r="H79" s="19"/>
      <c r="I79" s="16"/>
      <c r="J79" s="16"/>
    </row>
    <row r="80" spans="2:10">
      <c r="B80" s="19"/>
      <c r="C80" s="19"/>
      <c r="D80" s="19"/>
      <c r="E80" s="19"/>
      <c r="F80" s="19"/>
      <c r="G80" s="19"/>
      <c r="H80" s="19"/>
      <c r="I80" s="16"/>
      <c r="J80" s="16"/>
    </row>
    <row r="81" spans="2:10">
      <c r="B81" s="19"/>
      <c r="C81" s="16"/>
      <c r="D81" s="19"/>
      <c r="E81" s="19"/>
      <c r="F81" s="19"/>
      <c r="G81" s="19"/>
      <c r="H81" s="19"/>
      <c r="I81" s="16"/>
      <c r="J81" s="16"/>
    </row>
    <row r="82" spans="2:10">
      <c r="B82" s="19"/>
      <c r="D82" s="19"/>
      <c r="E82" s="19"/>
      <c r="F82" s="19"/>
      <c r="G82" s="19"/>
      <c r="H82" s="19"/>
    </row>
    <row r="83" spans="2:10">
      <c r="B83" s="19"/>
      <c r="D83" s="19"/>
      <c r="E83" s="19"/>
      <c r="F83" s="19"/>
      <c r="G83" s="19"/>
      <c r="H83" s="19"/>
    </row>
    <row r="84" spans="2:10">
      <c r="B84" s="19"/>
      <c r="D84" s="19"/>
      <c r="E84" s="19"/>
      <c r="F84" s="19"/>
      <c r="G84" s="19"/>
      <c r="H84" s="19"/>
    </row>
    <row r="85" spans="2:10">
      <c r="B85" s="19"/>
      <c r="D85" s="19"/>
      <c r="E85" s="19"/>
      <c r="F85" s="19"/>
      <c r="G85" s="19"/>
      <c r="H85" s="19"/>
    </row>
    <row r="86" spans="2:10">
      <c r="B86" s="19"/>
      <c r="D86" s="19"/>
      <c r="E86" s="19"/>
      <c r="F86" s="19"/>
      <c r="G86" s="19"/>
      <c r="H86" s="19"/>
    </row>
    <row r="87" spans="2:10">
      <c r="B87" s="16"/>
      <c r="D87" s="16"/>
      <c r="E87" s="16"/>
      <c r="F87" s="16"/>
      <c r="G87" s="16"/>
      <c r="H87" s="19"/>
    </row>
    <row r="88" spans="2:10">
      <c r="E88" s="16"/>
      <c r="F88" s="16"/>
      <c r="G88" s="16"/>
      <c r="H88" s="19"/>
    </row>
    <row r="89" spans="2:10">
      <c r="E89" s="16"/>
      <c r="F89" s="16"/>
      <c r="G89" s="16"/>
      <c r="H89" s="19"/>
    </row>
    <row r="90" spans="2:10">
      <c r="E90" s="16"/>
      <c r="F90" s="16"/>
      <c r="G90" s="16"/>
      <c r="H90" s="19"/>
    </row>
    <row r="91" spans="2:10">
      <c r="E91" s="16"/>
      <c r="F91" s="16"/>
      <c r="G91" s="16"/>
      <c r="H91" s="19"/>
    </row>
    <row r="92" spans="2:10">
      <c r="E92" s="16"/>
      <c r="F92" s="16"/>
      <c r="G92" s="16"/>
      <c r="H92" s="19"/>
    </row>
    <row r="93" spans="2:10">
      <c r="H93" s="16"/>
    </row>
    <row r="94" spans="2:10">
      <c r="H94" s="16"/>
    </row>
    <row r="95" spans="2:10">
      <c r="H95" s="16"/>
    </row>
    <row r="96" spans="2:10">
      <c r="H96" s="16"/>
    </row>
    <row r="97" spans="8:8">
      <c r="H97" s="16"/>
    </row>
    <row r="98" spans="8:8">
      <c r="H98" s="1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B66F-B0A3-4250-9AC7-1A358F75AAE6}">
  <dimension ref="A1:L104"/>
  <sheetViews>
    <sheetView zoomScale="80" zoomScaleNormal="80" workbookViewId="0">
      <selection activeCell="L12" sqref="L12"/>
    </sheetView>
  </sheetViews>
  <sheetFormatPr defaultColWidth="15.25" defaultRowHeight="13"/>
  <cols>
    <col min="1" max="1" width="16.4140625" style="2" customWidth="1"/>
    <col min="2" max="2" width="12.6640625" style="5" customWidth="1"/>
    <col min="3" max="3" width="7.6640625" style="5" customWidth="1"/>
    <col min="4" max="9" width="12.6640625" style="5" customWidth="1"/>
    <col min="10" max="10" width="7.25" style="5" customWidth="1"/>
    <col min="11" max="16384" width="15.25" style="2"/>
  </cols>
  <sheetData>
    <row r="1" spans="1:12">
      <c r="A1" s="3" t="s">
        <v>102</v>
      </c>
    </row>
    <row r="3" spans="1:12" ht="104">
      <c r="B3" s="8" t="s">
        <v>103</v>
      </c>
      <c r="C3" s="8" t="s">
        <v>36</v>
      </c>
      <c r="D3" s="13" t="s">
        <v>104</v>
      </c>
      <c r="E3" s="13" t="s">
        <v>105</v>
      </c>
      <c r="F3" s="13" t="s">
        <v>106</v>
      </c>
      <c r="G3" s="13" t="s">
        <v>107</v>
      </c>
      <c r="H3" s="31" t="s">
        <v>140</v>
      </c>
      <c r="I3" s="13" t="s">
        <v>108</v>
      </c>
      <c r="J3" s="13" t="s">
        <v>36</v>
      </c>
    </row>
    <row r="4" spans="1:12">
      <c r="B4" s="8"/>
      <c r="C4" s="8"/>
      <c r="D4" s="31" t="s">
        <v>134</v>
      </c>
      <c r="E4" s="31" t="s">
        <v>135</v>
      </c>
      <c r="F4" s="31" t="s">
        <v>136</v>
      </c>
      <c r="G4" s="31" t="s">
        <v>137</v>
      </c>
      <c r="H4" s="31" t="s">
        <v>138</v>
      </c>
      <c r="I4" s="31"/>
      <c r="J4" s="31"/>
    </row>
    <row r="5" spans="1:12">
      <c r="B5" s="9" t="s">
        <v>35</v>
      </c>
      <c r="C5" s="9"/>
      <c r="D5" s="11" t="s">
        <v>89</v>
      </c>
      <c r="E5" s="11" t="s">
        <v>89</v>
      </c>
      <c r="F5" s="11" t="s">
        <v>89</v>
      </c>
      <c r="G5" s="11" t="s">
        <v>89</v>
      </c>
      <c r="H5" s="11" t="s">
        <v>89</v>
      </c>
      <c r="I5" s="11" t="s">
        <v>34</v>
      </c>
      <c r="J5" s="11"/>
    </row>
    <row r="6" spans="1:12">
      <c r="A6" s="1" t="s">
        <v>28</v>
      </c>
      <c r="B6" s="17">
        <v>6.9875999999999996</v>
      </c>
      <c r="C6" s="26">
        <v>10090</v>
      </c>
      <c r="D6" s="21">
        <v>63.122616000000001</v>
      </c>
      <c r="E6" s="21">
        <v>44.059328999999998</v>
      </c>
      <c r="F6" s="21">
        <v>2.5091809999999999</v>
      </c>
      <c r="G6" s="21">
        <v>1.2220530000000001</v>
      </c>
      <c r="H6" s="21">
        <v>15</v>
      </c>
      <c r="I6" s="14"/>
      <c r="J6" s="26">
        <v>706</v>
      </c>
    </row>
    <row r="7" spans="1:12">
      <c r="A7" s="33" t="s">
        <v>29</v>
      </c>
      <c r="B7" s="34"/>
      <c r="C7" s="34"/>
      <c r="D7" s="34"/>
      <c r="E7" s="34"/>
      <c r="F7" s="34"/>
      <c r="G7" s="34"/>
      <c r="H7" s="52"/>
      <c r="I7" s="34"/>
      <c r="J7" s="34"/>
    </row>
    <row r="8" spans="1:12">
      <c r="A8" s="4" t="s">
        <v>24</v>
      </c>
      <c r="B8" s="17">
        <v>14.236586606825799</v>
      </c>
      <c r="C8" s="26">
        <v>5535</v>
      </c>
      <c r="D8" s="21">
        <v>59.309798676730097</v>
      </c>
      <c r="E8" s="21">
        <v>40.924895141107399</v>
      </c>
      <c r="F8" s="21">
        <v>2.6130719081993199</v>
      </c>
      <c r="G8" s="21">
        <v>1.2833113091160799</v>
      </c>
      <c r="H8" s="54">
        <v>14.4885203183072</v>
      </c>
      <c r="I8" s="17"/>
      <c r="J8" s="14">
        <v>666</v>
      </c>
      <c r="L8" s="7"/>
    </row>
    <row r="9" spans="1:12">
      <c r="A9" s="4" t="s">
        <v>23</v>
      </c>
      <c r="B9" s="17">
        <v>0.84502561696333589</v>
      </c>
      <c r="C9" s="32">
        <v>4555</v>
      </c>
      <c r="D9" s="21">
        <v>117.55458882155401</v>
      </c>
      <c r="E9" s="21">
        <v>88.806655216522202</v>
      </c>
      <c r="F9" s="21">
        <v>1.0260227316491399</v>
      </c>
      <c r="G9" s="21">
        <v>0.34752330301065798</v>
      </c>
      <c r="H9" s="54">
        <v>27.3743875703729</v>
      </c>
      <c r="I9" s="17"/>
      <c r="J9" s="14">
        <v>40</v>
      </c>
      <c r="L9" s="7"/>
    </row>
    <row r="10" spans="1:12">
      <c r="A10" s="33" t="s">
        <v>22</v>
      </c>
      <c r="B10" s="35"/>
      <c r="C10" s="36"/>
      <c r="D10" s="42"/>
      <c r="E10" s="42"/>
      <c r="F10" s="42"/>
      <c r="G10" s="42"/>
      <c r="H10" s="53"/>
      <c r="I10" s="35"/>
      <c r="J10" s="34"/>
      <c r="L10" s="7"/>
    </row>
    <row r="11" spans="1:12">
      <c r="A11" s="4" t="s">
        <v>1</v>
      </c>
      <c r="B11" s="17">
        <v>0</v>
      </c>
      <c r="C11" s="26">
        <v>559</v>
      </c>
      <c r="D11" s="21">
        <v>0</v>
      </c>
      <c r="E11" s="21">
        <v>0</v>
      </c>
      <c r="F11" s="21">
        <v>0</v>
      </c>
      <c r="G11" s="21">
        <v>0</v>
      </c>
      <c r="H11" s="54">
        <v>0</v>
      </c>
      <c r="I11" s="17"/>
      <c r="J11" s="43">
        <v>0</v>
      </c>
      <c r="K11" s="44"/>
      <c r="L11" s="7"/>
    </row>
    <row r="12" spans="1:12">
      <c r="A12" s="4" t="s">
        <v>2</v>
      </c>
      <c r="B12" s="17">
        <v>6.9977730796398199E-2</v>
      </c>
      <c r="C12" s="26">
        <v>828</v>
      </c>
      <c r="D12" s="21">
        <v>50</v>
      </c>
      <c r="E12" s="21">
        <v>50</v>
      </c>
      <c r="F12" s="21">
        <v>0</v>
      </c>
      <c r="G12" s="21">
        <v>0</v>
      </c>
      <c r="H12" s="54">
        <v>0</v>
      </c>
      <c r="I12" s="17"/>
      <c r="J12" s="14">
        <v>1</v>
      </c>
      <c r="L12" s="7"/>
    </row>
    <row r="13" spans="1:12">
      <c r="A13" s="4" t="s">
        <v>3</v>
      </c>
      <c r="B13" s="17">
        <v>9.4966211650353696E-2</v>
      </c>
      <c r="C13" s="26">
        <v>561</v>
      </c>
      <c r="D13" s="21">
        <v>2</v>
      </c>
      <c r="E13" s="21">
        <v>0</v>
      </c>
      <c r="F13" s="21">
        <v>0</v>
      </c>
      <c r="G13" s="21">
        <v>0</v>
      </c>
      <c r="H13" s="54">
        <v>2</v>
      </c>
      <c r="I13" s="17"/>
      <c r="J13" s="14">
        <v>1</v>
      </c>
      <c r="L13" s="7"/>
    </row>
    <row r="14" spans="1:12">
      <c r="A14" s="4" t="s">
        <v>4</v>
      </c>
      <c r="B14" s="17">
        <v>1.4734184554979501</v>
      </c>
      <c r="C14" s="26">
        <v>554</v>
      </c>
      <c r="D14" s="21">
        <v>87.492335214489501</v>
      </c>
      <c r="E14" s="21">
        <v>73.118651800031401</v>
      </c>
      <c r="F14" s="21">
        <v>7.9510550189216298</v>
      </c>
      <c r="G14" s="21">
        <v>0</v>
      </c>
      <c r="H14" s="54">
        <v>6.4226283955364796</v>
      </c>
      <c r="I14" s="17"/>
      <c r="J14" s="14">
        <v>8</v>
      </c>
      <c r="L14" s="7"/>
    </row>
    <row r="15" spans="1:12">
      <c r="A15" s="4" t="s">
        <v>5</v>
      </c>
      <c r="B15" s="17">
        <v>9.3055577396012197</v>
      </c>
      <c r="C15" s="26">
        <v>568</v>
      </c>
      <c r="D15" s="21">
        <v>62.200952411180801</v>
      </c>
      <c r="E15" s="21">
        <v>49.721489529292803</v>
      </c>
      <c r="F15" s="21">
        <v>2.09571412270388</v>
      </c>
      <c r="G15" s="21">
        <v>3.93441766958358</v>
      </c>
      <c r="H15" s="54">
        <v>6.4493310896005998</v>
      </c>
      <c r="I15" s="17"/>
      <c r="J15" s="14">
        <v>57</v>
      </c>
      <c r="L15" s="7"/>
    </row>
    <row r="16" spans="1:12">
      <c r="A16" s="4" t="s">
        <v>6</v>
      </c>
      <c r="B16" s="17">
        <v>1.00529570785163</v>
      </c>
      <c r="C16" s="26">
        <v>1084</v>
      </c>
      <c r="D16" s="21">
        <v>188.50087853302699</v>
      </c>
      <c r="E16" s="21">
        <v>164.86698543935401</v>
      </c>
      <c r="F16" s="21">
        <v>0</v>
      </c>
      <c r="G16" s="21">
        <v>0</v>
      </c>
      <c r="H16" s="54">
        <v>23.6338930936728</v>
      </c>
      <c r="I16" s="17"/>
      <c r="J16" s="14">
        <v>9</v>
      </c>
      <c r="L16" s="7"/>
    </row>
    <row r="17" spans="1:12">
      <c r="A17" s="4" t="s">
        <v>38</v>
      </c>
      <c r="B17" s="17">
        <v>0.27058243507739499</v>
      </c>
      <c r="C17" s="26">
        <v>570</v>
      </c>
      <c r="D17" s="21">
        <v>50</v>
      </c>
      <c r="E17" s="21">
        <v>25</v>
      </c>
      <c r="F17" s="21">
        <v>0</v>
      </c>
      <c r="G17" s="21">
        <v>0</v>
      </c>
      <c r="H17" s="54">
        <v>25</v>
      </c>
      <c r="I17" s="17"/>
      <c r="J17" s="14">
        <v>1</v>
      </c>
      <c r="L17" s="7"/>
    </row>
    <row r="18" spans="1:12">
      <c r="A18" s="4" t="s">
        <v>7</v>
      </c>
      <c r="B18" s="17">
        <v>25.332807980843803</v>
      </c>
      <c r="C18" s="26">
        <v>854</v>
      </c>
      <c r="D18" s="21">
        <v>29.856126532649501</v>
      </c>
      <c r="E18" s="21">
        <v>23.577289629964099</v>
      </c>
      <c r="F18" s="21">
        <v>0.25167841359403598</v>
      </c>
      <c r="G18" s="21">
        <v>0.57434511575720604</v>
      </c>
      <c r="H18" s="54">
        <v>5.4528133733341999</v>
      </c>
      <c r="I18" s="17"/>
      <c r="J18" s="14">
        <v>218</v>
      </c>
      <c r="L18" s="7"/>
    </row>
    <row r="19" spans="1:12">
      <c r="A19" s="4" t="s">
        <v>8</v>
      </c>
      <c r="B19" s="17">
        <v>0</v>
      </c>
      <c r="C19" s="26">
        <v>557</v>
      </c>
      <c r="D19" s="21">
        <v>0</v>
      </c>
      <c r="E19" s="21">
        <v>0</v>
      </c>
      <c r="F19" s="21">
        <v>0</v>
      </c>
      <c r="G19" s="21">
        <v>0</v>
      </c>
      <c r="H19" s="54">
        <v>0</v>
      </c>
      <c r="I19" s="17"/>
      <c r="J19" s="14">
        <v>0</v>
      </c>
      <c r="L19" s="7"/>
    </row>
    <row r="20" spans="1:12">
      <c r="A20" s="4" t="s">
        <v>9</v>
      </c>
      <c r="B20" s="17">
        <v>25.5465352976608</v>
      </c>
      <c r="C20" s="26">
        <v>854</v>
      </c>
      <c r="D20" s="21">
        <v>79.312183202034504</v>
      </c>
      <c r="E20" s="21">
        <v>55.041706442390399</v>
      </c>
      <c r="F20" s="21">
        <v>2.4677997785147299</v>
      </c>
      <c r="G20" s="21">
        <v>0</v>
      </c>
      <c r="H20" s="54">
        <v>21.802676981129299</v>
      </c>
      <c r="I20" s="17"/>
      <c r="J20" s="14">
        <v>219</v>
      </c>
      <c r="L20" s="7"/>
    </row>
    <row r="21" spans="1:12">
      <c r="A21" s="4" t="s">
        <v>10</v>
      </c>
      <c r="B21" s="17">
        <v>11.1850921953103</v>
      </c>
      <c r="C21" s="26">
        <v>846</v>
      </c>
      <c r="D21" s="21">
        <v>70.458370613363101</v>
      </c>
      <c r="E21" s="21">
        <v>31.993472256741999</v>
      </c>
      <c r="F21" s="21">
        <v>7.1453586915964697</v>
      </c>
      <c r="G21" s="21">
        <v>4.07680560073414</v>
      </c>
      <c r="H21" s="54">
        <v>27.242734064290499</v>
      </c>
      <c r="I21" s="17"/>
      <c r="J21" s="14">
        <v>95</v>
      </c>
      <c r="L21" s="7"/>
    </row>
    <row r="22" spans="1:12">
      <c r="A22" s="4" t="s">
        <v>11</v>
      </c>
      <c r="B22" s="17">
        <v>8.7308993729961397</v>
      </c>
      <c r="C22" s="26">
        <v>852</v>
      </c>
      <c r="D22" s="21">
        <v>63.423753870264001</v>
      </c>
      <c r="E22" s="21">
        <v>45.794387207948297</v>
      </c>
      <c r="F22" s="21">
        <v>4.1672367890939697</v>
      </c>
      <c r="G22" s="21">
        <v>3.4801948773147098</v>
      </c>
      <c r="H22" s="54">
        <v>9.9819349959070092</v>
      </c>
      <c r="I22" s="17"/>
      <c r="J22" s="14">
        <v>82</v>
      </c>
      <c r="L22" s="7"/>
    </row>
    <row r="23" spans="1:12">
      <c r="A23" s="4" t="s">
        <v>12</v>
      </c>
      <c r="B23" s="17">
        <v>0.32279531377203596</v>
      </c>
      <c r="C23" s="26">
        <v>837</v>
      </c>
      <c r="D23" s="21">
        <v>40.911697301145303</v>
      </c>
      <c r="E23" s="21">
        <v>6.6684577048751903</v>
      </c>
      <c r="F23" s="21">
        <v>0</v>
      </c>
      <c r="G23" s="21">
        <v>7.0145557654119397</v>
      </c>
      <c r="H23" s="54">
        <v>27.228683830858099</v>
      </c>
      <c r="I23" s="17"/>
      <c r="J23" s="14">
        <v>3</v>
      </c>
      <c r="L23" s="7"/>
    </row>
    <row r="24" spans="1:12">
      <c r="A24" s="4" t="s">
        <v>13</v>
      </c>
      <c r="B24" s="17">
        <v>1.9665030218650501</v>
      </c>
      <c r="C24" s="26">
        <v>566</v>
      </c>
      <c r="D24" s="21">
        <v>78.453285401023706</v>
      </c>
      <c r="E24" s="21">
        <v>64.944925553191595</v>
      </c>
      <c r="F24" s="21">
        <v>4.2683887866940102</v>
      </c>
      <c r="G24" s="21">
        <v>4.61998553056902E-2</v>
      </c>
      <c r="H24" s="54">
        <v>9.1937712058323608</v>
      </c>
      <c r="I24" s="17"/>
      <c r="J24" s="14">
        <v>12</v>
      </c>
      <c r="L24" s="7"/>
    </row>
    <row r="25" spans="1:12">
      <c r="A25" s="33" t="s">
        <v>32</v>
      </c>
      <c r="B25" s="35"/>
      <c r="C25" s="36"/>
      <c r="D25" s="42"/>
      <c r="E25" s="42"/>
      <c r="F25" s="42"/>
      <c r="G25" s="42"/>
      <c r="H25" s="53"/>
      <c r="I25" s="35"/>
      <c r="J25" s="34"/>
      <c r="L25" s="7"/>
    </row>
    <row r="26" spans="1:12">
      <c r="A26" s="4" t="s">
        <v>39</v>
      </c>
      <c r="B26" s="17">
        <v>8.8809141147825894</v>
      </c>
      <c r="C26" s="26">
        <v>4616</v>
      </c>
      <c r="D26" s="21">
        <v>61.085559978202497</v>
      </c>
      <c r="E26" s="21">
        <v>43.395369428096501</v>
      </c>
      <c r="F26" s="21">
        <v>2.46955618189451</v>
      </c>
      <c r="G26" s="21">
        <v>1.3532813435425901</v>
      </c>
      <c r="H26" s="54">
        <v>13.8673530246687</v>
      </c>
      <c r="I26" s="17"/>
      <c r="J26" s="14">
        <v>407</v>
      </c>
      <c r="L26" s="7"/>
    </row>
    <row r="27" spans="1:12">
      <c r="A27" s="4" t="s">
        <v>40</v>
      </c>
      <c r="B27" s="17">
        <v>5.4981188469069107</v>
      </c>
      <c r="C27" s="26">
        <v>5474</v>
      </c>
      <c r="D27" s="21">
        <v>65.711154453466307</v>
      </c>
      <c r="E27" s="21">
        <v>44.903038242969899</v>
      </c>
      <c r="F27" s="21">
        <v>2.55953225012796</v>
      </c>
      <c r="G27" s="21">
        <v>1.0552974460368301</v>
      </c>
      <c r="H27" s="54">
        <v>17.1932865143316</v>
      </c>
      <c r="I27" s="17"/>
      <c r="J27" s="14">
        <v>299</v>
      </c>
      <c r="L27" s="7"/>
    </row>
    <row r="28" spans="1:12">
      <c r="A28" s="33" t="s">
        <v>31</v>
      </c>
      <c r="B28" s="35"/>
      <c r="C28" s="36"/>
      <c r="D28" s="42"/>
      <c r="E28" s="42"/>
      <c r="F28" s="42"/>
      <c r="G28" s="42"/>
      <c r="H28" s="53"/>
      <c r="I28" s="35"/>
      <c r="J28" s="34"/>
      <c r="L28" s="7"/>
    </row>
    <row r="29" spans="1:12">
      <c r="A29" s="4" t="s">
        <v>41</v>
      </c>
      <c r="B29" s="17">
        <v>1.98598303572072</v>
      </c>
      <c r="C29" s="26">
        <v>37</v>
      </c>
      <c r="D29" s="21">
        <v>5</v>
      </c>
      <c r="E29" s="21">
        <v>5</v>
      </c>
      <c r="F29" s="21">
        <v>0</v>
      </c>
      <c r="G29" s="21">
        <v>0</v>
      </c>
      <c r="H29" s="54">
        <v>0</v>
      </c>
      <c r="I29" s="17"/>
      <c r="J29" s="14">
        <v>1</v>
      </c>
      <c r="L29" s="7"/>
    </row>
    <row r="30" spans="1:12">
      <c r="A30" s="4" t="s">
        <v>42</v>
      </c>
      <c r="B30" s="17">
        <v>4.9170135455158599</v>
      </c>
      <c r="C30" s="26">
        <v>7809</v>
      </c>
      <c r="D30" s="21">
        <v>57.640350282334502</v>
      </c>
      <c r="E30" s="21">
        <v>38.916851619890402</v>
      </c>
      <c r="F30" s="21">
        <v>2.9366680132568899</v>
      </c>
      <c r="G30" s="21">
        <v>1.6578608454063899</v>
      </c>
      <c r="H30" s="54">
        <v>14.1289698037808</v>
      </c>
      <c r="I30" s="17"/>
      <c r="J30" s="14">
        <v>378</v>
      </c>
      <c r="L30" s="7"/>
    </row>
    <row r="31" spans="1:12">
      <c r="A31" s="4" t="s">
        <v>43</v>
      </c>
      <c r="B31" s="17">
        <v>16.049222658258401</v>
      </c>
      <c r="C31" s="26">
        <v>2244</v>
      </c>
      <c r="D31" s="21">
        <v>70.542158607656106</v>
      </c>
      <c r="E31" s="21">
        <v>50.9769334675252</v>
      </c>
      <c r="F31" s="21">
        <v>1.94979432280843</v>
      </c>
      <c r="G31" s="21">
        <v>0.64814285836034402</v>
      </c>
      <c r="H31" s="54">
        <v>16.9672879589621</v>
      </c>
      <c r="I31" s="17"/>
      <c r="J31" s="14">
        <v>327</v>
      </c>
      <c r="L31" s="7"/>
    </row>
    <row r="32" spans="1:12">
      <c r="A32" s="33" t="s">
        <v>30</v>
      </c>
      <c r="B32" s="35"/>
      <c r="C32" s="36"/>
      <c r="D32" s="42"/>
      <c r="E32" s="42"/>
      <c r="F32" s="42"/>
      <c r="G32" s="42"/>
      <c r="H32" s="53"/>
      <c r="I32" s="35"/>
      <c r="J32" s="34"/>
      <c r="L32" s="7"/>
    </row>
    <row r="33" spans="1:12">
      <c r="A33" s="4" t="s">
        <v>44</v>
      </c>
      <c r="B33" s="17">
        <v>10.4094233400628</v>
      </c>
      <c r="C33" s="26">
        <v>1905</v>
      </c>
      <c r="D33" s="21">
        <v>57.2934468844769</v>
      </c>
      <c r="E33" s="21">
        <v>40.746207553480403</v>
      </c>
      <c r="F33" s="21">
        <v>0.650702257446651</v>
      </c>
      <c r="G33" s="21">
        <v>1.6197072262307199</v>
      </c>
      <c r="H33" s="54">
        <v>14.2768298473191</v>
      </c>
      <c r="I33" s="17"/>
      <c r="J33" s="14">
        <v>175</v>
      </c>
      <c r="L33" s="7"/>
    </row>
    <row r="34" spans="1:12">
      <c r="A34" s="4" t="s">
        <v>45</v>
      </c>
      <c r="B34" s="17">
        <v>7.0025934912299999</v>
      </c>
      <c r="C34" s="26">
        <v>55</v>
      </c>
      <c r="D34" s="21">
        <v>155.62085993362101</v>
      </c>
      <c r="E34" s="21">
        <v>155.62085993362101</v>
      </c>
      <c r="F34" s="21">
        <v>0</v>
      </c>
      <c r="G34" s="21">
        <v>0</v>
      </c>
      <c r="H34" s="54">
        <v>0</v>
      </c>
      <c r="I34" s="17"/>
      <c r="J34" s="14">
        <v>4</v>
      </c>
      <c r="L34" s="7"/>
    </row>
    <row r="35" spans="1:12">
      <c r="A35" s="4" t="s">
        <v>46</v>
      </c>
      <c r="B35" s="17">
        <v>11.607459725154801</v>
      </c>
      <c r="C35" s="26">
        <v>2725</v>
      </c>
      <c r="D35" s="21">
        <v>49.438615048099301</v>
      </c>
      <c r="E35" s="21">
        <v>35.655564006511902</v>
      </c>
      <c r="F35" s="21">
        <v>1.97752292762523</v>
      </c>
      <c r="G35" s="21">
        <v>0.35686080912806001</v>
      </c>
      <c r="H35" s="54">
        <v>11.4486673048341</v>
      </c>
      <c r="I35" s="17"/>
      <c r="J35" s="14">
        <v>288</v>
      </c>
      <c r="L35" s="7"/>
    </row>
    <row r="36" spans="1:12">
      <c r="A36" s="4" t="s">
        <v>47</v>
      </c>
      <c r="B36" s="17">
        <v>4.7892930967689198</v>
      </c>
      <c r="C36" s="26">
        <v>4170</v>
      </c>
      <c r="D36" s="21">
        <v>80.888173947916599</v>
      </c>
      <c r="E36" s="21">
        <v>57.468895145910501</v>
      </c>
      <c r="F36" s="21">
        <v>4.5631542589505303</v>
      </c>
      <c r="G36" s="21">
        <v>2.2964613499236202</v>
      </c>
      <c r="H36" s="54">
        <v>16.559663193131801</v>
      </c>
      <c r="I36" s="17"/>
      <c r="J36" s="14">
        <v>203</v>
      </c>
      <c r="L36" s="7"/>
    </row>
    <row r="37" spans="1:12">
      <c r="A37" s="4" t="s">
        <v>48</v>
      </c>
      <c r="B37" s="17">
        <v>2.22166593301742</v>
      </c>
      <c r="C37" s="26">
        <v>946</v>
      </c>
      <c r="D37" s="21">
        <v>88.612495290981698</v>
      </c>
      <c r="E37" s="21">
        <v>35.250429529586498</v>
      </c>
      <c r="F37" s="21">
        <v>4.6761441960263497</v>
      </c>
      <c r="G37" s="21">
        <v>0</v>
      </c>
      <c r="H37" s="54">
        <v>48.685921565368801</v>
      </c>
      <c r="I37" s="17"/>
      <c r="J37" s="14">
        <v>29</v>
      </c>
      <c r="L37" s="7"/>
    </row>
    <row r="38" spans="1:12">
      <c r="A38" s="33" t="s">
        <v>0</v>
      </c>
      <c r="B38" s="35"/>
      <c r="C38" s="36"/>
      <c r="D38" s="42"/>
      <c r="E38" s="42"/>
      <c r="F38" s="42"/>
      <c r="G38" s="42"/>
      <c r="H38" s="53"/>
      <c r="I38" s="35"/>
      <c r="J38" s="34"/>
      <c r="L38" s="7"/>
    </row>
    <row r="39" spans="1:12">
      <c r="A39" s="4" t="s">
        <v>49</v>
      </c>
      <c r="B39" s="17">
        <v>5.82268858878028</v>
      </c>
      <c r="C39" s="26">
        <v>675</v>
      </c>
      <c r="D39" s="21">
        <v>43.650349294840098</v>
      </c>
      <c r="E39" s="21">
        <v>36.508065476446497</v>
      </c>
      <c r="F39" s="21">
        <v>0</v>
      </c>
      <c r="G39" s="21">
        <v>0</v>
      </c>
      <c r="H39" s="54">
        <v>7.1422838183935804</v>
      </c>
      <c r="I39" s="17"/>
      <c r="J39" s="14">
        <v>36</v>
      </c>
      <c r="L39" s="7"/>
    </row>
    <row r="40" spans="1:12">
      <c r="A40" s="4" t="s">
        <v>50</v>
      </c>
      <c r="B40" s="17">
        <v>10.845404323813201</v>
      </c>
      <c r="C40" s="26">
        <v>765</v>
      </c>
      <c r="D40" s="21">
        <v>50.1222889078851</v>
      </c>
      <c r="E40" s="21">
        <v>32.383991676509297</v>
      </c>
      <c r="F40" s="21">
        <v>0.35328680092741099</v>
      </c>
      <c r="G40" s="21">
        <v>0</v>
      </c>
      <c r="H40" s="54">
        <v>17.3850104304484</v>
      </c>
      <c r="I40" s="17"/>
      <c r="J40" s="14">
        <v>71</v>
      </c>
      <c r="L40" s="7"/>
    </row>
    <row r="41" spans="1:12">
      <c r="A41" s="4" t="s">
        <v>51</v>
      </c>
      <c r="B41" s="17">
        <v>12.1927973460418</v>
      </c>
      <c r="C41" s="26">
        <v>839</v>
      </c>
      <c r="D41" s="21">
        <v>36.7805740789263</v>
      </c>
      <c r="E41" s="21">
        <v>26.647805767396701</v>
      </c>
      <c r="F41" s="21">
        <v>0.631040478317628</v>
      </c>
      <c r="G41" s="21">
        <v>0.55867446689785005</v>
      </c>
      <c r="H41" s="54">
        <v>8.9430533663141194</v>
      </c>
      <c r="I41" s="17"/>
      <c r="J41" s="14">
        <v>90</v>
      </c>
      <c r="L41" s="7"/>
    </row>
    <row r="42" spans="1:12">
      <c r="A42" s="4" t="s">
        <v>52</v>
      </c>
      <c r="B42" s="17">
        <v>10.276465719882701</v>
      </c>
      <c r="C42" s="26">
        <v>854</v>
      </c>
      <c r="D42" s="21">
        <v>63.2977668356124</v>
      </c>
      <c r="E42" s="21">
        <v>52.919490030774597</v>
      </c>
      <c r="F42" s="21">
        <v>1.55761285635974</v>
      </c>
      <c r="G42" s="21">
        <v>0.71656816185821004</v>
      </c>
      <c r="H42" s="54">
        <v>8.1040957866199097</v>
      </c>
      <c r="I42" s="17"/>
      <c r="J42" s="14">
        <v>74</v>
      </c>
      <c r="L42" s="7"/>
    </row>
    <row r="43" spans="1:12">
      <c r="A43" s="4" t="s">
        <v>53</v>
      </c>
      <c r="B43" s="17">
        <v>10.3572722298837</v>
      </c>
      <c r="C43" s="26">
        <v>950</v>
      </c>
      <c r="D43" s="21">
        <v>51.407036274829203</v>
      </c>
      <c r="E43" s="21">
        <v>38.809688718834799</v>
      </c>
      <c r="F43" s="21">
        <v>2.66918362458006</v>
      </c>
      <c r="G43" s="21">
        <v>1.04213249970955</v>
      </c>
      <c r="H43" s="54">
        <v>8.8860314317048008</v>
      </c>
      <c r="I43" s="17"/>
      <c r="J43" s="14">
        <v>96</v>
      </c>
      <c r="L43" s="7"/>
    </row>
    <row r="44" spans="1:12">
      <c r="A44" s="4" t="s">
        <v>54</v>
      </c>
      <c r="B44" s="17">
        <v>7.9806794658919404</v>
      </c>
      <c r="C44" s="26">
        <v>1008</v>
      </c>
      <c r="D44" s="21">
        <v>48.604128040367698</v>
      </c>
      <c r="E44" s="21">
        <v>33.2545079991893</v>
      </c>
      <c r="F44" s="21">
        <v>1.8848007520898</v>
      </c>
      <c r="G44" s="21">
        <v>4.6873405943241402E-3</v>
      </c>
      <c r="H44" s="54">
        <v>13.460131948494199</v>
      </c>
      <c r="I44" s="17"/>
      <c r="J44" s="14">
        <v>81</v>
      </c>
      <c r="L44" s="7"/>
    </row>
    <row r="45" spans="1:12">
      <c r="A45" s="4" t="s">
        <v>55</v>
      </c>
      <c r="B45" s="17">
        <v>7.3574684489881301</v>
      </c>
      <c r="C45" s="26">
        <v>1101</v>
      </c>
      <c r="D45" s="21">
        <v>46.770509789891904</v>
      </c>
      <c r="E45" s="21">
        <v>27.9139292598847</v>
      </c>
      <c r="F45" s="21">
        <v>8.4624979049333895</v>
      </c>
      <c r="G45" s="21">
        <v>0.73361786906702997</v>
      </c>
      <c r="H45" s="54">
        <v>9.6604647560067605</v>
      </c>
      <c r="I45" s="17"/>
      <c r="J45" s="14">
        <v>74</v>
      </c>
      <c r="L45" s="7"/>
    </row>
    <row r="46" spans="1:12">
      <c r="A46" s="4" t="s">
        <v>56</v>
      </c>
      <c r="B46" s="17">
        <v>6.8047254240395398</v>
      </c>
      <c r="C46" s="26">
        <v>1197</v>
      </c>
      <c r="D46" s="21">
        <v>117.759835365253</v>
      </c>
      <c r="E46" s="21">
        <v>79.134835394892505</v>
      </c>
      <c r="F46" s="21">
        <v>3.29092286709579</v>
      </c>
      <c r="G46" s="21">
        <v>2.6204623706719001</v>
      </c>
      <c r="H46" s="54">
        <v>32.713614732593499</v>
      </c>
      <c r="I46" s="17"/>
      <c r="J46" s="14">
        <v>92</v>
      </c>
      <c r="L46" s="7"/>
    </row>
    <row r="47" spans="1:12">
      <c r="A47" s="4" t="s">
        <v>57</v>
      </c>
      <c r="B47" s="17">
        <v>3.7380398707496001</v>
      </c>
      <c r="C47" s="26">
        <v>1283</v>
      </c>
      <c r="D47" s="21">
        <v>121.239754505009</v>
      </c>
      <c r="E47" s="21">
        <v>84.662408968471098</v>
      </c>
      <c r="F47" s="21">
        <v>0.76918480341995099</v>
      </c>
      <c r="G47" s="21">
        <v>7.1448622238588104</v>
      </c>
      <c r="H47" s="54">
        <v>28.6632985092591</v>
      </c>
      <c r="I47" s="17"/>
      <c r="J47" s="14">
        <v>57</v>
      </c>
      <c r="L47" s="7"/>
    </row>
    <row r="48" spans="1:12">
      <c r="A48" s="4" t="s">
        <v>58</v>
      </c>
      <c r="B48" s="17">
        <v>2.17570007185458</v>
      </c>
      <c r="C48" s="26">
        <v>1418</v>
      </c>
      <c r="D48" s="21">
        <v>59.122447843021199</v>
      </c>
      <c r="E48" s="21">
        <v>29.688373558192801</v>
      </c>
      <c r="F48" s="21">
        <v>4.7242476015635502</v>
      </c>
      <c r="G48" s="21">
        <v>0</v>
      </c>
      <c r="H48" s="54">
        <v>24.709826683264801</v>
      </c>
      <c r="I48" s="17"/>
      <c r="J48" s="14">
        <v>35</v>
      </c>
      <c r="L48" s="7"/>
    </row>
    <row r="49" spans="1:12">
      <c r="A49" s="33" t="s">
        <v>25</v>
      </c>
      <c r="B49" s="35"/>
      <c r="C49" s="36"/>
      <c r="D49" s="42"/>
      <c r="E49" s="42"/>
      <c r="F49" s="42"/>
      <c r="G49" s="42"/>
      <c r="H49" s="53"/>
      <c r="I49" s="35"/>
      <c r="J49" s="34"/>
      <c r="L49" s="7"/>
    </row>
    <row r="50" spans="1:12">
      <c r="A50" s="6" t="s">
        <v>18</v>
      </c>
      <c r="B50" s="17">
        <v>0</v>
      </c>
      <c r="C50" s="26">
        <v>715</v>
      </c>
      <c r="D50" s="21">
        <v>0</v>
      </c>
      <c r="E50" s="21">
        <v>0</v>
      </c>
      <c r="F50" s="21">
        <v>0</v>
      </c>
      <c r="G50" s="21">
        <v>0</v>
      </c>
      <c r="H50" s="54">
        <v>0</v>
      </c>
      <c r="I50" s="17"/>
      <c r="J50" s="14">
        <v>0</v>
      </c>
      <c r="L50" s="7"/>
    </row>
    <row r="51" spans="1:12">
      <c r="A51" s="6" t="s">
        <v>20</v>
      </c>
      <c r="B51" s="17">
        <v>0</v>
      </c>
      <c r="C51" s="26">
        <v>111</v>
      </c>
      <c r="D51" s="21">
        <v>0</v>
      </c>
      <c r="E51" s="21">
        <v>0</v>
      </c>
      <c r="F51" s="21">
        <v>0</v>
      </c>
      <c r="G51" s="21">
        <v>0</v>
      </c>
      <c r="H51" s="54">
        <v>0</v>
      </c>
      <c r="I51" s="17"/>
      <c r="J51" s="14">
        <v>0</v>
      </c>
      <c r="L51" s="7"/>
    </row>
    <row r="52" spans="1:12">
      <c r="A52" s="6" t="s">
        <v>19</v>
      </c>
      <c r="B52" s="17">
        <v>0</v>
      </c>
      <c r="C52" s="26">
        <v>33</v>
      </c>
      <c r="D52" s="21">
        <v>0</v>
      </c>
      <c r="E52" s="21">
        <v>0</v>
      </c>
      <c r="F52" s="21">
        <v>0</v>
      </c>
      <c r="G52" s="21">
        <v>0</v>
      </c>
      <c r="H52" s="54">
        <v>0</v>
      </c>
      <c r="I52" s="17"/>
      <c r="J52" s="14">
        <v>0</v>
      </c>
      <c r="L52" s="7"/>
    </row>
    <row r="53" spans="1:12">
      <c r="A53" s="6" t="s">
        <v>14</v>
      </c>
      <c r="B53" s="17">
        <v>0.177270688058764</v>
      </c>
      <c r="C53" s="26">
        <v>146</v>
      </c>
      <c r="D53" s="21">
        <v>50</v>
      </c>
      <c r="E53" s="21">
        <v>50</v>
      </c>
      <c r="F53" s="21">
        <v>0</v>
      </c>
      <c r="G53" s="21">
        <v>0</v>
      </c>
      <c r="H53" s="54">
        <v>0</v>
      </c>
      <c r="I53" s="17"/>
      <c r="J53" s="14">
        <v>1</v>
      </c>
      <c r="L53" s="7"/>
    </row>
    <row r="54" spans="1:12">
      <c r="A54" s="6" t="s">
        <v>15</v>
      </c>
      <c r="B54" s="17">
        <v>0</v>
      </c>
      <c r="C54" s="26">
        <v>1292</v>
      </c>
      <c r="D54" s="21">
        <v>0</v>
      </c>
      <c r="E54" s="21">
        <v>0</v>
      </c>
      <c r="F54" s="21">
        <v>0</v>
      </c>
      <c r="G54" s="21">
        <v>0</v>
      </c>
      <c r="H54" s="54">
        <v>0</v>
      </c>
      <c r="I54" s="17"/>
      <c r="J54" s="14">
        <v>0</v>
      </c>
      <c r="L54" s="7"/>
    </row>
    <row r="55" spans="1:12">
      <c r="A55" s="6" t="s">
        <v>16</v>
      </c>
      <c r="B55" s="17">
        <v>12.638317561394999</v>
      </c>
      <c r="C55" s="26">
        <v>4610</v>
      </c>
      <c r="D55" s="21">
        <v>63.219191666011703</v>
      </c>
      <c r="E55" s="21">
        <v>43.784788655732399</v>
      </c>
      <c r="F55" s="21">
        <v>2.31971641560955</v>
      </c>
      <c r="G55" s="21">
        <v>1.16259197416904</v>
      </c>
      <c r="H55" s="54">
        <v>15.952094620500599</v>
      </c>
      <c r="I55" s="17"/>
      <c r="J55" s="14">
        <v>621</v>
      </c>
      <c r="L55" s="7"/>
    </row>
    <row r="56" spans="1:12">
      <c r="A56" s="6" t="s">
        <v>59</v>
      </c>
      <c r="B56" s="17">
        <v>1.2501386003528701</v>
      </c>
      <c r="C56" s="26">
        <v>165</v>
      </c>
      <c r="D56" s="21">
        <v>22.0067726090736</v>
      </c>
      <c r="E56" s="21">
        <v>16.020317827220801</v>
      </c>
      <c r="F56" s="21">
        <v>0</v>
      </c>
      <c r="G56" s="21">
        <v>0</v>
      </c>
      <c r="H56" s="54">
        <v>5.9864547818527702</v>
      </c>
      <c r="I56" s="17"/>
      <c r="J56" s="14">
        <v>2</v>
      </c>
      <c r="L56" s="7"/>
    </row>
    <row r="57" spans="1:12">
      <c r="A57" s="6" t="s">
        <v>60</v>
      </c>
      <c r="B57" s="17">
        <v>0</v>
      </c>
      <c r="C57" s="26">
        <v>108</v>
      </c>
      <c r="D57" s="21">
        <v>0</v>
      </c>
      <c r="E57" s="21">
        <v>0</v>
      </c>
      <c r="F57" s="21">
        <v>0</v>
      </c>
      <c r="G57" s="21">
        <v>0</v>
      </c>
      <c r="H57" s="54">
        <v>0</v>
      </c>
      <c r="I57" s="17"/>
      <c r="J57" s="14">
        <v>0</v>
      </c>
      <c r="L57" s="7"/>
    </row>
    <row r="58" spans="1:12">
      <c r="A58" s="6" t="s">
        <v>21</v>
      </c>
      <c r="B58" s="17">
        <v>0</v>
      </c>
      <c r="C58" s="26">
        <v>35</v>
      </c>
      <c r="D58" s="21">
        <v>0</v>
      </c>
      <c r="E58" s="21">
        <v>0</v>
      </c>
      <c r="F58" s="21">
        <v>0</v>
      </c>
      <c r="G58" s="21">
        <v>0</v>
      </c>
      <c r="H58" s="54">
        <v>0</v>
      </c>
      <c r="I58" s="17"/>
      <c r="J58" s="14">
        <v>0</v>
      </c>
      <c r="L58" s="7"/>
    </row>
    <row r="59" spans="1:12">
      <c r="A59" s="6" t="s">
        <v>61</v>
      </c>
      <c r="B59" s="17">
        <v>0.660209181421477</v>
      </c>
      <c r="C59" s="26">
        <v>1000</v>
      </c>
      <c r="D59" s="21">
        <v>40.964456163746597</v>
      </c>
      <c r="E59" s="21">
        <v>13.1394893677056</v>
      </c>
      <c r="F59" s="21">
        <v>17.435224943795902</v>
      </c>
      <c r="G59" s="21">
        <v>0</v>
      </c>
      <c r="H59" s="54">
        <v>10.389741852245001</v>
      </c>
      <c r="I59" s="17"/>
      <c r="J59" s="14">
        <v>6</v>
      </c>
      <c r="L59" s="7"/>
    </row>
    <row r="60" spans="1:12">
      <c r="A60" s="6" t="s">
        <v>62</v>
      </c>
      <c r="B60" s="17">
        <v>3.5860106396402398</v>
      </c>
      <c r="C60" s="26">
        <v>1272</v>
      </c>
      <c r="D60" s="21">
        <v>63.6567217334105</v>
      </c>
      <c r="E60" s="21">
        <v>51.759604580859303</v>
      </c>
      <c r="F60" s="21">
        <v>3.2124632406907301</v>
      </c>
      <c r="G60" s="21">
        <v>2.9463306616587301</v>
      </c>
      <c r="H60" s="54">
        <v>5.7383232502016703</v>
      </c>
      <c r="I60" s="17"/>
      <c r="J60" s="14">
        <v>66</v>
      </c>
      <c r="L60" s="7"/>
    </row>
    <row r="61" spans="1:12">
      <c r="A61" s="6" t="s">
        <v>17</v>
      </c>
      <c r="B61" s="17">
        <v>0</v>
      </c>
      <c r="C61" s="26">
        <v>31</v>
      </c>
      <c r="D61" s="21">
        <v>0</v>
      </c>
      <c r="E61" s="21">
        <v>0</v>
      </c>
      <c r="F61" s="21">
        <v>0</v>
      </c>
      <c r="G61" s="21">
        <v>0</v>
      </c>
      <c r="H61" s="54">
        <v>0</v>
      </c>
      <c r="I61" s="17"/>
      <c r="J61" s="14">
        <v>0</v>
      </c>
      <c r="L61" s="7"/>
    </row>
    <row r="62" spans="1:12">
      <c r="A62" s="6" t="s">
        <v>63</v>
      </c>
      <c r="B62" s="18">
        <v>1.54012876345753</v>
      </c>
      <c r="C62" s="27">
        <v>572</v>
      </c>
      <c r="D62" s="22">
        <v>87.416193346539302</v>
      </c>
      <c r="E62" s="22">
        <v>71.2502214454164</v>
      </c>
      <c r="F62" s="22">
        <v>5.1081444354502796</v>
      </c>
      <c r="G62" s="22">
        <v>5.5289137328362999E-2</v>
      </c>
      <c r="H62" s="61">
        <v>11.002538328344199</v>
      </c>
      <c r="I62" s="17"/>
      <c r="J62" s="14">
        <v>10</v>
      </c>
      <c r="L62" s="7"/>
    </row>
    <row r="63" spans="1:12">
      <c r="B63" s="20"/>
      <c r="C63" s="23"/>
      <c r="D63" s="25"/>
      <c r="E63" s="20"/>
      <c r="F63" s="20"/>
      <c r="G63" s="20"/>
      <c r="H63" s="63"/>
      <c r="I63" s="20"/>
      <c r="J63" s="23"/>
    </row>
    <row r="64" spans="1:12">
      <c r="B64" s="19"/>
      <c r="C64" s="16"/>
      <c r="D64" s="24"/>
      <c r="E64" s="19"/>
      <c r="F64" s="19"/>
      <c r="G64" s="19"/>
      <c r="H64" s="62"/>
      <c r="I64" s="19"/>
      <c r="J64" s="16"/>
    </row>
    <row r="65" spans="2:10">
      <c r="B65" s="19"/>
      <c r="C65" s="16"/>
      <c r="D65" s="24"/>
      <c r="E65" s="19"/>
      <c r="F65" s="19"/>
      <c r="G65" s="19"/>
      <c r="H65" s="62"/>
      <c r="I65" s="19"/>
      <c r="J65" s="16"/>
    </row>
    <row r="66" spans="2:10">
      <c r="B66" s="19"/>
      <c r="C66" s="16"/>
      <c r="D66" s="24"/>
      <c r="E66" s="19"/>
      <c r="F66" s="19"/>
      <c r="G66" s="19"/>
      <c r="H66" s="62"/>
      <c r="I66" s="19"/>
      <c r="J66" s="16"/>
    </row>
    <row r="67" spans="2:10">
      <c r="B67" s="19"/>
      <c r="C67" s="16"/>
      <c r="D67" s="24"/>
      <c r="E67" s="19"/>
      <c r="F67" s="19"/>
      <c r="G67" s="19"/>
      <c r="H67" s="24"/>
      <c r="I67" s="19"/>
      <c r="J67" s="16"/>
    </row>
    <row r="68" spans="2:10">
      <c r="B68" s="19"/>
      <c r="C68" s="16"/>
      <c r="D68" s="24"/>
      <c r="E68" s="19"/>
      <c r="F68" s="19"/>
      <c r="G68" s="19"/>
      <c r="H68" s="24"/>
      <c r="I68" s="19"/>
      <c r="J68" s="16"/>
    </row>
    <row r="69" spans="2:10">
      <c r="B69" s="19"/>
      <c r="C69" s="16"/>
      <c r="D69" s="24"/>
      <c r="E69" s="19"/>
      <c r="F69" s="19"/>
      <c r="G69" s="19"/>
      <c r="H69" s="19"/>
      <c r="I69" s="19"/>
      <c r="J69" s="16"/>
    </row>
    <row r="70" spans="2:10">
      <c r="B70" s="19"/>
      <c r="C70" s="16"/>
      <c r="D70" s="24"/>
      <c r="E70" s="19"/>
      <c r="F70" s="19"/>
      <c r="G70" s="19"/>
      <c r="H70" s="19"/>
      <c r="I70" s="19"/>
      <c r="J70" s="16"/>
    </row>
    <row r="71" spans="2:10">
      <c r="B71" s="19"/>
      <c r="C71" s="16"/>
      <c r="D71" s="24"/>
      <c r="E71" s="19"/>
      <c r="F71" s="19"/>
      <c r="G71" s="19"/>
      <c r="H71" s="19"/>
      <c r="I71" s="19"/>
      <c r="J71" s="16"/>
    </row>
    <row r="72" spans="2:10">
      <c r="B72" s="19"/>
      <c r="C72" s="16"/>
      <c r="D72" s="24"/>
      <c r="E72" s="19"/>
      <c r="F72" s="19"/>
      <c r="G72" s="19"/>
      <c r="H72" s="19"/>
      <c r="I72" s="19"/>
      <c r="J72" s="16"/>
    </row>
    <row r="73" spans="2:10">
      <c r="B73" s="19"/>
      <c r="C73" s="16"/>
      <c r="D73" s="24"/>
      <c r="E73" s="19"/>
      <c r="F73" s="19"/>
      <c r="G73" s="19"/>
      <c r="H73" s="19"/>
      <c r="I73" s="19"/>
      <c r="J73" s="16"/>
    </row>
    <row r="74" spans="2:10">
      <c r="B74" s="19"/>
      <c r="C74" s="16"/>
      <c r="D74" s="24"/>
      <c r="E74" s="19"/>
      <c r="F74" s="19"/>
      <c r="G74" s="19"/>
      <c r="H74" s="19"/>
      <c r="I74" s="19"/>
      <c r="J74" s="16"/>
    </row>
    <row r="75" spans="2:10">
      <c r="B75" s="19"/>
      <c r="C75" s="19"/>
      <c r="D75" s="24"/>
      <c r="E75" s="19"/>
      <c r="F75" s="19"/>
      <c r="G75" s="19"/>
      <c r="H75" s="19"/>
      <c r="I75" s="19"/>
      <c r="J75" s="16"/>
    </row>
    <row r="76" spans="2:10">
      <c r="B76" s="19"/>
      <c r="C76" s="19"/>
      <c r="D76" s="24"/>
      <c r="E76" s="19"/>
      <c r="F76" s="19"/>
      <c r="G76" s="19"/>
      <c r="H76" s="19"/>
      <c r="I76" s="19"/>
      <c r="J76" s="16"/>
    </row>
    <row r="77" spans="2:10">
      <c r="B77" s="19"/>
      <c r="C77" s="19"/>
      <c r="D77" s="24"/>
      <c r="E77" s="19"/>
      <c r="F77" s="19"/>
      <c r="G77" s="19"/>
      <c r="H77" s="19"/>
      <c r="I77" s="19"/>
      <c r="J77" s="16"/>
    </row>
    <row r="78" spans="2:10">
      <c r="B78" s="19"/>
      <c r="C78" s="19"/>
      <c r="D78" s="24"/>
      <c r="E78" s="19"/>
      <c r="F78" s="19"/>
      <c r="G78" s="19"/>
      <c r="H78" s="19"/>
      <c r="I78" s="19"/>
      <c r="J78" s="16"/>
    </row>
    <row r="79" spans="2:10">
      <c r="B79" s="19"/>
      <c r="C79" s="19"/>
      <c r="D79" s="24"/>
      <c r="E79" s="19"/>
      <c r="F79" s="19"/>
      <c r="G79" s="19"/>
      <c r="H79" s="19"/>
      <c r="I79" s="19"/>
      <c r="J79" s="16"/>
    </row>
    <row r="80" spans="2:10">
      <c r="B80" s="19"/>
      <c r="C80" s="19"/>
      <c r="D80" s="24"/>
      <c r="E80" s="19"/>
      <c r="F80" s="19"/>
      <c r="G80" s="19"/>
      <c r="H80" s="19"/>
      <c r="I80" s="19"/>
      <c r="J80" s="16"/>
    </row>
    <row r="81" spans="2:10">
      <c r="B81" s="19"/>
      <c r="C81" s="19"/>
      <c r="D81" s="19"/>
      <c r="E81" s="19"/>
      <c r="F81" s="19"/>
      <c r="G81" s="19"/>
      <c r="H81" s="19"/>
      <c r="I81" s="16"/>
      <c r="J81" s="16"/>
    </row>
    <row r="82" spans="2:10">
      <c r="B82" s="19"/>
      <c r="C82" s="19"/>
      <c r="D82" s="19"/>
      <c r="E82" s="19"/>
      <c r="F82" s="19"/>
      <c r="G82" s="19"/>
      <c r="H82" s="19"/>
      <c r="I82" s="16"/>
      <c r="J82" s="16"/>
    </row>
    <row r="83" spans="2:10">
      <c r="B83" s="19"/>
      <c r="C83" s="19"/>
      <c r="D83" s="19"/>
      <c r="E83" s="19"/>
      <c r="F83" s="19"/>
      <c r="G83" s="19"/>
      <c r="H83" s="19"/>
      <c r="I83" s="16"/>
      <c r="J83" s="16"/>
    </row>
    <row r="84" spans="2:10">
      <c r="B84" s="19"/>
      <c r="C84" s="19"/>
      <c r="D84" s="19"/>
      <c r="E84" s="19"/>
      <c r="F84" s="19"/>
      <c r="G84" s="19"/>
      <c r="H84" s="19"/>
      <c r="I84" s="16"/>
      <c r="J84" s="16"/>
    </row>
    <row r="85" spans="2:10">
      <c r="B85" s="19"/>
      <c r="C85" s="19"/>
      <c r="D85" s="19"/>
      <c r="E85" s="19"/>
      <c r="F85" s="19"/>
      <c r="G85" s="19"/>
      <c r="H85" s="19"/>
      <c r="I85" s="16"/>
      <c r="J85" s="16"/>
    </row>
    <row r="86" spans="2:10">
      <c r="B86" s="19"/>
      <c r="C86" s="19"/>
      <c r="D86" s="19"/>
      <c r="E86" s="19"/>
      <c r="F86" s="19"/>
      <c r="G86" s="19"/>
      <c r="H86" s="19"/>
      <c r="I86" s="16"/>
      <c r="J86" s="16"/>
    </row>
    <row r="87" spans="2:10">
      <c r="B87" s="19"/>
      <c r="C87" s="16"/>
      <c r="D87" s="19"/>
      <c r="E87" s="19"/>
      <c r="F87" s="19"/>
      <c r="G87" s="19"/>
      <c r="H87" s="19"/>
      <c r="I87" s="16"/>
      <c r="J87" s="16"/>
    </row>
    <row r="88" spans="2:10">
      <c r="B88" s="19"/>
      <c r="D88" s="19"/>
      <c r="E88" s="19"/>
      <c r="F88" s="19"/>
      <c r="G88" s="19"/>
      <c r="H88" s="19"/>
    </row>
    <row r="89" spans="2:10">
      <c r="B89" s="19"/>
      <c r="D89" s="19"/>
      <c r="E89" s="19"/>
      <c r="F89" s="19"/>
      <c r="G89" s="19"/>
      <c r="H89" s="19"/>
    </row>
    <row r="90" spans="2:10">
      <c r="B90" s="19"/>
      <c r="D90" s="19"/>
      <c r="E90" s="19"/>
      <c r="F90" s="19"/>
      <c r="G90" s="19"/>
      <c r="H90" s="19"/>
    </row>
    <row r="91" spans="2:10">
      <c r="B91" s="19"/>
      <c r="D91" s="19"/>
      <c r="E91" s="19"/>
      <c r="F91" s="19"/>
      <c r="G91" s="19"/>
      <c r="H91" s="19"/>
    </row>
    <row r="92" spans="2:10">
      <c r="B92" s="19"/>
      <c r="D92" s="19"/>
      <c r="E92" s="19"/>
      <c r="F92" s="19"/>
      <c r="G92" s="19"/>
      <c r="H92" s="19"/>
    </row>
    <row r="93" spans="2:10">
      <c r="B93" s="16"/>
      <c r="D93" s="16"/>
      <c r="E93" s="16"/>
      <c r="F93" s="16"/>
      <c r="G93" s="16"/>
      <c r="H93" s="19"/>
    </row>
    <row r="94" spans="2:10">
      <c r="E94" s="16"/>
      <c r="F94" s="16"/>
      <c r="G94" s="16"/>
      <c r="H94" s="19"/>
    </row>
    <row r="95" spans="2:10">
      <c r="E95" s="16"/>
      <c r="F95" s="16"/>
      <c r="G95" s="16"/>
      <c r="H95" s="19"/>
    </row>
    <row r="96" spans="2:10">
      <c r="E96" s="16"/>
      <c r="F96" s="16"/>
      <c r="G96" s="16"/>
      <c r="H96" s="19"/>
    </row>
    <row r="97" spans="5:8">
      <c r="E97" s="16"/>
      <c r="F97" s="16"/>
      <c r="G97" s="16"/>
      <c r="H97" s="19"/>
    </row>
    <row r="98" spans="5:8">
      <c r="E98" s="16"/>
      <c r="F98" s="16"/>
      <c r="G98" s="16"/>
      <c r="H98" s="19"/>
    </row>
    <row r="99" spans="5:8">
      <c r="H99" s="16"/>
    </row>
    <row r="100" spans="5:8">
      <c r="H100" s="16"/>
    </row>
    <row r="101" spans="5:8">
      <c r="H101" s="16"/>
    </row>
    <row r="102" spans="5:8">
      <c r="H102" s="16"/>
    </row>
    <row r="103" spans="5:8">
      <c r="H103" s="16"/>
    </row>
    <row r="104" spans="5:8">
      <c r="H104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7132-BB73-4D78-8A01-A31C81DB3E9D}">
  <dimension ref="A1:K103"/>
  <sheetViews>
    <sheetView zoomScale="80" zoomScaleNormal="80" workbookViewId="0">
      <selection activeCell="J47" sqref="J47"/>
    </sheetView>
  </sheetViews>
  <sheetFormatPr defaultColWidth="15.25" defaultRowHeight="13"/>
  <cols>
    <col min="1" max="1" width="16.4140625" style="2" customWidth="1"/>
    <col min="2" max="2" width="12.6640625" style="5" customWidth="1"/>
    <col min="3" max="3" width="7.6640625" style="5" customWidth="1"/>
    <col min="4" max="8" width="12.6640625" style="5" customWidth="1"/>
    <col min="9" max="9" width="7.25" style="5" customWidth="1"/>
    <col min="10" max="16384" width="15.25" style="2"/>
  </cols>
  <sheetData>
    <row r="1" spans="1:11">
      <c r="A1" s="3" t="s">
        <v>109</v>
      </c>
    </row>
    <row r="3" spans="1:11" ht="91">
      <c r="B3" s="8" t="s">
        <v>110</v>
      </c>
      <c r="C3" s="8" t="s">
        <v>36</v>
      </c>
      <c r="D3" s="13" t="s">
        <v>111</v>
      </c>
      <c r="E3" s="13" t="s">
        <v>112</v>
      </c>
      <c r="F3" s="13" t="s">
        <v>113</v>
      </c>
      <c r="G3" s="13" t="s">
        <v>114</v>
      </c>
      <c r="H3" s="13" t="s">
        <v>115</v>
      </c>
      <c r="I3" s="13" t="s">
        <v>36</v>
      </c>
    </row>
    <row r="4" spans="1:11">
      <c r="B4" s="9" t="s">
        <v>35</v>
      </c>
      <c r="C4" s="9"/>
      <c r="D4" s="11" t="s">
        <v>89</v>
      </c>
      <c r="E4" s="11" t="s">
        <v>89</v>
      </c>
      <c r="F4" s="11" t="s">
        <v>89</v>
      </c>
      <c r="G4" s="11" t="s">
        <v>89</v>
      </c>
      <c r="H4" s="11" t="s">
        <v>34</v>
      </c>
      <c r="I4" s="11"/>
    </row>
    <row r="5" spans="1:11">
      <c r="A5" s="1" t="s">
        <v>28</v>
      </c>
      <c r="B5" s="17">
        <v>5.2700000000000004E-2</v>
      </c>
      <c r="C5" s="26">
        <v>10090</v>
      </c>
      <c r="D5" s="21">
        <v>86.243266000000006</v>
      </c>
      <c r="E5" s="21">
        <v>70.290805000000006</v>
      </c>
      <c r="F5" s="21">
        <v>7.7371280000000002</v>
      </c>
      <c r="G5" s="21">
        <v>0</v>
      </c>
      <c r="H5" s="14"/>
      <c r="I5" s="14">
        <v>7</v>
      </c>
    </row>
    <row r="6" spans="1:11">
      <c r="A6" s="33" t="s">
        <v>29</v>
      </c>
      <c r="B6" s="34"/>
      <c r="C6" s="34"/>
      <c r="D6" s="34"/>
      <c r="E6" s="34"/>
      <c r="F6" s="34"/>
      <c r="G6" s="34"/>
      <c r="H6" s="34"/>
      <c r="I6" s="34"/>
    </row>
    <row r="7" spans="1:11">
      <c r="A7" s="4" t="s">
        <v>24</v>
      </c>
      <c r="B7" s="17">
        <v>0.114784686651084</v>
      </c>
      <c r="C7" s="26">
        <v>5535</v>
      </c>
      <c r="D7" s="21">
        <v>86.243265926630201</v>
      </c>
      <c r="E7" s="21">
        <v>70.290805379932493</v>
      </c>
      <c r="F7" s="21">
        <v>7.7371275591904602</v>
      </c>
      <c r="G7" s="21">
        <v>0</v>
      </c>
      <c r="H7" s="17"/>
      <c r="I7" s="14">
        <v>7</v>
      </c>
      <c r="K7" s="7"/>
    </row>
    <row r="8" spans="1:11">
      <c r="A8" s="4" t="s">
        <v>23</v>
      </c>
      <c r="B8" s="17">
        <v>0</v>
      </c>
      <c r="C8" s="32">
        <v>4555</v>
      </c>
      <c r="D8" s="21">
        <v>0</v>
      </c>
      <c r="E8" s="21">
        <v>0</v>
      </c>
      <c r="F8" s="21">
        <v>0</v>
      </c>
      <c r="G8" s="21">
        <v>0</v>
      </c>
      <c r="H8" s="17"/>
      <c r="I8" s="14">
        <v>0</v>
      </c>
      <c r="K8" s="7"/>
    </row>
    <row r="9" spans="1:11">
      <c r="A9" s="33" t="s">
        <v>22</v>
      </c>
      <c r="B9" s="35"/>
      <c r="C9" s="36"/>
      <c r="D9" s="42"/>
      <c r="E9" s="42"/>
      <c r="F9" s="42"/>
      <c r="G9" s="42"/>
      <c r="H9" s="35"/>
      <c r="I9" s="34"/>
      <c r="K9" s="7"/>
    </row>
    <row r="10" spans="1:11">
      <c r="A10" s="4" t="s">
        <v>1</v>
      </c>
      <c r="B10" s="17">
        <v>0</v>
      </c>
      <c r="C10" s="26">
        <v>559</v>
      </c>
      <c r="D10" s="21">
        <v>0</v>
      </c>
      <c r="E10" s="21">
        <v>0</v>
      </c>
      <c r="F10" s="21">
        <v>0</v>
      </c>
      <c r="G10" s="21">
        <v>0</v>
      </c>
      <c r="H10" s="17"/>
      <c r="I10" s="14">
        <v>0</v>
      </c>
      <c r="K10" s="7"/>
    </row>
    <row r="11" spans="1:11">
      <c r="A11" s="4" t="s">
        <v>2</v>
      </c>
      <c r="B11" s="17">
        <v>0</v>
      </c>
      <c r="C11" s="26">
        <v>828</v>
      </c>
      <c r="D11" s="21">
        <v>0</v>
      </c>
      <c r="E11" s="21">
        <v>0</v>
      </c>
      <c r="F11" s="21">
        <v>0</v>
      </c>
      <c r="G11" s="21">
        <v>0</v>
      </c>
      <c r="H11" s="17"/>
      <c r="I11" s="14">
        <v>0</v>
      </c>
      <c r="K11" s="7"/>
    </row>
    <row r="12" spans="1:11">
      <c r="A12" s="4" t="s">
        <v>3</v>
      </c>
      <c r="B12" s="17">
        <v>0</v>
      </c>
      <c r="C12" s="26">
        <v>561</v>
      </c>
      <c r="D12" s="21">
        <v>0</v>
      </c>
      <c r="E12" s="21">
        <v>0</v>
      </c>
      <c r="F12" s="21">
        <v>0</v>
      </c>
      <c r="G12" s="21">
        <v>0</v>
      </c>
      <c r="H12" s="17"/>
      <c r="I12" s="14">
        <v>0</v>
      </c>
      <c r="K12" s="7"/>
    </row>
    <row r="13" spans="1:11">
      <c r="A13" s="4" t="s">
        <v>4</v>
      </c>
      <c r="B13" s="17">
        <v>0</v>
      </c>
      <c r="C13" s="26">
        <v>554</v>
      </c>
      <c r="D13" s="21">
        <v>0</v>
      </c>
      <c r="E13" s="21">
        <v>0</v>
      </c>
      <c r="F13" s="21">
        <v>0</v>
      </c>
      <c r="G13" s="21">
        <v>0</v>
      </c>
      <c r="H13" s="17"/>
      <c r="I13" s="14">
        <v>0</v>
      </c>
      <c r="K13" s="7"/>
    </row>
    <row r="14" spans="1:11">
      <c r="A14" s="4" t="s">
        <v>5</v>
      </c>
      <c r="B14" s="17">
        <v>0</v>
      </c>
      <c r="C14" s="26">
        <v>568</v>
      </c>
      <c r="D14" s="21">
        <v>0</v>
      </c>
      <c r="E14" s="21">
        <v>0</v>
      </c>
      <c r="F14" s="21">
        <v>0</v>
      </c>
      <c r="G14" s="21">
        <v>0</v>
      </c>
      <c r="H14" s="17"/>
      <c r="I14" s="14">
        <v>0</v>
      </c>
      <c r="K14" s="7"/>
    </row>
    <row r="15" spans="1:11">
      <c r="A15" s="4" t="s">
        <v>6</v>
      </c>
      <c r="B15" s="17">
        <v>0</v>
      </c>
      <c r="C15" s="26">
        <v>1084</v>
      </c>
      <c r="D15" s="21">
        <v>0</v>
      </c>
      <c r="E15" s="21">
        <v>0</v>
      </c>
      <c r="F15" s="21">
        <v>0</v>
      </c>
      <c r="G15" s="21">
        <v>0</v>
      </c>
      <c r="H15" s="17"/>
      <c r="I15" s="14">
        <v>0</v>
      </c>
      <c r="K15" s="7"/>
    </row>
    <row r="16" spans="1:11">
      <c r="A16" s="4" t="s">
        <v>38</v>
      </c>
      <c r="B16" s="17">
        <v>0.28594133633570401</v>
      </c>
      <c r="C16" s="26">
        <v>570</v>
      </c>
      <c r="D16" s="21">
        <v>50</v>
      </c>
      <c r="E16" s="21">
        <v>50</v>
      </c>
      <c r="F16" s="21">
        <v>0</v>
      </c>
      <c r="G16" s="21">
        <v>0</v>
      </c>
      <c r="H16" s="17"/>
      <c r="I16" s="14">
        <v>1</v>
      </c>
      <c r="K16" s="7"/>
    </row>
    <row r="17" spans="1:11">
      <c r="A17" s="4" t="s">
        <v>7</v>
      </c>
      <c r="B17" s="17">
        <v>0</v>
      </c>
      <c r="C17" s="26">
        <v>854</v>
      </c>
      <c r="D17" s="21">
        <v>0</v>
      </c>
      <c r="E17" s="21">
        <v>0</v>
      </c>
      <c r="F17" s="21">
        <v>0</v>
      </c>
      <c r="G17" s="21">
        <v>0</v>
      </c>
      <c r="H17" s="17"/>
      <c r="I17" s="14">
        <v>0</v>
      </c>
      <c r="K17" s="7"/>
    </row>
    <row r="18" spans="1:11">
      <c r="A18" s="4" t="s">
        <v>8</v>
      </c>
      <c r="B18" s="17">
        <v>0</v>
      </c>
      <c r="C18" s="26">
        <v>557</v>
      </c>
      <c r="D18" s="21">
        <v>0</v>
      </c>
      <c r="E18" s="21">
        <v>0</v>
      </c>
      <c r="F18" s="21">
        <v>0</v>
      </c>
      <c r="G18" s="21">
        <v>0</v>
      </c>
      <c r="H18" s="17"/>
      <c r="I18" s="14">
        <v>0</v>
      </c>
      <c r="K18" s="7"/>
    </row>
    <row r="19" spans="1:11">
      <c r="A19" s="4" t="s">
        <v>9</v>
      </c>
      <c r="B19" s="17">
        <v>0</v>
      </c>
      <c r="C19" s="26">
        <v>854</v>
      </c>
      <c r="D19" s="21">
        <v>0</v>
      </c>
      <c r="E19" s="21">
        <v>0</v>
      </c>
      <c r="F19" s="21">
        <v>0</v>
      </c>
      <c r="G19" s="21">
        <v>0</v>
      </c>
      <c r="H19" s="17"/>
      <c r="I19" s="14">
        <v>0</v>
      </c>
      <c r="K19" s="7"/>
    </row>
    <row r="20" spans="1:11">
      <c r="A20" s="4" t="s">
        <v>10</v>
      </c>
      <c r="B20" s="17">
        <v>0</v>
      </c>
      <c r="C20" s="26">
        <v>846</v>
      </c>
      <c r="D20" s="21">
        <v>0</v>
      </c>
      <c r="E20" s="21">
        <v>0</v>
      </c>
      <c r="F20" s="21">
        <v>0</v>
      </c>
      <c r="G20" s="21">
        <v>0</v>
      </c>
      <c r="H20" s="17"/>
      <c r="I20" s="14">
        <v>0</v>
      </c>
      <c r="K20" s="7"/>
    </row>
    <row r="21" spans="1:11">
      <c r="A21" s="4" t="s">
        <v>11</v>
      </c>
      <c r="B21" s="17">
        <v>0.54424334786234496</v>
      </c>
      <c r="C21" s="26">
        <v>852</v>
      </c>
      <c r="D21" s="21">
        <v>96.114597933280393</v>
      </c>
      <c r="E21" s="21">
        <v>75.817274131206602</v>
      </c>
      <c r="F21" s="21">
        <v>9.8444364057272296</v>
      </c>
      <c r="G21" s="21">
        <v>0</v>
      </c>
      <c r="H21" s="17"/>
      <c r="I21" s="14">
        <v>6</v>
      </c>
      <c r="K21" s="7"/>
    </row>
    <row r="22" spans="1:11">
      <c r="A22" s="4" t="s">
        <v>12</v>
      </c>
      <c r="B22" s="17">
        <v>0</v>
      </c>
      <c r="C22" s="26">
        <v>837</v>
      </c>
      <c r="D22" s="21">
        <v>0</v>
      </c>
      <c r="E22" s="21">
        <v>0</v>
      </c>
      <c r="F22" s="21">
        <v>0</v>
      </c>
      <c r="G22" s="21">
        <v>0</v>
      </c>
      <c r="H22" s="17"/>
      <c r="I22" s="14">
        <v>0</v>
      </c>
      <c r="K22" s="7"/>
    </row>
    <row r="23" spans="1:11">
      <c r="A23" s="4" t="s">
        <v>13</v>
      </c>
      <c r="B23" s="17">
        <v>0</v>
      </c>
      <c r="C23" s="26">
        <v>566</v>
      </c>
      <c r="D23" s="21">
        <v>0</v>
      </c>
      <c r="E23" s="21">
        <v>0</v>
      </c>
      <c r="F23" s="21">
        <v>0</v>
      </c>
      <c r="G23" s="21">
        <v>0</v>
      </c>
      <c r="H23" s="17"/>
      <c r="I23" s="14">
        <v>0</v>
      </c>
      <c r="K23" s="7"/>
    </row>
    <row r="24" spans="1:11">
      <c r="A24" s="33" t="s">
        <v>32</v>
      </c>
      <c r="B24" s="35"/>
      <c r="C24" s="36"/>
      <c r="D24" s="42"/>
      <c r="E24" s="42"/>
      <c r="F24" s="42"/>
      <c r="G24" s="42"/>
      <c r="H24" s="35"/>
      <c r="I24" s="34"/>
      <c r="K24" s="7"/>
    </row>
    <row r="25" spans="1:11">
      <c r="A25" s="4" t="s">
        <v>39</v>
      </c>
      <c r="B25" s="17">
        <v>8.5225456087355697E-2</v>
      </c>
      <c r="C25" s="26">
        <v>4616</v>
      </c>
      <c r="D25" s="21">
        <v>85.917666093781605</v>
      </c>
      <c r="E25" s="21">
        <v>73.571702998159594</v>
      </c>
      <c r="F25" s="21">
        <v>10.855658565669801</v>
      </c>
      <c r="G25" s="21">
        <v>0</v>
      </c>
      <c r="H25" s="17"/>
      <c r="I25" s="14">
        <v>5</v>
      </c>
      <c r="K25" s="7"/>
    </row>
    <row r="26" spans="1:11">
      <c r="A26" s="4" t="s">
        <v>40</v>
      </c>
      <c r="B26" s="17">
        <v>2.7023870855951201E-2</v>
      </c>
      <c r="C26" s="26">
        <v>5474</v>
      </c>
      <c r="D26" s="21">
        <v>87.051084554941696</v>
      </c>
      <c r="E26" s="21">
        <v>62.150843542732403</v>
      </c>
      <c r="F26" s="21">
        <v>0</v>
      </c>
      <c r="G26" s="21">
        <v>0</v>
      </c>
      <c r="H26" s="17"/>
      <c r="I26" s="14">
        <v>2</v>
      </c>
      <c r="K26" s="7"/>
    </row>
    <row r="27" spans="1:11">
      <c r="A27" s="33" t="s">
        <v>31</v>
      </c>
      <c r="B27" s="35"/>
      <c r="C27" s="36"/>
      <c r="D27" s="42"/>
      <c r="E27" s="42"/>
      <c r="F27" s="42"/>
      <c r="G27" s="42"/>
      <c r="H27" s="35"/>
      <c r="I27" s="34"/>
      <c r="K27" s="7"/>
    </row>
    <row r="28" spans="1:11">
      <c r="A28" s="4" t="s">
        <v>41</v>
      </c>
      <c r="B28" s="17">
        <v>0</v>
      </c>
      <c r="C28" s="26">
        <v>37</v>
      </c>
      <c r="D28" s="21">
        <v>0</v>
      </c>
      <c r="E28" s="21">
        <v>0</v>
      </c>
      <c r="F28" s="21">
        <v>0</v>
      </c>
      <c r="G28" s="21">
        <v>0</v>
      </c>
      <c r="H28" s="17"/>
      <c r="I28" s="14">
        <v>0</v>
      </c>
      <c r="K28" s="7"/>
    </row>
    <row r="29" spans="1:11">
      <c r="A29" s="4" t="s">
        <v>42</v>
      </c>
      <c r="B29" s="17">
        <v>3.8510913014626696E-2</v>
      </c>
      <c r="C29" s="26">
        <v>7809</v>
      </c>
      <c r="D29" s="21">
        <v>101.462328279511</v>
      </c>
      <c r="E29" s="21">
        <v>86.997958367894498</v>
      </c>
      <c r="F29" s="21">
        <v>13.0784290206848</v>
      </c>
      <c r="G29" s="21">
        <v>0</v>
      </c>
      <c r="H29" s="17"/>
      <c r="I29" s="14">
        <v>4</v>
      </c>
      <c r="K29" s="7"/>
    </row>
    <row r="30" spans="1:11">
      <c r="A30" s="4" t="s">
        <v>43</v>
      </c>
      <c r="B30" s="17">
        <v>0.11493749143557701</v>
      </c>
      <c r="C30" s="26">
        <v>2244</v>
      </c>
      <c r="D30" s="21">
        <v>64.197734962989898</v>
      </c>
      <c r="E30" s="21">
        <v>46.089704814714601</v>
      </c>
      <c r="F30" s="21">
        <v>0</v>
      </c>
      <c r="G30" s="21">
        <v>0</v>
      </c>
      <c r="H30" s="17"/>
      <c r="I30" s="14">
        <v>3</v>
      </c>
      <c r="K30" s="7"/>
    </row>
    <row r="31" spans="1:11">
      <c r="A31" s="33" t="s">
        <v>30</v>
      </c>
      <c r="B31" s="35"/>
      <c r="C31" s="36"/>
      <c r="D31" s="42"/>
      <c r="E31" s="42"/>
      <c r="F31" s="42"/>
      <c r="G31" s="42"/>
      <c r="H31" s="35"/>
      <c r="I31" s="34"/>
      <c r="K31" s="7"/>
    </row>
    <row r="32" spans="1:11">
      <c r="A32" s="4" t="s">
        <v>44</v>
      </c>
      <c r="B32" s="17">
        <v>6.0145020312497799E-2</v>
      </c>
      <c r="C32" s="26">
        <v>1905</v>
      </c>
      <c r="D32" s="21">
        <v>20</v>
      </c>
      <c r="E32" s="21">
        <v>10</v>
      </c>
      <c r="F32" s="21">
        <v>0</v>
      </c>
      <c r="G32" s="21">
        <v>0</v>
      </c>
      <c r="H32" s="17"/>
      <c r="I32" s="14">
        <v>1</v>
      </c>
      <c r="K32" s="7"/>
    </row>
    <row r="33" spans="1:11">
      <c r="A33" s="4" t="s">
        <v>45</v>
      </c>
      <c r="B33" s="17">
        <v>0</v>
      </c>
      <c r="C33" s="26">
        <v>55</v>
      </c>
      <c r="D33" s="21">
        <v>0</v>
      </c>
      <c r="E33" s="21">
        <v>0</v>
      </c>
      <c r="F33" s="21">
        <v>0</v>
      </c>
      <c r="G33" s="21">
        <v>0</v>
      </c>
      <c r="H33" s="17"/>
      <c r="I33" s="14">
        <v>0</v>
      </c>
      <c r="K33" s="7"/>
    </row>
    <row r="34" spans="1:11">
      <c r="A34" s="4" t="s">
        <v>46</v>
      </c>
      <c r="B34" s="17">
        <v>0.12064004203153299</v>
      </c>
      <c r="C34" s="26">
        <v>2725</v>
      </c>
      <c r="D34" s="21">
        <v>102.00215513486999</v>
      </c>
      <c r="E34" s="21">
        <v>92.0595104416754</v>
      </c>
      <c r="F34" s="21">
        <v>0</v>
      </c>
      <c r="G34" s="21">
        <v>0</v>
      </c>
      <c r="H34" s="17"/>
      <c r="I34" s="14">
        <v>4</v>
      </c>
      <c r="K34" s="7"/>
    </row>
    <row r="35" spans="1:11">
      <c r="A35" s="4" t="s">
        <v>47</v>
      </c>
      <c r="B35" s="17">
        <v>1.2207229017606598E-2</v>
      </c>
      <c r="C35" s="26">
        <v>4170</v>
      </c>
      <c r="D35" s="21">
        <v>20</v>
      </c>
      <c r="E35" s="21">
        <v>12</v>
      </c>
      <c r="F35" s="21">
        <v>0</v>
      </c>
      <c r="G35" s="21">
        <v>0</v>
      </c>
      <c r="H35" s="17"/>
      <c r="I35" s="14">
        <v>1</v>
      </c>
      <c r="K35" s="7"/>
    </row>
    <row r="36" spans="1:11">
      <c r="A36" s="4" t="s">
        <v>48</v>
      </c>
      <c r="B36" s="17">
        <v>7.2422325400137599E-2</v>
      </c>
      <c r="C36" s="26">
        <v>946</v>
      </c>
      <c r="D36" s="21">
        <v>150</v>
      </c>
      <c r="E36" s="21">
        <v>99.999999999999901</v>
      </c>
      <c r="F36" s="21">
        <v>49.999999999999901</v>
      </c>
      <c r="G36" s="21">
        <v>0</v>
      </c>
      <c r="H36" s="17"/>
      <c r="I36" s="14">
        <v>1</v>
      </c>
      <c r="K36" s="7"/>
    </row>
    <row r="37" spans="1:11">
      <c r="A37" s="33" t="s">
        <v>0</v>
      </c>
      <c r="B37" s="35"/>
      <c r="C37" s="36"/>
      <c r="D37" s="42"/>
      <c r="E37" s="42"/>
      <c r="F37" s="42"/>
      <c r="G37" s="42"/>
      <c r="H37" s="35"/>
      <c r="I37" s="34"/>
      <c r="K37" s="7"/>
    </row>
    <row r="38" spans="1:11">
      <c r="A38" s="4" t="s">
        <v>49</v>
      </c>
      <c r="B38" s="17">
        <v>0</v>
      </c>
      <c r="C38" s="26">
        <v>675</v>
      </c>
      <c r="D38" s="21">
        <v>0</v>
      </c>
      <c r="E38" s="21">
        <v>0</v>
      </c>
      <c r="F38" s="21">
        <v>0</v>
      </c>
      <c r="G38" s="21">
        <v>0</v>
      </c>
      <c r="H38" s="17"/>
      <c r="I38" s="14">
        <v>0</v>
      </c>
      <c r="K38" s="7"/>
    </row>
    <row r="39" spans="1:11">
      <c r="A39" s="4" t="s">
        <v>50</v>
      </c>
      <c r="B39" s="17">
        <v>0</v>
      </c>
      <c r="C39" s="26">
        <v>765</v>
      </c>
      <c r="D39" s="21">
        <v>0</v>
      </c>
      <c r="E39" s="21">
        <v>0</v>
      </c>
      <c r="F39" s="21">
        <v>0</v>
      </c>
      <c r="G39" s="21">
        <v>0</v>
      </c>
      <c r="H39" s="17"/>
      <c r="I39" s="14">
        <v>0</v>
      </c>
      <c r="K39" s="7"/>
    </row>
    <row r="40" spans="1:11">
      <c r="A40" s="4" t="s">
        <v>51</v>
      </c>
      <c r="B40" s="17">
        <v>0</v>
      </c>
      <c r="C40" s="26">
        <v>839</v>
      </c>
      <c r="D40" s="21">
        <v>0</v>
      </c>
      <c r="E40" s="21">
        <v>0</v>
      </c>
      <c r="F40" s="21">
        <v>0</v>
      </c>
      <c r="G40" s="21">
        <v>0</v>
      </c>
      <c r="H40" s="17"/>
      <c r="I40" s="14">
        <v>0</v>
      </c>
      <c r="K40" s="7"/>
    </row>
    <row r="41" spans="1:11">
      <c r="A41" s="4" t="s">
        <v>52</v>
      </c>
      <c r="B41" s="17">
        <v>0.26181055176109302</v>
      </c>
      <c r="C41" s="26">
        <v>854</v>
      </c>
      <c r="D41" s="21">
        <v>36.285718796356797</v>
      </c>
      <c r="E41" s="21">
        <v>31.7142917284758</v>
      </c>
      <c r="F41" s="21">
        <v>0</v>
      </c>
      <c r="G41" s="21">
        <v>0</v>
      </c>
      <c r="H41" s="17"/>
      <c r="I41" s="14">
        <v>2</v>
      </c>
      <c r="K41" s="7"/>
    </row>
    <row r="42" spans="1:11">
      <c r="A42" s="4" t="s">
        <v>53</v>
      </c>
      <c r="B42" s="17">
        <v>0.13285598101018301</v>
      </c>
      <c r="C42" s="26">
        <v>950</v>
      </c>
      <c r="D42" s="21">
        <v>99.119397625999795</v>
      </c>
      <c r="E42" s="21">
        <v>74.605023488905104</v>
      </c>
      <c r="F42" s="21">
        <v>0</v>
      </c>
      <c r="G42" s="21">
        <v>0</v>
      </c>
      <c r="H42" s="17"/>
      <c r="I42" s="14">
        <v>2</v>
      </c>
      <c r="K42" s="7"/>
    </row>
    <row r="43" spans="1:11">
      <c r="A43" s="4" t="s">
        <v>54</v>
      </c>
      <c r="B43" s="17">
        <v>0.119869505650699</v>
      </c>
      <c r="C43" s="26">
        <v>1008</v>
      </c>
      <c r="D43" s="21">
        <v>117.19557983411801</v>
      </c>
      <c r="E43" s="21">
        <v>113.515383382301</v>
      </c>
      <c r="F43" s="21">
        <v>0</v>
      </c>
      <c r="G43" s="21">
        <v>0</v>
      </c>
      <c r="H43" s="17"/>
      <c r="I43" s="14">
        <v>2</v>
      </c>
      <c r="K43" s="7"/>
    </row>
    <row r="44" spans="1:11">
      <c r="A44" s="4" t="s">
        <v>55</v>
      </c>
      <c r="B44" s="17">
        <v>0</v>
      </c>
      <c r="C44" s="26">
        <v>1101</v>
      </c>
      <c r="D44" s="21">
        <v>0</v>
      </c>
      <c r="E44" s="21">
        <v>0</v>
      </c>
      <c r="F44" s="21">
        <v>0</v>
      </c>
      <c r="G44" s="21">
        <v>0</v>
      </c>
      <c r="H44" s="17"/>
      <c r="I44" s="14">
        <v>0</v>
      </c>
      <c r="K44" s="7"/>
    </row>
    <row r="45" spans="1:11">
      <c r="A45" s="4" t="s">
        <v>56</v>
      </c>
      <c r="B45" s="17">
        <v>6.5904246861832494E-2</v>
      </c>
      <c r="C45" s="26">
        <v>1197</v>
      </c>
      <c r="D45" s="21">
        <v>150</v>
      </c>
      <c r="E45" s="21">
        <v>99.999999999999901</v>
      </c>
      <c r="F45" s="21">
        <v>49.999999999999901</v>
      </c>
      <c r="G45" s="21">
        <v>0</v>
      </c>
      <c r="H45" s="17"/>
      <c r="I45" s="14">
        <v>1</v>
      </c>
      <c r="K45" s="7"/>
    </row>
    <row r="46" spans="1:11">
      <c r="A46" s="4" t="s">
        <v>57</v>
      </c>
      <c r="B46" s="17">
        <v>0</v>
      </c>
      <c r="C46" s="26">
        <v>1283</v>
      </c>
      <c r="D46" s="21">
        <v>0</v>
      </c>
      <c r="E46" s="21">
        <v>0</v>
      </c>
      <c r="F46" s="21">
        <v>0</v>
      </c>
      <c r="G46" s="21">
        <v>0</v>
      </c>
      <c r="H46" s="17"/>
      <c r="I46" s="14">
        <v>0</v>
      </c>
      <c r="K46" s="7"/>
    </row>
    <row r="47" spans="1:11">
      <c r="A47" s="4" t="s">
        <v>58</v>
      </c>
      <c r="B47" s="17">
        <v>0</v>
      </c>
      <c r="C47" s="26">
        <v>1418</v>
      </c>
      <c r="D47" s="21">
        <v>0</v>
      </c>
      <c r="E47" s="21">
        <v>0</v>
      </c>
      <c r="F47" s="21">
        <v>0</v>
      </c>
      <c r="G47" s="21">
        <v>0</v>
      </c>
      <c r="H47" s="17"/>
      <c r="I47" s="14">
        <v>0</v>
      </c>
      <c r="K47" s="7"/>
    </row>
    <row r="48" spans="1:11">
      <c r="A48" s="33" t="s">
        <v>25</v>
      </c>
      <c r="B48" s="35"/>
      <c r="C48" s="36"/>
      <c r="D48" s="42"/>
      <c r="E48" s="42"/>
      <c r="F48" s="42"/>
      <c r="G48" s="42"/>
      <c r="H48" s="35"/>
      <c r="I48" s="34"/>
      <c r="K48" s="7"/>
    </row>
    <row r="49" spans="1:11">
      <c r="A49" s="6" t="s">
        <v>18</v>
      </c>
      <c r="B49" s="17">
        <v>0</v>
      </c>
      <c r="C49" s="26">
        <v>715</v>
      </c>
      <c r="D49" s="21">
        <v>0</v>
      </c>
      <c r="E49" s="21">
        <v>0</v>
      </c>
      <c r="F49" s="21">
        <v>0</v>
      </c>
      <c r="G49" s="21">
        <v>0</v>
      </c>
      <c r="H49" s="17"/>
      <c r="I49" s="14">
        <v>0</v>
      </c>
      <c r="K49" s="7"/>
    </row>
    <row r="50" spans="1:11">
      <c r="A50" s="6" t="s">
        <v>20</v>
      </c>
      <c r="B50" s="17">
        <v>0</v>
      </c>
      <c r="C50" s="26">
        <v>111</v>
      </c>
      <c r="D50" s="21">
        <v>0</v>
      </c>
      <c r="E50" s="21">
        <v>0</v>
      </c>
      <c r="F50" s="21">
        <v>0</v>
      </c>
      <c r="G50" s="21">
        <v>0</v>
      </c>
      <c r="H50" s="17"/>
      <c r="I50" s="14">
        <v>0</v>
      </c>
      <c r="K50" s="7"/>
    </row>
    <row r="51" spans="1:11">
      <c r="A51" s="6" t="s">
        <v>19</v>
      </c>
      <c r="B51" s="17">
        <v>0</v>
      </c>
      <c r="C51" s="26">
        <v>33</v>
      </c>
      <c r="D51" s="21">
        <v>0</v>
      </c>
      <c r="E51" s="21">
        <v>0</v>
      </c>
      <c r="F51" s="21">
        <v>0</v>
      </c>
      <c r="G51" s="21">
        <v>0</v>
      </c>
      <c r="H51" s="17"/>
      <c r="I51" s="14">
        <v>0</v>
      </c>
      <c r="K51" s="7"/>
    </row>
    <row r="52" spans="1:11">
      <c r="A52" s="6" t="s">
        <v>14</v>
      </c>
      <c r="B52" s="17">
        <v>0</v>
      </c>
      <c r="C52" s="26">
        <v>146</v>
      </c>
      <c r="D52" s="21">
        <v>0</v>
      </c>
      <c r="E52" s="21">
        <v>0</v>
      </c>
      <c r="F52" s="21">
        <v>0</v>
      </c>
      <c r="G52" s="21">
        <v>0</v>
      </c>
      <c r="H52" s="17"/>
      <c r="I52" s="14">
        <v>0</v>
      </c>
      <c r="K52" s="7"/>
    </row>
    <row r="53" spans="1:11">
      <c r="A53" s="6" t="s">
        <v>15</v>
      </c>
      <c r="B53" s="17">
        <v>9.7115494110471698E-2</v>
      </c>
      <c r="C53" s="26">
        <v>1292</v>
      </c>
      <c r="D53" s="21">
        <v>50</v>
      </c>
      <c r="E53" s="21">
        <v>50</v>
      </c>
      <c r="F53" s="21">
        <v>0</v>
      </c>
      <c r="G53" s="21">
        <v>0</v>
      </c>
      <c r="H53" s="17"/>
      <c r="I53" s="14">
        <v>1</v>
      </c>
      <c r="K53" s="7"/>
    </row>
    <row r="54" spans="1:11">
      <c r="A54" s="6" t="s">
        <v>16</v>
      </c>
      <c r="B54" s="17">
        <v>8.0427718507316295E-2</v>
      </c>
      <c r="C54" s="26">
        <v>4610</v>
      </c>
      <c r="D54" s="21">
        <v>96.114597933280393</v>
      </c>
      <c r="E54" s="21">
        <v>75.817274131206602</v>
      </c>
      <c r="F54" s="21">
        <v>9.8444364057272296</v>
      </c>
      <c r="G54" s="21">
        <v>0</v>
      </c>
      <c r="H54" s="17"/>
      <c r="I54" s="14">
        <v>6</v>
      </c>
      <c r="K54" s="7"/>
    </row>
    <row r="55" spans="1:11">
      <c r="A55" s="6" t="s">
        <v>59</v>
      </c>
      <c r="B55" s="17">
        <v>0</v>
      </c>
      <c r="C55" s="26">
        <v>165</v>
      </c>
      <c r="D55" s="21">
        <v>0</v>
      </c>
      <c r="E55" s="21">
        <v>0</v>
      </c>
      <c r="F55" s="21">
        <v>0</v>
      </c>
      <c r="G55" s="21">
        <v>0</v>
      </c>
      <c r="H55" s="17"/>
      <c r="I55" s="14">
        <v>0</v>
      </c>
      <c r="K55" s="7"/>
    </row>
    <row r="56" spans="1:11">
      <c r="A56" s="6" t="s">
        <v>60</v>
      </c>
      <c r="B56" s="17">
        <v>0</v>
      </c>
      <c r="C56" s="26">
        <v>108</v>
      </c>
      <c r="D56" s="21">
        <v>0</v>
      </c>
      <c r="E56" s="21">
        <v>0</v>
      </c>
      <c r="F56" s="21">
        <v>0</v>
      </c>
      <c r="G56" s="21">
        <v>0</v>
      </c>
      <c r="H56" s="17"/>
      <c r="I56" s="14">
        <v>0</v>
      </c>
      <c r="K56" s="7"/>
    </row>
    <row r="57" spans="1:11">
      <c r="A57" s="6" t="s">
        <v>21</v>
      </c>
      <c r="B57" s="17">
        <v>0</v>
      </c>
      <c r="C57" s="26">
        <v>35</v>
      </c>
      <c r="D57" s="21">
        <v>0</v>
      </c>
      <c r="E57" s="21">
        <v>0</v>
      </c>
      <c r="F57" s="21">
        <v>0</v>
      </c>
      <c r="G57" s="21">
        <v>0</v>
      </c>
      <c r="H57" s="17"/>
      <c r="I57" s="14">
        <v>0</v>
      </c>
      <c r="K57" s="7"/>
    </row>
    <row r="58" spans="1:11">
      <c r="A58" s="6" t="s">
        <v>61</v>
      </c>
      <c r="B58" s="17">
        <v>0</v>
      </c>
      <c r="C58" s="26">
        <v>1000</v>
      </c>
      <c r="D58" s="21">
        <v>0</v>
      </c>
      <c r="E58" s="21">
        <v>0</v>
      </c>
      <c r="F58" s="21">
        <v>0</v>
      </c>
      <c r="G58" s="21">
        <v>0</v>
      </c>
      <c r="H58" s="17"/>
      <c r="I58" s="14">
        <v>0</v>
      </c>
      <c r="K58" s="7"/>
    </row>
    <row r="59" spans="1:11">
      <c r="A59" s="6" t="s">
        <v>62</v>
      </c>
      <c r="B59" s="17">
        <v>0</v>
      </c>
      <c r="C59" s="26">
        <v>1272</v>
      </c>
      <c r="D59" s="21">
        <v>0</v>
      </c>
      <c r="E59" s="21">
        <v>0</v>
      </c>
      <c r="F59" s="21">
        <v>0</v>
      </c>
      <c r="G59" s="21">
        <v>0</v>
      </c>
      <c r="H59" s="17"/>
      <c r="I59" s="14">
        <v>0</v>
      </c>
      <c r="K59" s="7"/>
    </row>
    <row r="60" spans="1:11">
      <c r="A60" s="6" t="s">
        <v>17</v>
      </c>
      <c r="B60" s="17">
        <v>0</v>
      </c>
      <c r="C60" s="26">
        <v>31</v>
      </c>
      <c r="D60" s="21">
        <v>0</v>
      </c>
      <c r="E60" s="21">
        <v>0</v>
      </c>
      <c r="F60" s="21">
        <v>0</v>
      </c>
      <c r="G60" s="21">
        <v>0</v>
      </c>
      <c r="H60" s="17"/>
      <c r="I60" s="14">
        <v>0</v>
      </c>
      <c r="K60" s="7"/>
    </row>
    <row r="61" spans="1:11">
      <c r="A61" s="6" t="s">
        <v>63</v>
      </c>
      <c r="B61" s="18">
        <v>0</v>
      </c>
      <c r="C61" s="27">
        <v>572</v>
      </c>
      <c r="D61" s="22">
        <v>0</v>
      </c>
      <c r="E61" s="22">
        <v>0</v>
      </c>
      <c r="F61" s="22">
        <v>0</v>
      </c>
      <c r="G61" s="22">
        <v>0</v>
      </c>
      <c r="H61" s="18"/>
      <c r="I61" s="15">
        <v>0</v>
      </c>
      <c r="K61" s="7"/>
    </row>
    <row r="62" spans="1:11">
      <c r="B62" s="20"/>
      <c r="C62" s="23"/>
      <c r="D62" s="25"/>
      <c r="E62" s="20"/>
      <c r="F62" s="20"/>
      <c r="G62" s="20"/>
      <c r="H62" s="20"/>
      <c r="I62" s="23"/>
    </row>
    <row r="63" spans="1:11">
      <c r="B63" s="19"/>
      <c r="C63" s="16"/>
      <c r="D63" s="24"/>
      <c r="E63" s="19"/>
      <c r="F63" s="19"/>
      <c r="G63" s="19"/>
      <c r="H63" s="19"/>
      <c r="I63" s="16"/>
    </row>
    <row r="64" spans="1:11">
      <c r="B64" s="19"/>
      <c r="C64" s="16"/>
      <c r="D64" s="24"/>
      <c r="E64" s="19"/>
      <c r="F64" s="19"/>
      <c r="G64" s="19"/>
      <c r="H64" s="19"/>
      <c r="I64" s="16"/>
    </row>
    <row r="65" spans="2:9">
      <c r="B65" s="19"/>
      <c r="C65" s="16"/>
      <c r="D65" s="24"/>
      <c r="E65" s="19"/>
      <c r="F65" s="19"/>
      <c r="G65" s="19"/>
      <c r="H65" s="19"/>
      <c r="I65" s="16"/>
    </row>
    <row r="66" spans="2:9">
      <c r="B66" s="19"/>
      <c r="C66" s="16"/>
      <c r="D66" s="24"/>
      <c r="E66" s="19"/>
      <c r="F66" s="19"/>
      <c r="G66" s="19"/>
      <c r="H66" s="19"/>
      <c r="I66" s="16"/>
    </row>
    <row r="67" spans="2:9">
      <c r="B67" s="19"/>
      <c r="C67" s="16"/>
      <c r="D67" s="16"/>
      <c r="E67" s="19"/>
      <c r="F67" s="19"/>
      <c r="G67" s="19"/>
      <c r="H67" s="19"/>
      <c r="I67" s="16"/>
    </row>
    <row r="68" spans="2:9">
      <c r="B68" s="19"/>
      <c r="C68" s="16"/>
      <c r="D68" s="24"/>
      <c r="E68" s="19"/>
      <c r="F68" s="19"/>
      <c r="G68" s="19"/>
      <c r="H68" s="19"/>
      <c r="I68" s="16"/>
    </row>
    <row r="69" spans="2:9">
      <c r="B69" s="19"/>
      <c r="C69" s="16"/>
      <c r="D69" s="24"/>
      <c r="E69" s="19"/>
      <c r="F69" s="19"/>
      <c r="G69" s="19"/>
      <c r="H69" s="19"/>
      <c r="I69" s="16"/>
    </row>
    <row r="70" spans="2:9">
      <c r="B70" s="19"/>
      <c r="C70" s="16"/>
      <c r="D70" s="24"/>
      <c r="E70" s="19"/>
      <c r="F70" s="19"/>
      <c r="G70" s="19"/>
      <c r="H70" s="19"/>
      <c r="I70" s="16"/>
    </row>
    <row r="71" spans="2:9">
      <c r="B71" s="19"/>
      <c r="C71" s="16"/>
      <c r="D71" s="24"/>
      <c r="E71" s="19"/>
      <c r="F71" s="19"/>
      <c r="G71" s="19"/>
      <c r="H71" s="19"/>
      <c r="I71" s="16"/>
    </row>
    <row r="72" spans="2:9">
      <c r="B72" s="19"/>
      <c r="C72" s="16"/>
      <c r="D72" s="24"/>
      <c r="E72" s="19"/>
      <c r="F72" s="19"/>
      <c r="G72" s="19"/>
      <c r="H72" s="19"/>
      <c r="I72" s="16"/>
    </row>
    <row r="73" spans="2:9">
      <c r="B73" s="19"/>
      <c r="C73" s="16"/>
      <c r="D73" s="24"/>
      <c r="E73" s="19"/>
      <c r="F73" s="19"/>
      <c r="G73" s="19"/>
      <c r="H73" s="19"/>
      <c r="I73" s="16"/>
    </row>
    <row r="74" spans="2:9">
      <c r="B74" s="19"/>
      <c r="C74" s="16"/>
      <c r="D74" s="24"/>
      <c r="E74" s="19"/>
      <c r="F74" s="19"/>
      <c r="G74" s="19"/>
      <c r="H74" s="19"/>
      <c r="I74" s="16"/>
    </row>
    <row r="75" spans="2:9">
      <c r="B75" s="19"/>
      <c r="C75" s="16"/>
      <c r="D75" s="24"/>
      <c r="E75" s="19"/>
      <c r="F75" s="19"/>
      <c r="G75" s="19"/>
      <c r="H75" s="19"/>
      <c r="I75" s="16"/>
    </row>
    <row r="76" spans="2:9">
      <c r="B76" s="19"/>
      <c r="C76" s="16"/>
      <c r="D76" s="24"/>
      <c r="E76" s="19"/>
      <c r="F76" s="19"/>
      <c r="G76" s="19"/>
      <c r="H76" s="19"/>
      <c r="I76" s="16"/>
    </row>
    <row r="77" spans="2:9">
      <c r="B77" s="19"/>
      <c r="C77" s="16"/>
      <c r="D77" s="24"/>
      <c r="E77" s="19"/>
      <c r="F77" s="19"/>
      <c r="G77" s="19"/>
      <c r="H77" s="19"/>
      <c r="I77" s="16"/>
    </row>
    <row r="78" spans="2:9">
      <c r="B78" s="19"/>
      <c r="C78" s="16"/>
      <c r="D78" s="24"/>
      <c r="E78" s="19"/>
      <c r="F78" s="19"/>
      <c r="G78" s="19"/>
      <c r="H78" s="19"/>
      <c r="I78" s="16"/>
    </row>
    <row r="79" spans="2:9">
      <c r="B79" s="19"/>
      <c r="C79" s="16"/>
      <c r="D79" s="24"/>
      <c r="E79" s="19"/>
      <c r="F79" s="19"/>
      <c r="G79" s="19"/>
      <c r="H79" s="19"/>
      <c r="I79" s="16"/>
    </row>
    <row r="80" spans="2:9">
      <c r="B80" s="19"/>
      <c r="C80" s="19"/>
      <c r="D80" s="24"/>
      <c r="E80" s="19"/>
      <c r="F80" s="19"/>
      <c r="G80" s="19"/>
      <c r="H80" s="19"/>
      <c r="I80" s="16"/>
    </row>
    <row r="81" spans="2:9">
      <c r="B81" s="19"/>
      <c r="C81" s="19"/>
      <c r="D81" s="24"/>
      <c r="E81" s="19"/>
      <c r="F81" s="19"/>
      <c r="G81" s="19"/>
      <c r="H81" s="19"/>
      <c r="I81" s="16"/>
    </row>
    <row r="82" spans="2:9">
      <c r="B82" s="19"/>
      <c r="C82" s="19"/>
      <c r="D82" s="24"/>
      <c r="E82" s="19"/>
      <c r="F82" s="19"/>
      <c r="G82" s="19"/>
      <c r="H82" s="19"/>
      <c r="I82" s="16"/>
    </row>
    <row r="83" spans="2:9">
      <c r="B83" s="19"/>
      <c r="C83" s="19"/>
      <c r="D83" s="24"/>
      <c r="E83" s="19"/>
      <c r="F83" s="19"/>
      <c r="G83" s="19"/>
      <c r="H83" s="19"/>
      <c r="I83" s="16"/>
    </row>
    <row r="84" spans="2:9">
      <c r="B84" s="19"/>
      <c r="C84" s="19"/>
      <c r="D84" s="24"/>
      <c r="E84" s="19"/>
      <c r="F84" s="19"/>
      <c r="G84" s="19"/>
      <c r="H84" s="19"/>
      <c r="I84" s="16"/>
    </row>
    <row r="85" spans="2:9">
      <c r="B85" s="19"/>
      <c r="C85" s="19"/>
      <c r="D85" s="24"/>
      <c r="E85" s="19"/>
      <c r="F85" s="19"/>
      <c r="G85" s="19"/>
      <c r="H85" s="19"/>
      <c r="I85" s="16"/>
    </row>
    <row r="86" spans="2:9">
      <c r="B86" s="19"/>
      <c r="C86" s="19"/>
      <c r="D86" s="19"/>
      <c r="E86" s="19"/>
      <c r="F86" s="19"/>
      <c r="G86" s="19"/>
      <c r="H86" s="16"/>
      <c r="I86" s="16"/>
    </row>
    <row r="87" spans="2:9">
      <c r="B87" s="19"/>
      <c r="C87" s="19"/>
      <c r="D87" s="19"/>
      <c r="E87" s="19"/>
      <c r="F87" s="19"/>
      <c r="G87" s="19"/>
      <c r="H87" s="16"/>
      <c r="I87" s="16"/>
    </row>
    <row r="88" spans="2:9">
      <c r="B88" s="19"/>
      <c r="C88" s="19"/>
      <c r="D88" s="19"/>
      <c r="E88" s="19"/>
      <c r="F88" s="19"/>
      <c r="G88" s="19"/>
      <c r="H88" s="16"/>
      <c r="I88" s="16"/>
    </row>
    <row r="89" spans="2:9">
      <c r="B89" s="19"/>
      <c r="C89" s="19"/>
      <c r="D89" s="19"/>
      <c r="E89" s="19"/>
      <c r="F89" s="19"/>
      <c r="G89" s="19"/>
      <c r="H89" s="16"/>
      <c r="I89" s="16"/>
    </row>
    <row r="90" spans="2:9">
      <c r="B90" s="19"/>
      <c r="C90" s="19"/>
      <c r="D90" s="19"/>
      <c r="E90" s="19"/>
      <c r="F90" s="19"/>
      <c r="G90" s="19"/>
      <c r="H90" s="16"/>
      <c r="I90" s="16"/>
    </row>
    <row r="91" spans="2:9">
      <c r="B91" s="19"/>
      <c r="C91" s="19"/>
      <c r="D91" s="19"/>
      <c r="E91" s="19"/>
      <c r="F91" s="19"/>
      <c r="G91" s="19"/>
      <c r="H91" s="16"/>
      <c r="I91" s="16"/>
    </row>
    <row r="92" spans="2:9">
      <c r="B92" s="19"/>
      <c r="C92" s="16"/>
      <c r="D92" s="19"/>
      <c r="E92" s="19"/>
      <c r="F92" s="19"/>
      <c r="G92" s="19"/>
      <c r="H92" s="16"/>
      <c r="I92" s="16"/>
    </row>
    <row r="93" spans="2:9">
      <c r="B93" s="19"/>
      <c r="D93" s="19"/>
      <c r="E93" s="19"/>
      <c r="F93" s="19"/>
      <c r="G93" s="19"/>
    </row>
    <row r="94" spans="2:9">
      <c r="B94" s="19"/>
      <c r="D94" s="19"/>
      <c r="E94" s="19"/>
      <c r="F94" s="19"/>
      <c r="G94" s="19"/>
    </row>
    <row r="95" spans="2:9">
      <c r="B95" s="19"/>
      <c r="D95" s="19"/>
      <c r="E95" s="19"/>
      <c r="F95" s="19"/>
      <c r="G95" s="19"/>
    </row>
    <row r="96" spans="2:9">
      <c r="B96" s="19"/>
      <c r="D96" s="19"/>
      <c r="E96" s="19"/>
      <c r="F96" s="19"/>
      <c r="G96" s="19"/>
    </row>
    <row r="97" spans="2:7">
      <c r="B97" s="19"/>
      <c r="D97" s="19"/>
      <c r="E97" s="19"/>
      <c r="F97" s="19"/>
      <c r="G97" s="19"/>
    </row>
    <row r="98" spans="2:7">
      <c r="B98" s="16"/>
      <c r="D98" s="16"/>
      <c r="E98" s="16"/>
      <c r="F98" s="16"/>
      <c r="G98" s="16"/>
    </row>
    <row r="99" spans="2:7">
      <c r="E99" s="16"/>
      <c r="F99" s="16"/>
      <c r="G99" s="16"/>
    </row>
    <row r="100" spans="2:7">
      <c r="E100" s="16"/>
      <c r="F100" s="16"/>
      <c r="G100" s="16"/>
    </row>
    <row r="101" spans="2:7">
      <c r="E101" s="16"/>
      <c r="F101" s="16"/>
      <c r="G101" s="16"/>
    </row>
    <row r="102" spans="2:7">
      <c r="E102" s="16"/>
      <c r="F102" s="16"/>
      <c r="G102" s="16"/>
    </row>
    <row r="103" spans="2:7">
      <c r="E103" s="16"/>
      <c r="F103" s="16"/>
      <c r="G103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CD65-2DA9-455A-BE17-7667DC9D85FC}">
  <dimension ref="A1:I109"/>
  <sheetViews>
    <sheetView zoomScale="80" zoomScaleNormal="80" workbookViewId="0">
      <selection activeCell="J13" sqref="J13"/>
    </sheetView>
  </sheetViews>
  <sheetFormatPr defaultColWidth="15.25" defaultRowHeight="13"/>
  <cols>
    <col min="1" max="1" width="16.4140625" style="2" customWidth="1"/>
    <col min="2" max="2" width="12.6640625" style="5" customWidth="1"/>
    <col min="3" max="3" width="7.6640625" style="5" customWidth="1"/>
    <col min="4" max="8" width="12.6640625" style="5" customWidth="1"/>
    <col min="9" max="9" width="7.25" style="5" customWidth="1"/>
    <col min="10" max="16384" width="15.25" style="2"/>
  </cols>
  <sheetData>
    <row r="1" spans="1:9">
      <c r="A1" s="3" t="s">
        <v>126</v>
      </c>
    </row>
    <row r="3" spans="1:9" ht="91">
      <c r="B3" s="8" t="s">
        <v>127</v>
      </c>
      <c r="C3" s="8" t="s">
        <v>36</v>
      </c>
      <c r="D3" s="13" t="s">
        <v>128</v>
      </c>
      <c r="E3" s="13" t="s">
        <v>129</v>
      </c>
      <c r="F3" s="13" t="s">
        <v>130</v>
      </c>
      <c r="G3" s="13" t="s">
        <v>131</v>
      </c>
      <c r="H3" s="13" t="s">
        <v>132</v>
      </c>
      <c r="I3" s="13" t="s">
        <v>36</v>
      </c>
    </row>
    <row r="4" spans="1:9">
      <c r="B4" s="9" t="s">
        <v>35</v>
      </c>
      <c r="C4" s="9"/>
      <c r="D4" s="11" t="s">
        <v>89</v>
      </c>
      <c r="E4" s="11" t="s">
        <v>89</v>
      </c>
      <c r="F4" s="11" t="s">
        <v>89</v>
      </c>
      <c r="G4" s="11" t="s">
        <v>89</v>
      </c>
      <c r="H4" s="11" t="s">
        <v>34</v>
      </c>
      <c r="I4" s="11"/>
    </row>
    <row r="5" spans="1:9">
      <c r="A5" s="1" t="s">
        <v>28</v>
      </c>
      <c r="B5" s="17">
        <v>0.37190000000000001</v>
      </c>
      <c r="C5" s="26">
        <v>10090</v>
      </c>
      <c r="D5" s="21">
        <v>149.99981099999999</v>
      </c>
      <c r="E5" s="21">
        <v>101.69161</v>
      </c>
      <c r="F5" s="21">
        <v>39.431111999999999</v>
      </c>
      <c r="G5" s="21">
        <v>8.8770889999999998</v>
      </c>
      <c r="H5" s="14"/>
      <c r="I5" s="14">
        <v>10</v>
      </c>
    </row>
    <row r="6" spans="1:9">
      <c r="A6" s="33" t="s">
        <v>29</v>
      </c>
      <c r="B6" s="34"/>
      <c r="C6" s="34"/>
      <c r="D6" s="34"/>
      <c r="E6" s="34"/>
      <c r="F6" s="34"/>
      <c r="G6" s="34"/>
      <c r="H6" s="34"/>
      <c r="I6" s="34"/>
    </row>
    <row r="7" spans="1:9">
      <c r="A7" s="4" t="s">
        <v>24</v>
      </c>
      <c r="B7" s="17">
        <v>0.35016994314884303</v>
      </c>
      <c r="C7" s="26">
        <v>5535</v>
      </c>
      <c r="D7" s="21">
        <v>174.255007563948</v>
      </c>
      <c r="E7" s="21">
        <v>118.200489306129</v>
      </c>
      <c r="F7" s="21">
        <v>45.692492931592803</v>
      </c>
      <c r="G7" s="21">
        <v>10.362025326225901</v>
      </c>
      <c r="H7" s="17"/>
      <c r="I7" s="14">
        <v>9</v>
      </c>
    </row>
    <row r="8" spans="1:9">
      <c r="A8" s="4" t="s">
        <v>23</v>
      </c>
      <c r="B8" s="17">
        <v>0.59200178465165099</v>
      </c>
      <c r="C8" s="32">
        <v>4555</v>
      </c>
      <c r="D8" s="21">
        <v>5</v>
      </c>
      <c r="E8" s="21">
        <v>3</v>
      </c>
      <c r="F8" s="21">
        <v>2</v>
      </c>
      <c r="G8" s="21">
        <v>0</v>
      </c>
      <c r="H8" s="17"/>
      <c r="I8" s="14">
        <v>1</v>
      </c>
    </row>
    <row r="9" spans="1:9">
      <c r="A9" s="33" t="s">
        <v>22</v>
      </c>
      <c r="B9" s="35"/>
      <c r="C9" s="36"/>
      <c r="D9" s="42"/>
      <c r="E9" s="42"/>
      <c r="F9" s="42"/>
      <c r="G9" s="42"/>
      <c r="H9" s="35"/>
      <c r="I9" s="34"/>
    </row>
    <row r="10" spans="1:9">
      <c r="A10" s="4" t="s">
        <v>1</v>
      </c>
      <c r="B10" s="17">
        <v>0</v>
      </c>
      <c r="C10" s="26">
        <v>559</v>
      </c>
      <c r="D10" s="21">
        <v>0</v>
      </c>
      <c r="E10" s="21">
        <v>0</v>
      </c>
      <c r="F10" s="21">
        <v>0</v>
      </c>
      <c r="G10" s="21">
        <v>0</v>
      </c>
      <c r="H10" s="17"/>
      <c r="I10" s="14">
        <v>0</v>
      </c>
    </row>
    <row r="11" spans="1:9">
      <c r="A11" s="4" t="s">
        <v>2</v>
      </c>
      <c r="B11" s="17">
        <v>0</v>
      </c>
      <c r="C11" s="26">
        <v>828</v>
      </c>
      <c r="D11" s="21">
        <v>0</v>
      </c>
      <c r="E11" s="21">
        <v>0</v>
      </c>
      <c r="F11" s="21">
        <v>0</v>
      </c>
      <c r="G11" s="21">
        <v>0</v>
      </c>
      <c r="H11" s="17"/>
      <c r="I11" s="14">
        <v>0</v>
      </c>
    </row>
    <row r="12" spans="1:9">
      <c r="A12" s="4" t="s">
        <v>3</v>
      </c>
      <c r="B12" s="17">
        <v>0</v>
      </c>
      <c r="C12" s="26">
        <v>561</v>
      </c>
      <c r="D12" s="21">
        <v>0</v>
      </c>
      <c r="E12" s="21">
        <v>0</v>
      </c>
      <c r="F12" s="21">
        <v>0</v>
      </c>
      <c r="G12" s="21">
        <v>0</v>
      </c>
      <c r="H12" s="17"/>
      <c r="I12" s="14">
        <v>0</v>
      </c>
    </row>
    <row r="13" spans="1:9">
      <c r="A13" s="4" t="s">
        <v>4</v>
      </c>
      <c r="B13" s="17">
        <v>1.6136546121700599</v>
      </c>
      <c r="C13" s="26">
        <v>554</v>
      </c>
      <c r="D13" s="21">
        <v>1</v>
      </c>
      <c r="E13" s="21">
        <v>1</v>
      </c>
      <c r="F13" s="21">
        <v>0</v>
      </c>
      <c r="G13" s="21">
        <v>0</v>
      </c>
      <c r="H13" s="17"/>
      <c r="I13" s="14">
        <v>1</v>
      </c>
    </row>
    <row r="14" spans="1:9">
      <c r="A14" s="4" t="s">
        <v>5</v>
      </c>
      <c r="B14" s="17">
        <v>0</v>
      </c>
      <c r="C14" s="26">
        <v>568</v>
      </c>
      <c r="D14" s="21">
        <v>0</v>
      </c>
      <c r="E14" s="21">
        <v>0</v>
      </c>
      <c r="F14" s="21">
        <v>0</v>
      </c>
      <c r="G14" s="21">
        <v>0</v>
      </c>
      <c r="H14" s="17"/>
      <c r="I14" s="14">
        <v>0</v>
      </c>
    </row>
    <row r="15" spans="1:9">
      <c r="A15" s="4" t="s">
        <v>6</v>
      </c>
      <c r="B15" s="17">
        <v>1.98739256914232</v>
      </c>
      <c r="C15" s="26">
        <v>1084</v>
      </c>
      <c r="D15" s="21">
        <v>5</v>
      </c>
      <c r="E15" s="21">
        <v>3</v>
      </c>
      <c r="F15" s="21">
        <v>2</v>
      </c>
      <c r="G15" s="21">
        <v>0</v>
      </c>
      <c r="H15" s="17"/>
      <c r="I15" s="14">
        <v>1</v>
      </c>
    </row>
    <row r="16" spans="1:9">
      <c r="A16" s="4" t="s">
        <v>38</v>
      </c>
      <c r="B16" s="17">
        <v>28.1391925060936</v>
      </c>
      <c r="C16" s="26">
        <v>570</v>
      </c>
      <c r="D16" s="21">
        <v>342.86073125440601</v>
      </c>
      <c r="E16" s="21">
        <v>227.346470377164</v>
      </c>
      <c r="F16" s="21">
        <v>94.160733383795005</v>
      </c>
      <c r="G16" s="21">
        <v>21.353527493446901</v>
      </c>
      <c r="H16" s="17"/>
      <c r="I16" s="14">
        <v>5</v>
      </c>
    </row>
    <row r="17" spans="1:9">
      <c r="A17" s="4" t="s">
        <v>7</v>
      </c>
      <c r="B17" s="17">
        <v>0</v>
      </c>
      <c r="C17" s="26">
        <v>854</v>
      </c>
      <c r="D17" s="21">
        <v>0</v>
      </c>
      <c r="E17" s="21">
        <v>0</v>
      </c>
      <c r="F17" s="21">
        <v>0</v>
      </c>
      <c r="G17" s="21">
        <v>0</v>
      </c>
      <c r="H17" s="17"/>
      <c r="I17" s="14">
        <v>0</v>
      </c>
    </row>
    <row r="18" spans="1:9">
      <c r="A18" s="4" t="s">
        <v>8</v>
      </c>
      <c r="B18" s="17">
        <v>0</v>
      </c>
      <c r="C18" s="26">
        <v>557</v>
      </c>
      <c r="D18" s="21">
        <v>0</v>
      </c>
      <c r="E18" s="21">
        <v>0</v>
      </c>
      <c r="F18" s="21">
        <v>0</v>
      </c>
      <c r="G18" s="21">
        <v>0</v>
      </c>
      <c r="H18" s="17"/>
      <c r="I18" s="14">
        <v>0</v>
      </c>
    </row>
    <row r="19" spans="1:9">
      <c r="A19" s="4" t="s">
        <v>9</v>
      </c>
      <c r="B19" s="17">
        <v>0</v>
      </c>
      <c r="C19" s="26">
        <v>854</v>
      </c>
      <c r="D19" s="21">
        <v>0</v>
      </c>
      <c r="E19" s="21">
        <v>0</v>
      </c>
      <c r="F19" s="21">
        <v>0</v>
      </c>
      <c r="G19" s="21">
        <v>0</v>
      </c>
      <c r="H19" s="17"/>
      <c r="I19" s="14">
        <v>0</v>
      </c>
    </row>
    <row r="20" spans="1:9">
      <c r="A20" s="4" t="s">
        <v>10</v>
      </c>
      <c r="B20" s="17">
        <v>0.27135628131209</v>
      </c>
      <c r="C20" s="26">
        <v>846</v>
      </c>
      <c r="D20" s="21">
        <v>49.999999999999901</v>
      </c>
      <c r="E20" s="21">
        <v>49.999999999999901</v>
      </c>
      <c r="F20" s="21">
        <v>0</v>
      </c>
      <c r="G20" s="21">
        <v>0</v>
      </c>
      <c r="H20" s="17"/>
      <c r="I20" s="14">
        <v>1</v>
      </c>
    </row>
    <row r="21" spans="1:9">
      <c r="A21" s="4" t="s">
        <v>11</v>
      </c>
      <c r="B21" s="17">
        <v>0</v>
      </c>
      <c r="C21" s="26">
        <v>852</v>
      </c>
      <c r="D21" s="21">
        <v>0</v>
      </c>
      <c r="E21" s="21">
        <v>0</v>
      </c>
      <c r="F21" s="21">
        <v>0</v>
      </c>
      <c r="G21" s="21">
        <v>0</v>
      </c>
      <c r="H21" s="17"/>
      <c r="I21" s="14">
        <v>0</v>
      </c>
    </row>
    <row r="22" spans="1:9">
      <c r="A22" s="4" t="s">
        <v>12</v>
      </c>
      <c r="B22" s="17">
        <v>0</v>
      </c>
      <c r="C22" s="26">
        <v>837</v>
      </c>
      <c r="D22" s="21">
        <v>0</v>
      </c>
      <c r="E22" s="21">
        <v>0</v>
      </c>
      <c r="F22" s="21">
        <v>0</v>
      </c>
      <c r="G22" s="21">
        <v>0</v>
      </c>
      <c r="H22" s="17"/>
      <c r="I22" s="14">
        <v>0</v>
      </c>
    </row>
    <row r="23" spans="1:9">
      <c r="A23" s="4" t="s">
        <v>13</v>
      </c>
      <c r="B23" s="17">
        <v>0.97318980492190599</v>
      </c>
      <c r="C23" s="26">
        <v>566</v>
      </c>
      <c r="D23" s="21">
        <v>13.641747545463</v>
      </c>
      <c r="E23" s="21">
        <v>13.641747545463</v>
      </c>
      <c r="F23" s="21">
        <v>0</v>
      </c>
      <c r="G23" s="21">
        <v>0</v>
      </c>
      <c r="H23" s="17"/>
      <c r="I23" s="14">
        <v>2</v>
      </c>
    </row>
    <row r="24" spans="1:9">
      <c r="A24" s="33" t="s">
        <v>32</v>
      </c>
      <c r="B24" s="35"/>
      <c r="C24" s="36"/>
      <c r="D24" s="42"/>
      <c r="E24" s="42"/>
      <c r="F24" s="42"/>
      <c r="G24" s="42"/>
      <c r="H24" s="35"/>
      <c r="I24" s="34"/>
    </row>
    <row r="25" spans="1:9">
      <c r="A25" s="4" t="s">
        <v>39</v>
      </c>
      <c r="B25" s="17">
        <v>0.24823960977610099</v>
      </c>
      <c r="C25" s="26">
        <v>4616</v>
      </c>
      <c r="D25" s="21">
        <v>54.9059390135249</v>
      </c>
      <c r="E25" s="21">
        <v>48.017515522698602</v>
      </c>
      <c r="F25" s="21">
        <v>6.8884234908263497</v>
      </c>
      <c r="G25" s="21">
        <v>0</v>
      </c>
      <c r="H25" s="17"/>
      <c r="I25" s="14">
        <v>4</v>
      </c>
    </row>
    <row r="26" spans="1:9">
      <c r="A26" s="4" t="s">
        <v>40</v>
      </c>
      <c r="B26" s="17">
        <v>0.52173138895841698</v>
      </c>
      <c r="C26" s="26">
        <v>5474</v>
      </c>
      <c r="D26" s="21">
        <v>204.785803643127</v>
      </c>
      <c r="E26" s="21">
        <v>132.61461762993301</v>
      </c>
      <c r="F26" s="21">
        <v>58.179781275377003</v>
      </c>
      <c r="G26" s="21">
        <v>13.9914047378173</v>
      </c>
      <c r="H26" s="17"/>
      <c r="I26" s="14">
        <v>6</v>
      </c>
    </row>
    <row r="27" spans="1:9">
      <c r="A27" s="33" t="s">
        <v>31</v>
      </c>
      <c r="B27" s="35"/>
      <c r="C27" s="36"/>
      <c r="D27" s="42"/>
      <c r="E27" s="42"/>
      <c r="F27" s="42"/>
      <c r="G27" s="42"/>
      <c r="H27" s="35"/>
      <c r="I27" s="34"/>
    </row>
    <row r="28" spans="1:9">
      <c r="A28" s="4" t="s">
        <v>41</v>
      </c>
      <c r="B28" s="17">
        <v>0</v>
      </c>
      <c r="C28" s="26">
        <v>37</v>
      </c>
      <c r="D28" s="21">
        <v>0</v>
      </c>
      <c r="E28" s="21">
        <v>0</v>
      </c>
      <c r="F28" s="21">
        <v>0</v>
      </c>
      <c r="G28" s="21">
        <v>0</v>
      </c>
      <c r="H28" s="17"/>
      <c r="I28" s="14">
        <v>0</v>
      </c>
    </row>
    <row r="29" spans="1:9">
      <c r="A29" s="4" t="s">
        <v>42</v>
      </c>
      <c r="B29" s="17">
        <v>0.50659909486765298</v>
      </c>
      <c r="C29" s="26">
        <v>7809</v>
      </c>
      <c r="D29" s="21">
        <v>164.721776910898</v>
      </c>
      <c r="E29" s="21">
        <v>109.953364113901</v>
      </c>
      <c r="F29" s="21">
        <v>44.103133146800701</v>
      </c>
      <c r="G29" s="21">
        <v>10.665279650195499</v>
      </c>
      <c r="H29" s="17"/>
      <c r="I29" s="14">
        <v>8</v>
      </c>
    </row>
    <row r="30" spans="1:9">
      <c r="A30" s="4" t="s">
        <v>43</v>
      </c>
      <c r="B30" s="17">
        <v>0.16241449319680598</v>
      </c>
      <c r="C30" s="26">
        <v>2244</v>
      </c>
      <c r="D30" s="21">
        <v>76.915783826041405</v>
      </c>
      <c r="E30" s="21">
        <v>60.677911472602901</v>
      </c>
      <c r="F30" s="21">
        <v>16.237872353438501</v>
      </c>
      <c r="G30" s="21">
        <v>0</v>
      </c>
      <c r="H30" s="17"/>
      <c r="I30" s="14">
        <v>2</v>
      </c>
    </row>
    <row r="31" spans="1:9">
      <c r="A31" s="33" t="s">
        <v>30</v>
      </c>
      <c r="B31" s="35"/>
      <c r="C31" s="36"/>
      <c r="D31" s="42"/>
      <c r="E31" s="42"/>
      <c r="F31" s="42"/>
      <c r="G31" s="42"/>
      <c r="H31" s="35"/>
      <c r="I31" s="34"/>
    </row>
    <row r="32" spans="1:9">
      <c r="A32" s="4" t="s">
        <v>44</v>
      </c>
      <c r="B32" s="17">
        <v>0.33808290929955603</v>
      </c>
      <c r="C32" s="26">
        <v>1905</v>
      </c>
      <c r="D32" s="21">
        <v>125.11243718935199</v>
      </c>
      <c r="E32" s="21">
        <v>101.852769101074</v>
      </c>
      <c r="F32" s="21">
        <v>23.2596680882776</v>
      </c>
      <c r="G32" s="21">
        <v>0</v>
      </c>
      <c r="H32" s="17"/>
      <c r="I32" s="14">
        <v>3</v>
      </c>
    </row>
    <row r="33" spans="1:9">
      <c r="A33" s="4" t="s">
        <v>45</v>
      </c>
      <c r="B33" s="17">
        <v>0</v>
      </c>
      <c r="C33" s="26">
        <v>55</v>
      </c>
      <c r="D33" s="21">
        <v>0</v>
      </c>
      <c r="E33" s="21">
        <v>0</v>
      </c>
      <c r="F33" s="21">
        <v>0</v>
      </c>
      <c r="G33" s="21">
        <v>0</v>
      </c>
      <c r="H33" s="17"/>
      <c r="I33" s="14">
        <v>0</v>
      </c>
    </row>
    <row r="34" spans="1:9">
      <c r="A34" s="4" t="s">
        <v>46</v>
      </c>
      <c r="B34" s="17">
        <v>0.194929266676866</v>
      </c>
      <c r="C34" s="26">
        <v>2725</v>
      </c>
      <c r="D34" s="21">
        <v>571.60769095842704</v>
      </c>
      <c r="E34" s="21">
        <v>359.17897336951302</v>
      </c>
      <c r="F34" s="21">
        <v>168.64307638337101</v>
      </c>
      <c r="G34" s="21">
        <v>43.785641205542902</v>
      </c>
      <c r="H34" s="17"/>
      <c r="I34" s="14">
        <v>2</v>
      </c>
    </row>
    <row r="35" spans="1:9">
      <c r="A35" s="4" t="s">
        <v>47</v>
      </c>
      <c r="B35" s="17">
        <v>0.41656202482281801</v>
      </c>
      <c r="C35" s="26">
        <v>4170</v>
      </c>
      <c r="D35" s="21">
        <v>5.67007031840956</v>
      </c>
      <c r="E35" s="21">
        <v>5.67007031840956</v>
      </c>
      <c r="F35" s="21">
        <v>0</v>
      </c>
      <c r="G35" s="21">
        <v>0</v>
      </c>
      <c r="H35" s="17"/>
      <c r="I35" s="14">
        <v>3</v>
      </c>
    </row>
    <row r="36" spans="1:9">
      <c r="A36" s="4" t="s">
        <v>48</v>
      </c>
      <c r="B36" s="17">
        <v>1.8119372742980502</v>
      </c>
      <c r="C36" s="26">
        <v>946</v>
      </c>
      <c r="D36" s="21">
        <v>23.034910426094701</v>
      </c>
      <c r="E36" s="21">
        <v>21.836462000587801</v>
      </c>
      <c r="F36" s="21">
        <v>1.1984484255068899</v>
      </c>
      <c r="G36" s="21">
        <v>0</v>
      </c>
      <c r="H36" s="17"/>
      <c r="I36" s="14">
        <v>2</v>
      </c>
    </row>
    <row r="37" spans="1:9">
      <c r="A37" s="33" t="s">
        <v>0</v>
      </c>
      <c r="B37" s="35"/>
      <c r="C37" s="36"/>
      <c r="D37" s="42"/>
      <c r="E37" s="42"/>
      <c r="F37" s="42"/>
      <c r="G37" s="42"/>
      <c r="H37" s="35"/>
      <c r="I37" s="34"/>
    </row>
    <row r="38" spans="1:9">
      <c r="A38" s="4" t="s">
        <v>49</v>
      </c>
      <c r="B38" s="17">
        <v>0.66980724402456804</v>
      </c>
      <c r="C38" s="26">
        <v>675</v>
      </c>
      <c r="D38" s="21">
        <v>63.644999338742899</v>
      </c>
      <c r="E38" s="21">
        <v>44.486071003477598</v>
      </c>
      <c r="F38" s="21">
        <v>19.158928335265301</v>
      </c>
      <c r="G38" s="21">
        <v>0</v>
      </c>
      <c r="H38" s="17"/>
      <c r="I38" s="14">
        <v>2</v>
      </c>
    </row>
    <row r="39" spans="1:9">
      <c r="A39" s="4" t="s">
        <v>50</v>
      </c>
      <c r="B39" s="17">
        <v>1.3983433941714001</v>
      </c>
      <c r="C39" s="26">
        <v>765</v>
      </c>
      <c r="D39" s="21">
        <v>50.782663049593403</v>
      </c>
      <c r="E39" s="21">
        <v>44.376654741345199</v>
      </c>
      <c r="F39" s="21">
        <v>6.4060083082481798</v>
      </c>
      <c r="G39" s="21">
        <v>0</v>
      </c>
      <c r="H39" s="17"/>
      <c r="I39" s="14">
        <v>3</v>
      </c>
    </row>
    <row r="40" spans="1:9">
      <c r="A40" s="4" t="s">
        <v>51</v>
      </c>
      <c r="B40" s="17">
        <v>0</v>
      </c>
      <c r="C40" s="26">
        <v>839</v>
      </c>
      <c r="D40" s="21">
        <v>0</v>
      </c>
      <c r="E40" s="21">
        <v>0</v>
      </c>
      <c r="F40" s="21">
        <v>0</v>
      </c>
      <c r="G40" s="21">
        <v>0</v>
      </c>
      <c r="H40" s="17"/>
      <c r="I40" s="14">
        <v>0</v>
      </c>
    </row>
    <row r="41" spans="1:9">
      <c r="A41" s="4" t="s">
        <v>52</v>
      </c>
      <c r="B41" s="17">
        <v>0</v>
      </c>
      <c r="C41" s="26">
        <v>854</v>
      </c>
      <c r="D41" s="21">
        <v>0</v>
      </c>
      <c r="E41" s="21">
        <v>0</v>
      </c>
      <c r="F41" s="21">
        <v>0</v>
      </c>
      <c r="G41" s="21">
        <v>0</v>
      </c>
      <c r="H41" s="17"/>
      <c r="I41" s="14">
        <v>0</v>
      </c>
    </row>
    <row r="42" spans="1:9">
      <c r="A42" s="4" t="s">
        <v>53</v>
      </c>
      <c r="B42" s="17">
        <v>0</v>
      </c>
      <c r="C42" s="26">
        <v>950</v>
      </c>
      <c r="D42" s="21">
        <v>0</v>
      </c>
      <c r="E42" s="21">
        <v>0</v>
      </c>
      <c r="F42" s="21">
        <v>0</v>
      </c>
      <c r="G42" s="21">
        <v>0</v>
      </c>
      <c r="H42" s="17"/>
      <c r="I42" s="14">
        <v>0</v>
      </c>
    </row>
    <row r="43" spans="1:9">
      <c r="A43" s="4" t="s">
        <v>54</v>
      </c>
      <c r="B43" s="17">
        <v>0.142626107396777</v>
      </c>
      <c r="C43" s="26">
        <v>1008</v>
      </c>
      <c r="D43" s="21">
        <v>20</v>
      </c>
      <c r="E43" s="21">
        <v>20</v>
      </c>
      <c r="F43" s="21">
        <v>0</v>
      </c>
      <c r="G43" s="21">
        <v>0</v>
      </c>
      <c r="H43" s="17"/>
      <c r="I43" s="14">
        <v>1</v>
      </c>
    </row>
    <row r="44" spans="1:9">
      <c r="A44" s="4" t="s">
        <v>55</v>
      </c>
      <c r="B44" s="17">
        <v>0</v>
      </c>
      <c r="C44" s="26">
        <v>1101</v>
      </c>
      <c r="D44" s="21">
        <v>0</v>
      </c>
      <c r="E44" s="21">
        <v>0</v>
      </c>
      <c r="F44" s="21">
        <v>0</v>
      </c>
      <c r="G44" s="21">
        <v>0</v>
      </c>
      <c r="H44" s="17"/>
      <c r="I44" s="14">
        <v>0</v>
      </c>
    </row>
    <row r="45" spans="1:9">
      <c r="A45" s="4" t="s">
        <v>56</v>
      </c>
      <c r="B45" s="17">
        <v>0.33958693717635802</v>
      </c>
      <c r="C45" s="26">
        <v>1197</v>
      </c>
      <c r="D45" s="21">
        <v>150</v>
      </c>
      <c r="E45" s="21">
        <v>50</v>
      </c>
      <c r="F45" s="21">
        <v>0</v>
      </c>
      <c r="G45" s="21">
        <v>100</v>
      </c>
      <c r="H45" s="17"/>
      <c r="I45" s="14">
        <v>1</v>
      </c>
    </row>
    <row r="46" spans="1:9">
      <c r="A46" s="4" t="s">
        <v>57</v>
      </c>
      <c r="B46" s="17">
        <v>1.3180641030609099</v>
      </c>
      <c r="C46" s="26">
        <v>1283</v>
      </c>
      <c r="D46" s="21">
        <v>401.47193432860399</v>
      </c>
      <c r="E46" s="21">
        <v>267.46228468623099</v>
      </c>
      <c r="F46" s="21">
        <v>134.00964964237301</v>
      </c>
      <c r="G46" s="21">
        <v>0</v>
      </c>
      <c r="H46" s="17"/>
      <c r="I46" s="14">
        <v>2</v>
      </c>
    </row>
    <row r="47" spans="1:9">
      <c r="A47" s="4" t="s">
        <v>58</v>
      </c>
      <c r="B47" s="17">
        <v>0.57349344472328201</v>
      </c>
      <c r="C47" s="26">
        <v>1418</v>
      </c>
      <c r="D47" s="21">
        <v>49.999999999999901</v>
      </c>
      <c r="E47" s="21">
        <v>49.999999999999901</v>
      </c>
      <c r="F47" s="21">
        <v>0</v>
      </c>
      <c r="G47" s="21">
        <v>0</v>
      </c>
      <c r="H47" s="17"/>
      <c r="I47" s="14">
        <v>1</v>
      </c>
    </row>
    <row r="48" spans="1:9">
      <c r="A48" s="33" t="s">
        <v>25</v>
      </c>
      <c r="B48" s="35"/>
      <c r="C48" s="36"/>
      <c r="D48" s="42"/>
      <c r="E48" s="42"/>
      <c r="F48" s="42"/>
      <c r="G48" s="42"/>
      <c r="H48" s="35"/>
      <c r="I48" s="34"/>
    </row>
    <row r="49" spans="1:9">
      <c r="A49" s="6" t="s">
        <v>18</v>
      </c>
      <c r="B49" s="17">
        <v>0</v>
      </c>
      <c r="C49" s="26">
        <v>715</v>
      </c>
      <c r="D49" s="21">
        <v>0</v>
      </c>
      <c r="E49" s="21">
        <v>0</v>
      </c>
      <c r="F49" s="21">
        <v>0</v>
      </c>
      <c r="G49" s="21">
        <v>0</v>
      </c>
      <c r="H49" s="17"/>
      <c r="I49" s="14">
        <v>0</v>
      </c>
    </row>
    <row r="50" spans="1:9">
      <c r="A50" s="6" t="s">
        <v>20</v>
      </c>
      <c r="B50" s="17">
        <v>0</v>
      </c>
      <c r="C50" s="26">
        <v>111</v>
      </c>
      <c r="D50" s="21">
        <v>0</v>
      </c>
      <c r="E50" s="21">
        <v>0</v>
      </c>
      <c r="F50" s="21">
        <v>0</v>
      </c>
      <c r="G50" s="21">
        <v>0</v>
      </c>
      <c r="H50" s="17"/>
      <c r="I50" s="14">
        <v>0</v>
      </c>
    </row>
    <row r="51" spans="1:9">
      <c r="A51" s="6" t="s">
        <v>19</v>
      </c>
      <c r="B51" s="17">
        <v>0</v>
      </c>
      <c r="C51" s="26">
        <v>33</v>
      </c>
      <c r="D51" s="21">
        <v>0</v>
      </c>
      <c r="E51" s="21">
        <v>0</v>
      </c>
      <c r="F51" s="21">
        <v>0</v>
      </c>
      <c r="G51" s="21">
        <v>0</v>
      </c>
      <c r="H51" s="17"/>
      <c r="I51" s="14">
        <v>0</v>
      </c>
    </row>
    <row r="52" spans="1:9">
      <c r="A52" s="6" t="s">
        <v>14</v>
      </c>
      <c r="B52" s="17">
        <v>0</v>
      </c>
      <c r="C52" s="26">
        <v>146</v>
      </c>
      <c r="D52" s="21">
        <v>0</v>
      </c>
      <c r="E52" s="21">
        <v>0</v>
      </c>
      <c r="F52" s="21">
        <v>0</v>
      </c>
      <c r="G52" s="21">
        <v>0</v>
      </c>
      <c r="H52" s="17"/>
      <c r="I52" s="14">
        <v>0</v>
      </c>
    </row>
    <row r="53" spans="1:9">
      <c r="A53" s="6" t="s">
        <v>15</v>
      </c>
      <c r="B53" s="17">
        <v>3.88076407266158</v>
      </c>
      <c r="C53" s="26">
        <v>1292</v>
      </c>
      <c r="D53" s="21">
        <v>150</v>
      </c>
      <c r="E53" s="21">
        <v>50</v>
      </c>
      <c r="F53" s="21">
        <v>0</v>
      </c>
      <c r="G53" s="21">
        <v>100</v>
      </c>
      <c r="H53" s="17"/>
      <c r="I53" s="14">
        <v>1</v>
      </c>
    </row>
    <row r="54" spans="1:9">
      <c r="A54" s="6" t="s">
        <v>16</v>
      </c>
      <c r="B54" s="17">
        <v>0.16786614139089201</v>
      </c>
      <c r="C54" s="26">
        <v>4610</v>
      </c>
      <c r="D54" s="21">
        <v>306.073165487062</v>
      </c>
      <c r="E54" s="21">
        <v>208.437275283519</v>
      </c>
      <c r="F54" s="21">
        <v>97.635890203543795</v>
      </c>
      <c r="G54" s="21">
        <v>0</v>
      </c>
      <c r="H54" s="17"/>
      <c r="I54" s="14">
        <v>3</v>
      </c>
    </row>
    <row r="55" spans="1:9">
      <c r="A55" s="6" t="s">
        <v>59</v>
      </c>
      <c r="B55" s="17">
        <v>0</v>
      </c>
      <c r="C55" s="26">
        <v>165</v>
      </c>
      <c r="D55" s="21">
        <v>0</v>
      </c>
      <c r="E55" s="21">
        <v>0</v>
      </c>
      <c r="F55" s="21">
        <v>0</v>
      </c>
      <c r="G55" s="21">
        <v>0</v>
      </c>
      <c r="H55" s="17"/>
      <c r="I55" s="14">
        <v>0</v>
      </c>
    </row>
    <row r="56" spans="1:9">
      <c r="A56" s="6" t="s">
        <v>60</v>
      </c>
      <c r="B56" s="17">
        <v>0</v>
      </c>
      <c r="C56" s="26">
        <v>108</v>
      </c>
      <c r="D56" s="21">
        <v>0</v>
      </c>
      <c r="E56" s="21">
        <v>0</v>
      </c>
      <c r="F56" s="21">
        <v>0</v>
      </c>
      <c r="G56" s="21">
        <v>0</v>
      </c>
      <c r="H56" s="17"/>
      <c r="I56" s="14">
        <v>0</v>
      </c>
    </row>
    <row r="57" spans="1:9">
      <c r="A57" s="6" t="s">
        <v>21</v>
      </c>
      <c r="B57" s="17">
        <v>0</v>
      </c>
      <c r="C57" s="26">
        <v>35</v>
      </c>
      <c r="D57" s="21">
        <v>0</v>
      </c>
      <c r="E57" s="21">
        <v>0</v>
      </c>
      <c r="F57" s="21">
        <v>0</v>
      </c>
      <c r="G57" s="21">
        <v>0</v>
      </c>
      <c r="H57" s="17"/>
      <c r="I57" s="14">
        <v>0</v>
      </c>
    </row>
    <row r="58" spans="1:9">
      <c r="A58" s="6" t="s">
        <v>61</v>
      </c>
      <c r="B58" s="17">
        <v>4.6442763069067601</v>
      </c>
      <c r="C58" s="26">
        <v>1000</v>
      </c>
      <c r="D58" s="21">
        <v>125.11243718935199</v>
      </c>
      <c r="E58" s="21">
        <v>101.852769101074</v>
      </c>
      <c r="F58" s="21">
        <v>23.2596680882776</v>
      </c>
      <c r="G58" s="21">
        <v>0</v>
      </c>
      <c r="H58" s="17"/>
      <c r="I58" s="14">
        <v>3</v>
      </c>
    </row>
    <row r="59" spans="1:9">
      <c r="A59" s="6" t="s">
        <v>62</v>
      </c>
      <c r="B59" s="17">
        <v>0.65584007761365204</v>
      </c>
      <c r="C59" s="26">
        <v>1272</v>
      </c>
      <c r="D59" s="21">
        <v>1</v>
      </c>
      <c r="E59" s="21">
        <v>1</v>
      </c>
      <c r="F59" s="21">
        <v>0</v>
      </c>
      <c r="G59" s="21">
        <v>0</v>
      </c>
      <c r="H59" s="17"/>
      <c r="I59" s="14">
        <v>1</v>
      </c>
    </row>
    <row r="60" spans="1:9">
      <c r="A60" s="6" t="s">
        <v>17</v>
      </c>
      <c r="B60" s="17">
        <v>0</v>
      </c>
      <c r="C60" s="26">
        <v>31</v>
      </c>
      <c r="D60" s="21">
        <v>0</v>
      </c>
      <c r="E60" s="21">
        <v>0</v>
      </c>
      <c r="F60" s="21">
        <v>0</v>
      </c>
      <c r="G60" s="21">
        <v>0</v>
      </c>
      <c r="H60" s="17"/>
      <c r="I60" s="14">
        <v>0</v>
      </c>
    </row>
    <row r="61" spans="1:9">
      <c r="A61" s="6" t="s">
        <v>63</v>
      </c>
      <c r="B61" s="18">
        <v>0.9996161537792011</v>
      </c>
      <c r="C61" s="27">
        <v>572</v>
      </c>
      <c r="D61" s="22">
        <v>13.641747545463</v>
      </c>
      <c r="E61" s="22">
        <v>13.641747545463</v>
      </c>
      <c r="F61" s="22">
        <v>0</v>
      </c>
      <c r="G61" s="22">
        <v>0</v>
      </c>
      <c r="H61" s="18"/>
      <c r="I61" s="15">
        <v>2</v>
      </c>
    </row>
    <row r="62" spans="1:9">
      <c r="B62" s="20"/>
      <c r="C62" s="23"/>
      <c r="D62" s="25"/>
      <c r="E62" s="20"/>
      <c r="F62" s="20"/>
      <c r="G62" s="20"/>
      <c r="H62" s="20"/>
      <c r="I62" s="23"/>
    </row>
    <row r="63" spans="1:9">
      <c r="B63" s="19"/>
      <c r="C63" s="16"/>
      <c r="D63" s="24"/>
      <c r="E63" s="19"/>
      <c r="F63" s="19"/>
      <c r="G63" s="19"/>
      <c r="H63" s="19"/>
      <c r="I63" s="16"/>
    </row>
    <row r="64" spans="1:9">
      <c r="B64" s="19"/>
      <c r="C64" s="16"/>
      <c r="D64" s="24"/>
      <c r="E64" s="19"/>
      <c r="F64" s="19"/>
      <c r="G64" s="19"/>
      <c r="H64" s="19"/>
      <c r="I64" s="16"/>
    </row>
    <row r="65" spans="2:9">
      <c r="B65" s="19"/>
      <c r="C65" s="16"/>
      <c r="D65" s="24"/>
      <c r="E65" s="19"/>
      <c r="F65" s="19"/>
      <c r="G65" s="19"/>
      <c r="H65" s="19"/>
      <c r="I65" s="16"/>
    </row>
    <row r="66" spans="2:9">
      <c r="B66" s="19"/>
      <c r="C66" s="16"/>
      <c r="D66" s="24"/>
      <c r="E66" s="19"/>
      <c r="F66" s="19"/>
      <c r="G66" s="19"/>
      <c r="H66" s="19"/>
      <c r="I66" s="16"/>
    </row>
    <row r="67" spans="2:9">
      <c r="B67" s="19"/>
      <c r="C67" s="16"/>
      <c r="D67" s="24"/>
      <c r="E67" s="19"/>
      <c r="F67" s="19"/>
      <c r="G67" s="19"/>
      <c r="H67" s="19"/>
      <c r="I67" s="16"/>
    </row>
    <row r="68" spans="2:9">
      <c r="B68" s="19"/>
      <c r="C68" s="16"/>
      <c r="D68" s="24"/>
      <c r="E68" s="19"/>
      <c r="F68" s="19"/>
      <c r="G68" s="19"/>
      <c r="H68" s="19"/>
      <c r="I68" s="16"/>
    </row>
    <row r="69" spans="2:9">
      <c r="B69" s="19"/>
      <c r="C69" s="16"/>
      <c r="D69" s="24"/>
      <c r="E69" s="19"/>
      <c r="F69" s="19"/>
      <c r="G69" s="19"/>
      <c r="H69" s="19"/>
      <c r="I69" s="16"/>
    </row>
    <row r="70" spans="2:9">
      <c r="B70" s="19"/>
      <c r="C70" s="16"/>
      <c r="D70" s="24"/>
      <c r="E70" s="19"/>
      <c r="F70" s="19"/>
      <c r="G70" s="19"/>
      <c r="H70" s="19"/>
      <c r="I70" s="16"/>
    </row>
    <row r="71" spans="2:9">
      <c r="B71" s="19"/>
      <c r="C71" s="16"/>
      <c r="D71" s="24"/>
      <c r="E71" s="19"/>
      <c r="F71" s="19"/>
      <c r="G71" s="19"/>
      <c r="H71" s="19"/>
      <c r="I71" s="16"/>
    </row>
    <row r="72" spans="2:9">
      <c r="B72" s="19"/>
      <c r="C72" s="16"/>
      <c r="D72" s="24"/>
      <c r="E72" s="19"/>
      <c r="F72" s="19"/>
      <c r="G72" s="19"/>
      <c r="H72" s="19"/>
      <c r="I72" s="16"/>
    </row>
    <row r="73" spans="2:9">
      <c r="B73" s="19"/>
      <c r="C73" s="16"/>
      <c r="D73" s="16"/>
      <c r="E73" s="19"/>
      <c r="F73" s="19"/>
      <c r="G73" s="19"/>
      <c r="H73" s="19"/>
      <c r="I73" s="16"/>
    </row>
    <row r="74" spans="2:9">
      <c r="B74" s="19"/>
      <c r="C74" s="16"/>
      <c r="D74" s="24"/>
      <c r="E74" s="19"/>
      <c r="F74" s="19"/>
      <c r="G74" s="19"/>
      <c r="H74" s="19"/>
      <c r="I74" s="16"/>
    </row>
    <row r="75" spans="2:9">
      <c r="B75" s="19"/>
      <c r="C75" s="16"/>
      <c r="D75" s="24"/>
      <c r="E75" s="19"/>
      <c r="F75" s="19"/>
      <c r="G75" s="19"/>
      <c r="H75" s="19"/>
      <c r="I75" s="16"/>
    </row>
    <row r="76" spans="2:9">
      <c r="B76" s="19"/>
      <c r="C76" s="16"/>
      <c r="D76" s="24"/>
      <c r="E76" s="19"/>
      <c r="F76" s="19"/>
      <c r="G76" s="19"/>
      <c r="H76" s="19"/>
      <c r="I76" s="16"/>
    </row>
    <row r="77" spans="2:9">
      <c r="B77" s="19"/>
      <c r="C77" s="16"/>
      <c r="D77" s="24"/>
      <c r="E77" s="19"/>
      <c r="F77" s="19"/>
      <c r="G77" s="19"/>
      <c r="H77" s="19"/>
      <c r="I77" s="16"/>
    </row>
    <row r="78" spans="2:9">
      <c r="B78" s="19"/>
      <c r="C78" s="16"/>
      <c r="D78" s="24"/>
      <c r="E78" s="19"/>
      <c r="F78" s="19"/>
      <c r="G78" s="19"/>
      <c r="H78" s="19"/>
      <c r="I78" s="16"/>
    </row>
    <row r="79" spans="2:9">
      <c r="B79" s="19"/>
      <c r="C79" s="16"/>
      <c r="D79" s="24"/>
      <c r="E79" s="19"/>
      <c r="F79" s="19"/>
      <c r="G79" s="19"/>
      <c r="H79" s="19"/>
      <c r="I79" s="16"/>
    </row>
    <row r="80" spans="2:9">
      <c r="B80" s="19"/>
      <c r="C80" s="19"/>
      <c r="D80" s="24"/>
      <c r="E80" s="19"/>
      <c r="F80" s="19"/>
      <c r="G80" s="19"/>
      <c r="H80" s="19"/>
      <c r="I80" s="16"/>
    </row>
    <row r="81" spans="2:9">
      <c r="B81" s="19"/>
      <c r="C81" s="19"/>
      <c r="D81" s="24"/>
      <c r="E81" s="19"/>
      <c r="F81" s="19"/>
      <c r="G81" s="19"/>
      <c r="H81" s="19"/>
      <c r="I81" s="16"/>
    </row>
    <row r="82" spans="2:9">
      <c r="B82" s="19"/>
      <c r="C82" s="19"/>
      <c r="D82" s="24"/>
      <c r="E82" s="19"/>
      <c r="F82" s="19"/>
      <c r="G82" s="19"/>
      <c r="H82" s="19"/>
      <c r="I82" s="16"/>
    </row>
    <row r="83" spans="2:9">
      <c r="B83" s="19"/>
      <c r="C83" s="19"/>
      <c r="D83" s="24"/>
      <c r="E83" s="19"/>
      <c r="F83" s="19"/>
      <c r="G83" s="19"/>
      <c r="H83" s="19"/>
      <c r="I83" s="16"/>
    </row>
    <row r="84" spans="2:9">
      <c r="B84" s="19"/>
      <c r="C84" s="19"/>
      <c r="D84" s="24"/>
      <c r="E84" s="19"/>
      <c r="F84" s="19"/>
      <c r="G84" s="19"/>
      <c r="H84" s="19"/>
      <c r="I84" s="16"/>
    </row>
    <row r="85" spans="2:9">
      <c r="B85" s="19"/>
      <c r="C85" s="19"/>
      <c r="D85" s="24"/>
      <c r="E85" s="19"/>
      <c r="F85" s="19"/>
      <c r="G85" s="19"/>
      <c r="H85" s="19"/>
      <c r="I85" s="16"/>
    </row>
    <row r="86" spans="2:9">
      <c r="B86" s="19"/>
      <c r="C86" s="19"/>
      <c r="D86" s="24"/>
      <c r="E86" s="19"/>
      <c r="F86" s="19"/>
      <c r="G86" s="19"/>
      <c r="H86" s="16"/>
      <c r="I86" s="16"/>
    </row>
    <row r="87" spans="2:9">
      <c r="B87" s="19"/>
      <c r="C87" s="19"/>
      <c r="D87" s="24"/>
      <c r="E87" s="19"/>
      <c r="F87" s="19"/>
      <c r="G87" s="19"/>
      <c r="H87" s="16"/>
      <c r="I87" s="16"/>
    </row>
    <row r="88" spans="2:9">
      <c r="B88" s="19"/>
      <c r="C88" s="19"/>
      <c r="D88" s="24"/>
      <c r="E88" s="19"/>
      <c r="F88" s="19"/>
      <c r="G88" s="19"/>
      <c r="H88" s="16"/>
      <c r="I88" s="16"/>
    </row>
    <row r="89" spans="2:9">
      <c r="B89" s="19"/>
      <c r="C89" s="19"/>
      <c r="D89" s="24"/>
      <c r="E89" s="19"/>
      <c r="F89" s="19"/>
      <c r="G89" s="19"/>
      <c r="H89" s="16"/>
      <c r="I89" s="16"/>
    </row>
    <row r="90" spans="2:9">
      <c r="B90" s="19"/>
      <c r="C90" s="19"/>
      <c r="D90" s="24"/>
      <c r="E90" s="19"/>
      <c r="F90" s="19"/>
      <c r="G90" s="19"/>
      <c r="H90" s="16"/>
      <c r="I90" s="16"/>
    </row>
    <row r="91" spans="2:9">
      <c r="B91" s="19"/>
      <c r="C91" s="19"/>
      <c r="D91" s="24"/>
      <c r="E91" s="19"/>
      <c r="F91" s="19"/>
      <c r="G91" s="19"/>
      <c r="H91" s="16"/>
      <c r="I91" s="16"/>
    </row>
    <row r="92" spans="2:9">
      <c r="B92" s="19"/>
      <c r="C92" s="16"/>
      <c r="D92" s="19"/>
      <c r="E92" s="19"/>
      <c r="F92" s="19"/>
      <c r="G92" s="19"/>
      <c r="H92" s="16"/>
      <c r="I92" s="16"/>
    </row>
    <row r="93" spans="2:9">
      <c r="B93" s="19"/>
      <c r="D93" s="19"/>
      <c r="E93" s="19"/>
      <c r="F93" s="19"/>
      <c r="G93" s="19"/>
      <c r="I93" s="16"/>
    </row>
    <row r="94" spans="2:9">
      <c r="B94" s="19"/>
      <c r="D94" s="19"/>
      <c r="E94" s="19"/>
      <c r="F94" s="19"/>
      <c r="G94" s="19"/>
      <c r="I94" s="16"/>
    </row>
    <row r="95" spans="2:9">
      <c r="B95" s="19"/>
      <c r="D95" s="19"/>
      <c r="E95" s="19"/>
      <c r="F95" s="19"/>
      <c r="G95" s="19"/>
      <c r="I95" s="16"/>
    </row>
    <row r="96" spans="2:9">
      <c r="B96" s="19"/>
      <c r="D96" s="19"/>
      <c r="E96" s="19"/>
      <c r="F96" s="19"/>
      <c r="G96" s="19"/>
      <c r="I96" s="16"/>
    </row>
    <row r="97" spans="2:9">
      <c r="B97" s="19"/>
      <c r="D97" s="19"/>
      <c r="E97" s="19"/>
      <c r="F97" s="19"/>
      <c r="G97" s="19"/>
      <c r="I97" s="16"/>
    </row>
    <row r="98" spans="2:9">
      <c r="B98" s="19"/>
      <c r="D98" s="19"/>
      <c r="E98" s="19"/>
      <c r="F98" s="19"/>
      <c r="G98" s="19"/>
      <c r="I98" s="16"/>
    </row>
    <row r="99" spans="2:9">
      <c r="B99" s="19"/>
      <c r="D99" s="19"/>
      <c r="E99" s="19"/>
      <c r="F99" s="19"/>
      <c r="G99" s="19"/>
    </row>
    <row r="100" spans="2:9">
      <c r="B100" s="19"/>
      <c r="D100" s="19"/>
      <c r="E100" s="19"/>
      <c r="F100" s="19"/>
      <c r="G100" s="19"/>
    </row>
    <row r="101" spans="2:9">
      <c r="B101" s="19"/>
      <c r="D101" s="19"/>
      <c r="E101" s="19"/>
      <c r="F101" s="19"/>
      <c r="G101" s="19"/>
    </row>
    <row r="102" spans="2:9">
      <c r="B102" s="19"/>
      <c r="D102" s="19"/>
      <c r="E102" s="19"/>
      <c r="F102" s="19"/>
      <c r="G102" s="19"/>
    </row>
    <row r="103" spans="2:9">
      <c r="B103" s="19"/>
      <c r="D103" s="19"/>
      <c r="E103" s="19"/>
      <c r="F103" s="19"/>
      <c r="G103" s="19"/>
    </row>
    <row r="104" spans="2:9">
      <c r="B104" s="16"/>
      <c r="D104" s="16"/>
      <c r="E104" s="16"/>
      <c r="F104" s="16"/>
      <c r="G104" s="16"/>
    </row>
    <row r="105" spans="2:9">
      <c r="E105" s="16"/>
      <c r="F105" s="16"/>
      <c r="G105" s="16"/>
    </row>
    <row r="106" spans="2:9">
      <c r="E106" s="16"/>
      <c r="F106" s="16"/>
      <c r="G106" s="16"/>
    </row>
    <row r="107" spans="2:9">
      <c r="E107" s="16"/>
      <c r="F107" s="16"/>
      <c r="G107" s="16"/>
    </row>
    <row r="108" spans="2:9">
      <c r="E108" s="16"/>
      <c r="F108" s="16"/>
      <c r="G108" s="16"/>
    </row>
    <row r="109" spans="2:9">
      <c r="E109" s="16"/>
      <c r="F109" s="16"/>
      <c r="G109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500F-8F63-49B6-B0EF-1EE3EA6E378C}">
  <dimension ref="A1:E104"/>
  <sheetViews>
    <sheetView zoomScale="80" zoomScaleNormal="80" workbookViewId="0">
      <selection activeCell="D5" sqref="D5"/>
    </sheetView>
  </sheetViews>
  <sheetFormatPr defaultColWidth="15.25" defaultRowHeight="13"/>
  <cols>
    <col min="1" max="1" width="16.4140625" style="2" customWidth="1"/>
    <col min="2" max="2" width="12.6640625" style="5" customWidth="1"/>
    <col min="3" max="3" width="7.6640625" style="5" customWidth="1"/>
    <col min="4" max="16384" width="15.25" style="2"/>
  </cols>
  <sheetData>
    <row r="1" spans="1:4">
      <c r="A1" s="3" t="s">
        <v>116</v>
      </c>
    </row>
    <row r="3" spans="1:4" ht="65">
      <c r="B3" s="8" t="s">
        <v>117</v>
      </c>
      <c r="C3" s="8" t="s">
        <v>36</v>
      </c>
    </row>
    <row r="4" spans="1:4">
      <c r="B4" s="9" t="s">
        <v>35</v>
      </c>
      <c r="C4" s="9"/>
    </row>
    <row r="5" spans="1:4">
      <c r="A5" s="1" t="s">
        <v>28</v>
      </c>
      <c r="B5" s="17">
        <v>0.81459999999999999</v>
      </c>
      <c r="C5" s="26">
        <v>10090</v>
      </c>
      <c r="D5" s="46"/>
    </row>
    <row r="6" spans="1:4">
      <c r="A6" s="33" t="s">
        <v>29</v>
      </c>
      <c r="B6" s="34"/>
      <c r="C6" s="34"/>
    </row>
    <row r="7" spans="1:4">
      <c r="A7" s="4" t="s">
        <v>24</v>
      </c>
      <c r="B7" s="17">
        <v>1.6144933600244702</v>
      </c>
      <c r="C7" s="26">
        <v>5535</v>
      </c>
    </row>
    <row r="8" spans="1:4">
      <c r="A8" s="4" t="s">
        <v>23</v>
      </c>
      <c r="B8" s="17">
        <v>0.13673090909106</v>
      </c>
      <c r="C8" s="32">
        <v>4555</v>
      </c>
    </row>
    <row r="9" spans="1:4">
      <c r="A9" s="33" t="s">
        <v>22</v>
      </c>
      <c r="B9" s="35"/>
      <c r="C9" s="36"/>
    </row>
    <row r="10" spans="1:4">
      <c r="A10" s="4" t="s">
        <v>1</v>
      </c>
      <c r="B10" s="17">
        <v>0.34910678844346898</v>
      </c>
      <c r="C10" s="26">
        <v>559</v>
      </c>
    </row>
    <row r="11" spans="1:4">
      <c r="A11" s="4" t="s">
        <v>2</v>
      </c>
      <c r="B11" s="17">
        <v>0.10875861131215199</v>
      </c>
      <c r="C11" s="26">
        <v>828</v>
      </c>
    </row>
    <row r="12" spans="1:4">
      <c r="A12" s="4" t="s">
        <v>3</v>
      </c>
      <c r="B12" s="17">
        <v>0.61167967001363899</v>
      </c>
      <c r="C12" s="26">
        <v>561</v>
      </c>
    </row>
    <row r="13" spans="1:4">
      <c r="A13" s="4" t="s">
        <v>4</v>
      </c>
      <c r="B13" s="17">
        <v>0.272838276233132</v>
      </c>
      <c r="C13" s="26">
        <v>554</v>
      </c>
    </row>
    <row r="14" spans="1:4">
      <c r="A14" s="4" t="s">
        <v>5</v>
      </c>
      <c r="B14" s="17">
        <v>0.232852829588206</v>
      </c>
      <c r="C14" s="26">
        <v>568</v>
      </c>
    </row>
    <row r="15" spans="1:4">
      <c r="A15" s="4" t="s">
        <v>6</v>
      </c>
      <c r="B15" s="17">
        <v>0.11398284898066101</v>
      </c>
      <c r="C15" s="26">
        <v>1084</v>
      </c>
    </row>
    <row r="16" spans="1:4">
      <c r="A16" s="4" t="s">
        <v>38</v>
      </c>
      <c r="B16" s="17">
        <v>0.114647959842896</v>
      </c>
      <c r="C16" s="26">
        <v>570</v>
      </c>
    </row>
    <row r="17" spans="1:3">
      <c r="A17" s="4" t="s">
        <v>7</v>
      </c>
      <c r="B17" s="17">
        <v>3.9169345746929296</v>
      </c>
      <c r="C17" s="26">
        <v>854</v>
      </c>
    </row>
    <row r="18" spans="1:3">
      <c r="A18" s="4" t="s">
        <v>8</v>
      </c>
      <c r="B18" s="17">
        <v>0.752771150222035</v>
      </c>
      <c r="C18" s="26">
        <v>557</v>
      </c>
    </row>
    <row r="19" spans="1:3">
      <c r="A19" s="4" t="s">
        <v>9</v>
      </c>
      <c r="B19" s="17">
        <v>0.207605366975216</v>
      </c>
      <c r="C19" s="26">
        <v>854</v>
      </c>
    </row>
    <row r="20" spans="1:3">
      <c r="A20" s="4" t="s">
        <v>10</v>
      </c>
      <c r="B20" s="17">
        <v>1.20598402162914</v>
      </c>
      <c r="C20" s="26">
        <v>846</v>
      </c>
    </row>
    <row r="21" spans="1:3">
      <c r="A21" s="4" t="s">
        <v>11</v>
      </c>
      <c r="B21" s="17">
        <v>1.8790527225295801</v>
      </c>
      <c r="C21" s="26">
        <v>852</v>
      </c>
    </row>
    <row r="22" spans="1:3">
      <c r="A22" s="4" t="s">
        <v>12</v>
      </c>
      <c r="B22" s="17">
        <v>1.1123726129217399</v>
      </c>
      <c r="C22" s="26">
        <v>837</v>
      </c>
    </row>
    <row r="23" spans="1:3">
      <c r="A23" s="4" t="s">
        <v>13</v>
      </c>
      <c r="B23" s="17">
        <v>0</v>
      </c>
      <c r="C23" s="26">
        <v>566</v>
      </c>
    </row>
    <row r="24" spans="1:3">
      <c r="A24" s="33" t="s">
        <v>32</v>
      </c>
      <c r="B24" s="35"/>
      <c r="C24" s="36"/>
    </row>
    <row r="25" spans="1:3">
      <c r="A25" s="4" t="s">
        <v>39</v>
      </c>
      <c r="B25" s="17">
        <v>0.81627202296861689</v>
      </c>
      <c r="C25" s="26">
        <v>4616</v>
      </c>
    </row>
    <row r="26" spans="1:3">
      <c r="A26" s="4" t="s">
        <v>40</v>
      </c>
      <c r="B26" s="17">
        <v>0.81322164186111401</v>
      </c>
      <c r="C26" s="26">
        <v>5474</v>
      </c>
    </row>
    <row r="27" spans="1:3">
      <c r="A27" s="33" t="s">
        <v>31</v>
      </c>
      <c r="B27" s="35"/>
      <c r="C27" s="36"/>
    </row>
    <row r="28" spans="1:3">
      <c r="A28" s="4" t="s">
        <v>41</v>
      </c>
      <c r="B28" s="17">
        <v>0</v>
      </c>
      <c r="C28" s="26">
        <v>37</v>
      </c>
    </row>
    <row r="29" spans="1:3">
      <c r="A29" s="4" t="s">
        <v>42</v>
      </c>
      <c r="B29" s="17">
        <v>0.67522482587633303</v>
      </c>
      <c r="C29" s="26">
        <v>7809</v>
      </c>
    </row>
    <row r="30" spans="1:3">
      <c r="A30" s="4" t="s">
        <v>43</v>
      </c>
      <c r="B30" s="17">
        <v>1.4348811262828001</v>
      </c>
      <c r="C30" s="26">
        <v>2244</v>
      </c>
    </row>
    <row r="31" spans="1:3">
      <c r="A31" s="33" t="s">
        <v>30</v>
      </c>
      <c r="B31" s="35"/>
      <c r="C31" s="36"/>
    </row>
    <row r="32" spans="1:3">
      <c r="A32" s="4" t="s">
        <v>44</v>
      </c>
      <c r="B32" s="17">
        <v>0.85450129265751307</v>
      </c>
      <c r="C32" s="26">
        <v>1905</v>
      </c>
    </row>
    <row r="33" spans="1:3">
      <c r="A33" s="4" t="s">
        <v>45</v>
      </c>
      <c r="B33" s="17">
        <v>0</v>
      </c>
      <c r="C33" s="26">
        <v>55</v>
      </c>
    </row>
    <row r="34" spans="1:3">
      <c r="A34" s="4" t="s">
        <v>46</v>
      </c>
      <c r="B34" s="17">
        <v>1.41510790208656</v>
      </c>
      <c r="C34" s="26">
        <v>2725</v>
      </c>
    </row>
    <row r="35" spans="1:3">
      <c r="A35" s="4" t="s">
        <v>47</v>
      </c>
      <c r="B35" s="17">
        <v>0.64130489816899194</v>
      </c>
      <c r="C35" s="26">
        <v>4170</v>
      </c>
    </row>
    <row r="36" spans="1:3">
      <c r="A36" s="4" t="s">
        <v>48</v>
      </c>
      <c r="B36" s="17">
        <v>0.245116992253718</v>
      </c>
      <c r="C36" s="26">
        <v>946</v>
      </c>
    </row>
    <row r="37" spans="1:3">
      <c r="A37" s="33" t="s">
        <v>0</v>
      </c>
      <c r="B37" s="35"/>
      <c r="C37" s="36"/>
    </row>
    <row r="38" spans="1:3">
      <c r="A38" s="4" t="s">
        <v>49</v>
      </c>
      <c r="B38" s="17">
        <v>9.6492599245878996E-2</v>
      </c>
      <c r="C38" s="26">
        <v>675</v>
      </c>
    </row>
    <row r="39" spans="1:3">
      <c r="A39" s="4" t="s">
        <v>50</v>
      </c>
      <c r="B39" s="17">
        <v>0.95965754551234006</v>
      </c>
      <c r="C39" s="26">
        <v>765</v>
      </c>
    </row>
    <row r="40" spans="1:3">
      <c r="A40" s="4" t="s">
        <v>51</v>
      </c>
      <c r="B40" s="17">
        <v>1.44585538053309</v>
      </c>
      <c r="C40" s="26">
        <v>839</v>
      </c>
    </row>
    <row r="41" spans="1:3">
      <c r="A41" s="4" t="s">
        <v>52</v>
      </c>
      <c r="B41" s="17">
        <v>1.2552521554134599</v>
      </c>
      <c r="C41" s="26">
        <v>854</v>
      </c>
    </row>
    <row r="42" spans="1:3">
      <c r="A42" s="4" t="s">
        <v>53</v>
      </c>
      <c r="B42" s="17">
        <v>1.57065384572906</v>
      </c>
      <c r="C42" s="26">
        <v>950</v>
      </c>
    </row>
    <row r="43" spans="1:3">
      <c r="A43" s="4" t="s">
        <v>54</v>
      </c>
      <c r="B43" s="17">
        <v>1.0487559579444601</v>
      </c>
      <c r="C43" s="26">
        <v>1008</v>
      </c>
    </row>
    <row r="44" spans="1:3">
      <c r="A44" s="4" t="s">
        <v>55</v>
      </c>
      <c r="B44" s="17">
        <v>0.73400438864071504</v>
      </c>
      <c r="C44" s="26">
        <v>1101</v>
      </c>
    </row>
    <row r="45" spans="1:3">
      <c r="A45" s="4" t="s">
        <v>56</v>
      </c>
      <c r="B45" s="17">
        <v>0.20879660544474199</v>
      </c>
      <c r="C45" s="26">
        <v>1197</v>
      </c>
    </row>
    <row r="46" spans="1:3">
      <c r="A46" s="4" t="s">
        <v>57</v>
      </c>
      <c r="B46" s="17">
        <v>0.231758125979904</v>
      </c>
      <c r="C46" s="26">
        <v>1283</v>
      </c>
    </row>
    <row r="47" spans="1:3">
      <c r="A47" s="4" t="s">
        <v>58</v>
      </c>
      <c r="B47" s="17">
        <v>0.95801951043816802</v>
      </c>
      <c r="C47" s="26">
        <v>1418</v>
      </c>
    </row>
    <row r="48" spans="1:3">
      <c r="A48" s="33" t="s">
        <v>25</v>
      </c>
      <c r="B48" s="35"/>
      <c r="C48" s="36"/>
    </row>
    <row r="49" spans="1:5">
      <c r="A49" s="6" t="s">
        <v>18</v>
      </c>
      <c r="B49" s="17">
        <v>0.40487464077213198</v>
      </c>
      <c r="C49" s="26">
        <v>715</v>
      </c>
    </row>
    <row r="50" spans="1:5">
      <c r="A50" s="6" t="s">
        <v>20</v>
      </c>
      <c r="B50" s="17">
        <v>0</v>
      </c>
      <c r="C50" s="26">
        <v>111</v>
      </c>
    </row>
    <row r="51" spans="1:5">
      <c r="A51" s="6" t="s">
        <v>19</v>
      </c>
      <c r="B51" s="17">
        <v>0.8387319903516941</v>
      </c>
      <c r="C51" s="26">
        <v>33</v>
      </c>
    </row>
    <row r="52" spans="1:5">
      <c r="A52" s="6" t="s">
        <v>14</v>
      </c>
      <c r="B52" s="17">
        <v>0</v>
      </c>
      <c r="C52" s="26">
        <v>146</v>
      </c>
    </row>
    <row r="53" spans="1:5">
      <c r="A53" s="6" t="s">
        <v>15</v>
      </c>
      <c r="B53" s="17">
        <v>0</v>
      </c>
      <c r="C53" s="26">
        <v>1292</v>
      </c>
    </row>
    <row r="54" spans="1:5">
      <c r="A54" s="6" t="s">
        <v>16</v>
      </c>
      <c r="B54" s="17">
        <v>1.17406837900883</v>
      </c>
      <c r="C54" s="26">
        <v>4610</v>
      </c>
    </row>
    <row r="55" spans="1:5">
      <c r="A55" s="6" t="s">
        <v>59</v>
      </c>
      <c r="B55" s="17">
        <v>1.1641679917438501</v>
      </c>
      <c r="C55" s="26">
        <v>165</v>
      </c>
    </row>
    <row r="56" spans="1:5">
      <c r="A56" s="6" t="s">
        <v>60</v>
      </c>
      <c r="B56" s="17">
        <v>0.30211356329935296</v>
      </c>
      <c r="C56" s="26">
        <v>108</v>
      </c>
      <c r="E56" s="7"/>
    </row>
    <row r="57" spans="1:5">
      <c r="A57" s="6" t="s">
        <v>21</v>
      </c>
      <c r="B57" s="17">
        <v>0</v>
      </c>
      <c r="C57" s="26">
        <v>35</v>
      </c>
      <c r="E57" s="7"/>
    </row>
    <row r="58" spans="1:5">
      <c r="A58" s="6" t="s">
        <v>61</v>
      </c>
      <c r="B58" s="17">
        <v>1.4415819377083401</v>
      </c>
      <c r="C58" s="26">
        <v>1000</v>
      </c>
      <c r="E58" s="7"/>
    </row>
    <row r="59" spans="1:5">
      <c r="A59" s="6" t="s">
        <v>62</v>
      </c>
      <c r="B59" s="17">
        <v>0.20441836597352303</v>
      </c>
      <c r="C59" s="26">
        <v>1272</v>
      </c>
      <c r="E59" s="7"/>
    </row>
    <row r="60" spans="1:5">
      <c r="A60" s="6" t="s">
        <v>17</v>
      </c>
      <c r="B60" s="17">
        <v>0</v>
      </c>
      <c r="C60" s="26">
        <v>31</v>
      </c>
      <c r="E60" s="7"/>
    </row>
    <row r="61" spans="1:5">
      <c r="A61" s="6" t="s">
        <v>63</v>
      </c>
      <c r="B61" s="18">
        <v>0</v>
      </c>
      <c r="C61" s="27">
        <v>572</v>
      </c>
      <c r="E61" s="7"/>
    </row>
    <row r="62" spans="1:5">
      <c r="B62" s="20"/>
      <c r="C62" s="23"/>
    </row>
    <row r="63" spans="1:5">
      <c r="B63" s="19"/>
      <c r="C63" s="16"/>
    </row>
    <row r="64" spans="1:5">
      <c r="B64" s="19"/>
      <c r="C64" s="16"/>
    </row>
    <row r="65" spans="2:3">
      <c r="B65" s="19"/>
      <c r="C65" s="16"/>
    </row>
    <row r="66" spans="2:3">
      <c r="B66" s="19"/>
      <c r="C66" s="16"/>
    </row>
    <row r="67" spans="2:3">
      <c r="B67" s="19"/>
      <c r="C67" s="16"/>
    </row>
    <row r="68" spans="2:3">
      <c r="B68" s="19"/>
      <c r="C68" s="16"/>
    </row>
    <row r="69" spans="2:3">
      <c r="B69" s="19"/>
      <c r="C69" s="16"/>
    </row>
    <row r="70" spans="2:3">
      <c r="B70" s="19"/>
      <c r="C70" s="16"/>
    </row>
    <row r="71" spans="2:3">
      <c r="B71" s="19"/>
      <c r="C71" s="16"/>
    </row>
    <row r="72" spans="2:3">
      <c r="B72" s="19"/>
      <c r="C72" s="16"/>
    </row>
    <row r="73" spans="2:3">
      <c r="B73" s="19"/>
      <c r="C73" s="16"/>
    </row>
    <row r="74" spans="2:3">
      <c r="B74" s="19"/>
      <c r="C74" s="16"/>
    </row>
    <row r="75" spans="2:3">
      <c r="B75" s="19"/>
      <c r="C75" s="16"/>
    </row>
    <row r="76" spans="2:3">
      <c r="B76" s="19"/>
      <c r="C76" s="16"/>
    </row>
    <row r="77" spans="2:3">
      <c r="B77" s="19"/>
      <c r="C77" s="16"/>
    </row>
    <row r="78" spans="2:3">
      <c r="B78" s="19"/>
      <c r="C78" s="16"/>
    </row>
    <row r="79" spans="2:3">
      <c r="B79" s="19"/>
      <c r="C79" s="16"/>
    </row>
    <row r="80" spans="2:3">
      <c r="B80" s="19"/>
      <c r="C80" s="19"/>
    </row>
    <row r="81" spans="2:3">
      <c r="B81" s="19"/>
      <c r="C81" s="19"/>
    </row>
    <row r="82" spans="2:3">
      <c r="B82" s="19"/>
      <c r="C82" s="19"/>
    </row>
    <row r="83" spans="2:3">
      <c r="B83" s="19"/>
      <c r="C83" s="19"/>
    </row>
    <row r="84" spans="2:3">
      <c r="B84" s="19"/>
      <c r="C84" s="19"/>
    </row>
    <row r="85" spans="2:3">
      <c r="B85" s="19"/>
      <c r="C85" s="19"/>
    </row>
    <row r="86" spans="2:3">
      <c r="B86" s="19"/>
      <c r="C86" s="19"/>
    </row>
    <row r="87" spans="2:3">
      <c r="B87" s="19"/>
      <c r="C87" s="19"/>
    </row>
    <row r="88" spans="2:3">
      <c r="B88" s="19"/>
      <c r="C88" s="19"/>
    </row>
    <row r="89" spans="2:3">
      <c r="B89" s="19"/>
      <c r="C89" s="19"/>
    </row>
    <row r="90" spans="2:3">
      <c r="B90" s="19"/>
      <c r="C90" s="19"/>
    </row>
    <row r="91" spans="2:3">
      <c r="B91" s="19"/>
      <c r="C91" s="19"/>
    </row>
    <row r="92" spans="2:3">
      <c r="B92" s="19"/>
      <c r="C92" s="16"/>
    </row>
    <row r="93" spans="2:3">
      <c r="B93" s="19"/>
    </row>
    <row r="94" spans="2:3">
      <c r="B94" s="19"/>
    </row>
    <row r="95" spans="2:3">
      <c r="B95" s="19"/>
    </row>
    <row r="96" spans="2:3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60BA-EDBD-4C7D-B23A-DB8715CC5298}">
  <sheetPr>
    <tabColor rgb="FFFF0000"/>
  </sheetPr>
  <dimension ref="A1:F104"/>
  <sheetViews>
    <sheetView zoomScale="80" zoomScaleNormal="80" workbookViewId="0">
      <selection activeCell="F22" sqref="F22"/>
    </sheetView>
  </sheetViews>
  <sheetFormatPr defaultColWidth="15.25" defaultRowHeight="13"/>
  <cols>
    <col min="1" max="1" width="16.4140625" style="2" customWidth="1"/>
    <col min="2" max="3" width="12.6640625" style="5" customWidth="1"/>
    <col min="4" max="4" width="7.6640625" style="5" customWidth="1"/>
    <col min="5" max="16384" width="15.25" style="2"/>
  </cols>
  <sheetData>
    <row r="1" spans="1:4">
      <c r="A1" s="3" t="s">
        <v>118</v>
      </c>
    </row>
    <row r="3" spans="1:4" ht="39">
      <c r="B3" s="8" t="s">
        <v>119</v>
      </c>
      <c r="C3" s="8" t="s">
        <v>121</v>
      </c>
      <c r="D3" s="8" t="s">
        <v>36</v>
      </c>
    </row>
    <row r="4" spans="1:4">
      <c r="B4" s="9" t="s">
        <v>120</v>
      </c>
      <c r="C4" s="9" t="s">
        <v>120</v>
      </c>
      <c r="D4" s="9"/>
    </row>
    <row r="5" spans="1:4">
      <c r="A5" s="1" t="s">
        <v>28</v>
      </c>
      <c r="B5" s="14"/>
      <c r="C5" s="14"/>
      <c r="D5" s="14"/>
    </row>
    <row r="6" spans="1:4">
      <c r="A6" s="1" t="s">
        <v>29</v>
      </c>
      <c r="B6" s="14"/>
      <c r="C6" s="14"/>
      <c r="D6" s="14"/>
    </row>
    <row r="7" spans="1:4">
      <c r="A7" s="4" t="s">
        <v>24</v>
      </c>
      <c r="B7" s="26"/>
      <c r="C7" s="26"/>
      <c r="D7" s="26">
        <v>5535</v>
      </c>
    </row>
    <row r="8" spans="1:4">
      <c r="A8" s="4" t="s">
        <v>23</v>
      </c>
      <c r="B8" s="26"/>
      <c r="C8" s="26"/>
      <c r="D8" s="32">
        <v>4555</v>
      </c>
    </row>
    <row r="9" spans="1:4">
      <c r="A9" s="1" t="s">
        <v>22</v>
      </c>
      <c r="B9" s="26"/>
      <c r="C9" s="26"/>
      <c r="D9" s="26"/>
    </row>
    <row r="10" spans="1:4">
      <c r="A10" s="4" t="s">
        <v>1</v>
      </c>
      <c r="B10" s="26"/>
      <c r="C10" s="26"/>
      <c r="D10" s="26">
        <v>559</v>
      </c>
    </row>
    <row r="11" spans="1:4">
      <c r="A11" s="4" t="s">
        <v>2</v>
      </c>
      <c r="B11" s="26"/>
      <c r="C11" s="26"/>
      <c r="D11" s="26">
        <v>828</v>
      </c>
    </row>
    <row r="12" spans="1:4">
      <c r="A12" s="4" t="s">
        <v>3</v>
      </c>
      <c r="B12" s="26"/>
      <c r="C12" s="26"/>
      <c r="D12" s="26">
        <v>561</v>
      </c>
    </row>
    <row r="13" spans="1:4">
      <c r="A13" s="4" t="s">
        <v>4</v>
      </c>
      <c r="B13" s="26"/>
      <c r="C13" s="26"/>
      <c r="D13" s="26">
        <v>554</v>
      </c>
    </row>
    <row r="14" spans="1:4">
      <c r="A14" s="4" t="s">
        <v>5</v>
      </c>
      <c r="B14" s="26"/>
      <c r="C14" s="26"/>
      <c r="D14" s="26">
        <v>568</v>
      </c>
    </row>
    <row r="15" spans="1:4">
      <c r="A15" s="4" t="s">
        <v>6</v>
      </c>
      <c r="B15" s="26"/>
      <c r="C15" s="26"/>
      <c r="D15" s="26">
        <v>1084</v>
      </c>
    </row>
    <row r="16" spans="1:4">
      <c r="A16" s="4" t="s">
        <v>38</v>
      </c>
      <c r="B16" s="26"/>
      <c r="C16" s="26"/>
      <c r="D16" s="26">
        <v>570</v>
      </c>
    </row>
    <row r="17" spans="1:4">
      <c r="A17" s="4" t="s">
        <v>7</v>
      </c>
      <c r="B17" s="26"/>
      <c r="C17" s="26"/>
      <c r="D17" s="26">
        <v>854</v>
      </c>
    </row>
    <row r="18" spans="1:4">
      <c r="A18" s="4" t="s">
        <v>8</v>
      </c>
      <c r="B18" s="26"/>
      <c r="C18" s="26"/>
      <c r="D18" s="26">
        <v>557</v>
      </c>
    </row>
    <row r="19" spans="1:4">
      <c r="A19" s="4" t="s">
        <v>9</v>
      </c>
      <c r="B19" s="26"/>
      <c r="C19" s="26"/>
      <c r="D19" s="26">
        <v>854</v>
      </c>
    </row>
    <row r="20" spans="1:4">
      <c r="A20" s="4" t="s">
        <v>10</v>
      </c>
      <c r="B20" s="26"/>
      <c r="C20" s="26"/>
      <c r="D20" s="26">
        <v>846</v>
      </c>
    </row>
    <row r="21" spans="1:4">
      <c r="A21" s="4" t="s">
        <v>11</v>
      </c>
      <c r="B21" s="26"/>
      <c r="C21" s="26"/>
      <c r="D21" s="26">
        <v>852</v>
      </c>
    </row>
    <row r="22" spans="1:4">
      <c r="A22" s="4" t="s">
        <v>12</v>
      </c>
      <c r="B22" s="26"/>
      <c r="C22" s="26"/>
      <c r="D22" s="26">
        <v>837</v>
      </c>
    </row>
    <row r="23" spans="1:4">
      <c r="A23" s="4" t="s">
        <v>13</v>
      </c>
      <c r="B23" s="26"/>
      <c r="C23" s="26"/>
      <c r="D23" s="26">
        <v>566</v>
      </c>
    </row>
    <row r="24" spans="1:4">
      <c r="A24" s="1" t="s">
        <v>32</v>
      </c>
      <c r="B24" s="26"/>
      <c r="C24" s="26"/>
      <c r="D24" s="26"/>
    </row>
    <row r="25" spans="1:4">
      <c r="A25" s="4" t="s">
        <v>39</v>
      </c>
      <c r="B25" s="26"/>
      <c r="C25" s="26"/>
      <c r="D25" s="26">
        <v>4616</v>
      </c>
    </row>
    <row r="26" spans="1:4">
      <c r="A26" s="4" t="s">
        <v>40</v>
      </c>
      <c r="B26" s="26"/>
      <c r="C26" s="26"/>
      <c r="D26" s="26">
        <v>5474</v>
      </c>
    </row>
    <row r="27" spans="1:4">
      <c r="A27" s="1" t="s">
        <v>31</v>
      </c>
      <c r="B27" s="26"/>
      <c r="C27" s="26"/>
      <c r="D27" s="26"/>
    </row>
    <row r="28" spans="1:4">
      <c r="A28" s="4" t="s">
        <v>41</v>
      </c>
      <c r="B28" s="26"/>
      <c r="C28" s="26"/>
      <c r="D28" s="26">
        <v>37</v>
      </c>
    </row>
    <row r="29" spans="1:4">
      <c r="A29" s="4" t="s">
        <v>42</v>
      </c>
      <c r="B29" s="26"/>
      <c r="C29" s="26"/>
      <c r="D29" s="26">
        <v>7809</v>
      </c>
    </row>
    <row r="30" spans="1:4">
      <c r="A30" s="4" t="s">
        <v>43</v>
      </c>
      <c r="B30" s="26"/>
      <c r="C30" s="26"/>
      <c r="D30" s="26">
        <v>2244</v>
      </c>
    </row>
    <row r="31" spans="1:4">
      <c r="A31" s="1" t="s">
        <v>30</v>
      </c>
      <c r="B31" s="26"/>
      <c r="C31" s="26"/>
      <c r="D31" s="26"/>
    </row>
    <row r="32" spans="1:4">
      <c r="A32" s="4" t="s">
        <v>44</v>
      </c>
      <c r="B32" s="26"/>
      <c r="C32" s="26"/>
      <c r="D32" s="26">
        <v>1905</v>
      </c>
    </row>
    <row r="33" spans="1:4">
      <c r="A33" s="4" t="s">
        <v>45</v>
      </c>
      <c r="B33" s="26"/>
      <c r="C33" s="26"/>
      <c r="D33" s="26">
        <v>55</v>
      </c>
    </row>
    <row r="34" spans="1:4">
      <c r="A34" s="4" t="s">
        <v>46</v>
      </c>
      <c r="B34" s="26"/>
      <c r="C34" s="26"/>
      <c r="D34" s="26">
        <v>2725</v>
      </c>
    </row>
    <row r="35" spans="1:4">
      <c r="A35" s="4" t="s">
        <v>47</v>
      </c>
      <c r="B35" s="26"/>
      <c r="C35" s="26"/>
      <c r="D35" s="26">
        <v>4170</v>
      </c>
    </row>
    <row r="36" spans="1:4">
      <c r="A36" s="4" t="s">
        <v>48</v>
      </c>
      <c r="B36" s="26"/>
      <c r="C36" s="26"/>
      <c r="D36" s="26">
        <v>946</v>
      </c>
    </row>
    <row r="37" spans="1:4">
      <c r="A37" s="1" t="s">
        <v>0</v>
      </c>
      <c r="B37" s="26"/>
      <c r="C37" s="26"/>
      <c r="D37" s="26"/>
    </row>
    <row r="38" spans="1:4">
      <c r="A38" s="4" t="s">
        <v>49</v>
      </c>
      <c r="B38" s="26"/>
      <c r="C38" s="26"/>
      <c r="D38" s="26">
        <v>675</v>
      </c>
    </row>
    <row r="39" spans="1:4">
      <c r="A39" s="4" t="s">
        <v>50</v>
      </c>
      <c r="B39" s="26"/>
      <c r="C39" s="26"/>
      <c r="D39" s="26">
        <v>765</v>
      </c>
    </row>
    <row r="40" spans="1:4">
      <c r="A40" s="4" t="s">
        <v>51</v>
      </c>
      <c r="B40" s="26"/>
      <c r="C40" s="26"/>
      <c r="D40" s="26">
        <v>839</v>
      </c>
    </row>
    <row r="41" spans="1:4">
      <c r="A41" s="4" t="s">
        <v>52</v>
      </c>
      <c r="B41" s="26"/>
      <c r="C41" s="26"/>
      <c r="D41" s="26">
        <v>854</v>
      </c>
    </row>
    <row r="42" spans="1:4">
      <c r="A42" s="4" t="s">
        <v>53</v>
      </c>
      <c r="B42" s="26"/>
      <c r="C42" s="26"/>
      <c r="D42" s="26">
        <v>950</v>
      </c>
    </row>
    <row r="43" spans="1:4">
      <c r="A43" s="4" t="s">
        <v>54</v>
      </c>
      <c r="B43" s="26"/>
      <c r="C43" s="26"/>
      <c r="D43" s="26">
        <v>1008</v>
      </c>
    </row>
    <row r="44" spans="1:4">
      <c r="A44" s="4" t="s">
        <v>55</v>
      </c>
      <c r="B44" s="26"/>
      <c r="C44" s="26"/>
      <c r="D44" s="26">
        <v>1101</v>
      </c>
    </row>
    <row r="45" spans="1:4">
      <c r="A45" s="4" t="s">
        <v>56</v>
      </c>
      <c r="B45" s="26"/>
      <c r="C45" s="26"/>
      <c r="D45" s="26">
        <v>1197</v>
      </c>
    </row>
    <row r="46" spans="1:4">
      <c r="A46" s="4" t="s">
        <v>57</v>
      </c>
      <c r="B46" s="26"/>
      <c r="C46" s="26"/>
      <c r="D46" s="26">
        <v>1283</v>
      </c>
    </row>
    <row r="47" spans="1:4">
      <c r="A47" s="4" t="s">
        <v>58</v>
      </c>
      <c r="B47" s="26"/>
      <c r="C47" s="26"/>
      <c r="D47" s="26">
        <v>1418</v>
      </c>
    </row>
    <row r="48" spans="1:4">
      <c r="A48" s="1" t="s">
        <v>25</v>
      </c>
      <c r="B48" s="26"/>
      <c r="C48" s="26"/>
      <c r="D48" s="26"/>
    </row>
    <row r="49" spans="1:6">
      <c r="A49" s="6" t="s">
        <v>18</v>
      </c>
      <c r="B49" s="26"/>
      <c r="C49" s="26"/>
      <c r="D49" s="26">
        <v>715</v>
      </c>
    </row>
    <row r="50" spans="1:6">
      <c r="A50" s="6" t="s">
        <v>20</v>
      </c>
      <c r="B50" s="26"/>
      <c r="C50" s="26"/>
      <c r="D50" s="26">
        <v>111</v>
      </c>
    </row>
    <row r="51" spans="1:6">
      <c r="A51" s="6" t="s">
        <v>19</v>
      </c>
      <c r="B51" s="26"/>
      <c r="C51" s="26"/>
      <c r="D51" s="26">
        <v>33</v>
      </c>
    </row>
    <row r="52" spans="1:6">
      <c r="A52" s="6" t="s">
        <v>14</v>
      </c>
      <c r="B52" s="26"/>
      <c r="C52" s="26"/>
      <c r="D52" s="26">
        <v>146</v>
      </c>
    </row>
    <row r="53" spans="1:6">
      <c r="A53" s="6" t="s">
        <v>15</v>
      </c>
      <c r="B53" s="26"/>
      <c r="C53" s="26"/>
      <c r="D53" s="26">
        <v>1292</v>
      </c>
    </row>
    <row r="54" spans="1:6">
      <c r="A54" s="6" t="s">
        <v>16</v>
      </c>
      <c r="B54" s="26"/>
      <c r="C54" s="26"/>
      <c r="D54" s="26">
        <v>4610</v>
      </c>
    </row>
    <row r="55" spans="1:6">
      <c r="A55" s="6" t="s">
        <v>59</v>
      </c>
      <c r="B55" s="26"/>
      <c r="C55" s="26"/>
      <c r="D55" s="26">
        <v>165</v>
      </c>
    </row>
    <row r="56" spans="1:6">
      <c r="A56" s="6" t="s">
        <v>60</v>
      </c>
      <c r="B56" s="26"/>
      <c r="C56" s="26"/>
      <c r="D56" s="26">
        <v>108</v>
      </c>
      <c r="F56" s="7"/>
    </row>
    <row r="57" spans="1:6">
      <c r="A57" s="6" t="s">
        <v>21</v>
      </c>
      <c r="B57" s="26"/>
      <c r="C57" s="26"/>
      <c r="D57" s="26">
        <v>35</v>
      </c>
      <c r="F57" s="7"/>
    </row>
    <row r="58" spans="1:6">
      <c r="A58" s="6" t="s">
        <v>61</v>
      </c>
      <c r="B58" s="26"/>
      <c r="C58" s="26"/>
      <c r="D58" s="26">
        <v>1000</v>
      </c>
      <c r="F58" s="7"/>
    </row>
    <row r="59" spans="1:6">
      <c r="A59" s="6" t="s">
        <v>62</v>
      </c>
      <c r="B59" s="26"/>
      <c r="C59" s="26"/>
      <c r="D59" s="26">
        <v>1272</v>
      </c>
      <c r="F59" s="7"/>
    </row>
    <row r="60" spans="1:6">
      <c r="A60" s="6" t="s">
        <v>17</v>
      </c>
      <c r="B60" s="26"/>
      <c r="C60" s="26"/>
      <c r="D60" s="26">
        <v>31</v>
      </c>
      <c r="F60" s="7"/>
    </row>
    <row r="61" spans="1:6">
      <c r="A61" s="6" t="s">
        <v>63</v>
      </c>
      <c r="B61" s="27"/>
      <c r="C61" s="27"/>
      <c r="D61" s="27">
        <v>572</v>
      </c>
      <c r="F61" s="7"/>
    </row>
    <row r="62" spans="1:6">
      <c r="B62" s="20"/>
      <c r="C62" s="20"/>
      <c r="D62" s="23"/>
    </row>
    <row r="63" spans="1:6">
      <c r="B63" s="19"/>
      <c r="C63" s="19"/>
      <c r="D63" s="16"/>
    </row>
    <row r="64" spans="1:6">
      <c r="B64" s="19"/>
      <c r="C64" s="19"/>
      <c r="D64" s="16"/>
    </row>
    <row r="65" spans="2:4">
      <c r="B65" s="19"/>
      <c r="C65" s="19"/>
      <c r="D65" s="16"/>
    </row>
    <row r="66" spans="2:4">
      <c r="B66" s="19"/>
      <c r="C66" s="19"/>
      <c r="D66" s="16"/>
    </row>
    <row r="67" spans="2:4">
      <c r="B67" s="19"/>
      <c r="C67" s="19"/>
      <c r="D67" s="16"/>
    </row>
    <row r="68" spans="2:4">
      <c r="B68" s="19"/>
      <c r="C68" s="19"/>
      <c r="D68" s="16"/>
    </row>
    <row r="69" spans="2:4">
      <c r="B69" s="19"/>
      <c r="C69" s="19"/>
      <c r="D69" s="16"/>
    </row>
    <row r="70" spans="2:4">
      <c r="B70" s="19"/>
      <c r="C70" s="19"/>
      <c r="D70" s="16"/>
    </row>
    <row r="71" spans="2:4">
      <c r="B71" s="19"/>
      <c r="C71" s="19"/>
      <c r="D71" s="16"/>
    </row>
    <row r="72" spans="2:4">
      <c r="B72" s="19"/>
      <c r="C72" s="19"/>
      <c r="D72" s="16"/>
    </row>
    <row r="73" spans="2:4">
      <c r="B73" s="19"/>
      <c r="C73" s="19"/>
      <c r="D73" s="16"/>
    </row>
    <row r="74" spans="2:4">
      <c r="B74" s="19"/>
      <c r="C74" s="19"/>
      <c r="D74" s="16"/>
    </row>
    <row r="75" spans="2:4">
      <c r="B75" s="19"/>
      <c r="C75" s="19"/>
      <c r="D75" s="16"/>
    </row>
    <row r="76" spans="2:4">
      <c r="B76" s="19"/>
      <c r="C76" s="19"/>
      <c r="D76" s="16"/>
    </row>
    <row r="77" spans="2:4">
      <c r="B77" s="19"/>
      <c r="C77" s="19"/>
      <c r="D77" s="16"/>
    </row>
    <row r="78" spans="2:4">
      <c r="B78" s="19"/>
      <c r="C78" s="19"/>
      <c r="D78" s="16"/>
    </row>
    <row r="79" spans="2:4">
      <c r="B79" s="19"/>
      <c r="C79" s="19"/>
      <c r="D79" s="16"/>
    </row>
    <row r="80" spans="2:4">
      <c r="B80" s="19"/>
      <c r="C80" s="19"/>
      <c r="D80" s="16"/>
    </row>
    <row r="81" spans="2:4">
      <c r="B81" s="19"/>
      <c r="C81" s="19"/>
      <c r="D81" s="16"/>
    </row>
    <row r="82" spans="2:4">
      <c r="B82" s="19"/>
      <c r="C82" s="19"/>
      <c r="D82" s="16"/>
    </row>
    <row r="83" spans="2:4">
      <c r="B83" s="19"/>
      <c r="C83" s="19"/>
      <c r="D83" s="16"/>
    </row>
    <row r="84" spans="2:4">
      <c r="B84" s="19"/>
      <c r="C84" s="19"/>
      <c r="D84" s="16"/>
    </row>
    <row r="85" spans="2:4">
      <c r="B85" s="19"/>
      <c r="C85" s="19"/>
      <c r="D85" s="16"/>
    </row>
    <row r="86" spans="2:4">
      <c r="B86" s="19"/>
      <c r="C86" s="19"/>
      <c r="D86" s="19"/>
    </row>
    <row r="87" spans="2:4">
      <c r="B87" s="19"/>
      <c r="C87" s="19"/>
      <c r="D87" s="19"/>
    </row>
    <row r="88" spans="2:4">
      <c r="B88" s="19"/>
      <c r="C88" s="19"/>
      <c r="D88" s="19"/>
    </row>
    <row r="89" spans="2:4">
      <c r="B89" s="19"/>
      <c r="C89" s="19"/>
      <c r="D89" s="19"/>
    </row>
    <row r="90" spans="2:4">
      <c r="B90" s="19"/>
      <c r="C90" s="19"/>
      <c r="D90" s="19"/>
    </row>
    <row r="91" spans="2:4">
      <c r="B91" s="19"/>
      <c r="C91" s="19"/>
      <c r="D91" s="19"/>
    </row>
    <row r="92" spans="2:4">
      <c r="B92" s="19"/>
      <c r="C92" s="19"/>
      <c r="D92" s="19"/>
    </row>
    <row r="93" spans="2:4">
      <c r="B93" s="19"/>
      <c r="C93" s="19"/>
      <c r="D93" s="19"/>
    </row>
    <row r="94" spans="2:4">
      <c r="B94" s="19"/>
      <c r="C94" s="19"/>
      <c r="D94" s="19"/>
    </row>
    <row r="95" spans="2:4">
      <c r="B95" s="19"/>
      <c r="C95" s="19"/>
      <c r="D95" s="19"/>
    </row>
    <row r="96" spans="2:4">
      <c r="B96" s="19"/>
      <c r="C96" s="19"/>
      <c r="D96" s="19"/>
    </row>
    <row r="97" spans="2:4">
      <c r="B97" s="19"/>
      <c r="C97" s="19"/>
      <c r="D97" s="19"/>
    </row>
    <row r="98" spans="2:4">
      <c r="B98" s="19"/>
      <c r="C98" s="19"/>
      <c r="D98" s="16"/>
    </row>
    <row r="99" spans="2:4">
      <c r="B99" s="19"/>
      <c r="C99" s="19"/>
    </row>
    <row r="100" spans="2:4">
      <c r="B100" s="19"/>
      <c r="C100" s="19"/>
    </row>
    <row r="101" spans="2:4">
      <c r="B101" s="19"/>
      <c r="C101" s="19"/>
    </row>
    <row r="102" spans="2:4">
      <c r="B102" s="19"/>
      <c r="C102" s="19"/>
    </row>
    <row r="103" spans="2:4">
      <c r="B103" s="19"/>
      <c r="C103" s="19"/>
    </row>
    <row r="104" spans="2:4">
      <c r="B104" s="16"/>
      <c r="C10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Wheat flour_bread_consumption</vt:lpstr>
      <vt:lpstr>Other_cereal_consumption</vt:lpstr>
      <vt:lpstr>Rice_consumption</vt:lpstr>
      <vt:lpstr>Oils_fats_consumption</vt:lpstr>
      <vt:lpstr>Spices_consumption</vt:lpstr>
      <vt:lpstr>Maize_production</vt:lpstr>
      <vt:lpstr>Mahangu_production</vt:lpstr>
      <vt:lpstr>Sorghum_production</vt:lpstr>
      <vt:lpstr>Wheat_production</vt:lpstr>
      <vt:lpstr>Other_grain_production</vt:lpstr>
      <vt:lpstr>Butter_oil_fat_production</vt:lpstr>
      <vt:lpstr>Food_consumption_per_capita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Aaron Wise</cp:lastModifiedBy>
  <dcterms:created xsi:type="dcterms:W3CDTF">2020-04-02T15:07:51Z</dcterms:created>
  <dcterms:modified xsi:type="dcterms:W3CDTF">2020-05-25T07:38:37Z</dcterms:modified>
</cp:coreProperties>
</file>