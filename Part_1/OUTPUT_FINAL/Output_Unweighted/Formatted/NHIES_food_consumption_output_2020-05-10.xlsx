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Karen_Codling\NHIES 2015-16 datasets &amp; files\"/>
    </mc:Choice>
  </mc:AlternateContent>
  <xr:revisionPtr revIDLastSave="0" documentId="13_ncr:1_{5034A2CF-2902-4405-9BC9-FBF581C4CB6A}" xr6:coauthVersionLast="45" xr6:coauthVersionMax="45" xr10:uidLastSave="{00000000-0000-0000-0000-000000000000}"/>
  <bookViews>
    <workbookView xWindow="-110" yWindow="-110" windowWidth="19420" windowHeight="10420" firstSheet="8" activeTab="10" xr2:uid="{E4C64B3A-B24C-5D46-B9DB-5D15706E550B}"/>
  </bookViews>
  <sheets>
    <sheet name="Karen_summary" sheetId="1" r:id="rId1"/>
    <sheet name="Wheat flour_bread_consumption" sheetId="2" r:id="rId2"/>
    <sheet name="Other_cereal_consumption" sheetId="3" r:id="rId3"/>
    <sheet name="Rice_consumption" sheetId="4" r:id="rId4"/>
    <sheet name="Oils_fats_consumption" sheetId="5" r:id="rId5"/>
    <sheet name="Maize_production" sheetId="6" r:id="rId6"/>
    <sheet name="Mahangu_production" sheetId="7" r:id="rId7"/>
    <sheet name="Sorghum_production" sheetId="8" r:id="rId8"/>
    <sheet name="Wheat_production" sheetId="9" r:id="rId9"/>
    <sheet name="Butter_oil_fat_production" sheetId="10" r:id="rId10"/>
    <sheet name="Food_consumption_per_capit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9" i="5" l="1"/>
  <c r="Q10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7" i="5"/>
  <c r="Q28" i="5"/>
  <c r="Q30" i="5"/>
  <c r="Q31" i="5"/>
  <c r="Q32" i="5"/>
  <c r="Q34" i="5"/>
  <c r="Q35" i="5"/>
  <c r="Q36" i="5"/>
  <c r="Q37" i="5"/>
  <c r="Q38" i="5"/>
  <c r="Q40" i="5"/>
  <c r="Q41" i="5"/>
  <c r="Q42" i="5"/>
  <c r="Q43" i="5"/>
  <c r="Q44" i="5"/>
  <c r="Q45" i="5"/>
  <c r="Q46" i="5"/>
  <c r="Q47" i="5"/>
  <c r="Q48" i="5"/>
  <c r="Q49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8" i="5"/>
  <c r="Q9" i="4"/>
  <c r="Q10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7" i="4"/>
  <c r="Q28" i="4"/>
  <c r="Q30" i="4"/>
  <c r="Q31" i="4"/>
  <c r="Q32" i="4"/>
  <c r="Q34" i="4"/>
  <c r="Q35" i="4"/>
  <c r="Q36" i="4"/>
  <c r="Q37" i="4"/>
  <c r="Q38" i="4"/>
  <c r="Q40" i="4"/>
  <c r="Q41" i="4"/>
  <c r="Q42" i="4"/>
  <c r="Q43" i="4"/>
  <c r="Q44" i="4"/>
  <c r="Q45" i="4"/>
  <c r="Q46" i="4"/>
  <c r="Q47" i="4"/>
  <c r="Q48" i="4"/>
  <c r="Q49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8" i="4"/>
  <c r="Q9" i="3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7" i="3"/>
  <c r="Q28" i="3"/>
  <c r="Q30" i="3"/>
  <c r="Q31" i="3"/>
  <c r="Q32" i="3"/>
  <c r="Q34" i="3"/>
  <c r="Q35" i="3"/>
  <c r="Q36" i="3"/>
  <c r="Q37" i="3"/>
  <c r="Q38" i="3"/>
  <c r="Q40" i="3"/>
  <c r="Q41" i="3"/>
  <c r="Q42" i="3"/>
  <c r="Q43" i="3"/>
  <c r="Q44" i="3"/>
  <c r="Q45" i="3"/>
  <c r="Q46" i="3"/>
  <c r="Q47" i="3"/>
  <c r="Q48" i="3"/>
  <c r="Q49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8" i="3"/>
  <c r="Q9" i="2"/>
  <c r="Q10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7" i="2"/>
  <c r="Q28" i="2"/>
  <c r="Q30" i="2"/>
  <c r="Q31" i="2"/>
  <c r="Q32" i="2"/>
  <c r="Q34" i="2"/>
  <c r="Q35" i="2"/>
  <c r="Q36" i="2"/>
  <c r="Q37" i="2"/>
  <c r="Q38" i="2"/>
  <c r="Q40" i="2"/>
  <c r="Q41" i="2"/>
  <c r="Q42" i="2"/>
  <c r="Q43" i="2"/>
  <c r="Q44" i="2"/>
  <c r="Q45" i="2"/>
  <c r="Q46" i="2"/>
  <c r="Q47" i="2"/>
  <c r="Q48" i="2"/>
  <c r="Q49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8" i="2"/>
  <c r="P9" i="5"/>
  <c r="P10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7" i="5"/>
  <c r="P28" i="5"/>
  <c r="P30" i="5"/>
  <c r="P31" i="5"/>
  <c r="P32" i="5"/>
  <c r="P34" i="5"/>
  <c r="P35" i="5"/>
  <c r="P36" i="5"/>
  <c r="P37" i="5"/>
  <c r="P38" i="5"/>
  <c r="P40" i="5"/>
  <c r="P41" i="5"/>
  <c r="P42" i="5"/>
  <c r="P43" i="5"/>
  <c r="P44" i="5"/>
  <c r="P45" i="5"/>
  <c r="P46" i="5"/>
  <c r="P47" i="5"/>
  <c r="P48" i="5"/>
  <c r="P49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8" i="5"/>
  <c r="P9" i="4"/>
  <c r="P10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7" i="4"/>
  <c r="P28" i="4"/>
  <c r="P30" i="4"/>
  <c r="P31" i="4"/>
  <c r="P32" i="4"/>
  <c r="P34" i="4"/>
  <c r="P35" i="4"/>
  <c r="P36" i="4"/>
  <c r="P37" i="4"/>
  <c r="P38" i="4"/>
  <c r="P40" i="4"/>
  <c r="P41" i="4"/>
  <c r="P42" i="4"/>
  <c r="P43" i="4"/>
  <c r="P44" i="4"/>
  <c r="P45" i="4"/>
  <c r="P46" i="4"/>
  <c r="P47" i="4"/>
  <c r="P48" i="4"/>
  <c r="P49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8" i="4"/>
  <c r="P9" i="3"/>
  <c r="P10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7" i="3"/>
  <c r="P28" i="3"/>
  <c r="P30" i="3"/>
  <c r="P31" i="3"/>
  <c r="P32" i="3"/>
  <c r="P34" i="3"/>
  <c r="P35" i="3"/>
  <c r="P36" i="3"/>
  <c r="P37" i="3"/>
  <c r="P38" i="3"/>
  <c r="P40" i="3"/>
  <c r="P41" i="3"/>
  <c r="P42" i="3"/>
  <c r="P43" i="3"/>
  <c r="P44" i="3"/>
  <c r="P45" i="3"/>
  <c r="P46" i="3"/>
  <c r="P47" i="3"/>
  <c r="P48" i="3"/>
  <c r="P49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8" i="3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7" i="2"/>
  <c r="P28" i="2"/>
  <c r="P30" i="2"/>
  <c r="P31" i="2"/>
  <c r="P32" i="2"/>
  <c r="P34" i="2"/>
  <c r="P35" i="2"/>
  <c r="P36" i="2"/>
  <c r="P37" i="2"/>
  <c r="P38" i="2"/>
  <c r="P40" i="2"/>
  <c r="P41" i="2"/>
  <c r="P42" i="2"/>
  <c r="P43" i="2"/>
  <c r="P44" i="2"/>
  <c r="P45" i="2"/>
  <c r="P46" i="2"/>
  <c r="P47" i="2"/>
  <c r="P48" i="2"/>
  <c r="P49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9" i="2"/>
  <c r="P10" i="2"/>
  <c r="P8" i="2"/>
</calcChain>
</file>

<file path=xl/sharedStrings.xml><?xml version="1.0" encoding="utf-8"?>
<sst xmlns="http://schemas.openxmlformats.org/spreadsheetml/2006/main" count="901" uniqueCount="192">
  <si>
    <t>rice</t>
  </si>
  <si>
    <t>regions</t>
  </si>
  <si>
    <t>urban/rural</t>
  </si>
  <si>
    <t>Income deciles</t>
  </si>
  <si>
    <t>age group</t>
  </si>
  <si>
    <t>sex</t>
  </si>
  <si>
    <t xml:space="preserve">Regions </t>
  </si>
  <si>
    <t>!Karas</t>
  </si>
  <si>
    <t>Erongo</t>
  </si>
  <si>
    <t>Hardap</t>
  </si>
  <si>
    <t>Kavango East</t>
  </si>
  <si>
    <t>Kavango West</t>
  </si>
  <si>
    <t>Khomas</t>
  </si>
  <si>
    <t>Kuene</t>
  </si>
  <si>
    <t>Ohangwena</t>
  </si>
  <si>
    <t>Omaheke</t>
  </si>
  <si>
    <t>Omusati</t>
  </si>
  <si>
    <t>Oshana</t>
  </si>
  <si>
    <t>Oshikoto</t>
  </si>
  <si>
    <t>Otjozondjupa</t>
  </si>
  <si>
    <t>Zambezi</t>
  </si>
  <si>
    <t>Income Decile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</si>
  <si>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</si>
  <si>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</si>
  <si>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</si>
  <si>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</si>
  <si>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</si>
  <si>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</si>
  <si>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</si>
  <si>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</si>
  <si>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</si>
  <si>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</si>
  <si>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</si>
  <si>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</si>
  <si>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</si>
  <si>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</si>
  <si>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</si>
  <si>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</si>
  <si>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</si>
  <si>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</si>
  <si>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</si>
  <si>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95+</t>
  </si>
  <si>
    <t>Age Group</t>
  </si>
  <si>
    <t xml:space="preserve"> </t>
  </si>
  <si>
    <t>main language group</t>
  </si>
  <si>
    <t>Khoisan</t>
  </si>
  <si>
    <t>Herero</t>
  </si>
  <si>
    <t>Kavango</t>
  </si>
  <si>
    <t>Nama/Damara</t>
  </si>
  <si>
    <t>Oshiwambo</t>
  </si>
  <si>
    <t>Setswana</t>
  </si>
  <si>
    <t>Afrikaans</t>
  </si>
  <si>
    <t>German</t>
  </si>
  <si>
    <t>English</t>
  </si>
  <si>
    <t>Other European</t>
  </si>
  <si>
    <t xml:space="preserve">Other African </t>
  </si>
  <si>
    <t xml:space="preserve">Other </t>
  </si>
  <si>
    <t>Namibia (national)</t>
  </si>
  <si>
    <t>other cereals</t>
  </si>
  <si>
    <t>oils/fats</t>
  </si>
  <si>
    <t>main source of [wheat flour/ bread eaten]</t>
  </si>
  <si>
    <t>possessed crops in the past 12 months</t>
  </si>
  <si>
    <t>[any crop] possessed in the past 12 months</t>
  </si>
  <si>
    <t>any crop</t>
  </si>
  <si>
    <t>maize</t>
  </si>
  <si>
    <t>mahangu</t>
  </si>
  <si>
    <t>sorghum</t>
  </si>
  <si>
    <t xml:space="preserve">wheat  </t>
  </si>
  <si>
    <t>other grain</t>
  </si>
  <si>
    <t>number of days the household ate [wheat flour/ bread] during the past 7 days</t>
  </si>
  <si>
    <t>07.03 Crops Possessed (Maize)</t>
  </si>
  <si>
    <t>maize consumed in the past 12 months (kg)</t>
  </si>
  <si>
    <t>07.05 Crops Given Away (Maize)</t>
  </si>
  <si>
    <t>07.06 Crops Sold (Maize)</t>
  </si>
  <si>
    <t>07.07 Crops Sales Value (Maize)</t>
  </si>
  <si>
    <t>wheat</t>
  </si>
  <si>
    <t>other grains</t>
  </si>
  <si>
    <t>butter/oil/fat produced or collected for sale in the past month</t>
  </si>
  <si>
    <t>butter oil/fat produced (kg/hh/month)</t>
  </si>
  <si>
    <t>butter/oil/fat sold (kg/hh/month)</t>
  </si>
  <si>
    <t>butter/oil/fat sales (n$) past month</t>
  </si>
  <si>
    <t>Extraction of salt</t>
  </si>
  <si>
    <t>Growing of cereals (except rice), leguminous crops and oil seeds</t>
  </si>
  <si>
    <t>Growing of rice</t>
  </si>
  <si>
    <t>Growing of sugar cane</t>
  </si>
  <si>
    <t>Manufacture of sugar</t>
  </si>
  <si>
    <t>Tot exp in food (ND/hh/month)</t>
  </si>
  <si>
    <t>did the household consume [wheat flour , bread] during the past seven days</t>
  </si>
  <si>
    <t>wheat flour, bread</t>
  </si>
  <si>
    <t>[maize] consumed in the past 12 months (kg)</t>
  </si>
  <si>
    <t>Region</t>
  </si>
  <si>
    <t>Urban</t>
  </si>
  <si>
    <t>Rural</t>
  </si>
  <si>
    <t>Main Language Group</t>
  </si>
  <si>
    <t>Household consumed [wheat flour , bread] during the past seven days</t>
  </si>
  <si>
    <t>Main source of [wheat flour/ bread]</t>
  </si>
  <si>
    <t>National</t>
  </si>
  <si>
    <t>Urban/Rural</t>
  </si>
  <si>
    <t>Education of HoH</t>
  </si>
  <si>
    <t>Age of HoH</t>
  </si>
  <si>
    <t>Sex of HoH</t>
  </si>
  <si>
    <t>Number of days the household ate [wheat flour/ bread] during the past 7 days</t>
  </si>
  <si>
    <t>Mean</t>
  </si>
  <si>
    <t>%</t>
  </si>
  <si>
    <t>N</t>
  </si>
  <si>
    <t>X</t>
  </si>
  <si>
    <t>Wheat flour / bread [Q02_58_01]</t>
  </si>
  <si>
    <t>Kunene</t>
  </si>
  <si>
    <t>Female</t>
  </si>
  <si>
    <t>Male</t>
  </si>
  <si>
    <t>0-18</t>
  </si>
  <si>
    <t>18-59</t>
  </si>
  <si>
    <t>60+</t>
  </si>
  <si>
    <t>No formal education</t>
  </si>
  <si>
    <t>Not stated</t>
  </si>
  <si>
    <t>Primary</t>
  </si>
  <si>
    <t>Secondary</t>
  </si>
  <si>
    <t>Tertiary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</si>
  <si>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</si>
  <si>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</si>
  <si>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</si>
  <si>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</si>
  <si>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</si>
  <si>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</si>
  <si>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</si>
  <si>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</si>
  <si>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</si>
  <si>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</si>
  <si>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Other</t>
  </si>
  <si>
    <t>Other African</t>
  </si>
  <si>
    <t>Otjiherero</t>
  </si>
  <si>
    <t>Rukavango</t>
  </si>
  <si>
    <t>Zambezi languages</t>
  </si>
  <si>
    <t>Asking for help from others</t>
  </si>
  <si>
    <t>Bought on credit</t>
  </si>
  <si>
    <t>Total</t>
  </si>
  <si>
    <t>Bought through bartering</t>
  </si>
  <si>
    <t>Bought using cash</t>
  </si>
  <si>
    <t>Fishing, hunting, gathering</t>
  </si>
  <si>
    <t>Food assistance, Government charity</t>
  </si>
  <si>
    <t>From employer</t>
  </si>
  <si>
    <t>Gifts: friends, neighbours, relatives</t>
  </si>
  <si>
    <t>Own Production</t>
  </si>
  <si>
    <t>Received as in-kind payment</t>
  </si>
  <si>
    <t>Other cereals [Q02_58_02]</t>
  </si>
  <si>
    <t>Household consumed [other cereal] during the past seven days</t>
  </si>
  <si>
    <t>Number of days the household ate [other cereal] during the past 7 days</t>
  </si>
  <si>
    <t>Main source of [other cereal]</t>
  </si>
  <si>
    <t>Household consumed [rice] during the past seven days</t>
  </si>
  <si>
    <t>Number of days the household ate [rice] during the past 7 days</t>
  </si>
  <si>
    <t>Main source of [rice]</t>
  </si>
  <si>
    <t>Oils/fats [Q02_58_13]</t>
  </si>
  <si>
    <t>Rice [Q02_58_04]</t>
  </si>
  <si>
    <t>Household consumed [oils/fats] during the past seven days</t>
  </si>
  <si>
    <t>Number of days the household ate [oils/fats] during the past 7 days</t>
  </si>
  <si>
    <t>Main source of [oils/fats]</t>
  </si>
  <si>
    <t>Household produced [maize] in the last 12 months</t>
  </si>
  <si>
    <t>Amount of [maize] the household produced in the last 12 months</t>
  </si>
  <si>
    <t>kg</t>
  </si>
  <si>
    <t>Sales value of [maize] which the household produced and sold in the last 12 months</t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</si>
  <si>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</si>
  <si>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[maize]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</si>
  <si>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[maize]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</si>
  <si>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Maize production [Q07_02_1]</t>
  </si>
  <si>
    <t>Semi-urban</t>
  </si>
  <si>
    <t>Mahangu production [Q07_02_2]</t>
  </si>
  <si>
    <t>Household produced [mahangu] in the last 12 months</t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</si>
  <si>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</si>
  <si>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[mahangu]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</si>
  <si>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[mahangu]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</si>
  <si>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[mahangu] which the household produced and sold in the last 12 months</t>
  </si>
  <si>
    <t>Amount of [mahangu] the household produced in the last 12 months (mean)</t>
  </si>
  <si>
    <t>Sorghum production [Q07_02_3]</t>
  </si>
  <si>
    <t>Household produced [sorghum] in the last 12 months</t>
  </si>
  <si>
    <t>Amount of [sorghum] the household produced in the last 12 months (mean)</t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</si>
  <si>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</si>
  <si>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[sorghum]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</si>
  <si>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[sorghum]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</si>
  <si>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[sorghum] which the household produced and sold in the last 12 months</t>
  </si>
  <si>
    <t>Wheat production [Q07_02_4]</t>
  </si>
  <si>
    <t>Household produced [wheat] in the last 12 months</t>
  </si>
  <si>
    <t>Amount of [wheat] the household produced in the last 12 months (mean)</t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</si>
  <si>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consumed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</si>
  <si>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r>
      <t>Amount of [wheat] the household</t>
    </r>
    <r>
      <rPr>
        <b/>
        <sz val="10"/>
        <color theme="1"/>
        <rFont val="Calibri"/>
        <family val="2"/>
        <scheme val="minor"/>
      </rPr>
      <t xml:space="preserve"> gave away </t>
    </r>
    <r>
      <rPr>
        <sz val="10"/>
        <color theme="1"/>
        <rFont val="Calibri"/>
        <family val="2"/>
        <scheme val="minor"/>
      </rPr>
      <t>from own production in the past 12 months</t>
    </r>
  </si>
  <si>
    <r>
      <t xml:space="preserve">Amount of [wheat] the household </t>
    </r>
    <r>
      <rPr>
        <b/>
        <sz val="10"/>
        <color theme="1"/>
        <rFont val="Calibri"/>
        <family val="2"/>
        <scheme val="minor"/>
      </rPr>
      <t>sold</t>
    </r>
    <r>
      <rPr>
        <sz val="10"/>
        <color theme="1"/>
        <rFont val="Calibri"/>
        <family val="2"/>
        <scheme val="minor"/>
      </rPr>
      <t xml:space="preserve"> from own production in the past 12 months</t>
    </r>
  </si>
  <si>
    <t>Sales value of [wheat] which the household produced and sold in the last 12 months</t>
  </si>
  <si>
    <t>Butter/oil/fat production [Q07_08_3]</t>
  </si>
  <si>
    <t>Household produced [butter/oil/fat] in the last 12 months</t>
  </si>
  <si>
    <t>Food consumtion per capita [g01_food]</t>
  </si>
  <si>
    <t>Per capita food consumption (mean)</t>
  </si>
  <si>
    <t xml:space="preserve"> (ND/pp/month)</t>
  </si>
  <si>
    <t>Per capita food consumption 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</si>
</sst>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2" fontId="0" fillId="0" borderId="0" xfId="0" quotePrefix="1" applyNumberFormat="1"/>
    <xf numFmtId="17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173" fontId="3" fillId="0" borderId="0" xfId="0" applyNumberFormat="1" applyFont="1"/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73" fontId="3" fillId="0" borderId="1" xfId="0" applyNumberFormat="1" applyFont="1" applyBorder="1" applyAlignment="1">
      <alignment horizontal="center"/>
    </xf>
    <xf numFmtId="173" fontId="3" fillId="0" borderId="3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173" fontId="3" fillId="0" borderId="4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F37E-1193-5944-BCA9-03F69EC6356A}">
  <dimension ref="A1:H66"/>
  <sheetViews>
    <sheetView topLeftCell="A46" zoomScale="70" zoomScaleNormal="70" workbookViewId="0">
      <selection activeCell="A66" sqref="A66"/>
    </sheetView>
  </sheetViews>
  <sheetFormatPr defaultColWidth="10.6640625" defaultRowHeight="15.5" x14ac:dyDescent="0.35"/>
  <cols>
    <col min="1" max="1" width="50.83203125" style="5" customWidth="1"/>
    <col min="2" max="2" width="12" customWidth="1"/>
  </cols>
  <sheetData>
    <row r="1" spans="1:8" ht="46.5" x14ac:dyDescent="0.35">
      <c r="A1" s="7"/>
      <c r="B1" s="6" t="s">
        <v>57</v>
      </c>
      <c r="C1" s="6" t="s">
        <v>1</v>
      </c>
      <c r="D1" s="6" t="s">
        <v>2</v>
      </c>
      <c r="E1" s="6" t="s">
        <v>5</v>
      </c>
      <c r="F1" s="6" t="s">
        <v>4</v>
      </c>
      <c r="G1" s="6" t="s">
        <v>3</v>
      </c>
      <c r="H1" s="6" t="s">
        <v>44</v>
      </c>
    </row>
    <row r="2" spans="1:8" s="10" customFormat="1" ht="31" x14ac:dyDescent="0.35">
      <c r="A2" s="9" t="s">
        <v>87</v>
      </c>
    </row>
    <row r="3" spans="1:8" x14ac:dyDescent="0.35">
      <c r="A3" s="8" t="s">
        <v>88</v>
      </c>
      <c r="B3" s="8"/>
      <c r="C3" s="8"/>
      <c r="D3" s="8"/>
      <c r="E3" s="8"/>
      <c r="F3" s="8"/>
      <c r="G3" s="8"/>
      <c r="H3" s="8"/>
    </row>
    <row r="4" spans="1:8" ht="16" customHeight="1" x14ac:dyDescent="0.35">
      <c r="A4" s="8" t="s">
        <v>58</v>
      </c>
      <c r="B4" s="8"/>
      <c r="C4" s="8"/>
      <c r="D4" s="8"/>
      <c r="E4" s="8"/>
      <c r="F4" s="8"/>
      <c r="G4" s="8"/>
      <c r="H4" s="8"/>
    </row>
    <row r="5" spans="1:8" x14ac:dyDescent="0.35">
      <c r="A5" s="8" t="s">
        <v>0</v>
      </c>
      <c r="B5" s="8"/>
      <c r="C5" s="8"/>
      <c r="D5" s="8"/>
      <c r="E5" s="8"/>
      <c r="F5" s="8"/>
      <c r="G5" s="8"/>
      <c r="H5" s="8"/>
    </row>
    <row r="6" spans="1:8" x14ac:dyDescent="0.35">
      <c r="A6" s="8" t="s">
        <v>59</v>
      </c>
      <c r="B6" s="8"/>
      <c r="C6" s="8"/>
      <c r="D6" s="8"/>
      <c r="E6" s="8"/>
      <c r="F6" s="8"/>
      <c r="G6" s="8"/>
      <c r="H6" s="8"/>
    </row>
    <row r="7" spans="1:8" x14ac:dyDescent="0.35">
      <c r="A7" s="7"/>
      <c r="B7" s="8"/>
      <c r="C7" s="8"/>
      <c r="D7" s="8"/>
      <c r="E7" s="8"/>
      <c r="F7" s="8"/>
      <c r="G7" s="8"/>
      <c r="H7" s="8"/>
    </row>
    <row r="8" spans="1:8" s="10" customFormat="1" ht="31" x14ac:dyDescent="0.35">
      <c r="A8" s="9" t="s">
        <v>69</v>
      </c>
      <c r="B8" s="16"/>
      <c r="C8" s="16"/>
      <c r="D8" s="16"/>
      <c r="E8" s="16"/>
      <c r="F8" s="16"/>
      <c r="G8" s="16"/>
      <c r="H8" s="16"/>
    </row>
    <row r="9" spans="1:8" ht="17" customHeight="1" x14ac:dyDescent="0.35">
      <c r="A9" s="8" t="s">
        <v>88</v>
      </c>
      <c r="B9" s="8"/>
      <c r="C9" s="8"/>
      <c r="D9" s="8"/>
      <c r="E9" s="8"/>
      <c r="F9" s="8"/>
      <c r="G9" s="8"/>
      <c r="H9" s="8"/>
    </row>
    <row r="10" spans="1:8" x14ac:dyDescent="0.35">
      <c r="A10" s="8" t="s">
        <v>58</v>
      </c>
      <c r="B10" s="8"/>
      <c r="C10" s="8"/>
      <c r="D10" s="8"/>
      <c r="E10" s="8"/>
      <c r="F10" s="8"/>
      <c r="G10" s="8"/>
      <c r="H10" s="8"/>
    </row>
    <row r="11" spans="1:8" ht="17" customHeight="1" x14ac:dyDescent="0.35">
      <c r="A11" s="8" t="s">
        <v>0</v>
      </c>
      <c r="B11" s="8"/>
      <c r="C11" s="8"/>
      <c r="D11" s="8"/>
      <c r="E11" s="8"/>
      <c r="F11" s="8"/>
      <c r="G11" s="8"/>
      <c r="H11" s="8"/>
    </row>
    <row r="12" spans="1:8" x14ac:dyDescent="0.35">
      <c r="A12" s="8" t="s">
        <v>59</v>
      </c>
      <c r="B12" s="8"/>
      <c r="C12" s="8"/>
      <c r="D12" s="8"/>
      <c r="E12" s="8"/>
      <c r="F12" s="8"/>
      <c r="G12" s="8"/>
      <c r="H12" s="8"/>
    </row>
    <row r="13" spans="1:8" x14ac:dyDescent="0.35">
      <c r="A13" s="8"/>
      <c r="B13" s="8"/>
      <c r="C13" s="8"/>
      <c r="D13" s="8"/>
      <c r="E13" s="8"/>
      <c r="F13" s="8"/>
      <c r="G13" s="8"/>
      <c r="H13" s="8"/>
    </row>
    <row r="14" spans="1:8" s="10" customFormat="1" x14ac:dyDescent="0.35">
      <c r="A14" s="9" t="s">
        <v>60</v>
      </c>
      <c r="B14" s="16"/>
      <c r="C14" s="16"/>
      <c r="D14" s="16"/>
      <c r="E14" s="16"/>
      <c r="F14" s="16"/>
      <c r="G14" s="16"/>
      <c r="H14" s="16"/>
    </row>
    <row r="15" spans="1:8" x14ac:dyDescent="0.35">
      <c r="A15" s="8" t="s">
        <v>88</v>
      </c>
      <c r="B15" s="8"/>
      <c r="C15" s="8"/>
      <c r="D15" s="8"/>
      <c r="E15" s="8"/>
      <c r="F15" s="8"/>
      <c r="G15" s="8"/>
      <c r="H15" s="8"/>
    </row>
    <row r="16" spans="1:8" x14ac:dyDescent="0.35">
      <c r="A16" s="8" t="s">
        <v>58</v>
      </c>
      <c r="B16" s="8"/>
      <c r="C16" s="8"/>
      <c r="D16" s="8"/>
      <c r="E16" s="8"/>
      <c r="F16" s="8"/>
      <c r="G16" s="8"/>
      <c r="H16" s="8"/>
    </row>
    <row r="17" spans="1:8" x14ac:dyDescent="0.35">
      <c r="A17" s="8" t="s">
        <v>0</v>
      </c>
      <c r="B17" s="8"/>
      <c r="C17" s="8"/>
      <c r="D17" s="8"/>
      <c r="E17" s="8"/>
      <c r="F17" s="8"/>
      <c r="G17" s="8"/>
      <c r="H17" s="8"/>
    </row>
    <row r="18" spans="1:8" x14ac:dyDescent="0.35">
      <c r="A18" s="8" t="s">
        <v>59</v>
      </c>
      <c r="B18" s="8"/>
      <c r="C18" s="8"/>
      <c r="D18" s="8"/>
      <c r="E18" s="8"/>
      <c r="F18" s="8"/>
      <c r="G18" s="8"/>
      <c r="H18" s="8"/>
    </row>
    <row r="19" spans="1:8" x14ac:dyDescent="0.35">
      <c r="A19" s="8"/>
      <c r="B19" s="8"/>
      <c r="C19" s="8"/>
      <c r="D19" s="8"/>
      <c r="E19" s="8"/>
      <c r="F19" s="8"/>
      <c r="G19" s="8"/>
      <c r="H19" s="8"/>
    </row>
    <row r="20" spans="1:8" s="10" customFormat="1" x14ac:dyDescent="0.35">
      <c r="A20" s="9" t="s">
        <v>89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8" t="s">
        <v>64</v>
      </c>
      <c r="B21" s="8"/>
      <c r="C21" s="8"/>
      <c r="D21" s="8"/>
      <c r="E21" s="8"/>
      <c r="F21" s="8"/>
      <c r="G21" s="8"/>
      <c r="H21" s="8"/>
    </row>
    <row r="22" spans="1:8" x14ac:dyDescent="0.35">
      <c r="A22" s="8" t="s">
        <v>65</v>
      </c>
      <c r="B22" s="8"/>
      <c r="C22" s="8"/>
      <c r="D22" s="8"/>
      <c r="E22" s="8"/>
      <c r="F22" s="8"/>
      <c r="G22" s="8"/>
      <c r="H22" s="8"/>
    </row>
    <row r="23" spans="1:8" x14ac:dyDescent="0.35">
      <c r="A23" s="8" t="s">
        <v>66</v>
      </c>
      <c r="B23" s="8"/>
      <c r="C23" s="8"/>
      <c r="D23" s="8"/>
      <c r="E23" s="8"/>
      <c r="F23" s="8"/>
      <c r="G23" s="8"/>
      <c r="H23" s="8"/>
    </row>
    <row r="24" spans="1:8" x14ac:dyDescent="0.35">
      <c r="A24" s="8" t="s">
        <v>75</v>
      </c>
      <c r="B24" s="8"/>
      <c r="C24" s="8"/>
      <c r="D24" s="8"/>
      <c r="E24" s="8"/>
      <c r="F24" s="8"/>
      <c r="G24" s="8"/>
      <c r="H24" s="8"/>
    </row>
    <row r="25" spans="1:8" x14ac:dyDescent="0.35">
      <c r="A25" s="8" t="s">
        <v>0</v>
      </c>
      <c r="B25" s="8"/>
      <c r="C25" s="8"/>
      <c r="D25" s="8"/>
      <c r="E25" s="8"/>
      <c r="F25" s="8"/>
      <c r="G25" s="8"/>
      <c r="H25" s="8"/>
    </row>
    <row r="26" spans="1:8" ht="15" customHeight="1" x14ac:dyDescent="0.35">
      <c r="A26" s="8" t="s">
        <v>76</v>
      </c>
      <c r="B26" s="8"/>
      <c r="C26" s="8"/>
      <c r="D26" s="8"/>
      <c r="E26" s="8"/>
      <c r="F26" s="8"/>
      <c r="G26" s="8"/>
      <c r="H26" s="8"/>
    </row>
    <row r="27" spans="1:8" x14ac:dyDescent="0.35">
      <c r="A27" s="7"/>
      <c r="B27" s="8"/>
      <c r="C27" s="8"/>
      <c r="D27" s="8"/>
      <c r="E27" s="8"/>
      <c r="F27" s="8"/>
      <c r="G27" s="8"/>
      <c r="H27" s="8"/>
    </row>
    <row r="28" spans="1:8" s="12" customFormat="1" x14ac:dyDescent="0.35">
      <c r="A28" s="15" t="s">
        <v>81</v>
      </c>
      <c r="B28" s="11"/>
      <c r="C28" s="11"/>
      <c r="D28" s="11"/>
      <c r="E28" s="11"/>
      <c r="F28" s="11"/>
      <c r="G28" s="11"/>
      <c r="H28" s="11"/>
    </row>
    <row r="29" spans="1:8" s="19" customFormat="1" x14ac:dyDescent="0.35">
      <c r="A29" s="20"/>
      <c r="B29" s="21"/>
      <c r="C29" s="21"/>
      <c r="D29" s="21"/>
      <c r="E29" s="21"/>
      <c r="F29" s="21"/>
      <c r="G29" s="21"/>
      <c r="H29" s="21"/>
    </row>
    <row r="30" spans="1:8" s="19" customFormat="1" x14ac:dyDescent="0.35">
      <c r="A30" s="17"/>
      <c r="B30" s="18"/>
      <c r="C30" s="18"/>
      <c r="D30" s="18"/>
      <c r="E30" s="18"/>
      <c r="F30" s="18"/>
      <c r="G30" s="18"/>
      <c r="H30" s="18"/>
    </row>
    <row r="32" spans="1:8" x14ac:dyDescent="0.35">
      <c r="C32" s="1" t="s">
        <v>6</v>
      </c>
      <c r="F32" s="1" t="s">
        <v>42</v>
      </c>
      <c r="G32" s="1" t="s">
        <v>21</v>
      </c>
      <c r="H32" s="1" t="s">
        <v>44</v>
      </c>
    </row>
    <row r="33" spans="1:8" x14ac:dyDescent="0.35">
      <c r="C33" t="s">
        <v>7</v>
      </c>
      <c r="F33" t="s">
        <v>22</v>
      </c>
      <c r="G33">
        <v>1</v>
      </c>
      <c r="H33" t="s">
        <v>45</v>
      </c>
    </row>
    <row r="34" spans="1:8" x14ac:dyDescent="0.35">
      <c r="C34" t="s">
        <v>8</v>
      </c>
      <c r="F34" s="2" t="s">
        <v>23</v>
      </c>
      <c r="G34">
        <v>2</v>
      </c>
      <c r="H34" t="s">
        <v>20</v>
      </c>
    </row>
    <row r="35" spans="1:8" x14ac:dyDescent="0.35">
      <c r="C35" t="s">
        <v>9</v>
      </c>
      <c r="F35" s="3" t="s">
        <v>24</v>
      </c>
      <c r="G35">
        <v>3</v>
      </c>
      <c r="H35" t="s">
        <v>46</v>
      </c>
    </row>
    <row r="36" spans="1:8" x14ac:dyDescent="0.35">
      <c r="C36" t="s">
        <v>10</v>
      </c>
      <c r="F36" s="4" t="s">
        <v>25</v>
      </c>
      <c r="G36">
        <v>4</v>
      </c>
      <c r="H36" t="s">
        <v>47</v>
      </c>
    </row>
    <row r="37" spans="1:8" x14ac:dyDescent="0.35">
      <c r="C37" t="s">
        <v>11</v>
      </c>
      <c r="F37" s="4" t="s">
        <v>26</v>
      </c>
      <c r="G37">
        <v>5</v>
      </c>
      <c r="H37" t="s">
        <v>48</v>
      </c>
    </row>
    <row r="38" spans="1:8" x14ac:dyDescent="0.35">
      <c r="C38" t="s">
        <v>12</v>
      </c>
      <c r="F38" s="4" t="s">
        <v>27</v>
      </c>
      <c r="G38">
        <v>6</v>
      </c>
      <c r="H38" t="s">
        <v>49</v>
      </c>
    </row>
    <row r="39" spans="1:8" x14ac:dyDescent="0.35">
      <c r="A39" s="13" t="s">
        <v>61</v>
      </c>
      <c r="B39" s="14"/>
      <c r="C39" t="s">
        <v>13</v>
      </c>
      <c r="F39" s="4" t="s">
        <v>28</v>
      </c>
      <c r="G39">
        <v>7</v>
      </c>
      <c r="H39" t="s">
        <v>50</v>
      </c>
    </row>
    <row r="40" spans="1:8" x14ac:dyDescent="0.35">
      <c r="A40" s="13" t="s">
        <v>62</v>
      </c>
      <c r="B40" s="14" t="s">
        <v>63</v>
      </c>
      <c r="C40" t="s">
        <v>14</v>
      </c>
      <c r="F40" s="4" t="s">
        <v>29</v>
      </c>
      <c r="G40">
        <v>8</v>
      </c>
      <c r="H40" t="s">
        <v>51</v>
      </c>
    </row>
    <row r="41" spans="1:8" x14ac:dyDescent="0.35">
      <c r="A41" s="13" t="s">
        <v>43</v>
      </c>
      <c r="B41" s="14" t="s">
        <v>64</v>
      </c>
      <c r="C41" t="s">
        <v>15</v>
      </c>
      <c r="F41" s="4" t="s">
        <v>30</v>
      </c>
      <c r="G41">
        <v>9</v>
      </c>
      <c r="H41" t="s">
        <v>52</v>
      </c>
    </row>
    <row r="42" spans="1:8" x14ac:dyDescent="0.35">
      <c r="A42" s="13"/>
      <c r="B42" s="14" t="s">
        <v>65</v>
      </c>
      <c r="C42" t="s">
        <v>16</v>
      </c>
      <c r="F42" s="4" t="s">
        <v>31</v>
      </c>
      <c r="G42">
        <v>10</v>
      </c>
      <c r="H42" t="s">
        <v>53</v>
      </c>
    </row>
    <row r="43" spans="1:8" x14ac:dyDescent="0.35">
      <c r="A43" s="13"/>
      <c r="B43" s="14" t="s">
        <v>66</v>
      </c>
      <c r="C43" t="s">
        <v>17</v>
      </c>
      <c r="F43" s="4" t="s">
        <v>32</v>
      </c>
      <c r="G43" t="s">
        <v>43</v>
      </c>
      <c r="H43" t="s">
        <v>54</v>
      </c>
    </row>
    <row r="44" spans="1:8" x14ac:dyDescent="0.35">
      <c r="A44" s="13"/>
      <c r="B44" s="14" t="s">
        <v>67</v>
      </c>
      <c r="C44" t="s">
        <v>18</v>
      </c>
      <c r="F44" s="4" t="s">
        <v>33</v>
      </c>
      <c r="G44" t="s">
        <v>43</v>
      </c>
      <c r="H44" t="s">
        <v>55</v>
      </c>
    </row>
    <row r="45" spans="1:8" x14ac:dyDescent="0.35">
      <c r="A45" s="13"/>
      <c r="B45" s="14" t="s">
        <v>0</v>
      </c>
      <c r="C45" t="s">
        <v>19</v>
      </c>
      <c r="F45" s="4" t="s">
        <v>34</v>
      </c>
      <c r="G45" t="s">
        <v>43</v>
      </c>
      <c r="H45" t="s">
        <v>56</v>
      </c>
    </row>
    <row r="46" spans="1:8" x14ac:dyDescent="0.35">
      <c r="A46" s="13"/>
      <c r="B46" s="14" t="s">
        <v>68</v>
      </c>
      <c r="C46" t="s">
        <v>20</v>
      </c>
      <c r="F46" s="4" t="s">
        <v>35</v>
      </c>
    </row>
    <row r="47" spans="1:8" x14ac:dyDescent="0.35">
      <c r="F47" s="4" t="s">
        <v>36</v>
      </c>
    </row>
    <row r="48" spans="1:8" x14ac:dyDescent="0.35">
      <c r="A48" s="13" t="s">
        <v>70</v>
      </c>
      <c r="B48" s="14" t="s">
        <v>64</v>
      </c>
      <c r="F48" s="4" t="s">
        <v>37</v>
      </c>
    </row>
    <row r="49" spans="1:6" x14ac:dyDescent="0.35">
      <c r="A49" s="13" t="s">
        <v>71</v>
      </c>
      <c r="B49" s="14" t="s">
        <v>65</v>
      </c>
      <c r="F49" s="4" t="s">
        <v>38</v>
      </c>
    </row>
    <row r="50" spans="1:6" x14ac:dyDescent="0.35">
      <c r="A50" s="13" t="s">
        <v>72</v>
      </c>
      <c r="B50" s="14" t="s">
        <v>66</v>
      </c>
      <c r="F50" s="4" t="s">
        <v>39</v>
      </c>
    </row>
    <row r="51" spans="1:6" x14ac:dyDescent="0.35">
      <c r="A51" s="13" t="s">
        <v>73</v>
      </c>
      <c r="B51" s="14" t="s">
        <v>75</v>
      </c>
      <c r="F51" s="4" t="s">
        <v>40</v>
      </c>
    </row>
    <row r="52" spans="1:6" x14ac:dyDescent="0.35">
      <c r="A52" s="13" t="s">
        <v>74</v>
      </c>
      <c r="B52" s="14" t="s">
        <v>0</v>
      </c>
      <c r="F52" t="s">
        <v>41</v>
      </c>
    </row>
    <row r="53" spans="1:6" x14ac:dyDescent="0.35">
      <c r="A53" s="13"/>
      <c r="B53" s="14" t="s">
        <v>76</v>
      </c>
    </row>
    <row r="55" spans="1:6" ht="31" x14ac:dyDescent="0.35">
      <c r="A55" s="13" t="s">
        <v>77</v>
      </c>
    </row>
    <row r="56" spans="1:6" x14ac:dyDescent="0.35">
      <c r="A56" s="13" t="s">
        <v>78</v>
      </c>
      <c r="B56" s="27" t="s">
        <v>105</v>
      </c>
    </row>
    <row r="57" spans="1:6" x14ac:dyDescent="0.35">
      <c r="A57" s="13" t="s">
        <v>79</v>
      </c>
      <c r="B57" s="27" t="s">
        <v>105</v>
      </c>
    </row>
    <row r="58" spans="1:6" x14ac:dyDescent="0.35">
      <c r="A58" s="13" t="s">
        <v>80</v>
      </c>
      <c r="B58" s="27" t="s">
        <v>105</v>
      </c>
    </row>
    <row r="60" spans="1:6" x14ac:dyDescent="0.35">
      <c r="A60" s="13" t="s">
        <v>81</v>
      </c>
      <c r="B60" s="27" t="s">
        <v>105</v>
      </c>
    </row>
    <row r="61" spans="1:6" ht="31" x14ac:dyDescent="0.35">
      <c r="A61" s="13" t="s">
        <v>82</v>
      </c>
      <c r="B61" s="27" t="s">
        <v>105</v>
      </c>
    </row>
    <row r="62" spans="1:6" x14ac:dyDescent="0.35">
      <c r="A62" s="13" t="s">
        <v>83</v>
      </c>
      <c r="B62" s="27" t="s">
        <v>105</v>
      </c>
    </row>
    <row r="63" spans="1:6" x14ac:dyDescent="0.35">
      <c r="A63" s="13" t="s">
        <v>84</v>
      </c>
      <c r="B63" s="27" t="s">
        <v>105</v>
      </c>
    </row>
    <row r="64" spans="1:6" x14ac:dyDescent="0.35">
      <c r="A64" s="13" t="s">
        <v>85</v>
      </c>
      <c r="B64" s="27" t="s">
        <v>105</v>
      </c>
    </row>
    <row r="66" spans="1:1" x14ac:dyDescent="0.35">
      <c r="A66" s="13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9DBA-F3EC-4A2E-A893-46540BAF02D4}">
  <dimension ref="A1:S69"/>
  <sheetViews>
    <sheetView zoomScale="80" zoomScaleNormal="80" workbookViewId="0">
      <selection activeCell="B6" sqref="B6:Q6"/>
    </sheetView>
  </sheetViews>
  <sheetFormatPr defaultColWidth="15.25" defaultRowHeight="13" x14ac:dyDescent="0.3"/>
  <cols>
    <col min="1" max="1" width="16.4140625" style="23" customWidth="1"/>
    <col min="2" max="2" width="12.4140625" style="26" customWidth="1"/>
    <col min="3" max="3" width="8.4140625" style="26" customWidth="1"/>
    <col min="4" max="4" width="13.1640625" style="26" customWidth="1"/>
    <col min="5" max="5" width="9.1640625" style="26" customWidth="1"/>
    <col min="6" max="9" width="7.25" style="26" customWidth="1"/>
    <col min="10" max="10" width="9.08203125" style="26" customWidth="1"/>
    <col min="11" max="11" width="7.25" style="26" customWidth="1"/>
    <col min="12" max="12" width="9" style="26" customWidth="1"/>
    <col min="13" max="13" width="7.25" style="26" customWidth="1"/>
    <col min="14" max="14" width="7.75" style="26" customWidth="1"/>
    <col min="15" max="17" width="7.25" style="26" customWidth="1"/>
    <col min="18" max="16384" width="15.25" style="23"/>
  </cols>
  <sheetData>
    <row r="1" spans="1:19" x14ac:dyDescent="0.3">
      <c r="A1" s="24" t="s">
        <v>106</v>
      </c>
    </row>
    <row r="3" spans="1:19" x14ac:dyDescent="0.3">
      <c r="E3" s="34" t="s">
        <v>95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7"/>
    </row>
    <row r="4" spans="1:19" ht="78" x14ac:dyDescent="0.3">
      <c r="B4" s="30" t="s">
        <v>94</v>
      </c>
      <c r="C4" s="30" t="s">
        <v>104</v>
      </c>
      <c r="D4" s="32" t="s">
        <v>101</v>
      </c>
      <c r="E4" s="35" t="s">
        <v>133</v>
      </c>
      <c r="F4" s="39" t="s">
        <v>134</v>
      </c>
      <c r="G4" s="39" t="s">
        <v>136</v>
      </c>
      <c r="H4" s="39" t="s">
        <v>137</v>
      </c>
      <c r="I4" s="39" t="s">
        <v>138</v>
      </c>
      <c r="J4" s="39" t="s">
        <v>139</v>
      </c>
      <c r="K4" s="39" t="s">
        <v>140</v>
      </c>
      <c r="L4" s="39" t="s">
        <v>141</v>
      </c>
      <c r="M4" s="39" t="s">
        <v>128</v>
      </c>
      <c r="N4" s="39" t="s">
        <v>142</v>
      </c>
      <c r="O4" s="39" t="s">
        <v>143</v>
      </c>
      <c r="P4" s="39" t="s">
        <v>135</v>
      </c>
      <c r="Q4" s="40" t="s">
        <v>104</v>
      </c>
    </row>
    <row r="5" spans="1:19" x14ac:dyDescent="0.3">
      <c r="B5" s="31" t="s">
        <v>103</v>
      </c>
      <c r="C5" s="31"/>
      <c r="D5" s="33" t="s">
        <v>102</v>
      </c>
      <c r="E5" s="36" t="s">
        <v>103</v>
      </c>
      <c r="F5" s="36" t="s">
        <v>103</v>
      </c>
      <c r="G5" s="36" t="s">
        <v>103</v>
      </c>
      <c r="H5" s="36" t="s">
        <v>103</v>
      </c>
      <c r="I5" s="36" t="s">
        <v>103</v>
      </c>
      <c r="J5" s="36" t="s">
        <v>103</v>
      </c>
      <c r="K5" s="36" t="s">
        <v>103</v>
      </c>
      <c r="L5" s="36" t="s">
        <v>103</v>
      </c>
      <c r="M5" s="36" t="s">
        <v>103</v>
      </c>
      <c r="N5" s="36" t="s">
        <v>103</v>
      </c>
      <c r="O5" s="36" t="s">
        <v>103</v>
      </c>
      <c r="P5" s="36" t="s">
        <v>103</v>
      </c>
      <c r="Q5" s="41"/>
    </row>
    <row r="6" spans="1:19" x14ac:dyDescent="0.3">
      <c r="A6" s="22" t="s">
        <v>96</v>
      </c>
      <c r="B6" s="45">
        <v>66.491575817641191</v>
      </c>
      <c r="C6" s="54">
        <v>10090</v>
      </c>
      <c r="D6" s="45">
        <v>4.6881800566403315</v>
      </c>
      <c r="E6" s="45">
        <v>7.4526755105082457E-2</v>
      </c>
      <c r="F6" s="45">
        <v>0.71545684900879247</v>
      </c>
      <c r="G6" s="45">
        <v>2.9810702042033024E-2</v>
      </c>
      <c r="H6" s="45">
        <v>89.4321061260992</v>
      </c>
      <c r="I6" s="45">
        <v>2.9810702042033028E-2</v>
      </c>
      <c r="J6" s="45">
        <v>0.11924280816813206</v>
      </c>
      <c r="K6" s="45">
        <v>1.6843046653748628</v>
      </c>
      <c r="L6" s="45">
        <v>3.6070949470859981</v>
      </c>
      <c r="M6" s="45">
        <v>0.11924280816813222</v>
      </c>
      <c r="N6" s="45">
        <v>3.9797287226114095</v>
      </c>
      <c r="O6" s="45">
        <v>0.20867491429423096</v>
      </c>
      <c r="P6" s="45">
        <v>99.999999999999929</v>
      </c>
      <c r="Q6" s="54">
        <v>6708.9999999999964</v>
      </c>
    </row>
    <row r="7" spans="1:19" x14ac:dyDescent="0.3">
      <c r="A7" s="22" t="s">
        <v>97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1:19" x14ac:dyDescent="0.3">
      <c r="A8" s="25" t="s">
        <v>92</v>
      </c>
      <c r="B8" s="45">
        <v>51.725383920505799</v>
      </c>
      <c r="C8" s="54">
        <v>5535</v>
      </c>
      <c r="D8" s="45">
        <v>3.7855396437303499</v>
      </c>
      <c r="E8" s="45">
        <v>0.104785190359762</v>
      </c>
      <c r="F8" s="45">
        <v>1.08278030038421</v>
      </c>
      <c r="G8" s="45">
        <v>3.49283967865874E-2</v>
      </c>
      <c r="H8" s="45">
        <v>81.627663290254901</v>
      </c>
      <c r="I8" s="45">
        <v>6.9856793573174897E-2</v>
      </c>
      <c r="J8" s="45">
        <v>0.24449877750611199</v>
      </c>
      <c r="K8" s="45">
        <v>2.4100593782745299</v>
      </c>
      <c r="L8" s="45">
        <v>7.0206077541040806</v>
      </c>
      <c r="M8" s="45">
        <v>6.9856793573174897E-2</v>
      </c>
      <c r="N8" s="45">
        <v>7.0555361508906707</v>
      </c>
      <c r="O8" s="45">
        <v>0.27942717429269898</v>
      </c>
      <c r="P8" s="45">
        <f>SUM(E8:O8)</f>
        <v>99.999999999999901</v>
      </c>
      <c r="Q8" s="54">
        <f>C8*(B8/100)</f>
        <v>2862.9999999999959</v>
      </c>
      <c r="S8" s="29"/>
    </row>
    <row r="9" spans="1:19" x14ac:dyDescent="0.3">
      <c r="A9" s="25" t="s">
        <v>164</v>
      </c>
      <c r="B9" s="45">
        <v>68.954248366013005</v>
      </c>
      <c r="C9" s="54">
        <v>306</v>
      </c>
      <c r="D9" s="45">
        <v>4.4265402843601898</v>
      </c>
      <c r="E9" s="45">
        <v>0</v>
      </c>
      <c r="F9" s="45">
        <v>0.94786729857819896</v>
      </c>
      <c r="G9" s="45">
        <v>0</v>
      </c>
      <c r="H9" s="45">
        <v>90.521327014218002</v>
      </c>
      <c r="I9" s="45">
        <v>0</v>
      </c>
      <c r="J9" s="45">
        <v>0</v>
      </c>
      <c r="K9" s="45">
        <v>3.3175355450236901</v>
      </c>
      <c r="L9" s="45">
        <v>4.2654028436018896</v>
      </c>
      <c r="M9" s="45">
        <v>0.47393364928909903</v>
      </c>
      <c r="N9" s="45">
        <v>0.47393364928909903</v>
      </c>
      <c r="O9" s="45">
        <v>0</v>
      </c>
      <c r="P9" s="45">
        <f t="shared" ref="P9:P63" si="0">SUM(E9:O9)</f>
        <v>99.999999999999972</v>
      </c>
      <c r="Q9" s="54">
        <f t="shared" ref="Q9:Q63" si="1">C9*(B9/100)</f>
        <v>210.9999999999998</v>
      </c>
      <c r="S9" s="29"/>
    </row>
    <row r="10" spans="1:19" x14ac:dyDescent="0.3">
      <c r="A10" s="25" t="s">
        <v>91</v>
      </c>
      <c r="B10" s="45">
        <v>85.549541068486704</v>
      </c>
      <c r="C10" s="54">
        <v>4249</v>
      </c>
      <c r="D10" s="45">
        <v>5.4143053645116899</v>
      </c>
      <c r="E10" s="45">
        <v>5.50206327372764E-2</v>
      </c>
      <c r="F10" s="45">
        <v>0.41265474552957304</v>
      </c>
      <c r="G10" s="45">
        <v>2.75103163686382E-2</v>
      </c>
      <c r="H10" s="45">
        <v>95.515818431911896</v>
      </c>
      <c r="I10" s="45">
        <v>0</v>
      </c>
      <c r="J10" s="45">
        <v>2.75103163686382E-2</v>
      </c>
      <c r="K10" s="45">
        <v>1.0178817056396099</v>
      </c>
      <c r="L10" s="45">
        <v>0.88033012379642295</v>
      </c>
      <c r="M10" s="45">
        <v>0.137551581843191</v>
      </c>
      <c r="N10" s="45">
        <v>1.7606602475928399</v>
      </c>
      <c r="O10" s="45">
        <v>0.16506189821182901</v>
      </c>
      <c r="P10" s="45">
        <f t="shared" si="0"/>
        <v>99.999999999999915</v>
      </c>
      <c r="Q10" s="54">
        <f t="shared" si="1"/>
        <v>3635</v>
      </c>
      <c r="S10" s="29"/>
    </row>
    <row r="11" spans="1:19" x14ac:dyDescent="0.3">
      <c r="A11" s="22" t="s">
        <v>90</v>
      </c>
      <c r="B11" s="45"/>
      <c r="C11" s="54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54"/>
      <c r="S11" s="29"/>
    </row>
    <row r="12" spans="1:19" x14ac:dyDescent="0.3">
      <c r="A12" s="25" t="s">
        <v>7</v>
      </c>
      <c r="B12" s="45">
        <v>86.583184257602795</v>
      </c>
      <c r="C12" s="54">
        <v>559</v>
      </c>
      <c r="D12" s="45">
        <v>5.5165289256198298</v>
      </c>
      <c r="E12" s="45">
        <v>0</v>
      </c>
      <c r="F12" s="45">
        <v>1.2396694214876001</v>
      </c>
      <c r="G12" s="45">
        <v>0</v>
      </c>
      <c r="H12" s="45">
        <v>88.429752066115697</v>
      </c>
      <c r="I12" s="45">
        <v>0</v>
      </c>
      <c r="J12" s="45">
        <v>0.413223140495867</v>
      </c>
      <c r="K12" s="45">
        <v>1.03305785123966</v>
      </c>
      <c r="L12" s="45">
        <v>0</v>
      </c>
      <c r="M12" s="45">
        <v>0.20661157024793297</v>
      </c>
      <c r="N12" s="45">
        <v>8.2644628099173509</v>
      </c>
      <c r="O12" s="45">
        <v>0.413223140495867</v>
      </c>
      <c r="P12" s="45">
        <f t="shared" si="0"/>
        <v>99.999999999999986</v>
      </c>
      <c r="Q12" s="54">
        <f t="shared" si="1"/>
        <v>483.99999999999966</v>
      </c>
      <c r="S12" s="29"/>
    </row>
    <row r="13" spans="1:19" x14ac:dyDescent="0.3">
      <c r="A13" s="25" t="s">
        <v>8</v>
      </c>
      <c r="B13" s="45">
        <v>85.144927536231791</v>
      </c>
      <c r="C13" s="54">
        <v>828</v>
      </c>
      <c r="D13" s="45">
        <v>5.2794326241134701</v>
      </c>
      <c r="E13" s="45">
        <v>0.14184397163120499</v>
      </c>
      <c r="F13" s="45">
        <v>0.56737588652482207</v>
      </c>
      <c r="G13" s="45">
        <v>0</v>
      </c>
      <c r="H13" s="45">
        <v>95.886524822694994</v>
      </c>
      <c r="I13" s="45">
        <v>0</v>
      </c>
      <c r="J13" s="45">
        <v>0</v>
      </c>
      <c r="K13" s="45">
        <v>1.27659574468085</v>
      </c>
      <c r="L13" s="45">
        <v>1.4184397163120499</v>
      </c>
      <c r="M13" s="45">
        <v>0</v>
      </c>
      <c r="N13" s="45">
        <v>0.42553191489361702</v>
      </c>
      <c r="O13" s="45">
        <v>0.28368794326241104</v>
      </c>
      <c r="P13" s="45">
        <f t="shared" si="0"/>
        <v>99.999999999999943</v>
      </c>
      <c r="Q13" s="54">
        <f t="shared" si="1"/>
        <v>704.99999999999932</v>
      </c>
      <c r="S13" s="29"/>
    </row>
    <row r="14" spans="1:19" x14ac:dyDescent="0.3">
      <c r="A14" s="25" t="s">
        <v>9</v>
      </c>
      <c r="B14" s="45">
        <v>90.196078431372499</v>
      </c>
      <c r="C14" s="54">
        <v>561</v>
      </c>
      <c r="D14" s="45">
        <v>4.6640316205533496</v>
      </c>
      <c r="E14" s="45">
        <v>0.19762845849802302</v>
      </c>
      <c r="F14" s="45">
        <v>1.38339920948616</v>
      </c>
      <c r="G14" s="45">
        <v>0</v>
      </c>
      <c r="H14" s="45">
        <v>74.308300395256893</v>
      </c>
      <c r="I14" s="45">
        <v>0</v>
      </c>
      <c r="J14" s="45">
        <v>0.19762845849802302</v>
      </c>
      <c r="K14" s="45">
        <v>2.9644268774703502</v>
      </c>
      <c r="L14" s="45">
        <v>2.7667984189723298</v>
      </c>
      <c r="M14" s="45">
        <v>0.19762845849802302</v>
      </c>
      <c r="N14" s="45">
        <v>17.786561264822101</v>
      </c>
      <c r="O14" s="45">
        <v>0.19762845849802302</v>
      </c>
      <c r="P14" s="45">
        <f t="shared" si="0"/>
        <v>99.999999999999901</v>
      </c>
      <c r="Q14" s="54">
        <f t="shared" si="1"/>
        <v>505.99999999999972</v>
      </c>
      <c r="S14" s="29"/>
    </row>
    <row r="15" spans="1:19" x14ac:dyDescent="0.3">
      <c r="A15" s="25" t="s">
        <v>10</v>
      </c>
      <c r="B15" s="45">
        <v>49.638989169675</v>
      </c>
      <c r="C15" s="54">
        <v>554</v>
      </c>
      <c r="D15" s="45">
        <v>4.6218181818181803</v>
      </c>
      <c r="E15" s="45">
        <v>0</v>
      </c>
      <c r="F15" s="45">
        <v>0</v>
      </c>
      <c r="G15" s="45">
        <v>0</v>
      </c>
      <c r="H15" s="45">
        <v>97.090909090908994</v>
      </c>
      <c r="I15" s="45">
        <v>0</v>
      </c>
      <c r="J15" s="45">
        <v>0</v>
      </c>
      <c r="K15" s="45">
        <v>0</v>
      </c>
      <c r="L15" s="45">
        <v>2.1818181818181799</v>
      </c>
      <c r="M15" s="45">
        <v>0</v>
      </c>
      <c r="N15" s="45">
        <v>0.72727272727272696</v>
      </c>
      <c r="O15" s="45">
        <v>0</v>
      </c>
      <c r="P15" s="45">
        <f t="shared" si="0"/>
        <v>99.999999999999901</v>
      </c>
      <c r="Q15" s="54">
        <f t="shared" si="1"/>
        <v>274.99999999999949</v>
      </c>
      <c r="S15" s="29"/>
    </row>
    <row r="16" spans="1:19" x14ac:dyDescent="0.3">
      <c r="A16" s="25" t="s">
        <v>11</v>
      </c>
      <c r="B16" s="45">
        <v>39.084507042253506</v>
      </c>
      <c r="C16" s="54">
        <v>568</v>
      </c>
      <c r="D16" s="45">
        <v>2.9504504504504498</v>
      </c>
      <c r="E16" s="45">
        <v>0</v>
      </c>
      <c r="F16" s="45">
        <v>0.90090090090090003</v>
      </c>
      <c r="G16" s="45">
        <v>0</v>
      </c>
      <c r="H16" s="45">
        <v>82.882882882882797</v>
      </c>
      <c r="I16" s="45">
        <v>0</v>
      </c>
      <c r="J16" s="45">
        <v>0</v>
      </c>
      <c r="K16" s="45">
        <v>0.90090090090090003</v>
      </c>
      <c r="L16" s="45">
        <v>13.963963963963899</v>
      </c>
      <c r="M16" s="45">
        <v>0</v>
      </c>
      <c r="N16" s="45">
        <v>1.35135135135135</v>
      </c>
      <c r="O16" s="45">
        <v>0</v>
      </c>
      <c r="P16" s="45">
        <f t="shared" si="0"/>
        <v>99.999999999999829</v>
      </c>
      <c r="Q16" s="54">
        <f t="shared" si="1"/>
        <v>221.99999999999991</v>
      </c>
      <c r="S16" s="29"/>
    </row>
    <row r="17" spans="1:19" x14ac:dyDescent="0.3">
      <c r="A17" s="25" t="s">
        <v>12</v>
      </c>
      <c r="B17" s="45">
        <v>84.963099630996297</v>
      </c>
      <c r="C17" s="54">
        <v>1084</v>
      </c>
      <c r="D17" s="45">
        <v>5.5135722041259498</v>
      </c>
      <c r="E17" s="45">
        <v>0</v>
      </c>
      <c r="F17" s="45">
        <v>0.54288816503800197</v>
      </c>
      <c r="G17" s="45">
        <v>0</v>
      </c>
      <c r="H17" s="45">
        <v>93.376764386536308</v>
      </c>
      <c r="I17" s="45">
        <v>0</v>
      </c>
      <c r="J17" s="45">
        <v>0</v>
      </c>
      <c r="K17" s="45">
        <v>2.6058631921824098</v>
      </c>
      <c r="L17" s="45">
        <v>1.4115092290988001</v>
      </c>
      <c r="M17" s="45">
        <v>0.21715526601520002</v>
      </c>
      <c r="N17" s="45">
        <v>1.6286644951139999</v>
      </c>
      <c r="O17" s="45">
        <v>0.21715526601520002</v>
      </c>
      <c r="P17" s="45">
        <f t="shared" si="0"/>
        <v>99.999999999999915</v>
      </c>
      <c r="Q17" s="54">
        <f t="shared" si="1"/>
        <v>920.99999999999989</v>
      </c>
      <c r="S17" s="29"/>
    </row>
    <row r="18" spans="1:19" x14ac:dyDescent="0.3">
      <c r="A18" s="25" t="s">
        <v>107</v>
      </c>
      <c r="B18" s="45">
        <v>60.701754385964904</v>
      </c>
      <c r="C18" s="54">
        <v>570</v>
      </c>
      <c r="D18" s="45">
        <v>3.74855491329479</v>
      </c>
      <c r="E18" s="45">
        <v>0.57803468208092401</v>
      </c>
      <c r="F18" s="45">
        <v>3.4682080924855399</v>
      </c>
      <c r="G18" s="45">
        <v>0</v>
      </c>
      <c r="H18" s="45">
        <v>78.034682080924796</v>
      </c>
      <c r="I18" s="45">
        <v>0</v>
      </c>
      <c r="J18" s="45">
        <v>0.28901734104046201</v>
      </c>
      <c r="K18" s="45">
        <v>3.4682080924855399</v>
      </c>
      <c r="L18" s="45">
        <v>5.7803468208092399</v>
      </c>
      <c r="M18" s="45">
        <v>0.28901734104046201</v>
      </c>
      <c r="N18" s="45">
        <v>7.5144508670520196</v>
      </c>
      <c r="O18" s="45">
        <v>0.57803468208092401</v>
      </c>
      <c r="P18" s="45">
        <f t="shared" si="0"/>
        <v>99.999999999999915</v>
      </c>
      <c r="Q18" s="54">
        <f t="shared" si="1"/>
        <v>345.99999999999994</v>
      </c>
      <c r="S18" s="29"/>
    </row>
    <row r="19" spans="1:19" x14ac:dyDescent="0.3">
      <c r="A19" s="25" t="s">
        <v>14</v>
      </c>
      <c r="B19" s="45">
        <v>51.639344262294998</v>
      </c>
      <c r="C19" s="54">
        <v>854</v>
      </c>
      <c r="D19" s="45">
        <v>3.8390022675736901</v>
      </c>
      <c r="E19" s="45">
        <v>0</v>
      </c>
      <c r="F19" s="45">
        <v>0</v>
      </c>
      <c r="G19" s="45">
        <v>0</v>
      </c>
      <c r="H19" s="45">
        <v>89.569160997732396</v>
      </c>
      <c r="I19" s="45">
        <v>0</v>
      </c>
      <c r="J19" s="45">
        <v>0.22675736961451201</v>
      </c>
      <c r="K19" s="45">
        <v>0</v>
      </c>
      <c r="L19" s="45">
        <v>8.1632653061224403</v>
      </c>
      <c r="M19" s="45">
        <v>0</v>
      </c>
      <c r="N19" s="45">
        <v>2.0408163265306101</v>
      </c>
      <c r="O19" s="45">
        <v>0</v>
      </c>
      <c r="P19" s="45">
        <f t="shared" si="0"/>
        <v>99.999999999999972</v>
      </c>
      <c r="Q19" s="54">
        <f t="shared" si="1"/>
        <v>440.99999999999926</v>
      </c>
      <c r="S19" s="29"/>
    </row>
    <row r="20" spans="1:19" x14ac:dyDescent="0.3">
      <c r="A20" s="25" t="s">
        <v>15</v>
      </c>
      <c r="B20" s="45">
        <v>57.271095152603202</v>
      </c>
      <c r="C20" s="54">
        <v>557</v>
      </c>
      <c r="D20" s="45">
        <v>4.2068965517241299</v>
      </c>
      <c r="E20" s="45">
        <v>0</v>
      </c>
      <c r="F20" s="45">
        <v>0.31347962382445099</v>
      </c>
      <c r="G20" s="45">
        <v>0</v>
      </c>
      <c r="H20" s="45">
        <v>81.818181818181799</v>
      </c>
      <c r="I20" s="45">
        <v>0</v>
      </c>
      <c r="J20" s="45">
        <v>0.31347962382445099</v>
      </c>
      <c r="K20" s="45">
        <v>4.0752351097178598</v>
      </c>
      <c r="L20" s="45">
        <v>3.44827586206896</v>
      </c>
      <c r="M20" s="45">
        <v>0.31347962382445099</v>
      </c>
      <c r="N20" s="45">
        <v>9.4043887147335408</v>
      </c>
      <c r="O20" s="45">
        <v>0.31347962382445099</v>
      </c>
      <c r="P20" s="45">
        <f t="shared" si="0"/>
        <v>99.999999999999957</v>
      </c>
      <c r="Q20" s="54">
        <f t="shared" si="1"/>
        <v>318.99999999999983</v>
      </c>
      <c r="S20" s="29"/>
    </row>
    <row r="21" spans="1:19" x14ac:dyDescent="0.3">
      <c r="A21" s="25" t="s">
        <v>16</v>
      </c>
      <c r="B21" s="45">
        <v>55.737704918032705</v>
      </c>
      <c r="C21" s="54">
        <v>854</v>
      </c>
      <c r="D21" s="45">
        <v>4.04201680672268</v>
      </c>
      <c r="E21" s="45">
        <v>0.21008403361344496</v>
      </c>
      <c r="F21" s="45">
        <v>0</v>
      </c>
      <c r="G21" s="45">
        <v>0</v>
      </c>
      <c r="H21" s="45">
        <v>91.176470588235205</v>
      </c>
      <c r="I21" s="45">
        <v>0.42016806722688993</v>
      </c>
      <c r="J21" s="45">
        <v>0.42016806722688993</v>
      </c>
      <c r="K21" s="45">
        <v>0.84033613445378097</v>
      </c>
      <c r="L21" s="45">
        <v>5.6722689075630202</v>
      </c>
      <c r="M21" s="45">
        <v>0</v>
      </c>
      <c r="N21" s="45">
        <v>1.26050420168067</v>
      </c>
      <c r="O21" s="45">
        <v>0</v>
      </c>
      <c r="P21" s="45">
        <f t="shared" si="0"/>
        <v>99.999999999999915</v>
      </c>
      <c r="Q21" s="54">
        <f t="shared" si="1"/>
        <v>475.99999999999932</v>
      </c>
      <c r="S21" s="29"/>
    </row>
    <row r="22" spans="1:19" x14ac:dyDescent="0.3">
      <c r="A22" s="25" t="s">
        <v>17</v>
      </c>
      <c r="B22" s="45">
        <v>73.522458628841605</v>
      </c>
      <c r="C22" s="54">
        <v>846</v>
      </c>
      <c r="D22" s="45">
        <v>5.2395498392282898</v>
      </c>
      <c r="E22" s="45">
        <v>0</v>
      </c>
      <c r="F22" s="45">
        <v>0</v>
      </c>
      <c r="G22" s="45">
        <v>0</v>
      </c>
      <c r="H22" s="45">
        <v>95.3376205787781</v>
      </c>
      <c r="I22" s="45">
        <v>0</v>
      </c>
      <c r="J22" s="45">
        <v>0</v>
      </c>
      <c r="K22" s="45">
        <v>0.16077170418006401</v>
      </c>
      <c r="L22" s="45">
        <v>3.8585209003215404</v>
      </c>
      <c r="M22" s="45">
        <v>0</v>
      </c>
      <c r="N22" s="45">
        <v>0.64308681672025692</v>
      </c>
      <c r="O22" s="45">
        <v>0</v>
      </c>
      <c r="P22" s="45">
        <f t="shared" si="0"/>
        <v>99.999999999999957</v>
      </c>
      <c r="Q22" s="54">
        <f t="shared" si="1"/>
        <v>622</v>
      </c>
      <c r="S22" s="29"/>
    </row>
    <row r="23" spans="1:19" x14ac:dyDescent="0.3">
      <c r="A23" s="25" t="s">
        <v>18</v>
      </c>
      <c r="B23" s="45">
        <v>50.352112676056308</v>
      </c>
      <c r="C23" s="54">
        <v>852</v>
      </c>
      <c r="D23" s="45">
        <v>4.5198135198135097</v>
      </c>
      <c r="E23" s="45">
        <v>0</v>
      </c>
      <c r="F23" s="45">
        <v>0</v>
      </c>
      <c r="G23" s="45">
        <v>0</v>
      </c>
      <c r="H23" s="45">
        <v>90.675990675990604</v>
      </c>
      <c r="I23" s="45">
        <v>0</v>
      </c>
      <c r="J23" s="45">
        <v>0</v>
      </c>
      <c r="K23" s="45">
        <v>0.93240093240093203</v>
      </c>
      <c r="L23" s="45">
        <v>3.7296037296037197</v>
      </c>
      <c r="M23" s="45">
        <v>0</v>
      </c>
      <c r="N23" s="45">
        <v>4.4289044289044197</v>
      </c>
      <c r="O23" s="45">
        <v>0.23310023310023301</v>
      </c>
      <c r="P23" s="45">
        <f t="shared" si="0"/>
        <v>99.999999999999915</v>
      </c>
      <c r="Q23" s="54">
        <f t="shared" si="1"/>
        <v>428.99999999999972</v>
      </c>
      <c r="S23" s="29"/>
    </row>
    <row r="24" spans="1:19" x14ac:dyDescent="0.3">
      <c r="A24" s="25" t="s">
        <v>19</v>
      </c>
      <c r="B24" s="45">
        <v>68.339307048984395</v>
      </c>
      <c r="C24" s="54">
        <v>837</v>
      </c>
      <c r="D24" s="45">
        <v>4.6083916083916003</v>
      </c>
      <c r="E24" s="45">
        <v>0</v>
      </c>
      <c r="F24" s="45">
        <v>1.7482517482517401</v>
      </c>
      <c r="G24" s="45">
        <v>0.34965034965034902</v>
      </c>
      <c r="H24" s="45">
        <v>87.237762237762198</v>
      </c>
      <c r="I24" s="45">
        <v>0</v>
      </c>
      <c r="J24" s="45">
        <v>0</v>
      </c>
      <c r="K24" s="45">
        <v>4.1958041958041896</v>
      </c>
      <c r="L24" s="45">
        <v>2.2727272727272698</v>
      </c>
      <c r="M24" s="45">
        <v>0.34965034965034902</v>
      </c>
      <c r="N24" s="45">
        <v>3.3216783216783203</v>
      </c>
      <c r="O24" s="45">
        <v>0.52447552447552392</v>
      </c>
      <c r="P24" s="45">
        <f t="shared" si="0"/>
        <v>99.999999999999929</v>
      </c>
      <c r="Q24" s="54">
        <f t="shared" si="1"/>
        <v>571.99999999999943</v>
      </c>
      <c r="S24" s="29"/>
    </row>
    <row r="25" spans="1:19" x14ac:dyDescent="0.3">
      <c r="A25" s="25" t="s">
        <v>20</v>
      </c>
      <c r="B25" s="45">
        <v>69.081272084805605</v>
      </c>
      <c r="C25" s="54">
        <v>566</v>
      </c>
      <c r="D25" s="45">
        <v>4.1099744245524299</v>
      </c>
      <c r="E25" s="45">
        <v>0</v>
      </c>
      <c r="F25" s="45">
        <v>0.25575447570332399</v>
      </c>
      <c r="G25" s="45">
        <v>0</v>
      </c>
      <c r="H25" s="45">
        <v>94.117647058823493</v>
      </c>
      <c r="I25" s="45">
        <v>0</v>
      </c>
      <c r="J25" s="45">
        <v>0</v>
      </c>
      <c r="K25" s="45">
        <v>0</v>
      </c>
      <c r="L25" s="45">
        <v>5.3708439897698197</v>
      </c>
      <c r="M25" s="45">
        <v>0</v>
      </c>
      <c r="N25" s="45">
        <v>0.25575447570332399</v>
      </c>
      <c r="O25" s="45">
        <v>0</v>
      </c>
      <c r="P25" s="45">
        <f t="shared" si="0"/>
        <v>99.999999999999972</v>
      </c>
      <c r="Q25" s="54">
        <f t="shared" si="1"/>
        <v>390.99999999999972</v>
      </c>
      <c r="S25" s="29"/>
    </row>
    <row r="26" spans="1:19" x14ac:dyDescent="0.3">
      <c r="A26" s="22" t="s">
        <v>100</v>
      </c>
      <c r="B26" s="45"/>
      <c r="C26" s="5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54"/>
      <c r="S26" s="29"/>
    </row>
    <row r="27" spans="1:19" x14ac:dyDescent="0.3">
      <c r="A27" s="25" t="s">
        <v>108</v>
      </c>
      <c r="B27" s="45">
        <v>66.854419410745209</v>
      </c>
      <c r="C27" s="54">
        <v>4616</v>
      </c>
      <c r="D27" s="45">
        <v>4.6046662346079001</v>
      </c>
      <c r="E27" s="45">
        <v>3.2404406999351903E-2</v>
      </c>
      <c r="F27" s="45">
        <v>0.45366169799092598</v>
      </c>
      <c r="G27" s="45">
        <v>0</v>
      </c>
      <c r="H27" s="45">
        <v>89.889825016202195</v>
      </c>
      <c r="I27" s="45">
        <v>6.4808813998703807E-2</v>
      </c>
      <c r="J27" s="45">
        <v>9.721322099805571E-2</v>
      </c>
      <c r="K27" s="45">
        <v>1.45819831497083</v>
      </c>
      <c r="L27" s="45">
        <v>4.5042125729099105</v>
      </c>
      <c r="M27" s="45">
        <v>0.194426441996111</v>
      </c>
      <c r="N27" s="45">
        <v>3.2404406999351898</v>
      </c>
      <c r="O27" s="45">
        <v>6.4808813998703807E-2</v>
      </c>
      <c r="P27" s="45">
        <f t="shared" si="0"/>
        <v>99.999999999999986</v>
      </c>
      <c r="Q27" s="54">
        <f t="shared" si="1"/>
        <v>3085.9999999999991</v>
      </c>
      <c r="S27" s="29"/>
    </row>
    <row r="28" spans="1:19" x14ac:dyDescent="0.3">
      <c r="A28" s="25" t="s">
        <v>109</v>
      </c>
      <c r="B28" s="45">
        <v>66.185604676653199</v>
      </c>
      <c r="C28" s="54">
        <v>5474</v>
      </c>
      <c r="D28" s="45">
        <v>4.7593154844051799</v>
      </c>
      <c r="E28" s="45">
        <v>0.110405741098537</v>
      </c>
      <c r="F28" s="45">
        <v>0.93844879933756498</v>
      </c>
      <c r="G28" s="45">
        <v>5.52028705492685E-2</v>
      </c>
      <c r="H28" s="45">
        <v>89.042230195970191</v>
      </c>
      <c r="I28" s="45">
        <v>0</v>
      </c>
      <c r="J28" s="45">
        <v>0.138007176373171</v>
      </c>
      <c r="K28" s="45">
        <v>1.87689759867513</v>
      </c>
      <c r="L28" s="45">
        <v>2.8429478332873299</v>
      </c>
      <c r="M28" s="45">
        <v>5.52028705492685E-2</v>
      </c>
      <c r="N28" s="45">
        <v>4.6094396908639199</v>
      </c>
      <c r="O28" s="45">
        <v>0.33121722329561099</v>
      </c>
      <c r="P28" s="45">
        <f t="shared" si="0"/>
        <v>99.999999999999986</v>
      </c>
      <c r="Q28" s="54">
        <f t="shared" si="1"/>
        <v>3622.9999999999959</v>
      </c>
      <c r="S28" s="29"/>
    </row>
    <row r="29" spans="1:19" x14ac:dyDescent="0.3">
      <c r="A29" s="22" t="s">
        <v>99</v>
      </c>
      <c r="B29" s="45"/>
      <c r="C29" s="5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4"/>
      <c r="S29" s="29"/>
    </row>
    <row r="30" spans="1:19" x14ac:dyDescent="0.3">
      <c r="A30" s="25" t="s">
        <v>110</v>
      </c>
      <c r="B30" s="45">
        <v>43.243243243243199</v>
      </c>
      <c r="C30" s="54">
        <v>37</v>
      </c>
      <c r="D30" s="45">
        <v>3.75</v>
      </c>
      <c r="E30" s="45">
        <v>0</v>
      </c>
      <c r="F30" s="45">
        <v>0</v>
      </c>
      <c r="G30" s="45">
        <v>0</v>
      </c>
      <c r="H30" s="45">
        <v>56.25</v>
      </c>
      <c r="I30" s="45">
        <v>0</v>
      </c>
      <c r="J30" s="45">
        <v>0</v>
      </c>
      <c r="K30" s="45">
        <v>6.25</v>
      </c>
      <c r="L30" s="45">
        <v>37.5</v>
      </c>
      <c r="M30" s="45">
        <v>0</v>
      </c>
      <c r="N30" s="45">
        <v>0</v>
      </c>
      <c r="O30" s="45">
        <v>0</v>
      </c>
      <c r="P30" s="45">
        <f t="shared" si="0"/>
        <v>100</v>
      </c>
      <c r="Q30" s="54">
        <f t="shared" si="1"/>
        <v>15.999999999999984</v>
      </c>
      <c r="S30" s="29"/>
    </row>
    <row r="31" spans="1:19" x14ac:dyDescent="0.3">
      <c r="A31" s="25" t="s">
        <v>111</v>
      </c>
      <c r="B31" s="45">
        <v>68.305800998847403</v>
      </c>
      <c r="C31" s="54">
        <v>7809</v>
      </c>
      <c r="D31" s="45">
        <v>4.8078365204349396</v>
      </c>
      <c r="E31" s="45">
        <v>7.4990626171728511E-2</v>
      </c>
      <c r="F31" s="45">
        <v>0.84364454443194603</v>
      </c>
      <c r="G31" s="45">
        <v>1.87476565429321E-2</v>
      </c>
      <c r="H31" s="45">
        <v>90.101237345331796</v>
      </c>
      <c r="I31" s="45">
        <v>3.74953130858642E-2</v>
      </c>
      <c r="J31" s="45">
        <v>9.3738282714660601E-2</v>
      </c>
      <c r="K31" s="45">
        <v>2.0059992500937303</v>
      </c>
      <c r="L31" s="45">
        <v>2.9058867641544799</v>
      </c>
      <c r="M31" s="45">
        <v>0.11248593925759201</v>
      </c>
      <c r="N31" s="45">
        <v>3.5995500562429701</v>
      </c>
      <c r="O31" s="45">
        <v>0.20622422197225299</v>
      </c>
      <c r="P31" s="45">
        <f t="shared" si="0"/>
        <v>99.999999999999957</v>
      </c>
      <c r="Q31" s="54">
        <f t="shared" si="1"/>
        <v>5333.9999999999936</v>
      </c>
      <c r="S31" s="29"/>
    </row>
    <row r="32" spans="1:19" x14ac:dyDescent="0.3">
      <c r="A32" s="25" t="s">
        <v>112</v>
      </c>
      <c r="B32" s="45">
        <v>60.561497326203195</v>
      </c>
      <c r="C32" s="54">
        <v>2244</v>
      </c>
      <c r="D32" s="45">
        <v>4.2295805739514298</v>
      </c>
      <c r="E32" s="45">
        <v>7.3583517292126505E-2</v>
      </c>
      <c r="F32" s="45">
        <v>0.22075055187637899</v>
      </c>
      <c r="G32" s="45">
        <v>7.3583517292126505E-2</v>
      </c>
      <c r="H32" s="45">
        <v>87.196467991169897</v>
      </c>
      <c r="I32" s="45">
        <v>0</v>
      </c>
      <c r="J32" s="45">
        <v>0.22075055187637899</v>
      </c>
      <c r="K32" s="45">
        <v>0.367917586460632</v>
      </c>
      <c r="L32" s="45">
        <v>5.9602649006622501</v>
      </c>
      <c r="M32" s="45">
        <v>0.14716703458425301</v>
      </c>
      <c r="N32" s="45">
        <v>5.5187637969094903</v>
      </c>
      <c r="O32" s="45">
        <v>0.22075055187637899</v>
      </c>
      <c r="P32" s="45">
        <f t="shared" si="0"/>
        <v>99.999999999999929</v>
      </c>
      <c r="Q32" s="54">
        <f t="shared" si="1"/>
        <v>1358.9999999999998</v>
      </c>
      <c r="S32" s="29"/>
    </row>
    <row r="33" spans="1:19" x14ac:dyDescent="0.3">
      <c r="A33" s="22" t="s">
        <v>98</v>
      </c>
      <c r="B33" s="45"/>
      <c r="C33" s="5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54"/>
      <c r="S33" s="29"/>
    </row>
    <row r="34" spans="1:19" x14ac:dyDescent="0.3">
      <c r="A34" s="25" t="s">
        <v>113</v>
      </c>
      <c r="B34" s="45">
        <v>44.724409448818804</v>
      </c>
      <c r="C34" s="54">
        <v>1905</v>
      </c>
      <c r="D34" s="45">
        <v>3.5715962441314502</v>
      </c>
      <c r="E34" s="45">
        <v>0.352112676056338</v>
      </c>
      <c r="F34" s="45">
        <v>1.2910798122065701</v>
      </c>
      <c r="G34" s="45">
        <v>0</v>
      </c>
      <c r="H34" s="45">
        <v>81.455399061032793</v>
      </c>
      <c r="I34" s="45">
        <v>0</v>
      </c>
      <c r="J34" s="45">
        <v>0.82159624413145493</v>
      </c>
      <c r="K34" s="45">
        <v>2.4647887323943602</v>
      </c>
      <c r="L34" s="45">
        <v>7.9812206572769897</v>
      </c>
      <c r="M34" s="45">
        <v>0.23474178403755799</v>
      </c>
      <c r="N34" s="45">
        <v>4.9295774647887303</v>
      </c>
      <c r="O34" s="45">
        <v>0.46948356807511704</v>
      </c>
      <c r="P34" s="45">
        <f t="shared" si="0"/>
        <v>99.999999999999915</v>
      </c>
      <c r="Q34" s="54">
        <f t="shared" si="1"/>
        <v>851.99999999999818</v>
      </c>
      <c r="S34" s="29"/>
    </row>
    <row r="35" spans="1:19" x14ac:dyDescent="0.3">
      <c r="A35" s="25" t="s">
        <v>114</v>
      </c>
      <c r="B35" s="45">
        <v>50.909090909090907</v>
      </c>
      <c r="C35" s="54">
        <v>55</v>
      </c>
      <c r="D35" s="45">
        <v>4.5357142857142803</v>
      </c>
      <c r="E35" s="45">
        <v>0</v>
      </c>
      <c r="F35" s="45">
        <v>0</v>
      </c>
      <c r="G35" s="45">
        <v>0</v>
      </c>
      <c r="H35" s="45">
        <v>96.428571428571402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3.5714285714285698</v>
      </c>
      <c r="O35" s="45">
        <v>0</v>
      </c>
      <c r="P35" s="45">
        <f t="shared" si="0"/>
        <v>99.999999999999972</v>
      </c>
      <c r="Q35" s="54">
        <f t="shared" si="1"/>
        <v>27.999999999999996</v>
      </c>
      <c r="S35" s="29"/>
    </row>
    <row r="36" spans="1:19" x14ac:dyDescent="0.3">
      <c r="A36" s="25" t="s">
        <v>115</v>
      </c>
      <c r="B36" s="45">
        <v>56.477064220183401</v>
      </c>
      <c r="C36" s="54">
        <v>2725</v>
      </c>
      <c r="D36" s="45">
        <v>4.1130604288499004</v>
      </c>
      <c r="E36" s="45">
        <v>6.4977257959714096E-2</v>
      </c>
      <c r="F36" s="45">
        <v>1.2345679012345601</v>
      </c>
      <c r="G36" s="45">
        <v>6.4977257959714096E-2</v>
      </c>
      <c r="H36" s="45">
        <v>83.105912930474304</v>
      </c>
      <c r="I36" s="45">
        <v>0.129954515919428</v>
      </c>
      <c r="J36" s="45">
        <v>6.4977257959714096E-2</v>
      </c>
      <c r="K36" s="45">
        <v>2.40415854450942</v>
      </c>
      <c r="L36" s="45">
        <v>5.9129304743339803</v>
      </c>
      <c r="M36" s="45">
        <v>0.129954515919428</v>
      </c>
      <c r="N36" s="45">
        <v>6.6926575698505504</v>
      </c>
      <c r="O36" s="45">
        <v>0.19493177387914201</v>
      </c>
      <c r="P36" s="45">
        <f t="shared" si="0"/>
        <v>99.999999999999943</v>
      </c>
      <c r="Q36" s="54">
        <f t="shared" si="1"/>
        <v>1538.9999999999977</v>
      </c>
      <c r="S36" s="29"/>
    </row>
    <row r="37" spans="1:19" x14ac:dyDescent="0.3">
      <c r="A37" s="25" t="s">
        <v>116</v>
      </c>
      <c r="B37" s="45">
        <v>76.690647482014299</v>
      </c>
      <c r="C37" s="54">
        <v>4170</v>
      </c>
      <c r="D37" s="45">
        <v>4.9430894308943003</v>
      </c>
      <c r="E37" s="45">
        <v>3.12695434646654E-2</v>
      </c>
      <c r="F37" s="45">
        <v>0.40650406504065001</v>
      </c>
      <c r="G37" s="45">
        <v>0</v>
      </c>
      <c r="H37" s="45">
        <v>92.307692307692307</v>
      </c>
      <c r="I37" s="45">
        <v>0</v>
      </c>
      <c r="J37" s="45">
        <v>0</v>
      </c>
      <c r="K37" s="45">
        <v>1.4071294559099401</v>
      </c>
      <c r="L37" s="45">
        <v>2.1575984990619101</v>
      </c>
      <c r="M37" s="45">
        <v>0.12507817385866099</v>
      </c>
      <c r="N37" s="45">
        <v>3.3458411507191999</v>
      </c>
      <c r="O37" s="45">
        <v>0.218886804252657</v>
      </c>
      <c r="P37" s="45">
        <f t="shared" si="0"/>
        <v>99.999999999999972</v>
      </c>
      <c r="Q37" s="54">
        <f t="shared" si="1"/>
        <v>3197.9999999999964</v>
      </c>
      <c r="S37" s="29"/>
    </row>
    <row r="38" spans="1:19" x14ac:dyDescent="0.3">
      <c r="A38" s="25" t="s">
        <v>117</v>
      </c>
      <c r="B38" s="45">
        <v>89.746300211416397</v>
      </c>
      <c r="C38" s="54">
        <v>946</v>
      </c>
      <c r="D38" s="45">
        <v>5.7467608951707803</v>
      </c>
      <c r="E38" s="45">
        <v>0</v>
      </c>
      <c r="F38" s="45">
        <v>0.47114252061248496</v>
      </c>
      <c r="G38" s="45">
        <v>0.117785630153121</v>
      </c>
      <c r="H38" s="45">
        <v>95.995288574793804</v>
      </c>
      <c r="I38" s="45">
        <v>0</v>
      </c>
      <c r="J38" s="45">
        <v>0</v>
      </c>
      <c r="K38" s="45">
        <v>1.0600706713780901</v>
      </c>
      <c r="L38" s="45">
        <v>0.70671378091872705</v>
      </c>
      <c r="M38" s="45">
        <v>0</v>
      </c>
      <c r="N38" s="45">
        <v>1.64899882214369</v>
      </c>
      <c r="O38" s="45">
        <v>0</v>
      </c>
      <c r="P38" s="45">
        <f t="shared" si="0"/>
        <v>99.999999999999929</v>
      </c>
      <c r="Q38" s="54">
        <f t="shared" si="1"/>
        <v>848.99999999999909</v>
      </c>
      <c r="S38" s="29"/>
    </row>
    <row r="39" spans="1:19" x14ac:dyDescent="0.3">
      <c r="A39" s="22" t="s">
        <v>3</v>
      </c>
      <c r="B39" s="45"/>
      <c r="C39" s="5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54"/>
      <c r="S39" s="29"/>
    </row>
    <row r="40" spans="1:19" x14ac:dyDescent="0.3">
      <c r="A40" s="25" t="s">
        <v>118</v>
      </c>
      <c r="B40" s="45">
        <v>34.6666666666666</v>
      </c>
      <c r="C40" s="54">
        <v>675</v>
      </c>
      <c r="D40" s="45">
        <v>2.8034188034188001</v>
      </c>
      <c r="E40" s="45">
        <v>0.42735042735042694</v>
      </c>
      <c r="F40" s="45">
        <v>2.13675213675213</v>
      </c>
      <c r="G40" s="45">
        <v>0</v>
      </c>
      <c r="H40" s="45">
        <v>78.205128205128204</v>
      </c>
      <c r="I40" s="45">
        <v>0</v>
      </c>
      <c r="J40" s="45">
        <v>0.85470085470085388</v>
      </c>
      <c r="K40" s="45">
        <v>1.7094017094016998</v>
      </c>
      <c r="L40" s="45">
        <v>10.2564102564102</v>
      </c>
      <c r="M40" s="45">
        <v>0.42735042735042694</v>
      </c>
      <c r="N40" s="45">
        <v>5.9829059829059794</v>
      </c>
      <c r="O40" s="45">
        <v>0</v>
      </c>
      <c r="P40" s="45">
        <f t="shared" si="0"/>
        <v>99.999999999999929</v>
      </c>
      <c r="Q40" s="54">
        <f t="shared" si="1"/>
        <v>233.99999999999955</v>
      </c>
      <c r="S40" s="29"/>
    </row>
    <row r="41" spans="1:19" x14ac:dyDescent="0.3">
      <c r="A41" s="25" t="s">
        <v>119</v>
      </c>
      <c r="B41" s="45">
        <v>44.967320261437898</v>
      </c>
      <c r="C41" s="54">
        <v>765</v>
      </c>
      <c r="D41" s="45">
        <v>3.36046511627907</v>
      </c>
      <c r="E41" s="45">
        <v>0</v>
      </c>
      <c r="F41" s="45">
        <v>0.290697674418604</v>
      </c>
      <c r="G41" s="45">
        <v>0</v>
      </c>
      <c r="H41" s="45">
        <v>86.046511627906895</v>
      </c>
      <c r="I41" s="45">
        <v>0</v>
      </c>
      <c r="J41" s="45">
        <v>0</v>
      </c>
      <c r="K41" s="45">
        <v>1.16279069767441</v>
      </c>
      <c r="L41" s="45">
        <v>6.3953488372092995</v>
      </c>
      <c r="M41" s="45">
        <v>0.290697674418604</v>
      </c>
      <c r="N41" s="45">
        <v>5.5232558139534804</v>
      </c>
      <c r="O41" s="45">
        <v>0.290697674418604</v>
      </c>
      <c r="P41" s="45">
        <f t="shared" si="0"/>
        <v>99.999999999999915</v>
      </c>
      <c r="Q41" s="54">
        <f t="shared" si="1"/>
        <v>343.99999999999994</v>
      </c>
      <c r="S41" s="29"/>
    </row>
    <row r="42" spans="1:19" x14ac:dyDescent="0.3">
      <c r="A42" s="25" t="s">
        <v>120</v>
      </c>
      <c r="B42" s="45">
        <v>53.158522050059595</v>
      </c>
      <c r="C42" s="54">
        <v>839</v>
      </c>
      <c r="D42" s="45">
        <v>3.74663677130044</v>
      </c>
      <c r="E42" s="45">
        <v>0</v>
      </c>
      <c r="F42" s="45">
        <v>1.12107623318385</v>
      </c>
      <c r="G42" s="45">
        <v>0</v>
      </c>
      <c r="H42" s="45">
        <v>86.547085201793706</v>
      </c>
      <c r="I42" s="45">
        <v>0</v>
      </c>
      <c r="J42" s="45">
        <v>0.224215246636771</v>
      </c>
      <c r="K42" s="45">
        <v>1.5695067264573901</v>
      </c>
      <c r="L42" s="45">
        <v>6.5022421524663603</v>
      </c>
      <c r="M42" s="45">
        <v>0</v>
      </c>
      <c r="N42" s="45">
        <v>3.8116591928251098</v>
      </c>
      <c r="O42" s="45">
        <v>0.224215246636771</v>
      </c>
      <c r="P42" s="45">
        <f t="shared" si="0"/>
        <v>99.999999999999972</v>
      </c>
      <c r="Q42" s="54">
        <f t="shared" si="1"/>
        <v>446</v>
      </c>
      <c r="S42" s="29"/>
    </row>
    <row r="43" spans="1:19" x14ac:dyDescent="0.3">
      <c r="A43" s="25" t="s">
        <v>121</v>
      </c>
      <c r="B43" s="45">
        <v>58.079625292739998</v>
      </c>
      <c r="C43" s="54">
        <v>854</v>
      </c>
      <c r="D43" s="45">
        <v>3.9818548387096699</v>
      </c>
      <c r="E43" s="45">
        <v>0</v>
      </c>
      <c r="F43" s="45">
        <v>0.80645161290322487</v>
      </c>
      <c r="G43" s="45">
        <v>0.20161290322580602</v>
      </c>
      <c r="H43" s="45">
        <v>84.879032258064498</v>
      </c>
      <c r="I43" s="45">
        <v>0.20161290322580602</v>
      </c>
      <c r="J43" s="45">
        <v>0.20161290322580602</v>
      </c>
      <c r="K43" s="45">
        <v>1.4112903225806399</v>
      </c>
      <c r="L43" s="45">
        <v>7.0564516129032198</v>
      </c>
      <c r="M43" s="45">
        <v>0</v>
      </c>
      <c r="N43" s="45">
        <v>4.8387096774193497</v>
      </c>
      <c r="O43" s="45">
        <v>0.40322580645161205</v>
      </c>
      <c r="P43" s="45">
        <f t="shared" si="0"/>
        <v>99.999999999999957</v>
      </c>
      <c r="Q43" s="54">
        <f t="shared" si="1"/>
        <v>495.9999999999996</v>
      </c>
      <c r="S43" s="29"/>
    </row>
    <row r="44" spans="1:19" x14ac:dyDescent="0.3">
      <c r="A44" s="25" t="s">
        <v>122</v>
      </c>
      <c r="B44" s="45">
        <v>61.2631578947368</v>
      </c>
      <c r="C44" s="54">
        <v>950</v>
      </c>
      <c r="D44" s="45">
        <v>4.1529209621993104</v>
      </c>
      <c r="E44" s="45">
        <v>0.17182130584192401</v>
      </c>
      <c r="F44" s="45">
        <v>0.85910652920962205</v>
      </c>
      <c r="G44" s="45">
        <v>0</v>
      </c>
      <c r="H44" s="45">
        <v>87.285223367697597</v>
      </c>
      <c r="I44" s="45">
        <v>0.17182130584192401</v>
      </c>
      <c r="J44" s="45">
        <v>0.17182130584192401</v>
      </c>
      <c r="K44" s="45">
        <v>1.0309278350515401</v>
      </c>
      <c r="L44" s="45">
        <v>4.1237113402061798</v>
      </c>
      <c r="M44" s="45">
        <v>0</v>
      </c>
      <c r="N44" s="45">
        <v>6.0137457044673504</v>
      </c>
      <c r="O44" s="45">
        <v>0.17182130584192401</v>
      </c>
      <c r="P44" s="45">
        <f t="shared" si="0"/>
        <v>100.00000000000001</v>
      </c>
      <c r="Q44" s="54">
        <f t="shared" si="1"/>
        <v>581.99999999999955</v>
      </c>
      <c r="S44" s="29"/>
    </row>
    <row r="45" spans="1:19" x14ac:dyDescent="0.3">
      <c r="A45" s="25" t="s">
        <v>123</v>
      </c>
      <c r="B45" s="45">
        <v>67.063492063492006</v>
      </c>
      <c r="C45" s="54">
        <v>1008</v>
      </c>
      <c r="D45" s="45">
        <v>4.5355029585798796</v>
      </c>
      <c r="E45" s="45">
        <v>0.14792899408283999</v>
      </c>
      <c r="F45" s="45">
        <v>1.33136094674556</v>
      </c>
      <c r="G45" s="45">
        <v>0</v>
      </c>
      <c r="H45" s="45">
        <v>86.390532544378701</v>
      </c>
      <c r="I45" s="45">
        <v>0</v>
      </c>
      <c r="J45" s="45">
        <v>0</v>
      </c>
      <c r="K45" s="45">
        <v>1.7751479289940801</v>
      </c>
      <c r="L45" s="45">
        <v>4.8816568047337201</v>
      </c>
      <c r="M45" s="45">
        <v>0.44378698224852003</v>
      </c>
      <c r="N45" s="45">
        <v>4.8816568047337201</v>
      </c>
      <c r="O45" s="45">
        <v>0.14792899408283999</v>
      </c>
      <c r="P45" s="45">
        <f t="shared" si="0"/>
        <v>99.999999999999986</v>
      </c>
      <c r="Q45" s="54">
        <f t="shared" si="1"/>
        <v>675.99999999999943</v>
      </c>
      <c r="S45" s="29"/>
    </row>
    <row r="46" spans="1:19" x14ac:dyDescent="0.3">
      <c r="A46" s="25" t="s">
        <v>124</v>
      </c>
      <c r="B46" s="45">
        <v>70.481380563124389</v>
      </c>
      <c r="C46" s="54">
        <v>1101</v>
      </c>
      <c r="D46" s="45">
        <v>4.9162371134020599</v>
      </c>
      <c r="E46" s="45">
        <v>0</v>
      </c>
      <c r="F46" s="45">
        <v>0.25773195876288596</v>
      </c>
      <c r="G46" s="45">
        <v>0</v>
      </c>
      <c r="H46" s="45">
        <v>90.077319587628807</v>
      </c>
      <c r="I46" s="45">
        <v>0</v>
      </c>
      <c r="J46" s="45">
        <v>0.12886597938144298</v>
      </c>
      <c r="K46" s="45">
        <v>1.5463917525773099</v>
      </c>
      <c r="L46" s="45">
        <v>3.3505154639175201</v>
      </c>
      <c r="M46" s="45">
        <v>0.12886597938144298</v>
      </c>
      <c r="N46" s="45">
        <v>4.25257731958762</v>
      </c>
      <c r="O46" s="45">
        <v>0.25773195876288596</v>
      </c>
      <c r="P46" s="45">
        <f t="shared" si="0"/>
        <v>99.999999999999915</v>
      </c>
      <c r="Q46" s="54">
        <f t="shared" si="1"/>
        <v>775.99999999999943</v>
      </c>
      <c r="S46" s="29"/>
    </row>
    <row r="47" spans="1:19" x14ac:dyDescent="0.3">
      <c r="A47" s="25" t="s">
        <v>125</v>
      </c>
      <c r="B47" s="45">
        <v>74.686716791979904</v>
      </c>
      <c r="C47" s="54">
        <v>1197</v>
      </c>
      <c r="D47" s="45">
        <v>5.0212527964205798</v>
      </c>
      <c r="E47" s="45">
        <v>0.111856823266219</v>
      </c>
      <c r="F47" s="45">
        <v>0.447427293064876</v>
      </c>
      <c r="G47" s="45">
        <v>0</v>
      </c>
      <c r="H47" s="45">
        <v>91.498881431767302</v>
      </c>
      <c r="I47" s="45">
        <v>0</v>
      </c>
      <c r="J47" s="45">
        <v>0</v>
      </c>
      <c r="K47" s="45">
        <v>1.4541387024608501</v>
      </c>
      <c r="L47" s="45">
        <v>2.3489932885906</v>
      </c>
      <c r="M47" s="45">
        <v>0.223713646532438</v>
      </c>
      <c r="N47" s="45">
        <v>3.6912751677852302</v>
      </c>
      <c r="O47" s="45">
        <v>0.223713646532438</v>
      </c>
      <c r="P47" s="45">
        <f t="shared" si="0"/>
        <v>99.999999999999957</v>
      </c>
      <c r="Q47" s="54">
        <f t="shared" si="1"/>
        <v>893.99999999999943</v>
      </c>
      <c r="S47" s="29"/>
    </row>
    <row r="48" spans="1:19" x14ac:dyDescent="0.3">
      <c r="A48" s="25" t="s">
        <v>126</v>
      </c>
      <c r="B48" s="45">
        <v>81.371784879189406</v>
      </c>
      <c r="C48" s="54">
        <v>1283</v>
      </c>
      <c r="D48" s="45">
        <v>5.3457854406130201</v>
      </c>
      <c r="E48" s="45">
        <v>0</v>
      </c>
      <c r="F48" s="45">
        <v>0.47892720306513398</v>
      </c>
      <c r="G48" s="45">
        <v>9.5785440613026809E-2</v>
      </c>
      <c r="H48" s="45">
        <v>92.720306513409895</v>
      </c>
      <c r="I48" s="45">
        <v>0</v>
      </c>
      <c r="J48" s="45">
        <v>9.5785440613026809E-2</v>
      </c>
      <c r="K48" s="45">
        <v>2.2030651340996101</v>
      </c>
      <c r="L48" s="45">
        <v>1.5325670498084201</v>
      </c>
      <c r="M48" s="45">
        <v>0</v>
      </c>
      <c r="N48" s="45">
        <v>2.6819923371647501</v>
      </c>
      <c r="O48" s="45">
        <v>0.19157088122605301</v>
      </c>
      <c r="P48" s="45">
        <f t="shared" si="0"/>
        <v>99.999999999999901</v>
      </c>
      <c r="Q48" s="54">
        <f t="shared" si="1"/>
        <v>1044</v>
      </c>
      <c r="S48" s="29"/>
    </row>
    <row r="49" spans="1:19" x14ac:dyDescent="0.3">
      <c r="A49" s="25" t="s">
        <v>127</v>
      </c>
      <c r="B49" s="45">
        <v>85.825105782792605</v>
      </c>
      <c r="C49" s="54">
        <v>1418</v>
      </c>
      <c r="D49" s="45">
        <v>5.44535743631881</v>
      </c>
      <c r="E49" s="45">
        <v>8.2169268693508601E-2</v>
      </c>
      <c r="F49" s="45">
        <v>0.65735414954806903</v>
      </c>
      <c r="G49" s="45">
        <v>0</v>
      </c>
      <c r="H49" s="45">
        <v>93.426458504519303</v>
      </c>
      <c r="I49" s="45">
        <v>0</v>
      </c>
      <c r="J49" s="45">
        <v>8.2169268693508601E-2</v>
      </c>
      <c r="K49" s="45">
        <v>2.0542317173377098</v>
      </c>
      <c r="L49" s="45">
        <v>0.98603122432210299</v>
      </c>
      <c r="M49" s="45">
        <v>0</v>
      </c>
      <c r="N49" s="45">
        <v>2.5472473294987599</v>
      </c>
      <c r="O49" s="45">
        <v>0.16433853738701701</v>
      </c>
      <c r="P49" s="45">
        <f t="shared" si="0"/>
        <v>99.999999999999972</v>
      </c>
      <c r="Q49" s="54">
        <f t="shared" si="1"/>
        <v>1216.9999999999993</v>
      </c>
      <c r="S49" s="29"/>
    </row>
    <row r="50" spans="1:19" x14ac:dyDescent="0.3">
      <c r="A50" s="22" t="s">
        <v>93</v>
      </c>
      <c r="B50" s="45"/>
      <c r="C50" s="5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54"/>
      <c r="S50" s="29"/>
    </row>
    <row r="51" spans="1:19" x14ac:dyDescent="0.3">
      <c r="A51" s="28" t="s">
        <v>51</v>
      </c>
      <c r="B51" s="45">
        <v>93.146853146853104</v>
      </c>
      <c r="C51" s="54">
        <v>715</v>
      </c>
      <c r="D51" s="45">
        <v>5.6051051051050997</v>
      </c>
      <c r="E51" s="45">
        <v>0</v>
      </c>
      <c r="F51" s="45">
        <v>1.05105105105105</v>
      </c>
      <c r="G51" s="45">
        <v>0</v>
      </c>
      <c r="H51" s="45">
        <v>89.33933933933929</v>
      </c>
      <c r="I51" s="45">
        <v>0</v>
      </c>
      <c r="J51" s="45">
        <v>0.15015015015014999</v>
      </c>
      <c r="K51" s="45">
        <v>1.2012012012011999</v>
      </c>
      <c r="L51" s="45">
        <v>1.2012012012011999</v>
      </c>
      <c r="M51" s="45">
        <v>0.15015015015014999</v>
      </c>
      <c r="N51" s="45">
        <v>6.9069069069069</v>
      </c>
      <c r="O51" s="45">
        <v>0</v>
      </c>
      <c r="P51" s="45">
        <f t="shared" si="0"/>
        <v>99.999999999999943</v>
      </c>
      <c r="Q51" s="54">
        <f t="shared" si="1"/>
        <v>665.99999999999966</v>
      </c>
      <c r="S51" s="29"/>
    </row>
    <row r="52" spans="1:19" x14ac:dyDescent="0.3">
      <c r="A52" s="28" t="s">
        <v>53</v>
      </c>
      <c r="B52" s="45">
        <v>90.090090090090001</v>
      </c>
      <c r="C52" s="54">
        <v>111</v>
      </c>
      <c r="D52" s="45">
        <v>5.47</v>
      </c>
      <c r="E52" s="45">
        <v>0</v>
      </c>
      <c r="F52" s="45">
        <v>0</v>
      </c>
      <c r="G52" s="45">
        <v>0</v>
      </c>
      <c r="H52" s="45">
        <v>99</v>
      </c>
      <c r="I52" s="45">
        <v>0</v>
      </c>
      <c r="J52" s="45">
        <v>0</v>
      </c>
      <c r="K52" s="45">
        <v>1</v>
      </c>
      <c r="L52" s="45">
        <v>0</v>
      </c>
      <c r="M52" s="45">
        <v>0</v>
      </c>
      <c r="N52" s="45">
        <v>0</v>
      </c>
      <c r="O52" s="45">
        <v>0</v>
      </c>
      <c r="P52" s="45">
        <f t="shared" si="0"/>
        <v>100</v>
      </c>
      <c r="Q52" s="54">
        <f t="shared" si="1"/>
        <v>99.999999999999901</v>
      </c>
      <c r="S52" s="29"/>
    </row>
    <row r="53" spans="1:19" x14ac:dyDescent="0.3">
      <c r="A53" s="28" t="s">
        <v>52</v>
      </c>
      <c r="B53" s="45">
        <v>84.848484848484802</v>
      </c>
      <c r="C53" s="54">
        <v>33</v>
      </c>
      <c r="D53" s="45">
        <v>5.8214285714285703</v>
      </c>
      <c r="E53" s="45">
        <v>0</v>
      </c>
      <c r="F53" s="45">
        <v>3.5714285714285698</v>
      </c>
      <c r="G53" s="45">
        <v>0</v>
      </c>
      <c r="H53" s="45">
        <v>89.285714285714207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7.1428571428571397</v>
      </c>
      <c r="O53" s="45">
        <v>0</v>
      </c>
      <c r="P53" s="45">
        <f t="shared" si="0"/>
        <v>99.999999999999915</v>
      </c>
      <c r="Q53" s="54">
        <f t="shared" si="1"/>
        <v>27.999999999999986</v>
      </c>
      <c r="S53" s="29"/>
    </row>
    <row r="54" spans="1:19" x14ac:dyDescent="0.3">
      <c r="A54" s="28" t="s">
        <v>45</v>
      </c>
      <c r="B54" s="45">
        <v>24.657534246575299</v>
      </c>
      <c r="C54" s="54">
        <v>146</v>
      </c>
      <c r="D54" s="45">
        <v>2.8611111111111098</v>
      </c>
      <c r="E54" s="45">
        <v>0</v>
      </c>
      <c r="F54" s="45">
        <v>0</v>
      </c>
      <c r="G54" s="45">
        <v>2.7777777777777701</v>
      </c>
      <c r="H54" s="45">
        <v>75</v>
      </c>
      <c r="I54" s="45">
        <v>0</v>
      </c>
      <c r="J54" s="45">
        <v>0</v>
      </c>
      <c r="K54" s="45">
        <v>11.1111111111111</v>
      </c>
      <c r="L54" s="45">
        <v>5.55555555555555</v>
      </c>
      <c r="M54" s="45">
        <v>0</v>
      </c>
      <c r="N54" s="45">
        <v>5.55555555555555</v>
      </c>
      <c r="O54" s="45">
        <v>0</v>
      </c>
      <c r="P54" s="45">
        <f t="shared" si="0"/>
        <v>99.999999999999972</v>
      </c>
      <c r="Q54" s="54">
        <f t="shared" si="1"/>
        <v>35.999999999999936</v>
      </c>
      <c r="S54" s="29"/>
    </row>
    <row r="55" spans="1:19" x14ac:dyDescent="0.3">
      <c r="A55" s="28" t="s">
        <v>48</v>
      </c>
      <c r="B55" s="45">
        <v>79.798761609907103</v>
      </c>
      <c r="C55" s="54">
        <v>1292</v>
      </c>
      <c r="D55" s="45">
        <v>4.3064985451018396</v>
      </c>
      <c r="E55" s="45">
        <v>0.19398642095053301</v>
      </c>
      <c r="F55" s="45">
        <v>2.1338506304558602</v>
      </c>
      <c r="G55" s="45">
        <v>0</v>
      </c>
      <c r="H55" s="45">
        <v>77.303588748787504</v>
      </c>
      <c r="I55" s="45">
        <v>0</v>
      </c>
      <c r="J55" s="45">
        <v>0.29097963142579997</v>
      </c>
      <c r="K55" s="45">
        <v>4.3646944713869997</v>
      </c>
      <c r="L55" s="45">
        <v>3.0067895247332599</v>
      </c>
      <c r="M55" s="45">
        <v>0.38797284190106601</v>
      </c>
      <c r="N55" s="45">
        <v>12.027158098933</v>
      </c>
      <c r="O55" s="45">
        <v>0.29097963142579997</v>
      </c>
      <c r="P55" s="45">
        <f t="shared" si="0"/>
        <v>99.999999999999815</v>
      </c>
      <c r="Q55" s="54">
        <f t="shared" si="1"/>
        <v>1030.9999999999998</v>
      </c>
      <c r="S55" s="29"/>
    </row>
    <row r="56" spans="1:19" x14ac:dyDescent="0.3">
      <c r="A56" s="28" t="s">
        <v>49</v>
      </c>
      <c r="B56" s="45">
        <v>64.555314533622493</v>
      </c>
      <c r="C56" s="54">
        <v>4610</v>
      </c>
      <c r="D56" s="45">
        <v>4.7825940860214997</v>
      </c>
      <c r="E56" s="45">
        <v>3.36021505376344E-2</v>
      </c>
      <c r="F56" s="45">
        <v>3.36021505376344E-2</v>
      </c>
      <c r="G56" s="45">
        <v>0</v>
      </c>
      <c r="H56" s="45">
        <v>93.279569892473106</v>
      </c>
      <c r="I56" s="45">
        <v>6.7204301075268799E-2</v>
      </c>
      <c r="J56" s="45">
        <v>6.7204301075268799E-2</v>
      </c>
      <c r="K56" s="45">
        <v>0.87365591397849407</v>
      </c>
      <c r="L56" s="45">
        <v>3.8642473118279499</v>
      </c>
      <c r="M56" s="45">
        <v>0</v>
      </c>
      <c r="N56" s="45">
        <v>1.5456989247311801</v>
      </c>
      <c r="O56" s="45">
        <v>0.23521505376344001</v>
      </c>
      <c r="P56" s="45">
        <f t="shared" si="0"/>
        <v>99.999999999999972</v>
      </c>
      <c r="Q56" s="54">
        <f t="shared" si="1"/>
        <v>2975.9999999999968</v>
      </c>
      <c r="S56" s="29"/>
    </row>
    <row r="57" spans="1:19" x14ac:dyDescent="0.3">
      <c r="A57" s="28" t="s">
        <v>128</v>
      </c>
      <c r="B57" s="45">
        <v>78.181818181818102</v>
      </c>
      <c r="C57" s="54">
        <v>165</v>
      </c>
      <c r="D57" s="45">
        <v>5.3255813953488298</v>
      </c>
      <c r="E57" s="45">
        <v>0.775193798449612</v>
      </c>
      <c r="F57" s="45">
        <v>0.775193798449612</v>
      </c>
      <c r="G57" s="45">
        <v>0.775193798449612</v>
      </c>
      <c r="H57" s="45">
        <v>89.147286821705393</v>
      </c>
      <c r="I57" s="45">
        <v>0</v>
      </c>
      <c r="J57" s="45">
        <v>0</v>
      </c>
      <c r="K57" s="45">
        <v>2.3255813953488298</v>
      </c>
      <c r="L57" s="45">
        <v>0.775193798449612</v>
      </c>
      <c r="M57" s="45">
        <v>0.775193798449612</v>
      </c>
      <c r="N57" s="45">
        <v>3.87596899224806</v>
      </c>
      <c r="O57" s="45">
        <v>0.775193798449612</v>
      </c>
      <c r="P57" s="45">
        <f t="shared" si="0"/>
        <v>99.999999999999943</v>
      </c>
      <c r="Q57" s="54">
        <f t="shared" si="1"/>
        <v>128.99999999999986</v>
      </c>
      <c r="S57" s="29"/>
    </row>
    <row r="58" spans="1:19" x14ac:dyDescent="0.3">
      <c r="A58" s="28" t="s">
        <v>129</v>
      </c>
      <c r="B58" s="45">
        <v>75.925925925925895</v>
      </c>
      <c r="C58" s="54">
        <v>108</v>
      </c>
      <c r="D58" s="45">
        <v>5.9146341463414602</v>
      </c>
      <c r="E58" s="45">
        <v>0</v>
      </c>
      <c r="F58" s="45">
        <v>0</v>
      </c>
      <c r="G58" s="45">
        <v>0</v>
      </c>
      <c r="H58" s="45">
        <v>92.682926829268297</v>
      </c>
      <c r="I58" s="45">
        <v>0</v>
      </c>
      <c r="J58" s="45">
        <v>0</v>
      </c>
      <c r="K58" s="45">
        <v>1.2195121951219501</v>
      </c>
      <c r="L58" s="45">
        <v>2.4390243902439002</v>
      </c>
      <c r="M58" s="45">
        <v>0</v>
      </c>
      <c r="N58" s="45">
        <v>3.6585365853658498</v>
      </c>
      <c r="O58" s="45">
        <v>0</v>
      </c>
      <c r="P58" s="45">
        <f t="shared" si="0"/>
        <v>100</v>
      </c>
      <c r="Q58" s="54">
        <f t="shared" si="1"/>
        <v>81.999999999999972</v>
      </c>
      <c r="S58" s="29"/>
    </row>
    <row r="59" spans="1:19" x14ac:dyDescent="0.3">
      <c r="A59" s="28" t="s">
        <v>54</v>
      </c>
      <c r="B59" s="45">
        <v>97.142857142857096</v>
      </c>
      <c r="C59" s="54">
        <v>35</v>
      </c>
      <c r="D59" s="45">
        <v>6</v>
      </c>
      <c r="E59" s="45">
        <v>0</v>
      </c>
      <c r="F59" s="45">
        <v>0</v>
      </c>
      <c r="G59" s="45">
        <v>0</v>
      </c>
      <c r="H59" s="45">
        <v>100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0"/>
        <v>100</v>
      </c>
      <c r="Q59" s="54">
        <f t="shared" si="1"/>
        <v>33.999999999999986</v>
      </c>
      <c r="S59" s="29"/>
    </row>
    <row r="60" spans="1:19" x14ac:dyDescent="0.3">
      <c r="A60" s="28" t="s">
        <v>130</v>
      </c>
      <c r="B60" s="45">
        <v>60.5</v>
      </c>
      <c r="C60" s="54">
        <v>1000</v>
      </c>
      <c r="D60" s="45">
        <v>4.4280991735537096</v>
      </c>
      <c r="E60" s="45">
        <v>0.165289256198347</v>
      </c>
      <c r="F60" s="45">
        <v>1.65289256198347</v>
      </c>
      <c r="G60" s="45">
        <v>0</v>
      </c>
      <c r="H60" s="45">
        <v>86.2809917355371</v>
      </c>
      <c r="I60" s="45">
        <v>0</v>
      </c>
      <c r="J60" s="45">
        <v>0.330578512396694</v>
      </c>
      <c r="K60" s="45">
        <v>2.6446280991735498</v>
      </c>
      <c r="L60" s="45">
        <v>3.9669421487603302</v>
      </c>
      <c r="M60" s="45">
        <v>0.330578512396694</v>
      </c>
      <c r="N60" s="45">
        <v>4.1322314049586701</v>
      </c>
      <c r="O60" s="45">
        <v>0.495867768595041</v>
      </c>
      <c r="P60" s="45">
        <f t="shared" si="0"/>
        <v>99.999999999999901</v>
      </c>
      <c r="Q60" s="54">
        <f t="shared" si="1"/>
        <v>605</v>
      </c>
      <c r="S60" s="29"/>
    </row>
    <row r="61" spans="1:19" x14ac:dyDescent="0.3">
      <c r="A61" s="28" t="s">
        <v>131</v>
      </c>
      <c r="B61" s="45">
        <v>46.147798742138299</v>
      </c>
      <c r="C61" s="54">
        <v>1272</v>
      </c>
      <c r="D61" s="45">
        <v>3.85519591141396</v>
      </c>
      <c r="E61" s="45">
        <v>0</v>
      </c>
      <c r="F61" s="45">
        <v>0.851788756388415</v>
      </c>
      <c r="G61" s="45">
        <v>0</v>
      </c>
      <c r="H61" s="45">
        <v>88.926746166950593</v>
      </c>
      <c r="I61" s="45">
        <v>0</v>
      </c>
      <c r="J61" s="45">
        <v>0</v>
      </c>
      <c r="K61" s="45">
        <v>1.5332197614991401</v>
      </c>
      <c r="L61" s="45">
        <v>6.6439522998296408</v>
      </c>
      <c r="M61" s="45">
        <v>0</v>
      </c>
      <c r="N61" s="45">
        <v>2.0442930153321899</v>
      </c>
      <c r="O61" s="45">
        <v>0</v>
      </c>
      <c r="P61" s="45">
        <f t="shared" si="0"/>
        <v>99.999999999999972</v>
      </c>
      <c r="Q61" s="54">
        <f t="shared" si="1"/>
        <v>586.9999999999992</v>
      </c>
      <c r="S61" s="29"/>
    </row>
    <row r="62" spans="1:19" x14ac:dyDescent="0.3">
      <c r="A62" s="28" t="s">
        <v>50</v>
      </c>
      <c r="B62" s="45">
        <v>74.193548387096698</v>
      </c>
      <c r="C62" s="54">
        <v>31</v>
      </c>
      <c r="D62" s="45">
        <v>4.5652173913043397</v>
      </c>
      <c r="E62" s="45">
        <v>0</v>
      </c>
      <c r="F62" s="45">
        <v>0</v>
      </c>
      <c r="G62" s="45">
        <v>0</v>
      </c>
      <c r="H62" s="45">
        <v>86.956521739130395</v>
      </c>
      <c r="I62" s="45">
        <v>0</v>
      </c>
      <c r="J62" s="45">
        <v>0</v>
      </c>
      <c r="K62" s="45">
        <v>0</v>
      </c>
      <c r="L62" s="45">
        <v>4.3478260869565206</v>
      </c>
      <c r="M62" s="45">
        <v>0</v>
      </c>
      <c r="N62" s="45">
        <v>8.6956521739130412</v>
      </c>
      <c r="O62" s="45">
        <v>0</v>
      </c>
      <c r="P62" s="45">
        <f t="shared" si="0"/>
        <v>99.999999999999957</v>
      </c>
      <c r="Q62" s="54">
        <f t="shared" si="1"/>
        <v>22.999999999999975</v>
      </c>
      <c r="S62" s="29"/>
    </row>
    <row r="63" spans="1:19" x14ac:dyDescent="0.3">
      <c r="A63" s="28" t="s">
        <v>132</v>
      </c>
      <c r="B63" s="45">
        <v>72.027972027971998</v>
      </c>
      <c r="C63" s="54">
        <v>572</v>
      </c>
      <c r="D63" s="45">
        <v>4.3956310679611601</v>
      </c>
      <c r="E63" s="45">
        <v>0</v>
      </c>
      <c r="F63" s="45">
        <v>0.242718446601941</v>
      </c>
      <c r="G63" s="45">
        <v>0</v>
      </c>
      <c r="H63" s="45">
        <v>95.145631067961105</v>
      </c>
      <c r="I63" s="45">
        <v>0</v>
      </c>
      <c r="J63" s="45">
        <v>0</v>
      </c>
      <c r="K63" s="45">
        <v>0</v>
      </c>
      <c r="L63" s="45">
        <v>4.6116504854368898</v>
      </c>
      <c r="M63" s="45">
        <v>0</v>
      </c>
      <c r="N63" s="45">
        <v>0</v>
      </c>
      <c r="O63" s="45">
        <v>0</v>
      </c>
      <c r="P63" s="45">
        <f t="shared" si="0"/>
        <v>99.999999999999943</v>
      </c>
      <c r="Q63" s="54">
        <f t="shared" si="1"/>
        <v>411.99999999999983</v>
      </c>
      <c r="S63" s="29"/>
    </row>
    <row r="64" spans="1:19" x14ac:dyDescent="0.3"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</row>
    <row r="65" spans="5:15" x14ac:dyDescent="0.3"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</row>
    <row r="66" spans="5:15" x14ac:dyDescent="0.3"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5:15" x14ac:dyDescent="0.3"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</row>
    <row r="68" spans="5:15" x14ac:dyDescent="0.3"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</row>
    <row r="69" spans="5:15" x14ac:dyDescent="0.3"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</row>
  </sheetData>
  <mergeCells count="1">
    <mergeCell ref="E3:P3"/>
  </mergeCells>
  <phoneticPr fontId="5" type="noConversion"/>
  <pageMargins left="0.7" right="0.7" top="0.75" bottom="0.75" header="0.3" footer="0.3"/>
  <pageSetup orientation="portrait" r:id="rId1"/>
  <ignoredErrors>
    <ignoredError sqref="P7:P6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D666-0D56-4CCD-A51B-18A42C179A43}">
  <dimension ref="A1:S75"/>
  <sheetViews>
    <sheetView zoomScale="80" zoomScaleNormal="80" workbookViewId="0">
      <selection activeCell="B6" sqref="B6:Q6"/>
    </sheetView>
  </sheetViews>
  <sheetFormatPr defaultColWidth="15.25" defaultRowHeight="13" x14ac:dyDescent="0.3"/>
  <cols>
    <col min="1" max="1" width="16.4140625" style="23" customWidth="1"/>
    <col min="2" max="3" width="12.4140625" style="26" customWidth="1"/>
    <col min="4" max="4" width="13.1640625" style="26" customWidth="1"/>
    <col min="5" max="5" width="9.1640625" style="26" customWidth="1"/>
    <col min="6" max="9" width="7.25" style="26" customWidth="1"/>
    <col min="10" max="10" width="9.08203125" style="26" customWidth="1"/>
    <col min="11" max="11" width="7.25" style="26" customWidth="1"/>
    <col min="12" max="12" width="9" style="26" customWidth="1"/>
    <col min="13" max="13" width="7.25" style="26" customWidth="1"/>
    <col min="14" max="14" width="7.75" style="26" customWidth="1"/>
    <col min="15" max="17" width="7.25" style="26" customWidth="1"/>
    <col min="18" max="16384" width="15.25" style="23"/>
  </cols>
  <sheetData>
    <row r="1" spans="1:19" x14ac:dyDescent="0.3">
      <c r="A1" s="24" t="s">
        <v>144</v>
      </c>
    </row>
    <row r="3" spans="1:19" x14ac:dyDescent="0.3">
      <c r="E3" s="34" t="s">
        <v>147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7"/>
    </row>
    <row r="4" spans="1:19" ht="65" x14ac:dyDescent="0.3">
      <c r="B4" s="30" t="s">
        <v>145</v>
      </c>
      <c r="C4" s="30" t="s">
        <v>104</v>
      </c>
      <c r="D4" s="32" t="s">
        <v>146</v>
      </c>
      <c r="E4" s="35" t="s">
        <v>133</v>
      </c>
      <c r="F4" s="39" t="s">
        <v>134</v>
      </c>
      <c r="G4" s="39" t="s">
        <v>136</v>
      </c>
      <c r="H4" s="39" t="s">
        <v>137</v>
      </c>
      <c r="I4" s="39" t="s">
        <v>138</v>
      </c>
      <c r="J4" s="39" t="s">
        <v>139</v>
      </c>
      <c r="K4" s="39" t="s">
        <v>140</v>
      </c>
      <c r="L4" s="39" t="s">
        <v>141</v>
      </c>
      <c r="M4" s="39" t="s">
        <v>128</v>
      </c>
      <c r="N4" s="39" t="s">
        <v>142</v>
      </c>
      <c r="O4" s="39" t="s">
        <v>143</v>
      </c>
      <c r="P4" s="39" t="s">
        <v>135</v>
      </c>
      <c r="Q4" s="40" t="s">
        <v>104</v>
      </c>
    </row>
    <row r="5" spans="1:19" x14ac:dyDescent="0.3">
      <c r="B5" s="31" t="s">
        <v>103</v>
      </c>
      <c r="C5" s="31"/>
      <c r="D5" s="33" t="s">
        <v>102</v>
      </c>
      <c r="E5" s="36" t="s">
        <v>103</v>
      </c>
      <c r="F5" s="36" t="s">
        <v>103</v>
      </c>
      <c r="G5" s="36" t="s">
        <v>103</v>
      </c>
      <c r="H5" s="36" t="s">
        <v>103</v>
      </c>
      <c r="I5" s="36" t="s">
        <v>103</v>
      </c>
      <c r="J5" s="36" t="s">
        <v>103</v>
      </c>
      <c r="K5" s="36" t="s">
        <v>103</v>
      </c>
      <c r="L5" s="36" t="s">
        <v>103</v>
      </c>
      <c r="M5" s="36" t="s">
        <v>103</v>
      </c>
      <c r="N5" s="36" t="s">
        <v>103</v>
      </c>
      <c r="O5" s="36" t="s">
        <v>103</v>
      </c>
      <c r="P5" s="36" t="s">
        <v>103</v>
      </c>
      <c r="Q5" s="41"/>
    </row>
    <row r="6" spans="1:19" x14ac:dyDescent="0.3">
      <c r="A6" s="22" t="s">
        <v>96</v>
      </c>
      <c r="B6" s="45">
        <v>83.518334985133777</v>
      </c>
      <c r="C6" s="54">
        <v>10090</v>
      </c>
      <c r="D6" s="45">
        <v>5.9521775246232336</v>
      </c>
      <c r="E6" s="45">
        <v>0.47466476800759405</v>
      </c>
      <c r="F6" s="45">
        <v>1.5663937344250576</v>
      </c>
      <c r="G6" s="45">
        <v>0.20173252640322734</v>
      </c>
      <c r="H6" s="45">
        <v>68.553459119496836</v>
      </c>
      <c r="I6" s="45">
        <v>0.15426604960246815</v>
      </c>
      <c r="J6" s="45">
        <v>7.5353031921205442</v>
      </c>
      <c r="K6" s="45">
        <v>1.9461255488311366</v>
      </c>
      <c r="L6" s="45">
        <v>3.9753174320636004</v>
      </c>
      <c r="M6" s="45">
        <v>0.14239943040227834</v>
      </c>
      <c r="N6" s="45">
        <v>15.046873145840697</v>
      </c>
      <c r="O6" s="45">
        <v>0.40346505280645539</v>
      </c>
      <c r="P6" s="45">
        <v>99.999999999999886</v>
      </c>
      <c r="Q6" s="54">
        <v>8426.9999999999982</v>
      </c>
    </row>
    <row r="7" spans="1:19" x14ac:dyDescent="0.3">
      <c r="A7" s="22" t="s">
        <v>97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1:19" x14ac:dyDescent="0.3">
      <c r="A8" s="25" t="s">
        <v>92</v>
      </c>
      <c r="B8" s="45">
        <v>86.233062330623298</v>
      </c>
      <c r="C8" s="54">
        <v>5535</v>
      </c>
      <c r="D8" s="45">
        <v>6.3798449612403099</v>
      </c>
      <c r="E8" s="45">
        <v>0.628535512256442</v>
      </c>
      <c r="F8" s="45">
        <v>2.3465325790907099</v>
      </c>
      <c r="G8" s="45">
        <v>0.33521893987010198</v>
      </c>
      <c r="H8" s="45">
        <v>52.880787764508696</v>
      </c>
      <c r="I8" s="45">
        <v>0.20951183741881402</v>
      </c>
      <c r="J8" s="45">
        <v>11.4602975068091</v>
      </c>
      <c r="K8" s="45">
        <v>3.1426775612822104</v>
      </c>
      <c r="L8" s="45">
        <v>3.81311544102241</v>
      </c>
      <c r="M8" s="45">
        <v>0.10475591870940701</v>
      </c>
      <c r="N8" s="45">
        <v>24.4709826105174</v>
      </c>
      <c r="O8" s="45">
        <v>0.60758432851456101</v>
      </c>
      <c r="P8" s="45">
        <f>SUM(E8:O8)</f>
        <v>99.999999999999844</v>
      </c>
      <c r="Q8" s="54">
        <f>C8*(B8/100)</f>
        <v>4773</v>
      </c>
      <c r="S8" s="29"/>
    </row>
    <row r="9" spans="1:19" x14ac:dyDescent="0.3">
      <c r="A9" s="25" t="s">
        <v>164</v>
      </c>
      <c r="B9" s="45">
        <v>84.967320261437891</v>
      </c>
      <c r="C9" s="54">
        <v>306</v>
      </c>
      <c r="D9" s="45">
        <v>5.9461538461538401</v>
      </c>
      <c r="E9" s="45">
        <v>0.76923076923076905</v>
      </c>
      <c r="F9" s="45">
        <v>2.3076923076922999</v>
      </c>
      <c r="G9" s="45">
        <v>0</v>
      </c>
      <c r="H9" s="45">
        <v>73.461538461538396</v>
      </c>
      <c r="I9" s="45">
        <v>0</v>
      </c>
      <c r="J9" s="45">
        <v>4.2307692307692299</v>
      </c>
      <c r="K9" s="45">
        <v>1.92307692307692</v>
      </c>
      <c r="L9" s="45">
        <v>5</v>
      </c>
      <c r="M9" s="45">
        <v>0</v>
      </c>
      <c r="N9" s="45">
        <v>12.307692307692299</v>
      </c>
      <c r="O9" s="45">
        <v>0</v>
      </c>
      <c r="P9" s="45">
        <f t="shared" ref="P9:P63" si="0">SUM(E9:O9)</f>
        <v>99.999999999999915</v>
      </c>
      <c r="Q9" s="54">
        <f t="shared" ref="Q9:Q63" si="1">C9*(B9/100)</f>
        <v>259.99999999999994</v>
      </c>
      <c r="S9" s="29"/>
    </row>
    <row r="10" spans="1:19" x14ac:dyDescent="0.3">
      <c r="A10" s="25" t="s">
        <v>91</v>
      </c>
      <c r="B10" s="45">
        <v>79.877618263120695</v>
      </c>
      <c r="C10" s="54">
        <v>4249</v>
      </c>
      <c r="D10" s="45">
        <v>5.3512080141425997</v>
      </c>
      <c r="E10" s="45">
        <v>0.23571007660577398</v>
      </c>
      <c r="F10" s="45">
        <v>0.41249263406010594</v>
      </c>
      <c r="G10" s="45">
        <v>2.9463759575721803E-2</v>
      </c>
      <c r="H10" s="45">
        <v>90.218031820860304</v>
      </c>
      <c r="I10" s="45">
        <v>8.8391278727165498E-2</v>
      </c>
      <c r="J10" s="45">
        <v>2.2687094873305802</v>
      </c>
      <c r="K10" s="45">
        <v>0.26517383618149604</v>
      </c>
      <c r="L10" s="45">
        <v>4.1249263406010606</v>
      </c>
      <c r="M10" s="45">
        <v>0.20624631703005297</v>
      </c>
      <c r="N10" s="45">
        <v>2.0035356511490798</v>
      </c>
      <c r="O10" s="45">
        <v>0.14731879787860902</v>
      </c>
      <c r="P10" s="45">
        <f t="shared" si="0"/>
        <v>99.999999999999957</v>
      </c>
      <c r="Q10" s="54">
        <f t="shared" si="1"/>
        <v>3393.9999999999986</v>
      </c>
      <c r="S10" s="29"/>
    </row>
    <row r="11" spans="1:19" x14ac:dyDescent="0.3">
      <c r="A11" s="22" t="s">
        <v>90</v>
      </c>
      <c r="B11" s="45"/>
      <c r="C11" s="54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54"/>
      <c r="S11" s="29"/>
    </row>
    <row r="12" spans="1:19" x14ac:dyDescent="0.3">
      <c r="A12" s="25" t="s">
        <v>7</v>
      </c>
      <c r="B12" s="45">
        <v>75.670840787119801</v>
      </c>
      <c r="C12" s="54">
        <v>559</v>
      </c>
      <c r="D12" s="45">
        <v>5.7234042553191404</v>
      </c>
      <c r="E12" s="45">
        <v>0.47281323877068498</v>
      </c>
      <c r="F12" s="45">
        <v>3.07328605200945</v>
      </c>
      <c r="G12" s="45">
        <v>0</v>
      </c>
      <c r="H12" s="45">
        <v>92.907801418439689</v>
      </c>
      <c r="I12" s="45">
        <v>0</v>
      </c>
      <c r="J12" s="45">
        <v>2.1276595744680797</v>
      </c>
      <c r="K12" s="45">
        <v>0</v>
      </c>
      <c r="L12" s="45">
        <v>0.23640661938534199</v>
      </c>
      <c r="M12" s="45">
        <v>0.23640661938534199</v>
      </c>
      <c r="N12" s="45">
        <v>0.94562647754137097</v>
      </c>
      <c r="O12" s="45">
        <v>0</v>
      </c>
      <c r="P12" s="45">
        <f t="shared" si="0"/>
        <v>99.999999999999972</v>
      </c>
      <c r="Q12" s="54">
        <f t="shared" si="1"/>
        <v>422.99999999999966</v>
      </c>
      <c r="S12" s="29"/>
    </row>
    <row r="13" spans="1:19" x14ac:dyDescent="0.3">
      <c r="A13" s="25" t="s">
        <v>8</v>
      </c>
      <c r="B13" s="45">
        <v>72.946859903381593</v>
      </c>
      <c r="C13" s="54">
        <v>828</v>
      </c>
      <c r="D13" s="45">
        <v>5.2814569536423797</v>
      </c>
      <c r="E13" s="45">
        <v>0</v>
      </c>
      <c r="F13" s="45">
        <v>0.66225165562913901</v>
      </c>
      <c r="G13" s="45">
        <v>0</v>
      </c>
      <c r="H13" s="45">
        <v>94.701986754966811</v>
      </c>
      <c r="I13" s="45">
        <v>0</v>
      </c>
      <c r="J13" s="45">
        <v>2.6490066225165498</v>
      </c>
      <c r="K13" s="45">
        <v>1.15894039735099</v>
      </c>
      <c r="L13" s="45">
        <v>0.49668874172185395</v>
      </c>
      <c r="M13" s="45">
        <v>0.165562913907284</v>
      </c>
      <c r="N13" s="45">
        <v>0.165562913907284</v>
      </c>
      <c r="O13" s="45">
        <v>0</v>
      </c>
      <c r="P13" s="45">
        <f t="shared" si="0"/>
        <v>99.999999999999901</v>
      </c>
      <c r="Q13" s="54">
        <f t="shared" si="1"/>
        <v>603.99999999999955</v>
      </c>
      <c r="S13" s="29"/>
    </row>
    <row r="14" spans="1:19" x14ac:dyDescent="0.3">
      <c r="A14" s="25" t="s">
        <v>9</v>
      </c>
      <c r="B14" s="45">
        <v>87.878787878787804</v>
      </c>
      <c r="C14" s="54">
        <v>561</v>
      </c>
      <c r="D14" s="45">
        <v>5.2170385395537497</v>
      </c>
      <c r="E14" s="45">
        <v>0</v>
      </c>
      <c r="F14" s="45">
        <v>1.01419878296146</v>
      </c>
      <c r="G14" s="45">
        <v>0</v>
      </c>
      <c r="H14" s="45">
        <v>82.150101419878297</v>
      </c>
      <c r="I14" s="45">
        <v>0.202839756592292</v>
      </c>
      <c r="J14" s="45">
        <v>11.156186612575999</v>
      </c>
      <c r="K14" s="45">
        <v>2.4340770791074999</v>
      </c>
      <c r="L14" s="45">
        <v>2.2312373225152098</v>
      </c>
      <c r="M14" s="45">
        <v>0</v>
      </c>
      <c r="N14" s="45">
        <v>0.40567951318458401</v>
      </c>
      <c r="O14" s="45">
        <v>0.40567951318458401</v>
      </c>
      <c r="P14" s="45">
        <f t="shared" si="0"/>
        <v>99.999999999999915</v>
      </c>
      <c r="Q14" s="54">
        <f t="shared" si="1"/>
        <v>492.99999999999955</v>
      </c>
      <c r="S14" s="29"/>
    </row>
    <row r="15" spans="1:19" x14ac:dyDescent="0.3">
      <c r="A15" s="25" t="s">
        <v>10</v>
      </c>
      <c r="B15" s="45">
        <v>85.74007220216599</v>
      </c>
      <c r="C15" s="54">
        <v>554</v>
      </c>
      <c r="D15" s="45">
        <v>6.1936842105263104</v>
      </c>
      <c r="E15" s="45">
        <v>1.0526315789473601</v>
      </c>
      <c r="F15" s="45">
        <v>2.5263157894736801</v>
      </c>
      <c r="G15" s="45">
        <v>0.84210526315789402</v>
      </c>
      <c r="H15" s="45">
        <v>77.684210526315695</v>
      </c>
      <c r="I15" s="45">
        <v>0.21052631578947298</v>
      </c>
      <c r="J15" s="45">
        <v>5.6842105263157796</v>
      </c>
      <c r="K15" s="45">
        <v>0.21052631578947298</v>
      </c>
      <c r="L15" s="45">
        <v>7.7894736842105194</v>
      </c>
      <c r="M15" s="45">
        <v>0.21052631578947298</v>
      </c>
      <c r="N15" s="45">
        <v>2.9473684210526301</v>
      </c>
      <c r="O15" s="45">
        <v>0.84210526315789402</v>
      </c>
      <c r="P15" s="45">
        <f t="shared" si="0"/>
        <v>99.999999999999886</v>
      </c>
      <c r="Q15" s="54">
        <f t="shared" si="1"/>
        <v>474.9999999999996</v>
      </c>
      <c r="S15" s="29"/>
    </row>
    <row r="16" spans="1:19" x14ac:dyDescent="0.3">
      <c r="A16" s="25" t="s">
        <v>11</v>
      </c>
      <c r="B16" s="45">
        <v>88.908450704225288</v>
      </c>
      <c r="C16" s="54">
        <v>568</v>
      </c>
      <c r="D16" s="45">
        <v>6.4475247524752399</v>
      </c>
      <c r="E16" s="45">
        <v>1.38613861386138</v>
      </c>
      <c r="F16" s="45">
        <v>3.3663366336633604</v>
      </c>
      <c r="G16" s="45">
        <v>1.38613861386138</v>
      </c>
      <c r="H16" s="45">
        <v>58.811881188118797</v>
      </c>
      <c r="I16" s="45">
        <v>0</v>
      </c>
      <c r="J16" s="45">
        <v>9.5049504950494992</v>
      </c>
      <c r="K16" s="45">
        <v>0.99009900990098998</v>
      </c>
      <c r="L16" s="45">
        <v>6.7326732673267307</v>
      </c>
      <c r="M16" s="45">
        <v>0.99009900990098998</v>
      </c>
      <c r="N16" s="45">
        <v>14.059405940593999</v>
      </c>
      <c r="O16" s="45">
        <v>2.7722772277227699</v>
      </c>
      <c r="P16" s="45">
        <f t="shared" si="0"/>
        <v>99.999999999999901</v>
      </c>
      <c r="Q16" s="54">
        <f t="shared" si="1"/>
        <v>504.9999999999996</v>
      </c>
      <c r="S16" s="29"/>
    </row>
    <row r="17" spans="1:19" x14ac:dyDescent="0.3">
      <c r="A17" s="25" t="s">
        <v>12</v>
      </c>
      <c r="B17" s="45">
        <v>79.520295202951999</v>
      </c>
      <c r="C17" s="54">
        <v>1084</v>
      </c>
      <c r="D17" s="45">
        <v>5.0696055684454704</v>
      </c>
      <c r="E17" s="45">
        <v>0.23201856148491801</v>
      </c>
      <c r="F17" s="45">
        <v>1.04408352668213</v>
      </c>
      <c r="G17" s="45">
        <v>0</v>
      </c>
      <c r="H17" s="45">
        <v>90.951276102088102</v>
      </c>
      <c r="I17" s="45">
        <v>0</v>
      </c>
      <c r="J17" s="45">
        <v>1.6241299303944301</v>
      </c>
      <c r="K17" s="45">
        <v>2.08816705336426</v>
      </c>
      <c r="L17" s="45">
        <v>3.7122969837586997</v>
      </c>
      <c r="M17" s="45">
        <v>0</v>
      </c>
      <c r="N17" s="45">
        <v>0.116009280742459</v>
      </c>
      <c r="O17" s="45">
        <v>0.23201856148491801</v>
      </c>
      <c r="P17" s="45">
        <f t="shared" si="0"/>
        <v>99.999999999999929</v>
      </c>
      <c r="Q17" s="54">
        <f t="shared" si="1"/>
        <v>861.99999999999966</v>
      </c>
      <c r="S17" s="29"/>
    </row>
    <row r="18" spans="1:19" x14ac:dyDescent="0.3">
      <c r="A18" s="25" t="s">
        <v>107</v>
      </c>
      <c r="B18" s="45">
        <v>93.157894736842096</v>
      </c>
      <c r="C18" s="54">
        <v>570</v>
      </c>
      <c r="D18" s="45">
        <v>6.12429378531073</v>
      </c>
      <c r="E18" s="45">
        <v>0.94161958568738202</v>
      </c>
      <c r="F18" s="45">
        <v>4.8964218455743804</v>
      </c>
      <c r="G18" s="45">
        <v>0.37664783427495196</v>
      </c>
      <c r="H18" s="45">
        <v>61.581920903954803</v>
      </c>
      <c r="I18" s="45">
        <v>0</v>
      </c>
      <c r="J18" s="45">
        <v>22.410546139359699</v>
      </c>
      <c r="K18" s="45">
        <v>2.63653483992467</v>
      </c>
      <c r="L18" s="45">
        <v>5.0847457627118597</v>
      </c>
      <c r="M18" s="45">
        <v>0</v>
      </c>
      <c r="N18" s="45">
        <v>1.6949152542372801</v>
      </c>
      <c r="O18" s="45">
        <v>0.37664783427495196</v>
      </c>
      <c r="P18" s="45">
        <f t="shared" si="0"/>
        <v>99.999999999999957</v>
      </c>
      <c r="Q18" s="54">
        <f t="shared" si="1"/>
        <v>530.99999999999989</v>
      </c>
      <c r="S18" s="29"/>
    </row>
    <row r="19" spans="1:19" x14ac:dyDescent="0.3">
      <c r="A19" s="25" t="s">
        <v>14</v>
      </c>
      <c r="B19" s="45">
        <v>81.967213114754102</v>
      </c>
      <c r="C19" s="54">
        <v>854</v>
      </c>
      <c r="D19" s="45">
        <v>6.29714285714285</v>
      </c>
      <c r="E19" s="45">
        <v>0</v>
      </c>
      <c r="F19" s="45">
        <v>0.28571428571428503</v>
      </c>
      <c r="G19" s="45">
        <v>0</v>
      </c>
      <c r="H19" s="45">
        <v>50.857142857142804</v>
      </c>
      <c r="I19" s="45">
        <v>0</v>
      </c>
      <c r="J19" s="45">
        <v>7.0000000000000009</v>
      </c>
      <c r="K19" s="45">
        <v>0.42857142857142799</v>
      </c>
      <c r="L19" s="45">
        <v>5</v>
      </c>
      <c r="M19" s="45">
        <v>0.14285714285714199</v>
      </c>
      <c r="N19" s="45">
        <v>35.714285714285701</v>
      </c>
      <c r="O19" s="45">
        <v>0.57142857142857095</v>
      </c>
      <c r="P19" s="45">
        <f t="shared" si="0"/>
        <v>99.999999999999929</v>
      </c>
      <c r="Q19" s="54">
        <f t="shared" si="1"/>
        <v>700</v>
      </c>
      <c r="S19" s="29"/>
    </row>
    <row r="20" spans="1:19" x14ac:dyDescent="0.3">
      <c r="A20" s="25" t="s">
        <v>15</v>
      </c>
      <c r="B20" s="45">
        <v>86.894075403949699</v>
      </c>
      <c r="C20" s="54">
        <v>557</v>
      </c>
      <c r="D20" s="45">
        <v>6.0165289256198298</v>
      </c>
      <c r="E20" s="45">
        <v>1.2396694214876001</v>
      </c>
      <c r="F20" s="45">
        <v>1.4462809917355299</v>
      </c>
      <c r="G20" s="45">
        <v>0.20661157024793297</v>
      </c>
      <c r="H20" s="45">
        <v>76.446280991735506</v>
      </c>
      <c r="I20" s="45">
        <v>0</v>
      </c>
      <c r="J20" s="45">
        <v>7.0247933884297495</v>
      </c>
      <c r="K20" s="45">
        <v>8.2644628099173509</v>
      </c>
      <c r="L20" s="45">
        <v>2.6859504132231398</v>
      </c>
      <c r="M20" s="45">
        <v>0</v>
      </c>
      <c r="N20" s="45">
        <v>2.4793388429752001</v>
      </c>
      <c r="O20" s="45">
        <v>0.20661157024793297</v>
      </c>
      <c r="P20" s="45">
        <f t="shared" si="0"/>
        <v>99.999999999999929</v>
      </c>
      <c r="Q20" s="54">
        <f t="shared" si="1"/>
        <v>483.99999999999983</v>
      </c>
      <c r="S20" s="29"/>
    </row>
    <row r="21" spans="1:19" x14ac:dyDescent="0.3">
      <c r="A21" s="25" t="s">
        <v>16</v>
      </c>
      <c r="B21" s="45">
        <v>75.526932084309095</v>
      </c>
      <c r="C21" s="54">
        <v>854</v>
      </c>
      <c r="D21" s="45">
        <v>6.41550387596899</v>
      </c>
      <c r="E21" s="45">
        <v>0.31007751937984401</v>
      </c>
      <c r="F21" s="45">
        <v>0.15503875968992201</v>
      </c>
      <c r="G21" s="45">
        <v>0.31007751937984401</v>
      </c>
      <c r="H21" s="45">
        <v>23.7209302325581</v>
      </c>
      <c r="I21" s="45">
        <v>1.3953488372093001</v>
      </c>
      <c r="J21" s="45">
        <v>11.472868217054199</v>
      </c>
      <c r="K21" s="45">
        <v>1.7054263565891399</v>
      </c>
      <c r="L21" s="45">
        <v>2.3255813953488298</v>
      </c>
      <c r="M21" s="45">
        <v>0</v>
      </c>
      <c r="N21" s="45">
        <v>58.604651162790702</v>
      </c>
      <c r="O21" s="45">
        <v>0</v>
      </c>
      <c r="P21" s="45">
        <f t="shared" si="0"/>
        <v>99.999999999999886</v>
      </c>
      <c r="Q21" s="54">
        <f t="shared" si="1"/>
        <v>644.99999999999966</v>
      </c>
      <c r="S21" s="29"/>
    </row>
    <row r="22" spans="1:19" x14ac:dyDescent="0.3">
      <c r="A22" s="25" t="s">
        <v>17</v>
      </c>
      <c r="B22" s="45">
        <v>82.505910165484593</v>
      </c>
      <c r="C22" s="54">
        <v>846</v>
      </c>
      <c r="D22" s="45">
        <v>6.1017191977077303</v>
      </c>
      <c r="E22" s="45">
        <v>0</v>
      </c>
      <c r="F22" s="45">
        <v>0</v>
      </c>
      <c r="G22" s="45">
        <v>0</v>
      </c>
      <c r="H22" s="45">
        <v>53.581661891117406</v>
      </c>
      <c r="I22" s="45">
        <v>0.14326647564469899</v>
      </c>
      <c r="J22" s="45">
        <v>2.4355300859598801</v>
      </c>
      <c r="K22" s="45">
        <v>0.28653295128939799</v>
      </c>
      <c r="L22" s="45">
        <v>9.0257879656160398</v>
      </c>
      <c r="M22" s="45">
        <v>0.28653295128939799</v>
      </c>
      <c r="N22" s="45">
        <v>34.097421203438302</v>
      </c>
      <c r="O22" s="45">
        <v>0.14326647564469899</v>
      </c>
      <c r="P22" s="45">
        <f t="shared" si="0"/>
        <v>99.999999999999829</v>
      </c>
      <c r="Q22" s="54">
        <f t="shared" si="1"/>
        <v>697.99999999999966</v>
      </c>
      <c r="S22" s="29"/>
    </row>
    <row r="23" spans="1:19" x14ac:dyDescent="0.3">
      <c r="A23" s="25" t="s">
        <v>18</v>
      </c>
      <c r="B23" s="45">
        <v>90.845070422535201</v>
      </c>
      <c r="C23" s="54">
        <v>852</v>
      </c>
      <c r="D23" s="45">
        <v>6.3927648578811302</v>
      </c>
      <c r="E23" s="45">
        <v>0.258397932816537</v>
      </c>
      <c r="F23" s="45">
        <v>0.645994832041343</v>
      </c>
      <c r="G23" s="45">
        <v>0</v>
      </c>
      <c r="H23" s="45">
        <v>48.449612403100701</v>
      </c>
      <c r="I23" s="45">
        <v>0.129198966408268</v>
      </c>
      <c r="J23" s="45">
        <v>11.6279069767441</v>
      </c>
      <c r="K23" s="45">
        <v>1.55038759689922</v>
      </c>
      <c r="L23" s="45">
        <v>3.2299741602067096</v>
      </c>
      <c r="M23" s="45">
        <v>0</v>
      </c>
      <c r="N23" s="45">
        <v>34.1085271317829</v>
      </c>
      <c r="O23" s="45">
        <v>0</v>
      </c>
      <c r="P23" s="45">
        <f t="shared" si="0"/>
        <v>99.999999999999773</v>
      </c>
      <c r="Q23" s="54">
        <f t="shared" si="1"/>
        <v>773.99999999999989</v>
      </c>
      <c r="S23" s="29"/>
    </row>
    <row r="24" spans="1:19" x14ac:dyDescent="0.3">
      <c r="A24" s="25" t="s">
        <v>19</v>
      </c>
      <c r="B24" s="45">
        <v>81.720430107526795</v>
      </c>
      <c r="C24" s="54">
        <v>837</v>
      </c>
      <c r="D24" s="45">
        <v>5.7178362573099397</v>
      </c>
      <c r="E24" s="45">
        <v>0.58479532163742598</v>
      </c>
      <c r="F24" s="45">
        <v>4.5321637426900496</v>
      </c>
      <c r="G24" s="45">
        <v>0.146198830409356</v>
      </c>
      <c r="H24" s="45">
        <v>80.5555555555555</v>
      </c>
      <c r="I24" s="45">
        <v>0</v>
      </c>
      <c r="J24" s="45">
        <v>3.9473684210526301</v>
      </c>
      <c r="K24" s="45">
        <v>5.70175438596491</v>
      </c>
      <c r="L24" s="45">
        <v>3.0701754385964901</v>
      </c>
      <c r="M24" s="45">
        <v>0.146198830409356</v>
      </c>
      <c r="N24" s="45">
        <v>0.87719298245613997</v>
      </c>
      <c r="O24" s="45">
        <v>0.43859649122806998</v>
      </c>
      <c r="P24" s="45">
        <f t="shared" si="0"/>
        <v>99.999999999999929</v>
      </c>
      <c r="Q24" s="54">
        <f t="shared" si="1"/>
        <v>683.99999999999932</v>
      </c>
      <c r="S24" s="29"/>
    </row>
    <row r="25" spans="1:19" x14ac:dyDescent="0.3">
      <c r="A25" s="25" t="s">
        <v>20</v>
      </c>
      <c r="B25" s="45">
        <v>96.996466431095399</v>
      </c>
      <c r="C25" s="54">
        <v>566</v>
      </c>
      <c r="D25" s="45">
        <v>6.5209471766848797</v>
      </c>
      <c r="E25" s="45">
        <v>0.91074681238615607</v>
      </c>
      <c r="F25" s="45">
        <v>0</v>
      </c>
      <c r="G25" s="45">
        <v>0</v>
      </c>
      <c r="H25" s="45">
        <v>82.149362477231307</v>
      </c>
      <c r="I25" s="45">
        <v>0</v>
      </c>
      <c r="J25" s="45">
        <v>10.200364298724899</v>
      </c>
      <c r="K25" s="45">
        <v>0</v>
      </c>
      <c r="L25" s="45">
        <v>3.27868852459016</v>
      </c>
      <c r="M25" s="45">
        <v>0</v>
      </c>
      <c r="N25" s="45">
        <v>3.27868852459016</v>
      </c>
      <c r="O25" s="45">
        <v>0.18214936247723101</v>
      </c>
      <c r="P25" s="45">
        <f t="shared" si="0"/>
        <v>99.999999999999929</v>
      </c>
      <c r="Q25" s="54">
        <f t="shared" si="1"/>
        <v>548.99999999999989</v>
      </c>
      <c r="S25" s="29"/>
    </row>
    <row r="26" spans="1:19" x14ac:dyDescent="0.3">
      <c r="A26" s="22" t="s">
        <v>100</v>
      </c>
      <c r="B26" s="45"/>
      <c r="C26" s="5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54"/>
      <c r="S26" s="29"/>
    </row>
    <row r="27" spans="1:19" x14ac:dyDescent="0.3">
      <c r="A27" s="25" t="s">
        <v>108</v>
      </c>
      <c r="B27" s="45">
        <v>84.575389948006901</v>
      </c>
      <c r="C27" s="54">
        <v>4616</v>
      </c>
      <c r="D27" s="45">
        <v>5.96875</v>
      </c>
      <c r="E27" s="45">
        <v>0.40983606557377</v>
      </c>
      <c r="F27" s="45">
        <v>0.92213114754098302</v>
      </c>
      <c r="G27" s="45">
        <v>0.15368852459016299</v>
      </c>
      <c r="H27" s="45">
        <v>65.2407786885245</v>
      </c>
      <c r="I27" s="45">
        <v>0.25614754098360604</v>
      </c>
      <c r="J27" s="45">
        <v>8.3247950819672099</v>
      </c>
      <c r="K27" s="45">
        <v>0.56352459016393397</v>
      </c>
      <c r="L27" s="45">
        <v>4.5338114754098306</v>
      </c>
      <c r="M27" s="45">
        <v>0.15368852459016299</v>
      </c>
      <c r="N27" s="45">
        <v>19.108606557377001</v>
      </c>
      <c r="O27" s="45">
        <v>0.33299180327868799</v>
      </c>
      <c r="P27" s="45">
        <f t="shared" si="0"/>
        <v>99.999999999999858</v>
      </c>
      <c r="Q27" s="54">
        <f t="shared" si="1"/>
        <v>3903.9999999999982</v>
      </c>
      <c r="S27" s="29"/>
    </row>
    <row r="28" spans="1:19" x14ac:dyDescent="0.3">
      <c r="A28" s="25" t="s">
        <v>109</v>
      </c>
      <c r="B28" s="45">
        <v>82.62696382900981</v>
      </c>
      <c r="C28" s="54">
        <v>5474</v>
      </c>
      <c r="D28" s="45">
        <v>5.9378730930798103</v>
      </c>
      <c r="E28" s="45">
        <v>0.53062126906920104</v>
      </c>
      <c r="F28" s="45">
        <v>2.1224850762768002</v>
      </c>
      <c r="G28" s="45">
        <v>0.24320141499005002</v>
      </c>
      <c r="H28" s="45">
        <v>71.412779128896702</v>
      </c>
      <c r="I28" s="45">
        <v>6.6327658633650199E-2</v>
      </c>
      <c r="J28" s="45">
        <v>6.8538580588105207</v>
      </c>
      <c r="K28" s="45">
        <v>3.13950917532611</v>
      </c>
      <c r="L28" s="45">
        <v>3.49325668803891</v>
      </c>
      <c r="M28" s="45">
        <v>0.13265531726730001</v>
      </c>
      <c r="N28" s="45">
        <v>11.541012602255101</v>
      </c>
      <c r="O28" s="45">
        <v>0.46429361043555095</v>
      </c>
      <c r="P28" s="45">
        <f t="shared" si="0"/>
        <v>99.999999999999901</v>
      </c>
      <c r="Q28" s="54">
        <f t="shared" si="1"/>
        <v>4522.9999999999973</v>
      </c>
      <c r="S28" s="29"/>
    </row>
    <row r="29" spans="1:19" x14ac:dyDescent="0.3">
      <c r="A29" s="22" t="s">
        <v>99</v>
      </c>
      <c r="B29" s="45"/>
      <c r="C29" s="5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4"/>
      <c r="S29" s="29"/>
    </row>
    <row r="30" spans="1:19" x14ac:dyDescent="0.3">
      <c r="A30" s="25" t="s">
        <v>110</v>
      </c>
      <c r="B30" s="45">
        <v>81.081081081080995</v>
      </c>
      <c r="C30" s="54">
        <v>37</v>
      </c>
      <c r="D30" s="45">
        <v>5.4666666666666597</v>
      </c>
      <c r="E30" s="45">
        <v>0</v>
      </c>
      <c r="F30" s="45">
        <v>0</v>
      </c>
      <c r="G30" s="45">
        <v>0</v>
      </c>
      <c r="H30" s="45">
        <v>40</v>
      </c>
      <c r="I30" s="45">
        <v>0</v>
      </c>
      <c r="J30" s="45">
        <v>10</v>
      </c>
      <c r="K30" s="45">
        <v>13.3333333333333</v>
      </c>
      <c r="L30" s="45">
        <v>16.6666666666666</v>
      </c>
      <c r="M30" s="45">
        <v>0</v>
      </c>
      <c r="N30" s="45">
        <v>16.6666666666666</v>
      </c>
      <c r="O30" s="45">
        <v>3.3333333333333299</v>
      </c>
      <c r="P30" s="45">
        <f t="shared" si="0"/>
        <v>99.999999999999829</v>
      </c>
      <c r="Q30" s="54">
        <f t="shared" si="1"/>
        <v>29.999999999999968</v>
      </c>
      <c r="S30" s="29"/>
    </row>
    <row r="31" spans="1:19" x14ac:dyDescent="0.3">
      <c r="A31" s="25" t="s">
        <v>111</v>
      </c>
      <c r="B31" s="45">
        <v>83.326930464848203</v>
      </c>
      <c r="C31" s="54">
        <v>7809</v>
      </c>
      <c r="D31" s="45">
        <v>5.8324880897494999</v>
      </c>
      <c r="E31" s="45">
        <v>0.55325034578146592</v>
      </c>
      <c r="F31" s="45">
        <v>1.7365913631473699</v>
      </c>
      <c r="G31" s="45">
        <v>0.153680651605962</v>
      </c>
      <c r="H31" s="45">
        <v>72.322114645766106</v>
      </c>
      <c r="I31" s="45">
        <v>0.10757645612417301</v>
      </c>
      <c r="J31" s="45">
        <v>6.6082680190563998</v>
      </c>
      <c r="K31" s="45">
        <v>2.32057783925003</v>
      </c>
      <c r="L31" s="45">
        <v>4.3952666359305299</v>
      </c>
      <c r="M31" s="45">
        <v>0.153680651605962</v>
      </c>
      <c r="N31" s="45">
        <v>11.187951436914</v>
      </c>
      <c r="O31" s="45">
        <v>0.46104195481788801</v>
      </c>
      <c r="P31" s="45">
        <f t="shared" si="0"/>
        <v>99.999999999999901</v>
      </c>
      <c r="Q31" s="54">
        <f t="shared" si="1"/>
        <v>6506.9999999999964</v>
      </c>
      <c r="S31" s="29"/>
    </row>
    <row r="32" spans="1:19" x14ac:dyDescent="0.3">
      <c r="A32" s="25" t="s">
        <v>112</v>
      </c>
      <c r="B32" s="45">
        <v>84.224598930481193</v>
      </c>
      <c r="C32" s="54">
        <v>2244</v>
      </c>
      <c r="D32" s="45">
        <v>6.37195767195767</v>
      </c>
      <c r="E32" s="45">
        <v>0.21164021164021102</v>
      </c>
      <c r="F32" s="45">
        <v>1.005291005291</v>
      </c>
      <c r="G32" s="45">
        <v>0.37037037037037002</v>
      </c>
      <c r="H32" s="45">
        <v>56.031746031745996</v>
      </c>
      <c r="I32" s="45">
        <v>0.317460317460317</v>
      </c>
      <c r="J32" s="45">
        <v>10.6878306878306</v>
      </c>
      <c r="K32" s="45">
        <v>0.476190476190476</v>
      </c>
      <c r="L32" s="45">
        <v>2.3280423280423199</v>
      </c>
      <c r="M32" s="45">
        <v>0.10582010582010501</v>
      </c>
      <c r="N32" s="45">
        <v>28.306878306878303</v>
      </c>
      <c r="O32" s="45">
        <v>0.158730158730158</v>
      </c>
      <c r="P32" s="45">
        <f t="shared" si="0"/>
        <v>99.999999999999844</v>
      </c>
      <c r="Q32" s="54">
        <f t="shared" si="1"/>
        <v>1889.9999999999982</v>
      </c>
      <c r="S32" s="29"/>
    </row>
    <row r="33" spans="1:19" x14ac:dyDescent="0.3">
      <c r="A33" s="22" t="s">
        <v>98</v>
      </c>
      <c r="B33" s="45"/>
      <c r="C33" s="5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54"/>
      <c r="S33" s="29"/>
    </row>
    <row r="34" spans="1:19" x14ac:dyDescent="0.3">
      <c r="A34" s="25" t="s">
        <v>113</v>
      </c>
      <c r="B34" s="45">
        <v>87.191601049868709</v>
      </c>
      <c r="C34" s="54">
        <v>1905</v>
      </c>
      <c r="D34" s="45">
        <v>6.5255869957856696</v>
      </c>
      <c r="E34" s="45">
        <v>0.78266104756170907</v>
      </c>
      <c r="F34" s="45">
        <v>2.7092113184828399</v>
      </c>
      <c r="G34" s="45">
        <v>0.30102347983142597</v>
      </c>
      <c r="H34" s="45">
        <v>56.170981336544202</v>
      </c>
      <c r="I34" s="45">
        <v>0.12040939193257</v>
      </c>
      <c r="J34" s="45">
        <v>13.726670680312999</v>
      </c>
      <c r="K34" s="45">
        <v>3.73269114990969</v>
      </c>
      <c r="L34" s="45">
        <v>3.4918723660445501</v>
      </c>
      <c r="M34" s="45">
        <v>6.0204695966285304E-2</v>
      </c>
      <c r="N34" s="45">
        <v>18.5430463576158</v>
      </c>
      <c r="O34" s="45">
        <v>0.36122817579771199</v>
      </c>
      <c r="P34" s="45">
        <f t="shared" si="0"/>
        <v>99.999999999999758</v>
      </c>
      <c r="Q34" s="54">
        <f t="shared" si="1"/>
        <v>1660.9999999999989</v>
      </c>
      <c r="S34" s="29"/>
    </row>
    <row r="35" spans="1:19" x14ac:dyDescent="0.3">
      <c r="A35" s="25" t="s">
        <v>114</v>
      </c>
      <c r="B35" s="45">
        <v>87.272727272727195</v>
      </c>
      <c r="C35" s="54">
        <v>55</v>
      </c>
      <c r="D35" s="45">
        <v>6.2291666666666599</v>
      </c>
      <c r="E35" s="45">
        <v>0</v>
      </c>
      <c r="F35" s="45">
        <v>0</v>
      </c>
      <c r="G35" s="45">
        <v>0</v>
      </c>
      <c r="H35" s="45">
        <v>47.9166666666666</v>
      </c>
      <c r="I35" s="45">
        <v>0</v>
      </c>
      <c r="J35" s="45">
        <v>0</v>
      </c>
      <c r="K35" s="45">
        <v>0</v>
      </c>
      <c r="L35" s="45">
        <v>6.25</v>
      </c>
      <c r="M35" s="45">
        <v>0</v>
      </c>
      <c r="N35" s="45">
        <v>45.8333333333333</v>
      </c>
      <c r="O35" s="45">
        <v>0</v>
      </c>
      <c r="P35" s="45">
        <f t="shared" si="0"/>
        <v>99.999999999999901</v>
      </c>
      <c r="Q35" s="54">
        <f t="shared" si="1"/>
        <v>47.999999999999957</v>
      </c>
      <c r="S35" s="29"/>
    </row>
    <row r="36" spans="1:19" x14ac:dyDescent="0.3">
      <c r="A36" s="25" t="s">
        <v>115</v>
      </c>
      <c r="B36" s="45">
        <v>86.422018348623794</v>
      </c>
      <c r="C36" s="54">
        <v>2725</v>
      </c>
      <c r="D36" s="45">
        <v>6.3048832271762203</v>
      </c>
      <c r="E36" s="45">
        <v>0.67940552016985101</v>
      </c>
      <c r="F36" s="45">
        <v>2.5053078556263202</v>
      </c>
      <c r="G36" s="45">
        <v>0.29723991507431002</v>
      </c>
      <c r="H36" s="45">
        <v>59.787685774946894</v>
      </c>
      <c r="I36" s="45">
        <v>0.29723991507431002</v>
      </c>
      <c r="J36" s="45">
        <v>9.5541401273885302</v>
      </c>
      <c r="K36" s="45">
        <v>2.33545647558386</v>
      </c>
      <c r="L36" s="45">
        <v>3.9065817409766397</v>
      </c>
      <c r="M36" s="45">
        <v>0.169851380042462</v>
      </c>
      <c r="N36" s="45">
        <v>19.830148619957498</v>
      </c>
      <c r="O36" s="45">
        <v>0.63694267515923497</v>
      </c>
      <c r="P36" s="45">
        <f t="shared" si="0"/>
        <v>99.999999999999886</v>
      </c>
      <c r="Q36" s="54">
        <f t="shared" si="1"/>
        <v>2354.9999999999986</v>
      </c>
      <c r="S36" s="29"/>
    </row>
    <row r="37" spans="1:19" x14ac:dyDescent="0.3">
      <c r="A37" s="25" t="s">
        <v>116</v>
      </c>
      <c r="B37" s="45">
        <v>82.014388489208599</v>
      </c>
      <c r="C37" s="54">
        <v>4170</v>
      </c>
      <c r="D37" s="45">
        <v>5.7064327485380097</v>
      </c>
      <c r="E37" s="45">
        <v>0.26315789473684204</v>
      </c>
      <c r="F37" s="45">
        <v>0.78947368421052599</v>
      </c>
      <c r="G37" s="45">
        <v>0.11695906432748499</v>
      </c>
      <c r="H37" s="45">
        <v>76.783625730994103</v>
      </c>
      <c r="I37" s="45">
        <v>0.11695906432748499</v>
      </c>
      <c r="J37" s="45">
        <v>4.8830409356725095</v>
      </c>
      <c r="K37" s="45">
        <v>1.2573099415204601</v>
      </c>
      <c r="L37" s="45">
        <v>3.7719298245614001</v>
      </c>
      <c r="M37" s="45">
        <v>0.11695906432748499</v>
      </c>
      <c r="N37" s="45">
        <v>11.549707602339101</v>
      </c>
      <c r="O37" s="45">
        <v>0.35087719298245601</v>
      </c>
      <c r="P37" s="45">
        <f t="shared" si="0"/>
        <v>99.999999999999858</v>
      </c>
      <c r="Q37" s="54">
        <f t="shared" si="1"/>
        <v>3419.9999999999986</v>
      </c>
      <c r="S37" s="29"/>
    </row>
    <row r="38" spans="1:19" x14ac:dyDescent="0.3">
      <c r="A38" s="25" t="s">
        <v>117</v>
      </c>
      <c r="B38" s="45">
        <v>76.744186046511601</v>
      </c>
      <c r="C38" s="54">
        <v>946</v>
      </c>
      <c r="D38" s="45">
        <v>5.0261707988980699</v>
      </c>
      <c r="E38" s="45">
        <v>0.13774104683195498</v>
      </c>
      <c r="F38" s="45">
        <v>0.13774104683195498</v>
      </c>
      <c r="G38" s="45">
        <v>0.13774104683195498</v>
      </c>
      <c r="H38" s="45">
        <v>84.4352617079889</v>
      </c>
      <c r="I38" s="45">
        <v>0</v>
      </c>
      <c r="J38" s="45">
        <v>1.2396694214876001</v>
      </c>
      <c r="K38" s="45">
        <v>0.413223140495867</v>
      </c>
      <c r="L38" s="45">
        <v>5.09641873278236</v>
      </c>
      <c r="M38" s="45">
        <v>0.27548209366391097</v>
      </c>
      <c r="N38" s="45">
        <v>8.1267217630853992</v>
      </c>
      <c r="O38" s="45">
        <v>0</v>
      </c>
      <c r="P38" s="45">
        <f t="shared" si="0"/>
        <v>99.999999999999901</v>
      </c>
      <c r="Q38" s="54">
        <f t="shared" si="1"/>
        <v>725.99999999999966</v>
      </c>
      <c r="S38" s="29"/>
    </row>
    <row r="39" spans="1:19" x14ac:dyDescent="0.3">
      <c r="A39" s="22" t="s">
        <v>3</v>
      </c>
      <c r="B39" s="45"/>
      <c r="C39" s="5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54"/>
      <c r="S39" s="29"/>
    </row>
    <row r="40" spans="1:19" x14ac:dyDescent="0.3">
      <c r="A40" s="25" t="s">
        <v>118</v>
      </c>
      <c r="B40" s="45">
        <v>91.5555555555555</v>
      </c>
      <c r="C40" s="54">
        <v>675</v>
      </c>
      <c r="D40" s="45">
        <v>6.5242718446601904</v>
      </c>
      <c r="E40" s="45">
        <v>2.2653721682847801</v>
      </c>
      <c r="F40" s="45">
        <v>2.1035598705501601</v>
      </c>
      <c r="G40" s="45">
        <v>0.970873786407766</v>
      </c>
      <c r="H40" s="45">
        <v>60.355987055016101</v>
      </c>
      <c r="I40" s="45">
        <v>0</v>
      </c>
      <c r="J40" s="45">
        <v>16.1812297734627</v>
      </c>
      <c r="K40" s="45">
        <v>2.2653721682847801</v>
      </c>
      <c r="L40" s="45">
        <v>5.1779935275080904</v>
      </c>
      <c r="M40" s="45">
        <v>0.16181229773462699</v>
      </c>
      <c r="N40" s="45">
        <v>9.0614886731391486</v>
      </c>
      <c r="O40" s="45">
        <v>1.4563106796116501</v>
      </c>
      <c r="P40" s="45">
        <f t="shared" si="0"/>
        <v>99.999999999999815</v>
      </c>
      <c r="Q40" s="54">
        <f t="shared" si="1"/>
        <v>617.99999999999966</v>
      </c>
      <c r="S40" s="29"/>
    </row>
    <row r="41" spans="1:19" x14ac:dyDescent="0.3">
      <c r="A41" s="25" t="s">
        <v>119</v>
      </c>
      <c r="B41" s="45">
        <v>88.366013071895395</v>
      </c>
      <c r="C41" s="54">
        <v>765</v>
      </c>
      <c r="D41" s="45">
        <v>6.6020710059171597</v>
      </c>
      <c r="E41" s="45">
        <v>0.88757396449704096</v>
      </c>
      <c r="F41" s="45">
        <v>3.5502958579881603</v>
      </c>
      <c r="G41" s="45">
        <v>0.59171597633135997</v>
      </c>
      <c r="H41" s="45">
        <v>57.692307692307601</v>
      </c>
      <c r="I41" s="45">
        <v>0.73964497041420096</v>
      </c>
      <c r="J41" s="45">
        <v>13.165680473372701</v>
      </c>
      <c r="K41" s="45">
        <v>1.33136094674556</v>
      </c>
      <c r="L41" s="45">
        <v>5.0295857988165595</v>
      </c>
      <c r="M41" s="45">
        <v>0.14792899408283999</v>
      </c>
      <c r="N41" s="45">
        <v>16.420118343195199</v>
      </c>
      <c r="O41" s="45">
        <v>0.44378698224852003</v>
      </c>
      <c r="P41" s="45">
        <f t="shared" si="0"/>
        <v>99.999999999999758</v>
      </c>
      <c r="Q41" s="54">
        <f t="shared" si="1"/>
        <v>675.99999999999977</v>
      </c>
      <c r="S41" s="29"/>
    </row>
    <row r="42" spans="1:19" x14ac:dyDescent="0.3">
      <c r="A42" s="25" t="s">
        <v>120</v>
      </c>
      <c r="B42" s="45">
        <v>87.365911799761591</v>
      </c>
      <c r="C42" s="54">
        <v>839</v>
      </c>
      <c r="D42" s="45">
        <v>6.4843110504774897</v>
      </c>
      <c r="E42" s="45">
        <v>1.09140518417462</v>
      </c>
      <c r="F42" s="45">
        <v>2.3192360163710699</v>
      </c>
      <c r="G42" s="45">
        <v>0.27285129604365599</v>
      </c>
      <c r="H42" s="45">
        <v>59.618008185538798</v>
      </c>
      <c r="I42" s="45">
        <v>0.27285129604365599</v>
      </c>
      <c r="J42" s="45">
        <v>11.1869031377899</v>
      </c>
      <c r="K42" s="45">
        <v>1.3642564802182799</v>
      </c>
      <c r="L42" s="45">
        <v>3.2742155525238701</v>
      </c>
      <c r="M42" s="45">
        <v>0.27285129604365599</v>
      </c>
      <c r="N42" s="45">
        <v>19.372442019099502</v>
      </c>
      <c r="O42" s="45">
        <v>0.95497953615279596</v>
      </c>
      <c r="P42" s="45">
        <f t="shared" si="0"/>
        <v>99.999999999999801</v>
      </c>
      <c r="Q42" s="54">
        <f t="shared" si="1"/>
        <v>732.99999999999966</v>
      </c>
      <c r="S42" s="29"/>
    </row>
    <row r="43" spans="1:19" x14ac:dyDescent="0.3">
      <c r="A43" s="25" t="s">
        <v>121</v>
      </c>
      <c r="B43" s="45">
        <v>86.533957845433193</v>
      </c>
      <c r="C43" s="54">
        <v>854</v>
      </c>
      <c r="D43" s="45">
        <v>6.35994587280108</v>
      </c>
      <c r="E43" s="45">
        <v>0.40595399188091996</v>
      </c>
      <c r="F43" s="45">
        <v>1.7591339648173201</v>
      </c>
      <c r="G43" s="45">
        <v>0</v>
      </c>
      <c r="H43" s="45">
        <v>63.058186738836199</v>
      </c>
      <c r="I43" s="45">
        <v>0.13531799729364</v>
      </c>
      <c r="J43" s="45">
        <v>10.5548037889039</v>
      </c>
      <c r="K43" s="45">
        <v>1.21786197564276</v>
      </c>
      <c r="L43" s="45">
        <v>3.7889039242219202</v>
      </c>
      <c r="M43" s="45">
        <v>0.13531799729364</v>
      </c>
      <c r="N43" s="45">
        <v>18.403247631934999</v>
      </c>
      <c r="O43" s="45">
        <v>0.54127198917455999</v>
      </c>
      <c r="P43" s="45">
        <f t="shared" si="0"/>
        <v>99.999999999999872</v>
      </c>
      <c r="Q43" s="54">
        <f t="shared" si="1"/>
        <v>738.99999999999955</v>
      </c>
      <c r="S43" s="29"/>
    </row>
    <row r="44" spans="1:19" x14ac:dyDescent="0.3">
      <c r="A44" s="25" t="s">
        <v>122</v>
      </c>
      <c r="B44" s="45">
        <v>87.263157894736793</v>
      </c>
      <c r="C44" s="54">
        <v>950</v>
      </c>
      <c r="D44" s="45">
        <v>6.3015681544028901</v>
      </c>
      <c r="E44" s="45">
        <v>0</v>
      </c>
      <c r="F44" s="45">
        <v>1.4475271411338899</v>
      </c>
      <c r="G44" s="45">
        <v>0.36188178528347403</v>
      </c>
      <c r="H44" s="45">
        <v>59.469240048250903</v>
      </c>
      <c r="I44" s="45">
        <v>0.120627261761158</v>
      </c>
      <c r="J44" s="45">
        <v>9.5295536791314799</v>
      </c>
      <c r="K44" s="45">
        <v>3.1363088057901001</v>
      </c>
      <c r="L44" s="45">
        <v>3.9806996381182098</v>
      </c>
      <c r="M44" s="45">
        <v>0</v>
      </c>
      <c r="N44" s="45">
        <v>21.592279855247202</v>
      </c>
      <c r="O44" s="45">
        <v>0.36188178528347403</v>
      </c>
      <c r="P44" s="45">
        <f t="shared" si="0"/>
        <v>99.999999999999872</v>
      </c>
      <c r="Q44" s="54">
        <f t="shared" si="1"/>
        <v>828.99999999999955</v>
      </c>
      <c r="S44" s="29"/>
    </row>
    <row r="45" spans="1:19" x14ac:dyDescent="0.3">
      <c r="A45" s="25" t="s">
        <v>123</v>
      </c>
      <c r="B45" s="45">
        <v>85.317460317460302</v>
      </c>
      <c r="C45" s="54">
        <v>1008</v>
      </c>
      <c r="D45" s="45">
        <v>6.1825581395348799</v>
      </c>
      <c r="E45" s="45">
        <v>0</v>
      </c>
      <c r="F45" s="45">
        <v>1.6279069767441801</v>
      </c>
      <c r="G45" s="45">
        <v>0</v>
      </c>
      <c r="H45" s="45">
        <v>64.651162790697597</v>
      </c>
      <c r="I45" s="45">
        <v>0.23255813953488297</v>
      </c>
      <c r="J45" s="45">
        <v>8.4883720930232496</v>
      </c>
      <c r="K45" s="45">
        <v>1.9767441860465098</v>
      </c>
      <c r="L45" s="45">
        <v>4.4186046511627897</v>
      </c>
      <c r="M45" s="45">
        <v>0.11627906976744098</v>
      </c>
      <c r="N45" s="45">
        <v>18.3720930232558</v>
      </c>
      <c r="O45" s="45">
        <v>0.11627906976744098</v>
      </c>
      <c r="P45" s="45">
        <f t="shared" si="0"/>
        <v>99.999999999999915</v>
      </c>
      <c r="Q45" s="54">
        <f t="shared" si="1"/>
        <v>859.99999999999989</v>
      </c>
      <c r="S45" s="29"/>
    </row>
    <row r="46" spans="1:19" x14ac:dyDescent="0.3">
      <c r="A46" s="25" t="s">
        <v>124</v>
      </c>
      <c r="B46" s="45">
        <v>82.470481380563101</v>
      </c>
      <c r="C46" s="54">
        <v>1101</v>
      </c>
      <c r="D46" s="45">
        <v>5.91519823788546</v>
      </c>
      <c r="E46" s="45">
        <v>0</v>
      </c>
      <c r="F46" s="45">
        <v>1.2114537444933899</v>
      </c>
      <c r="G46" s="45">
        <v>0</v>
      </c>
      <c r="H46" s="45">
        <v>71.916299559471298</v>
      </c>
      <c r="I46" s="45">
        <v>0.11013215859030799</v>
      </c>
      <c r="J46" s="45">
        <v>5.2863436123348002</v>
      </c>
      <c r="K46" s="45">
        <v>2.31277533039647</v>
      </c>
      <c r="L46" s="45">
        <v>3.4140969162995498</v>
      </c>
      <c r="M46" s="45">
        <v>0</v>
      </c>
      <c r="N46" s="45">
        <v>15.528634361233401</v>
      </c>
      <c r="O46" s="45">
        <v>0.22026431718061598</v>
      </c>
      <c r="P46" s="45">
        <f t="shared" si="0"/>
        <v>99.999999999999844</v>
      </c>
      <c r="Q46" s="54">
        <f t="shared" si="1"/>
        <v>907.99999999999977</v>
      </c>
      <c r="S46" s="29"/>
    </row>
    <row r="47" spans="1:19" x14ac:dyDescent="0.3">
      <c r="A47" s="25" t="s">
        <v>125</v>
      </c>
      <c r="B47" s="45">
        <v>82.706766917293194</v>
      </c>
      <c r="C47" s="54">
        <v>1197</v>
      </c>
      <c r="D47" s="45">
        <v>5.7454545454545398</v>
      </c>
      <c r="E47" s="45">
        <v>0.20202020202020202</v>
      </c>
      <c r="F47" s="45">
        <v>1.2121212121212099</v>
      </c>
      <c r="G47" s="45">
        <v>0</v>
      </c>
      <c r="H47" s="45">
        <v>73.3333333333333</v>
      </c>
      <c r="I47" s="45">
        <v>0</v>
      </c>
      <c r="J47" s="45">
        <v>4.3434343434343399</v>
      </c>
      <c r="K47" s="45">
        <v>1.51515151515151</v>
      </c>
      <c r="L47" s="45">
        <v>4.1414141414141401</v>
      </c>
      <c r="M47" s="45">
        <v>0.30303030303030298</v>
      </c>
      <c r="N47" s="45">
        <v>14.8484848484848</v>
      </c>
      <c r="O47" s="45">
        <v>0.10101010101010101</v>
      </c>
      <c r="P47" s="45">
        <f t="shared" si="0"/>
        <v>99.999999999999915</v>
      </c>
      <c r="Q47" s="54">
        <f t="shared" si="1"/>
        <v>989.99999999999955</v>
      </c>
      <c r="S47" s="29"/>
    </row>
    <row r="48" spans="1:19" x14ac:dyDescent="0.3">
      <c r="A48" s="25" t="s">
        <v>126</v>
      </c>
      <c r="B48" s="45">
        <v>80.514419329695997</v>
      </c>
      <c r="C48" s="54">
        <v>1283</v>
      </c>
      <c r="D48" s="45">
        <v>5.3330106485963196</v>
      </c>
      <c r="E48" s="45">
        <v>0.48402710551790895</v>
      </c>
      <c r="F48" s="45">
        <v>0.67763794772507202</v>
      </c>
      <c r="G48" s="45">
        <v>0.19361084220716301</v>
      </c>
      <c r="H48" s="45">
        <v>77.541142303968996</v>
      </c>
      <c r="I48" s="45">
        <v>9.6805421103581799E-2</v>
      </c>
      <c r="J48" s="45">
        <v>2.2265246853823797</v>
      </c>
      <c r="K48" s="45">
        <v>1.93610842207163</v>
      </c>
      <c r="L48" s="45">
        <v>4.0658276863504303</v>
      </c>
      <c r="M48" s="45">
        <v>0.29041626331074499</v>
      </c>
      <c r="N48" s="45">
        <v>12.100677637947701</v>
      </c>
      <c r="O48" s="45">
        <v>0.38722168441432697</v>
      </c>
      <c r="P48" s="45">
        <f t="shared" si="0"/>
        <v>99.999999999999943</v>
      </c>
      <c r="Q48" s="54">
        <f t="shared" si="1"/>
        <v>1032.9999999999995</v>
      </c>
      <c r="S48" s="29"/>
    </row>
    <row r="49" spans="1:19" x14ac:dyDescent="0.3">
      <c r="A49" s="25" t="s">
        <v>127</v>
      </c>
      <c r="B49" s="45">
        <v>73.413258110014098</v>
      </c>
      <c r="C49" s="54">
        <v>1418</v>
      </c>
      <c r="D49" s="45">
        <v>4.9010566762728098</v>
      </c>
      <c r="E49" s="45">
        <v>0.192122958693563</v>
      </c>
      <c r="F49" s="45">
        <v>0.86455331412103698</v>
      </c>
      <c r="G49" s="45">
        <v>0</v>
      </c>
      <c r="H49" s="45">
        <v>84.726224783861596</v>
      </c>
      <c r="I49" s="45">
        <v>0</v>
      </c>
      <c r="J49" s="45">
        <v>1.92122958693563</v>
      </c>
      <c r="K49" s="45">
        <v>2.2094140249759802</v>
      </c>
      <c r="L49" s="45">
        <v>3.0739673390970199</v>
      </c>
      <c r="M49" s="45">
        <v>0</v>
      </c>
      <c r="N49" s="45">
        <v>7.0124879923150809</v>
      </c>
      <c r="O49" s="45">
        <v>0</v>
      </c>
      <c r="P49" s="45">
        <f t="shared" si="0"/>
        <v>99.999999999999915</v>
      </c>
      <c r="Q49" s="54">
        <f t="shared" si="1"/>
        <v>1041</v>
      </c>
      <c r="S49" s="29"/>
    </row>
    <row r="50" spans="1:19" x14ac:dyDescent="0.3">
      <c r="A50" s="22" t="s">
        <v>93</v>
      </c>
      <c r="B50" s="45"/>
      <c r="C50" s="5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54"/>
      <c r="S50" s="29"/>
    </row>
    <row r="51" spans="1:19" x14ac:dyDescent="0.3">
      <c r="A51" s="28" t="s">
        <v>51</v>
      </c>
      <c r="B51" s="45">
        <v>74.545454545454504</v>
      </c>
      <c r="C51" s="54">
        <v>715</v>
      </c>
      <c r="D51" s="45">
        <v>5.1200750469043097</v>
      </c>
      <c r="E51" s="45">
        <v>0</v>
      </c>
      <c r="F51" s="45">
        <v>1.1257035647279499</v>
      </c>
      <c r="G51" s="45">
        <v>0</v>
      </c>
      <c r="H51" s="45">
        <v>95.497185741088103</v>
      </c>
      <c r="I51" s="45">
        <v>0</v>
      </c>
      <c r="J51" s="45">
        <v>1.6885553470919301</v>
      </c>
      <c r="K51" s="45">
        <v>0.93808630393996206</v>
      </c>
      <c r="L51" s="45">
        <v>0.56285178236397693</v>
      </c>
      <c r="M51" s="45">
        <v>0</v>
      </c>
      <c r="N51" s="45">
        <v>0.18761726078799199</v>
      </c>
      <c r="O51" s="45">
        <v>0</v>
      </c>
      <c r="P51" s="45">
        <f t="shared" si="0"/>
        <v>99.999999999999929</v>
      </c>
      <c r="Q51" s="54">
        <f t="shared" si="1"/>
        <v>532.99999999999966</v>
      </c>
      <c r="S51" s="29"/>
    </row>
    <row r="52" spans="1:19" x14ac:dyDescent="0.3">
      <c r="A52" s="28" t="s">
        <v>53</v>
      </c>
      <c r="B52" s="45">
        <v>69.369369369369309</v>
      </c>
      <c r="C52" s="54">
        <v>111</v>
      </c>
      <c r="D52" s="45">
        <v>4.2597402597402496</v>
      </c>
      <c r="E52" s="45">
        <v>1.29870129870129</v>
      </c>
      <c r="F52" s="45">
        <v>0</v>
      </c>
      <c r="G52" s="45">
        <v>0</v>
      </c>
      <c r="H52" s="45">
        <v>98.701298701298697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0"/>
        <v>99.999999999999986</v>
      </c>
      <c r="Q52" s="54">
        <f t="shared" si="1"/>
        <v>76.999999999999929</v>
      </c>
      <c r="S52" s="29"/>
    </row>
    <row r="53" spans="1:19" x14ac:dyDescent="0.3">
      <c r="A53" s="28" t="s">
        <v>52</v>
      </c>
      <c r="B53" s="45">
        <v>63.636363636363605</v>
      </c>
      <c r="C53" s="54">
        <v>33</v>
      </c>
      <c r="D53" s="45">
        <v>5.3809523809523796</v>
      </c>
      <c r="E53" s="45">
        <v>0</v>
      </c>
      <c r="F53" s="45">
        <v>0</v>
      </c>
      <c r="G53" s="45">
        <v>0</v>
      </c>
      <c r="H53" s="45">
        <v>100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0"/>
        <v>100</v>
      </c>
      <c r="Q53" s="54">
        <f t="shared" si="1"/>
        <v>20.999999999999989</v>
      </c>
      <c r="S53" s="29"/>
    </row>
    <row r="54" spans="1:19" x14ac:dyDescent="0.3">
      <c r="A54" s="28" t="s">
        <v>45</v>
      </c>
      <c r="B54" s="45">
        <v>93.150684931506802</v>
      </c>
      <c r="C54" s="54">
        <v>146</v>
      </c>
      <c r="D54" s="45">
        <v>6.3897058823529402</v>
      </c>
      <c r="E54" s="45">
        <v>2.20588235294117</v>
      </c>
      <c r="F54" s="45">
        <v>6.6176470588235299</v>
      </c>
      <c r="G54" s="45">
        <v>1.47058823529411</v>
      </c>
      <c r="H54" s="45">
        <v>40.441176470588204</v>
      </c>
      <c r="I54" s="45">
        <v>0</v>
      </c>
      <c r="J54" s="45">
        <v>38.970588235294102</v>
      </c>
      <c r="K54" s="45">
        <v>5.1470588235294104</v>
      </c>
      <c r="L54" s="45">
        <v>2.9411764705882302</v>
      </c>
      <c r="M54" s="45">
        <v>0.73529411764705799</v>
      </c>
      <c r="N54" s="45">
        <v>0.73529411764705799</v>
      </c>
      <c r="O54" s="45">
        <v>0.73529411764705799</v>
      </c>
      <c r="P54" s="45">
        <f t="shared" si="0"/>
        <v>99.999999999999929</v>
      </c>
      <c r="Q54" s="54">
        <f t="shared" si="1"/>
        <v>135.99999999999991</v>
      </c>
      <c r="S54" s="29"/>
    </row>
    <row r="55" spans="1:19" x14ac:dyDescent="0.3">
      <c r="A55" s="28" t="s">
        <v>48</v>
      </c>
      <c r="B55" s="45">
        <v>86.300309597523196</v>
      </c>
      <c r="C55" s="54">
        <v>1292</v>
      </c>
      <c r="D55" s="45">
        <v>5.4556053811659098</v>
      </c>
      <c r="E55" s="45">
        <v>0.62780269058295901</v>
      </c>
      <c r="F55" s="45">
        <v>3.7668161434977496</v>
      </c>
      <c r="G55" s="45">
        <v>0</v>
      </c>
      <c r="H55" s="45">
        <v>75.336322869955097</v>
      </c>
      <c r="I55" s="45">
        <v>8.9686098654708502E-2</v>
      </c>
      <c r="J55" s="45">
        <v>12.556053811659099</v>
      </c>
      <c r="K55" s="45">
        <v>4.3946188340807097</v>
      </c>
      <c r="L55" s="45">
        <v>2.152466367713</v>
      </c>
      <c r="M55" s="45">
        <v>0.179372197309417</v>
      </c>
      <c r="N55" s="45">
        <v>0.53811659192825101</v>
      </c>
      <c r="O55" s="45">
        <v>0.35874439461883401</v>
      </c>
      <c r="P55" s="45">
        <f t="shared" si="0"/>
        <v>99.999999999999829</v>
      </c>
      <c r="Q55" s="54">
        <f t="shared" si="1"/>
        <v>1114.9999999999998</v>
      </c>
      <c r="S55" s="29"/>
    </row>
    <row r="56" spans="1:19" x14ac:dyDescent="0.3">
      <c r="A56" s="28" t="s">
        <v>49</v>
      </c>
      <c r="B56" s="45">
        <v>82.017353579175705</v>
      </c>
      <c r="C56" s="54">
        <v>4610</v>
      </c>
      <c r="D56" s="45">
        <v>6.1089658820417796</v>
      </c>
      <c r="E56" s="45">
        <v>0.15868817773075902</v>
      </c>
      <c r="F56" s="45">
        <v>0.37027241470510397</v>
      </c>
      <c r="G56" s="45">
        <v>5.2896059243586306E-2</v>
      </c>
      <c r="H56" s="45">
        <v>56.731023538746292</v>
      </c>
      <c r="I56" s="45">
        <v>0.290928325839724</v>
      </c>
      <c r="J56" s="45">
        <v>5.97725469452525</v>
      </c>
      <c r="K56" s="45">
        <v>1.1372652737371001</v>
      </c>
      <c r="L56" s="45">
        <v>4.9457815392753197</v>
      </c>
      <c r="M56" s="45">
        <v>7.9344088865379511E-2</v>
      </c>
      <c r="N56" s="45">
        <v>30.044961650356999</v>
      </c>
      <c r="O56" s="45">
        <v>0.211584236974345</v>
      </c>
      <c r="P56" s="45">
        <f t="shared" si="0"/>
        <v>99.999999999999858</v>
      </c>
      <c r="Q56" s="54">
        <f t="shared" si="1"/>
        <v>3781</v>
      </c>
      <c r="S56" s="29"/>
    </row>
    <row r="57" spans="1:19" x14ac:dyDescent="0.3">
      <c r="A57" s="28" t="s">
        <v>128</v>
      </c>
      <c r="B57" s="45">
        <v>55.151515151515099</v>
      </c>
      <c r="C57" s="54">
        <v>165</v>
      </c>
      <c r="D57" s="45">
        <v>5.1538461538461497</v>
      </c>
      <c r="E57" s="45">
        <v>0</v>
      </c>
      <c r="F57" s="45">
        <v>2.19780219780219</v>
      </c>
      <c r="G57" s="45">
        <v>1.0989010989010899</v>
      </c>
      <c r="H57" s="45">
        <v>80.219780219780205</v>
      </c>
      <c r="I57" s="45">
        <v>0</v>
      </c>
      <c r="J57" s="45">
        <v>3.2967032967032899</v>
      </c>
      <c r="K57" s="45">
        <v>4.3956043956043898</v>
      </c>
      <c r="L57" s="45">
        <v>2.19780219780219</v>
      </c>
      <c r="M57" s="45">
        <v>0</v>
      </c>
      <c r="N57" s="45">
        <v>5.4945054945054901</v>
      </c>
      <c r="O57" s="45">
        <v>1.0989010989010899</v>
      </c>
      <c r="P57" s="45">
        <f t="shared" si="0"/>
        <v>99.999999999999943</v>
      </c>
      <c r="Q57" s="54">
        <f t="shared" si="1"/>
        <v>90.999999999999915</v>
      </c>
      <c r="S57" s="29"/>
    </row>
    <row r="58" spans="1:19" x14ac:dyDescent="0.3">
      <c r="A58" s="28" t="s">
        <v>129</v>
      </c>
      <c r="B58" s="45">
        <v>84.259259259259196</v>
      </c>
      <c r="C58" s="54">
        <v>108</v>
      </c>
      <c r="D58" s="45">
        <v>5.1648351648351598</v>
      </c>
      <c r="E58" s="45">
        <v>0</v>
      </c>
      <c r="F58" s="45">
        <v>0</v>
      </c>
      <c r="G58" s="45">
        <v>0</v>
      </c>
      <c r="H58" s="45">
        <v>93.406593406593402</v>
      </c>
      <c r="I58" s="45">
        <v>0</v>
      </c>
      <c r="J58" s="45">
        <v>0</v>
      </c>
      <c r="K58" s="45">
        <v>3.2967032967032899</v>
      </c>
      <c r="L58" s="45">
        <v>3.2967032967032899</v>
      </c>
      <c r="M58" s="45">
        <v>0</v>
      </c>
      <c r="N58" s="45">
        <v>0</v>
      </c>
      <c r="O58" s="45">
        <v>0</v>
      </c>
      <c r="P58" s="45">
        <f t="shared" si="0"/>
        <v>99.999999999999972</v>
      </c>
      <c r="Q58" s="54">
        <f t="shared" si="1"/>
        <v>90.999999999999943</v>
      </c>
      <c r="S58" s="29"/>
    </row>
    <row r="59" spans="1:19" x14ac:dyDescent="0.3">
      <c r="A59" s="28" t="s">
        <v>54</v>
      </c>
      <c r="B59" s="45">
        <v>57.142857142857096</v>
      </c>
      <c r="C59" s="54">
        <v>35</v>
      </c>
      <c r="D59" s="45">
        <v>5</v>
      </c>
      <c r="E59" s="45">
        <v>0</v>
      </c>
      <c r="F59" s="45">
        <v>0</v>
      </c>
      <c r="G59" s="45">
        <v>0</v>
      </c>
      <c r="H59" s="45">
        <v>85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15</v>
      </c>
      <c r="O59" s="45">
        <v>0</v>
      </c>
      <c r="P59" s="45">
        <f t="shared" si="0"/>
        <v>100</v>
      </c>
      <c r="Q59" s="54">
        <f t="shared" si="1"/>
        <v>19.999999999999982</v>
      </c>
      <c r="S59" s="29"/>
    </row>
    <row r="60" spans="1:19" x14ac:dyDescent="0.3">
      <c r="A60" s="28" t="s">
        <v>130</v>
      </c>
      <c r="B60" s="45">
        <v>86.4</v>
      </c>
      <c r="C60" s="54">
        <v>1000</v>
      </c>
      <c r="D60" s="45">
        <v>5.93055555555555</v>
      </c>
      <c r="E60" s="45">
        <v>0.69444444444444398</v>
      </c>
      <c r="F60" s="45">
        <v>1.9675925925925899</v>
      </c>
      <c r="G60" s="45">
        <v>0.23148148148148098</v>
      </c>
      <c r="H60" s="45">
        <v>78.125</v>
      </c>
      <c r="I60" s="45">
        <v>0</v>
      </c>
      <c r="J60" s="45">
        <v>10.1851851851851</v>
      </c>
      <c r="K60" s="45">
        <v>3.9351851851851798</v>
      </c>
      <c r="L60" s="45">
        <v>2.8935185185185097</v>
      </c>
      <c r="M60" s="45">
        <v>0</v>
      </c>
      <c r="N60" s="45">
        <v>1.9675925925925899</v>
      </c>
      <c r="O60" s="45">
        <v>0</v>
      </c>
      <c r="P60" s="45">
        <f t="shared" si="0"/>
        <v>99.999999999999901</v>
      </c>
      <c r="Q60" s="54">
        <f t="shared" si="1"/>
        <v>864.00000000000011</v>
      </c>
      <c r="S60" s="29"/>
    </row>
    <row r="61" spans="1:19" x14ac:dyDescent="0.3">
      <c r="A61" s="28" t="s">
        <v>131</v>
      </c>
      <c r="B61" s="45">
        <v>88.600628930817606</v>
      </c>
      <c r="C61" s="54">
        <v>1272</v>
      </c>
      <c r="D61" s="45">
        <v>6.3540372670807397</v>
      </c>
      <c r="E61" s="45">
        <v>1.0647737355811799</v>
      </c>
      <c r="F61" s="45">
        <v>3.7267080745341601</v>
      </c>
      <c r="G61" s="45">
        <v>0.88731144631765702</v>
      </c>
      <c r="H61" s="45">
        <v>70.097604259094908</v>
      </c>
      <c r="I61" s="45">
        <v>8.8731144631765693E-2</v>
      </c>
      <c r="J61" s="45">
        <v>6.6548358473824303</v>
      </c>
      <c r="K61" s="45">
        <v>1.6858917480035402</v>
      </c>
      <c r="L61" s="45">
        <v>6.29991126885536</v>
      </c>
      <c r="M61" s="45">
        <v>0.44365572315882795</v>
      </c>
      <c r="N61" s="45">
        <v>7.4534161490683202</v>
      </c>
      <c r="O61" s="45">
        <v>1.5971606033717798</v>
      </c>
      <c r="P61" s="45">
        <f t="shared" si="0"/>
        <v>99.999999999999915</v>
      </c>
      <c r="Q61" s="54">
        <f t="shared" si="1"/>
        <v>1127</v>
      </c>
      <c r="S61" s="29"/>
    </row>
    <row r="62" spans="1:19" x14ac:dyDescent="0.3">
      <c r="A62" s="28" t="s">
        <v>50</v>
      </c>
      <c r="B62" s="45">
        <v>87.096774193548299</v>
      </c>
      <c r="C62" s="54">
        <v>31</v>
      </c>
      <c r="D62" s="45">
        <v>4.8888888888888804</v>
      </c>
      <c r="E62" s="45">
        <v>3.7037037037037002</v>
      </c>
      <c r="F62" s="45">
        <v>0</v>
      </c>
      <c r="G62" s="45">
        <v>0</v>
      </c>
      <c r="H62" s="45">
        <v>85.185185185185091</v>
      </c>
      <c r="I62" s="45">
        <v>0</v>
      </c>
      <c r="J62" s="45">
        <v>11.1111111111111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0"/>
        <v>99.999999999999886</v>
      </c>
      <c r="Q62" s="54">
        <f t="shared" si="1"/>
        <v>26.999999999999972</v>
      </c>
      <c r="S62" s="29"/>
    </row>
    <row r="63" spans="1:19" x14ac:dyDescent="0.3">
      <c r="A63" s="28" t="s">
        <v>132</v>
      </c>
      <c r="B63" s="46">
        <v>95.104895104895107</v>
      </c>
      <c r="C63" s="55">
        <v>572</v>
      </c>
      <c r="D63" s="46">
        <v>6.4025735294117601</v>
      </c>
      <c r="E63" s="46">
        <v>0.73529411764705799</v>
      </c>
      <c r="F63" s="46">
        <v>0</v>
      </c>
      <c r="G63" s="46">
        <v>0</v>
      </c>
      <c r="H63" s="46">
        <v>86.029411764705799</v>
      </c>
      <c r="I63" s="46">
        <v>0</v>
      </c>
      <c r="J63" s="46">
        <v>6.9852941176470509</v>
      </c>
      <c r="K63" s="46">
        <v>0</v>
      </c>
      <c r="L63" s="46">
        <v>2.9411764705882302</v>
      </c>
      <c r="M63" s="46">
        <v>0.183823529411764</v>
      </c>
      <c r="N63" s="46">
        <v>2.7573529411764701</v>
      </c>
      <c r="O63" s="46">
        <v>0.36764705882352899</v>
      </c>
      <c r="P63" s="45">
        <f t="shared" si="0"/>
        <v>99.999999999999915</v>
      </c>
      <c r="Q63" s="54">
        <f t="shared" si="1"/>
        <v>544</v>
      </c>
      <c r="S63" s="29"/>
    </row>
    <row r="64" spans="1:19" x14ac:dyDescent="0.3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2:15" x14ac:dyDescent="0.3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</row>
    <row r="66" spans="2:15" x14ac:dyDescent="0.3"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spans="2:15" x14ac:dyDescent="0.3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 spans="2:15" x14ac:dyDescent="0.3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 spans="2:15" x14ac:dyDescent="0.3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spans="2:15" x14ac:dyDescent="0.3"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2:15" x14ac:dyDescent="0.3"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2:15" x14ac:dyDescent="0.3"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2:15" x14ac:dyDescent="0.3"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2:15" x14ac:dyDescent="0.3"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2:15" x14ac:dyDescent="0.3"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</sheetData>
  <mergeCells count="1">
    <mergeCell ref="E3:P3"/>
  </mergeCells>
  <pageMargins left="0.7" right="0.7" top="0.75" bottom="0.75" header="0.3" footer="0.3"/>
  <ignoredErrors>
    <ignoredError sqref="P8:P6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667D-1435-4A91-85A9-C32E005396AD}">
  <dimension ref="A1:S81"/>
  <sheetViews>
    <sheetView zoomScale="80" zoomScaleNormal="80" workbookViewId="0">
      <selection activeCell="B6" sqref="B6:Q6"/>
    </sheetView>
  </sheetViews>
  <sheetFormatPr defaultColWidth="15.25" defaultRowHeight="13" x14ac:dyDescent="0.3"/>
  <cols>
    <col min="1" max="1" width="16.4140625" style="23" customWidth="1"/>
    <col min="2" max="2" width="12.4140625" style="26" customWidth="1"/>
    <col min="3" max="3" width="7.58203125" style="26" customWidth="1"/>
    <col min="4" max="4" width="13.1640625" style="26" customWidth="1"/>
    <col min="5" max="5" width="9.1640625" style="26" customWidth="1"/>
    <col min="6" max="9" width="7.25" style="26" customWidth="1"/>
    <col min="10" max="10" width="9.08203125" style="26" customWidth="1"/>
    <col min="11" max="11" width="7.25" style="26" customWidth="1"/>
    <col min="12" max="12" width="9" style="26" customWidth="1"/>
    <col min="13" max="13" width="7.25" style="26" customWidth="1"/>
    <col min="14" max="14" width="7.75" style="26" customWidth="1"/>
    <col min="15" max="17" width="7.25" style="26" customWidth="1"/>
    <col min="18" max="16384" width="15.25" style="23"/>
  </cols>
  <sheetData>
    <row r="1" spans="1:19" x14ac:dyDescent="0.3">
      <c r="A1" s="24" t="s">
        <v>152</v>
      </c>
    </row>
    <row r="3" spans="1:19" x14ac:dyDescent="0.3">
      <c r="E3" s="34" t="s">
        <v>150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7"/>
    </row>
    <row r="4" spans="1:19" ht="52" x14ac:dyDescent="0.3">
      <c r="B4" s="30" t="s">
        <v>148</v>
      </c>
      <c r="C4" s="30" t="s">
        <v>104</v>
      </c>
      <c r="D4" s="32" t="s">
        <v>149</v>
      </c>
      <c r="E4" s="35" t="s">
        <v>133</v>
      </c>
      <c r="F4" s="39" t="s">
        <v>134</v>
      </c>
      <c r="G4" s="39" t="s">
        <v>136</v>
      </c>
      <c r="H4" s="39" t="s">
        <v>137</v>
      </c>
      <c r="I4" s="39" t="s">
        <v>138</v>
      </c>
      <c r="J4" s="39" t="s">
        <v>139</v>
      </c>
      <c r="K4" s="39" t="s">
        <v>140</v>
      </c>
      <c r="L4" s="39" t="s">
        <v>141</v>
      </c>
      <c r="M4" s="39" t="s">
        <v>128</v>
      </c>
      <c r="N4" s="39" t="s">
        <v>142</v>
      </c>
      <c r="O4" s="39" t="s">
        <v>143</v>
      </c>
      <c r="P4" s="39" t="s">
        <v>135</v>
      </c>
      <c r="Q4" s="40" t="s">
        <v>104</v>
      </c>
    </row>
    <row r="5" spans="1:19" x14ac:dyDescent="0.3">
      <c r="B5" s="31" t="s">
        <v>103</v>
      </c>
      <c r="C5" s="31"/>
      <c r="D5" s="33" t="s">
        <v>102</v>
      </c>
      <c r="E5" s="36" t="s">
        <v>103</v>
      </c>
      <c r="F5" s="36" t="s">
        <v>103</v>
      </c>
      <c r="G5" s="36" t="s">
        <v>103</v>
      </c>
      <c r="H5" s="36" t="s">
        <v>103</v>
      </c>
      <c r="I5" s="36" t="s">
        <v>103</v>
      </c>
      <c r="J5" s="36" t="s">
        <v>103</v>
      </c>
      <c r="K5" s="36" t="s">
        <v>103</v>
      </c>
      <c r="L5" s="36" t="s">
        <v>103</v>
      </c>
      <c r="M5" s="36" t="s">
        <v>103</v>
      </c>
      <c r="N5" s="36" t="s">
        <v>103</v>
      </c>
      <c r="O5" s="36" t="s">
        <v>103</v>
      </c>
      <c r="P5" s="36" t="s">
        <v>103</v>
      </c>
      <c r="Q5" s="41"/>
    </row>
    <row r="6" spans="1:19" x14ac:dyDescent="0.3">
      <c r="A6" s="22" t="s">
        <v>96</v>
      </c>
      <c r="B6" s="45">
        <v>48.642220019821515</v>
      </c>
      <c r="C6" s="54">
        <v>10090</v>
      </c>
      <c r="D6" s="45">
        <v>2.8592094539527282</v>
      </c>
      <c r="E6" s="45">
        <v>0.12224938875305569</v>
      </c>
      <c r="F6" s="45">
        <v>0.9372453137734289</v>
      </c>
      <c r="G6" s="45">
        <v>2.0374898125509376E-2</v>
      </c>
      <c r="H6" s="45">
        <v>93.602281988589979</v>
      </c>
      <c r="I6" s="45">
        <v>4.0749796251018731E-2</v>
      </c>
      <c r="J6" s="45">
        <v>0.42787286063569646</v>
      </c>
      <c r="K6" s="45">
        <v>1.2836185819070887</v>
      </c>
      <c r="L6" s="45">
        <v>3.2803585982070063</v>
      </c>
      <c r="M6" s="45">
        <v>0.12224938875305595</v>
      </c>
      <c r="N6" s="45">
        <v>4.0749796251018752E-2</v>
      </c>
      <c r="O6" s="45">
        <v>0.12224938875305595</v>
      </c>
      <c r="P6" s="45">
        <v>99.999999999999929</v>
      </c>
      <c r="Q6" s="54">
        <v>4907.9999999999909</v>
      </c>
    </row>
    <row r="7" spans="1:19" x14ac:dyDescent="0.3">
      <c r="A7" s="22" t="s">
        <v>97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1:19" x14ac:dyDescent="0.3">
      <c r="A8" s="25" t="s">
        <v>92</v>
      </c>
      <c r="B8" s="45">
        <v>34.345076784101096</v>
      </c>
      <c r="C8" s="54">
        <v>5535</v>
      </c>
      <c r="D8" s="45">
        <v>2.7680168332456598</v>
      </c>
      <c r="E8" s="45">
        <v>0.10520778537611701</v>
      </c>
      <c r="F8" s="45">
        <v>1.6833245660178802</v>
      </c>
      <c r="G8" s="45">
        <v>0</v>
      </c>
      <c r="H8" s="45">
        <v>87.848500789058306</v>
      </c>
      <c r="I8" s="45">
        <v>5.2603892688058901E-2</v>
      </c>
      <c r="J8" s="45">
        <v>0.94687006838505994</v>
      </c>
      <c r="K8" s="45">
        <v>2.31457127827459</v>
      </c>
      <c r="L8" s="45">
        <v>6.6280904786954196</v>
      </c>
      <c r="M8" s="45">
        <v>0.21041557075223502</v>
      </c>
      <c r="N8" s="45">
        <v>0</v>
      </c>
      <c r="O8" s="45">
        <v>0.21041557075223502</v>
      </c>
      <c r="P8" s="45">
        <f>SUM(E8:O8)</f>
        <v>99.999999999999886</v>
      </c>
      <c r="Q8" s="54">
        <f>C8*(B8/100)</f>
        <v>1900.9999999999957</v>
      </c>
      <c r="S8" s="29"/>
    </row>
    <row r="9" spans="1:19" x14ac:dyDescent="0.3">
      <c r="A9" s="25" t="s">
        <v>164</v>
      </c>
      <c r="B9" s="45">
        <v>51.633986928104505</v>
      </c>
      <c r="C9" s="54">
        <v>306</v>
      </c>
      <c r="D9" s="45">
        <v>2.6139240506329098</v>
      </c>
      <c r="E9" s="45">
        <v>1.26582278481012</v>
      </c>
      <c r="F9" s="45">
        <v>1.89873417721519</v>
      </c>
      <c r="G9" s="45">
        <v>0</v>
      </c>
      <c r="H9" s="45">
        <v>89.240506329113899</v>
      </c>
      <c r="I9" s="45">
        <v>0</v>
      </c>
      <c r="J9" s="45">
        <v>0.632911392405063</v>
      </c>
      <c r="K9" s="45">
        <v>2.5316455696202498</v>
      </c>
      <c r="L9" s="45">
        <v>4.43037974683544</v>
      </c>
      <c r="M9" s="45">
        <v>0</v>
      </c>
      <c r="N9" s="45">
        <v>0</v>
      </c>
      <c r="O9" s="45">
        <v>0</v>
      </c>
      <c r="P9" s="45">
        <f t="shared" ref="P9:P63" si="0">SUM(E9:O9)</f>
        <v>99.999999999999972</v>
      </c>
      <c r="Q9" s="54">
        <f t="shared" ref="Q9:Q63" si="1">C9*(B9/100)</f>
        <v>157.99999999999977</v>
      </c>
      <c r="S9" s="29"/>
    </row>
    <row r="10" spans="1:19" x14ac:dyDescent="0.3">
      <c r="A10" s="25" t="s">
        <v>91</v>
      </c>
      <c r="B10" s="45">
        <v>67.051070840197596</v>
      </c>
      <c r="C10" s="54">
        <v>4249</v>
      </c>
      <c r="D10" s="45">
        <v>2.9336609336609301</v>
      </c>
      <c r="E10" s="45">
        <v>7.02000702000702E-2</v>
      </c>
      <c r="F10" s="45">
        <v>0.38610038610038599</v>
      </c>
      <c r="G10" s="45">
        <v>3.51000351000351E-2</v>
      </c>
      <c r="H10" s="45">
        <v>97.683397683397601</v>
      </c>
      <c r="I10" s="45">
        <v>3.51000351000351E-2</v>
      </c>
      <c r="J10" s="45">
        <v>7.02000702000702E-2</v>
      </c>
      <c r="K10" s="45">
        <v>0.52650052650052592</v>
      </c>
      <c r="L10" s="45">
        <v>0.98280098280098205</v>
      </c>
      <c r="M10" s="45">
        <v>7.02000702000702E-2</v>
      </c>
      <c r="N10" s="45">
        <v>7.02000702000702E-2</v>
      </c>
      <c r="O10" s="45">
        <v>7.02000702000702E-2</v>
      </c>
      <c r="P10" s="45">
        <f t="shared" si="0"/>
        <v>99.999999999999929</v>
      </c>
      <c r="Q10" s="54">
        <f t="shared" si="1"/>
        <v>2848.9999999999955</v>
      </c>
      <c r="S10" s="29"/>
    </row>
    <row r="11" spans="1:19" x14ac:dyDescent="0.3">
      <c r="A11" s="22" t="s">
        <v>90</v>
      </c>
      <c r="B11" s="45"/>
      <c r="C11" s="54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54"/>
      <c r="S11" s="29"/>
    </row>
    <row r="12" spans="1:19" x14ac:dyDescent="0.3">
      <c r="A12" s="25" t="s">
        <v>7</v>
      </c>
      <c r="B12" s="45">
        <v>65.295169946332692</v>
      </c>
      <c r="C12" s="54">
        <v>559</v>
      </c>
      <c r="D12" s="45">
        <v>2.7178082191780799</v>
      </c>
      <c r="E12" s="45">
        <v>0</v>
      </c>
      <c r="F12" s="45">
        <v>2.7397260273972601</v>
      </c>
      <c r="G12" s="45">
        <v>0</v>
      </c>
      <c r="H12" s="45">
        <v>96.438356164383492</v>
      </c>
      <c r="I12" s="45">
        <v>0</v>
      </c>
      <c r="J12" s="45">
        <v>0</v>
      </c>
      <c r="K12" s="45">
        <v>0</v>
      </c>
      <c r="L12" s="45">
        <v>0.54794520547945202</v>
      </c>
      <c r="M12" s="45">
        <v>0</v>
      </c>
      <c r="N12" s="45">
        <v>0</v>
      </c>
      <c r="O12" s="45">
        <v>0.27397260273972601</v>
      </c>
      <c r="P12" s="45">
        <f t="shared" si="0"/>
        <v>99.999999999999929</v>
      </c>
      <c r="Q12" s="54">
        <f t="shared" si="1"/>
        <v>364.99999999999972</v>
      </c>
      <c r="S12" s="29"/>
    </row>
    <row r="13" spans="1:19" x14ac:dyDescent="0.3">
      <c r="A13" s="25" t="s">
        <v>8</v>
      </c>
      <c r="B13" s="45">
        <v>67.63285024154581</v>
      </c>
      <c r="C13" s="54">
        <v>828</v>
      </c>
      <c r="D13" s="45">
        <v>2.8946428571428502</v>
      </c>
      <c r="E13" s="45">
        <v>0</v>
      </c>
      <c r="F13" s="45">
        <v>0.53571428571428503</v>
      </c>
      <c r="G13" s="45">
        <v>0</v>
      </c>
      <c r="H13" s="45">
        <v>97.678571428571402</v>
      </c>
      <c r="I13" s="45">
        <v>0</v>
      </c>
      <c r="J13" s="45">
        <v>0.17857142857142799</v>
      </c>
      <c r="K13" s="45">
        <v>1.0714285714285701</v>
      </c>
      <c r="L13" s="45">
        <v>0.17857142857142799</v>
      </c>
      <c r="M13" s="45">
        <v>0.17857142857142799</v>
      </c>
      <c r="N13" s="45">
        <v>0</v>
      </c>
      <c r="O13" s="45">
        <v>0.17857142857142799</v>
      </c>
      <c r="P13" s="45">
        <f t="shared" si="0"/>
        <v>99.999999999999986</v>
      </c>
      <c r="Q13" s="54">
        <f t="shared" si="1"/>
        <v>559.99999999999932</v>
      </c>
      <c r="S13" s="29"/>
    </row>
    <row r="14" spans="1:19" x14ac:dyDescent="0.3">
      <c r="A14" s="25" t="s">
        <v>9</v>
      </c>
      <c r="B14" s="45">
        <v>67.023172905525797</v>
      </c>
      <c r="C14" s="54">
        <v>561</v>
      </c>
      <c r="D14" s="45">
        <v>2.4015957446808498</v>
      </c>
      <c r="E14" s="45">
        <v>0.26595744680850997</v>
      </c>
      <c r="F14" s="45">
        <v>0.26595744680850997</v>
      </c>
      <c r="G14" s="45">
        <v>0</v>
      </c>
      <c r="H14" s="45">
        <v>92.819148936170208</v>
      </c>
      <c r="I14" s="45">
        <v>0</v>
      </c>
      <c r="J14" s="45">
        <v>0.26595744680850997</v>
      </c>
      <c r="K14" s="45">
        <v>1.8617021276595698</v>
      </c>
      <c r="L14" s="45">
        <v>3.9893617021276597</v>
      </c>
      <c r="M14" s="45">
        <v>0</v>
      </c>
      <c r="N14" s="45">
        <v>0</v>
      </c>
      <c r="O14" s="45">
        <v>0.53191489361702105</v>
      </c>
      <c r="P14" s="45">
        <f t="shared" si="0"/>
        <v>100</v>
      </c>
      <c r="Q14" s="54">
        <f t="shared" si="1"/>
        <v>375.99999999999972</v>
      </c>
      <c r="S14" s="29"/>
    </row>
    <row r="15" spans="1:19" x14ac:dyDescent="0.3">
      <c r="A15" s="25" t="s">
        <v>10</v>
      </c>
      <c r="B15" s="45">
        <v>28.519855595667799</v>
      </c>
      <c r="C15" s="54">
        <v>554</v>
      </c>
      <c r="D15" s="45">
        <v>3.24050632911392</v>
      </c>
      <c r="E15" s="45">
        <v>0.632911392405063</v>
      </c>
      <c r="F15" s="45">
        <v>0</v>
      </c>
      <c r="G15" s="45">
        <v>0</v>
      </c>
      <c r="H15" s="45">
        <v>94.303797468354404</v>
      </c>
      <c r="I15" s="45">
        <v>0</v>
      </c>
      <c r="J15" s="45">
        <v>2.5316455696202498</v>
      </c>
      <c r="K15" s="45">
        <v>0</v>
      </c>
      <c r="L15" s="45">
        <v>2.5316455696202498</v>
      </c>
      <c r="M15" s="45">
        <v>0</v>
      </c>
      <c r="N15" s="45">
        <v>0</v>
      </c>
      <c r="O15" s="45">
        <v>0</v>
      </c>
      <c r="P15" s="45">
        <f t="shared" si="0"/>
        <v>99.999999999999972</v>
      </c>
      <c r="Q15" s="54">
        <f t="shared" si="1"/>
        <v>157.9999999999996</v>
      </c>
      <c r="S15" s="29"/>
    </row>
    <row r="16" spans="1:19" x14ac:dyDescent="0.3">
      <c r="A16" s="25" t="s">
        <v>11</v>
      </c>
      <c r="B16" s="45">
        <v>15.845070422535201</v>
      </c>
      <c r="C16" s="54">
        <v>568</v>
      </c>
      <c r="D16" s="45">
        <v>2.0333333333333301</v>
      </c>
      <c r="E16" s="45">
        <v>0</v>
      </c>
      <c r="F16" s="45">
        <v>0</v>
      </c>
      <c r="G16" s="45">
        <v>0</v>
      </c>
      <c r="H16" s="45">
        <v>84.4444444444444</v>
      </c>
      <c r="I16" s="45">
        <v>0</v>
      </c>
      <c r="J16" s="45">
        <v>1.1111111111111098</v>
      </c>
      <c r="K16" s="45">
        <v>1.1111111111111098</v>
      </c>
      <c r="L16" s="45">
        <v>8.8888888888888786</v>
      </c>
      <c r="M16" s="45">
        <v>4.4444444444444393</v>
      </c>
      <c r="N16" s="45">
        <v>0</v>
      </c>
      <c r="O16" s="45">
        <v>0</v>
      </c>
      <c r="P16" s="45">
        <f t="shared" si="0"/>
        <v>99.999999999999957</v>
      </c>
      <c r="Q16" s="54">
        <f t="shared" si="1"/>
        <v>89.999999999999943</v>
      </c>
      <c r="S16" s="29"/>
    </row>
    <row r="17" spans="1:19" x14ac:dyDescent="0.3">
      <c r="A17" s="25" t="s">
        <v>12</v>
      </c>
      <c r="B17" s="45">
        <v>65.959409594095902</v>
      </c>
      <c r="C17" s="54">
        <v>1084</v>
      </c>
      <c r="D17" s="45">
        <v>2.8853146853146798</v>
      </c>
      <c r="E17" s="45">
        <v>0.13986013986013898</v>
      </c>
      <c r="F17" s="45">
        <v>0.41958041958041897</v>
      </c>
      <c r="G17" s="45">
        <v>0</v>
      </c>
      <c r="H17" s="45">
        <v>96.783216783216702</v>
      </c>
      <c r="I17" s="45">
        <v>0.13986013986013898</v>
      </c>
      <c r="J17" s="45">
        <v>0</v>
      </c>
      <c r="K17" s="45">
        <v>1.9580419580419499</v>
      </c>
      <c r="L17" s="45">
        <v>0.55944055944055904</v>
      </c>
      <c r="M17" s="45">
        <v>0</v>
      </c>
      <c r="N17" s="45">
        <v>0</v>
      </c>
      <c r="O17" s="45">
        <v>0</v>
      </c>
      <c r="P17" s="45">
        <f t="shared" si="0"/>
        <v>99.999999999999901</v>
      </c>
      <c r="Q17" s="54">
        <f t="shared" si="1"/>
        <v>714.99999999999955</v>
      </c>
      <c r="S17" s="29"/>
    </row>
    <row r="18" spans="1:19" x14ac:dyDescent="0.3">
      <c r="A18" s="25" t="s">
        <v>107</v>
      </c>
      <c r="B18" s="45">
        <v>45.2631578947368</v>
      </c>
      <c r="C18" s="54">
        <v>570</v>
      </c>
      <c r="D18" s="45">
        <v>2.58527131782945</v>
      </c>
      <c r="E18" s="45">
        <v>0.387596899224806</v>
      </c>
      <c r="F18" s="45">
        <v>5.0387596899224798</v>
      </c>
      <c r="G18" s="45">
        <v>0</v>
      </c>
      <c r="H18" s="45">
        <v>87.984496124030997</v>
      </c>
      <c r="I18" s="45">
        <v>0</v>
      </c>
      <c r="J18" s="45">
        <v>0.387596899224806</v>
      </c>
      <c r="K18" s="45">
        <v>1.16279069767441</v>
      </c>
      <c r="L18" s="45">
        <v>4.6511627906976702</v>
      </c>
      <c r="M18" s="45">
        <v>0</v>
      </c>
      <c r="N18" s="45">
        <v>0.387596899224806</v>
      </c>
      <c r="O18" s="45">
        <v>0</v>
      </c>
      <c r="P18" s="45">
        <f t="shared" si="0"/>
        <v>99.999999999999972</v>
      </c>
      <c r="Q18" s="54">
        <f t="shared" si="1"/>
        <v>257.99999999999977</v>
      </c>
      <c r="S18" s="29"/>
    </row>
    <row r="19" spans="1:19" x14ac:dyDescent="0.3">
      <c r="A19" s="25" t="s">
        <v>14</v>
      </c>
      <c r="B19" s="45">
        <v>35.714285714285701</v>
      </c>
      <c r="C19" s="54">
        <v>854</v>
      </c>
      <c r="D19" s="45">
        <v>3.2459016393442601</v>
      </c>
      <c r="E19" s="45">
        <v>0.32786885245901598</v>
      </c>
      <c r="F19" s="45">
        <v>0</v>
      </c>
      <c r="G19" s="45">
        <v>0</v>
      </c>
      <c r="H19" s="45">
        <v>90.163934426229503</v>
      </c>
      <c r="I19" s="45">
        <v>0.32786885245901598</v>
      </c>
      <c r="J19" s="45">
        <v>0.65573770491803196</v>
      </c>
      <c r="K19" s="45">
        <v>0</v>
      </c>
      <c r="L19" s="45">
        <v>8.1967213114754003</v>
      </c>
      <c r="M19" s="45">
        <v>0</v>
      </c>
      <c r="N19" s="45">
        <v>0</v>
      </c>
      <c r="O19" s="45">
        <v>0.32786885245901598</v>
      </c>
      <c r="P19" s="45">
        <f t="shared" si="0"/>
        <v>100</v>
      </c>
      <c r="Q19" s="54">
        <f t="shared" si="1"/>
        <v>304.99999999999989</v>
      </c>
      <c r="S19" s="29"/>
    </row>
    <row r="20" spans="1:19" x14ac:dyDescent="0.3">
      <c r="A20" s="25" t="s">
        <v>15</v>
      </c>
      <c r="B20" s="45">
        <v>42.369838420107705</v>
      </c>
      <c r="C20" s="54">
        <v>557</v>
      </c>
      <c r="D20" s="45">
        <v>2.4406779661016902</v>
      </c>
      <c r="E20" s="45">
        <v>0</v>
      </c>
      <c r="F20" s="45">
        <v>0.84745762711864403</v>
      </c>
      <c r="G20" s="45">
        <v>0</v>
      </c>
      <c r="H20" s="45">
        <v>94.067796610169495</v>
      </c>
      <c r="I20" s="45">
        <v>0</v>
      </c>
      <c r="J20" s="45">
        <v>0.84745762711864403</v>
      </c>
      <c r="K20" s="45">
        <v>2.1186440677966099</v>
      </c>
      <c r="L20" s="45">
        <v>2.1186440677966099</v>
      </c>
      <c r="M20" s="45">
        <v>0</v>
      </c>
      <c r="N20" s="45">
        <v>0</v>
      </c>
      <c r="O20" s="45">
        <v>0</v>
      </c>
      <c r="P20" s="45">
        <f t="shared" si="0"/>
        <v>100</v>
      </c>
      <c r="Q20" s="54">
        <f t="shared" si="1"/>
        <v>235.99999999999991</v>
      </c>
      <c r="S20" s="29"/>
    </row>
    <row r="21" spans="1:19" x14ac:dyDescent="0.3">
      <c r="A21" s="25" t="s">
        <v>16</v>
      </c>
      <c r="B21" s="45">
        <v>34.074941451990597</v>
      </c>
      <c r="C21" s="54">
        <v>854</v>
      </c>
      <c r="D21" s="45">
        <v>2.6426116838487901</v>
      </c>
      <c r="E21" s="45">
        <v>0</v>
      </c>
      <c r="F21" s="45">
        <v>0</v>
      </c>
      <c r="G21" s="45">
        <v>0</v>
      </c>
      <c r="H21" s="45">
        <v>85.567010309278302</v>
      </c>
      <c r="I21" s="45">
        <v>0</v>
      </c>
      <c r="J21" s="45">
        <v>1.3745704467353899</v>
      </c>
      <c r="K21" s="45">
        <v>1.0309278350515401</v>
      </c>
      <c r="L21" s="45">
        <v>12.027491408934701</v>
      </c>
      <c r="M21" s="45">
        <v>0</v>
      </c>
      <c r="N21" s="45">
        <v>0</v>
      </c>
      <c r="O21" s="45">
        <v>0</v>
      </c>
      <c r="P21" s="45">
        <f t="shared" si="0"/>
        <v>99.999999999999943</v>
      </c>
      <c r="Q21" s="54">
        <f t="shared" si="1"/>
        <v>290.99999999999972</v>
      </c>
      <c r="S21" s="29"/>
    </row>
    <row r="22" spans="1:19" x14ac:dyDescent="0.3">
      <c r="A22" s="25" t="s">
        <v>17</v>
      </c>
      <c r="B22" s="45">
        <v>57.210401891252907</v>
      </c>
      <c r="C22" s="54">
        <v>846</v>
      </c>
      <c r="D22" s="45">
        <v>3.3181818181818099</v>
      </c>
      <c r="E22" s="45">
        <v>0</v>
      </c>
      <c r="F22" s="45">
        <v>0.20661157024793297</v>
      </c>
      <c r="G22" s="45">
        <v>0</v>
      </c>
      <c r="H22" s="45">
        <v>95.867768595041298</v>
      </c>
      <c r="I22" s="45">
        <v>0</v>
      </c>
      <c r="J22" s="45">
        <v>0.82644628099173501</v>
      </c>
      <c r="K22" s="45">
        <v>0.413223140495867</v>
      </c>
      <c r="L22" s="45">
        <v>2.4793388429752001</v>
      </c>
      <c r="M22" s="45">
        <v>0</v>
      </c>
      <c r="N22" s="45">
        <v>0.20661157024793297</v>
      </c>
      <c r="O22" s="45">
        <v>0</v>
      </c>
      <c r="P22" s="45">
        <f t="shared" si="0"/>
        <v>99.999999999999957</v>
      </c>
      <c r="Q22" s="54">
        <f t="shared" si="1"/>
        <v>483.99999999999955</v>
      </c>
      <c r="S22" s="29"/>
    </row>
    <row r="23" spans="1:19" x14ac:dyDescent="0.3">
      <c r="A23" s="25" t="s">
        <v>18</v>
      </c>
      <c r="B23" s="45">
        <v>40.375586854459996</v>
      </c>
      <c r="C23" s="54">
        <v>852</v>
      </c>
      <c r="D23" s="45">
        <v>3.1191860465116199</v>
      </c>
      <c r="E23" s="45">
        <v>0</v>
      </c>
      <c r="F23" s="45">
        <v>0.290697674418604</v>
      </c>
      <c r="G23" s="45">
        <v>0</v>
      </c>
      <c r="H23" s="45">
        <v>93.023255813953398</v>
      </c>
      <c r="I23" s="45">
        <v>0</v>
      </c>
      <c r="J23" s="45">
        <v>0.290697674418604</v>
      </c>
      <c r="K23" s="45">
        <v>1.4534883720930198</v>
      </c>
      <c r="L23" s="45">
        <v>4.9418604651162701</v>
      </c>
      <c r="M23" s="45">
        <v>0</v>
      </c>
      <c r="N23" s="45">
        <v>0</v>
      </c>
      <c r="O23" s="45">
        <v>0</v>
      </c>
      <c r="P23" s="45">
        <f t="shared" si="0"/>
        <v>99.999999999999901</v>
      </c>
      <c r="Q23" s="54">
        <f t="shared" si="1"/>
        <v>343.99999999999915</v>
      </c>
      <c r="S23" s="29"/>
    </row>
    <row r="24" spans="1:19" x14ac:dyDescent="0.3">
      <c r="A24" s="25" t="s">
        <v>19</v>
      </c>
      <c r="B24" s="45">
        <v>57.467144563918701</v>
      </c>
      <c r="C24" s="54">
        <v>837</v>
      </c>
      <c r="D24" s="45">
        <v>2.72141372141372</v>
      </c>
      <c r="E24" s="45">
        <v>0</v>
      </c>
      <c r="F24" s="45">
        <v>2.4948024948024901</v>
      </c>
      <c r="G24" s="45">
        <v>0.207900207900207</v>
      </c>
      <c r="H24" s="45">
        <v>90.644490644490602</v>
      </c>
      <c r="I24" s="45">
        <v>0</v>
      </c>
      <c r="J24" s="45">
        <v>0</v>
      </c>
      <c r="K24" s="45">
        <v>3.5343035343035303</v>
      </c>
      <c r="L24" s="45">
        <v>2.7027027027027</v>
      </c>
      <c r="M24" s="45">
        <v>0.207900207900207</v>
      </c>
      <c r="N24" s="45">
        <v>0</v>
      </c>
      <c r="O24" s="45">
        <v>0.207900207900207</v>
      </c>
      <c r="P24" s="45">
        <f t="shared" si="0"/>
        <v>99.999999999999943</v>
      </c>
      <c r="Q24" s="54">
        <f t="shared" si="1"/>
        <v>480.99999999999955</v>
      </c>
      <c r="S24" s="29"/>
    </row>
    <row r="25" spans="1:19" x14ac:dyDescent="0.3">
      <c r="A25" s="25" t="s">
        <v>20</v>
      </c>
      <c r="B25" s="45">
        <v>43.286219081272002</v>
      </c>
      <c r="C25" s="54">
        <v>566</v>
      </c>
      <c r="D25" s="45">
        <v>3.1387755102040802</v>
      </c>
      <c r="E25" s="45">
        <v>0.40816326530612196</v>
      </c>
      <c r="F25" s="45">
        <v>0</v>
      </c>
      <c r="G25" s="45">
        <v>0</v>
      </c>
      <c r="H25" s="45">
        <v>96.326530612244895</v>
      </c>
      <c r="I25" s="45">
        <v>0</v>
      </c>
      <c r="J25" s="45">
        <v>0</v>
      </c>
      <c r="K25" s="45">
        <v>0</v>
      </c>
      <c r="L25" s="45">
        <v>3.2653061224489797</v>
      </c>
      <c r="M25" s="45">
        <v>0</v>
      </c>
      <c r="N25" s="45">
        <v>0</v>
      </c>
      <c r="O25" s="45">
        <v>0</v>
      </c>
      <c r="P25" s="45">
        <f t="shared" si="0"/>
        <v>99.999999999999986</v>
      </c>
      <c r="Q25" s="54">
        <f t="shared" si="1"/>
        <v>244.99999999999955</v>
      </c>
      <c r="S25" s="29"/>
    </row>
    <row r="26" spans="1:19" x14ac:dyDescent="0.3">
      <c r="A26" s="22" t="s">
        <v>100</v>
      </c>
      <c r="B26" s="45"/>
      <c r="C26" s="5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54"/>
      <c r="S26" s="29"/>
    </row>
    <row r="27" spans="1:19" x14ac:dyDescent="0.3">
      <c r="A27" s="25" t="s">
        <v>108</v>
      </c>
      <c r="B27" s="45">
        <v>49.241767764297997</v>
      </c>
      <c r="C27" s="54">
        <v>4616</v>
      </c>
      <c r="D27" s="45">
        <v>2.8574571051473798</v>
      </c>
      <c r="E27" s="45">
        <v>0.21997360316761902</v>
      </c>
      <c r="F27" s="45">
        <v>0.74791025076990703</v>
      </c>
      <c r="G27" s="45">
        <v>0</v>
      </c>
      <c r="H27" s="45">
        <v>92.916849978002602</v>
      </c>
      <c r="I27" s="45">
        <v>8.7989441267047899E-2</v>
      </c>
      <c r="J27" s="45">
        <v>0.57193136823581103</v>
      </c>
      <c r="K27" s="45">
        <v>0.83589969203695502</v>
      </c>
      <c r="L27" s="45">
        <v>4.0915090189177299</v>
      </c>
      <c r="M27" s="45">
        <v>0.21997360316761902</v>
      </c>
      <c r="N27" s="45">
        <v>8.7989441267047899E-2</v>
      </c>
      <c r="O27" s="45">
        <v>0.21997360316761902</v>
      </c>
      <c r="P27" s="45">
        <f t="shared" si="0"/>
        <v>99.999999999999943</v>
      </c>
      <c r="Q27" s="54">
        <f t="shared" si="1"/>
        <v>2272.9999999999955</v>
      </c>
      <c r="S27" s="29"/>
    </row>
    <row r="28" spans="1:19" x14ac:dyDescent="0.3">
      <c r="A28" s="25" t="s">
        <v>109</v>
      </c>
      <c r="B28" s="45">
        <v>48.136645962732899</v>
      </c>
      <c r="C28" s="54">
        <v>5474</v>
      </c>
      <c r="D28" s="45">
        <v>2.8607210626185902</v>
      </c>
      <c r="E28" s="45">
        <v>3.7950664136622299E-2</v>
      </c>
      <c r="F28" s="45">
        <v>1.10056925996204</v>
      </c>
      <c r="G28" s="45">
        <v>3.7950664136622299E-2</v>
      </c>
      <c r="H28" s="45">
        <v>94.193548387096698</v>
      </c>
      <c r="I28" s="45">
        <v>0</v>
      </c>
      <c r="J28" s="45">
        <v>0.303605313092979</v>
      </c>
      <c r="K28" s="45">
        <v>1.66982922201138</v>
      </c>
      <c r="L28" s="45">
        <v>2.5806451612903203</v>
      </c>
      <c r="M28" s="45">
        <v>3.7950664136622299E-2</v>
      </c>
      <c r="N28" s="45">
        <v>0</v>
      </c>
      <c r="O28" s="45">
        <v>3.7950664136622299E-2</v>
      </c>
      <c r="P28" s="45">
        <f t="shared" si="0"/>
        <v>99.999999999999901</v>
      </c>
      <c r="Q28" s="54">
        <f t="shared" si="1"/>
        <v>2634.9999999999991</v>
      </c>
      <c r="S28" s="29"/>
    </row>
    <row r="29" spans="1:19" x14ac:dyDescent="0.3">
      <c r="A29" s="22" t="s">
        <v>99</v>
      </c>
      <c r="B29" s="45"/>
      <c r="C29" s="5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4"/>
      <c r="S29" s="29"/>
    </row>
    <row r="30" spans="1:19" x14ac:dyDescent="0.3">
      <c r="A30" s="25" t="s">
        <v>110</v>
      </c>
      <c r="B30" s="45">
        <v>35.135135135135101</v>
      </c>
      <c r="C30" s="54">
        <v>37</v>
      </c>
      <c r="D30" s="45">
        <v>3.1538461538461502</v>
      </c>
      <c r="E30" s="45">
        <v>0</v>
      </c>
      <c r="F30" s="45">
        <v>0</v>
      </c>
      <c r="G30" s="45">
        <v>0</v>
      </c>
      <c r="H30" s="45">
        <v>84.615384615384599</v>
      </c>
      <c r="I30" s="45">
        <v>0</v>
      </c>
      <c r="J30" s="45">
        <v>0</v>
      </c>
      <c r="K30" s="45">
        <v>0</v>
      </c>
      <c r="L30" s="45">
        <v>15.3846153846153</v>
      </c>
      <c r="M30" s="45">
        <v>0</v>
      </c>
      <c r="N30" s="45">
        <v>0</v>
      </c>
      <c r="O30" s="45">
        <v>0</v>
      </c>
      <c r="P30" s="45">
        <f t="shared" si="0"/>
        <v>99.999999999999901</v>
      </c>
      <c r="Q30" s="54">
        <f t="shared" si="1"/>
        <v>12.999999999999988</v>
      </c>
      <c r="S30" s="29"/>
    </row>
    <row r="31" spans="1:19" x14ac:dyDescent="0.3">
      <c r="A31" s="25" t="s">
        <v>111</v>
      </c>
      <c r="B31" s="45">
        <v>51.415033935202899</v>
      </c>
      <c r="C31" s="54">
        <v>7809</v>
      </c>
      <c r="D31" s="45">
        <v>2.86973848069738</v>
      </c>
      <c r="E31" s="45">
        <v>0.149439601494396</v>
      </c>
      <c r="F31" s="45">
        <v>1.0460772104607698</v>
      </c>
      <c r="G31" s="45">
        <v>0</v>
      </c>
      <c r="H31" s="45">
        <v>94.022415940224107</v>
      </c>
      <c r="I31" s="45">
        <v>4.9813200498132003E-2</v>
      </c>
      <c r="J31" s="45">
        <v>0.37359900373599003</v>
      </c>
      <c r="K31" s="45">
        <v>1.51930261519302</v>
      </c>
      <c r="L31" s="45">
        <v>2.5653798256537899</v>
      </c>
      <c r="M31" s="45">
        <v>0.12453300124532998</v>
      </c>
      <c r="N31" s="45">
        <v>2.4906600249066001E-2</v>
      </c>
      <c r="O31" s="45">
        <v>0.12453300124532998</v>
      </c>
      <c r="P31" s="45">
        <f t="shared" si="0"/>
        <v>99.999999999999943</v>
      </c>
      <c r="Q31" s="54">
        <f t="shared" si="1"/>
        <v>4014.9999999999945</v>
      </c>
      <c r="S31" s="29"/>
    </row>
    <row r="32" spans="1:19" x14ac:dyDescent="0.3">
      <c r="A32" s="25" t="s">
        <v>112</v>
      </c>
      <c r="B32" s="45">
        <v>39.2156862745098</v>
      </c>
      <c r="C32" s="54">
        <v>2244</v>
      </c>
      <c r="D32" s="45">
        <v>2.8068181818181799</v>
      </c>
      <c r="E32" s="45">
        <v>0</v>
      </c>
      <c r="F32" s="45">
        <v>0.45454545454545403</v>
      </c>
      <c r="G32" s="45">
        <v>0.11363636363636301</v>
      </c>
      <c r="H32" s="45">
        <v>91.818181818181799</v>
      </c>
      <c r="I32" s="45">
        <v>0</v>
      </c>
      <c r="J32" s="45">
        <v>0.68181818181818099</v>
      </c>
      <c r="K32" s="45">
        <v>0.22727272727272702</v>
      </c>
      <c r="L32" s="45">
        <v>6.3636363636363598</v>
      </c>
      <c r="M32" s="45">
        <v>0.11363636363636301</v>
      </c>
      <c r="N32" s="45">
        <v>0.11363636363636301</v>
      </c>
      <c r="O32" s="45">
        <v>0.11363636363636301</v>
      </c>
      <c r="P32" s="45">
        <f t="shared" si="0"/>
        <v>99.999999999999972</v>
      </c>
      <c r="Q32" s="54">
        <f t="shared" si="1"/>
        <v>879.99999999999989</v>
      </c>
      <c r="S32" s="29"/>
    </row>
    <row r="33" spans="1:19" x14ac:dyDescent="0.3">
      <c r="A33" s="22" t="s">
        <v>98</v>
      </c>
      <c r="B33" s="45"/>
      <c r="C33" s="5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54"/>
      <c r="S33" s="29"/>
    </row>
    <row r="34" spans="1:19" x14ac:dyDescent="0.3">
      <c r="A34" s="25" t="s">
        <v>113</v>
      </c>
      <c r="B34" s="45">
        <v>26.6666666666666</v>
      </c>
      <c r="C34" s="54">
        <v>1905</v>
      </c>
      <c r="D34" s="45">
        <v>2.60433070866141</v>
      </c>
      <c r="E34" s="45">
        <v>0.59055118110236204</v>
      </c>
      <c r="F34" s="45">
        <v>1.7716535433070799</v>
      </c>
      <c r="G34" s="45">
        <v>0</v>
      </c>
      <c r="H34" s="45">
        <v>85.826771653543304</v>
      </c>
      <c r="I34" s="45">
        <v>0</v>
      </c>
      <c r="J34" s="45">
        <v>1.37795275590551</v>
      </c>
      <c r="K34" s="45">
        <v>1.7716535433070799</v>
      </c>
      <c r="L34" s="45">
        <v>7.8740157480314901</v>
      </c>
      <c r="M34" s="45">
        <v>0.196850393700787</v>
      </c>
      <c r="N34" s="45">
        <v>0.196850393700787</v>
      </c>
      <c r="O34" s="45">
        <v>0.39370078740157399</v>
      </c>
      <c r="P34" s="45">
        <f t="shared" si="0"/>
        <v>99.999999999999972</v>
      </c>
      <c r="Q34" s="54">
        <f t="shared" si="1"/>
        <v>507.99999999999875</v>
      </c>
      <c r="S34" s="29"/>
    </row>
    <row r="35" spans="1:19" x14ac:dyDescent="0.3">
      <c r="A35" s="25" t="s">
        <v>114</v>
      </c>
      <c r="B35" s="45">
        <v>45.454545454545396</v>
      </c>
      <c r="C35" s="54">
        <v>55</v>
      </c>
      <c r="D35" s="45">
        <v>2.72</v>
      </c>
      <c r="E35" s="45">
        <v>0</v>
      </c>
      <c r="F35" s="45">
        <v>0</v>
      </c>
      <c r="G35" s="45">
        <v>0</v>
      </c>
      <c r="H35" s="45">
        <v>96</v>
      </c>
      <c r="I35" s="45">
        <v>0</v>
      </c>
      <c r="J35" s="45">
        <v>0</v>
      </c>
      <c r="K35" s="45">
        <v>0</v>
      </c>
      <c r="L35" s="45">
        <v>4</v>
      </c>
      <c r="M35" s="45">
        <v>0</v>
      </c>
      <c r="N35" s="45">
        <v>0</v>
      </c>
      <c r="O35" s="45">
        <v>0</v>
      </c>
      <c r="P35" s="45">
        <f t="shared" si="0"/>
        <v>100</v>
      </c>
      <c r="Q35" s="54">
        <f t="shared" si="1"/>
        <v>24.999999999999968</v>
      </c>
      <c r="S35" s="29"/>
    </row>
    <row r="36" spans="1:19" x14ac:dyDescent="0.3">
      <c r="A36" s="25" t="s">
        <v>115</v>
      </c>
      <c r="B36" s="45">
        <v>37.577981651376099</v>
      </c>
      <c r="C36" s="54">
        <v>2725</v>
      </c>
      <c r="D36" s="45">
        <v>2.7109375</v>
      </c>
      <c r="E36" s="45">
        <v>9.765625E-2</v>
      </c>
      <c r="F36" s="45">
        <v>1.953125</v>
      </c>
      <c r="G36" s="45">
        <v>0</v>
      </c>
      <c r="H36" s="45">
        <v>88.671875</v>
      </c>
      <c r="I36" s="45">
        <v>0</v>
      </c>
      <c r="J36" s="45">
        <v>0.78125</v>
      </c>
      <c r="K36" s="45">
        <v>2.05078125</v>
      </c>
      <c r="L36" s="45">
        <v>5.859375</v>
      </c>
      <c r="M36" s="45">
        <v>0.29296875</v>
      </c>
      <c r="N36" s="45">
        <v>0</v>
      </c>
      <c r="O36" s="45">
        <v>0.29296875</v>
      </c>
      <c r="P36" s="45">
        <f t="shared" si="0"/>
        <v>100</v>
      </c>
      <c r="Q36" s="54">
        <f t="shared" si="1"/>
        <v>1023.9999999999986</v>
      </c>
      <c r="S36" s="29"/>
    </row>
    <row r="37" spans="1:19" x14ac:dyDescent="0.3">
      <c r="A37" s="25" t="s">
        <v>116</v>
      </c>
      <c r="B37" s="45">
        <v>58.537170263788894</v>
      </c>
      <c r="C37" s="54">
        <v>4170</v>
      </c>
      <c r="D37" s="45">
        <v>2.89594428512904</v>
      </c>
      <c r="E37" s="45">
        <v>8.1933633756657104E-2</v>
      </c>
      <c r="F37" s="45">
        <v>0.53256861941827105</v>
      </c>
      <c r="G37" s="45">
        <v>0</v>
      </c>
      <c r="H37" s="45">
        <v>95.698484227775509</v>
      </c>
      <c r="I37" s="45">
        <v>8.1933633756657104E-2</v>
      </c>
      <c r="J37" s="45">
        <v>0.24580090126997101</v>
      </c>
      <c r="K37" s="45">
        <v>1.02417042195821</v>
      </c>
      <c r="L37" s="45">
        <v>2.1712412945514101</v>
      </c>
      <c r="M37" s="45">
        <v>8.1933633756657104E-2</v>
      </c>
      <c r="N37" s="45">
        <v>4.0966816878328503E-2</v>
      </c>
      <c r="O37" s="45">
        <v>4.0966816878328503E-2</v>
      </c>
      <c r="P37" s="45">
        <f t="shared" si="0"/>
        <v>100</v>
      </c>
      <c r="Q37" s="54">
        <f t="shared" si="1"/>
        <v>2440.9999999999968</v>
      </c>
      <c r="S37" s="29"/>
    </row>
    <row r="38" spans="1:19" x14ac:dyDescent="0.3">
      <c r="A38" s="25" t="s">
        <v>117</v>
      </c>
      <c r="B38" s="45">
        <v>74.947145877378389</v>
      </c>
      <c r="C38" s="54">
        <v>946</v>
      </c>
      <c r="D38" s="45">
        <v>3.0648801128349699</v>
      </c>
      <c r="E38" s="45">
        <v>0</v>
      </c>
      <c r="F38" s="45">
        <v>0.56417489421720701</v>
      </c>
      <c r="G38" s="45">
        <v>0.141043723554301</v>
      </c>
      <c r="H38" s="45">
        <v>97.884344146685393</v>
      </c>
      <c r="I38" s="45">
        <v>0</v>
      </c>
      <c r="J38" s="45">
        <v>0</v>
      </c>
      <c r="K38" s="45">
        <v>0.98730606488011197</v>
      </c>
      <c r="L38" s="45">
        <v>0.42313117066290501</v>
      </c>
      <c r="M38" s="45">
        <v>0</v>
      </c>
      <c r="N38" s="45">
        <v>0</v>
      </c>
      <c r="O38" s="45">
        <v>0</v>
      </c>
      <c r="P38" s="45">
        <f t="shared" si="0"/>
        <v>99.999999999999915</v>
      </c>
      <c r="Q38" s="54">
        <f t="shared" si="1"/>
        <v>708.99999999999955</v>
      </c>
      <c r="S38" s="29"/>
    </row>
    <row r="39" spans="1:19" x14ac:dyDescent="0.3">
      <c r="A39" s="22" t="s">
        <v>3</v>
      </c>
      <c r="B39" s="45"/>
      <c r="C39" s="5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54"/>
      <c r="S39" s="29"/>
    </row>
    <row r="40" spans="1:19" x14ac:dyDescent="0.3">
      <c r="A40" s="25" t="s">
        <v>118</v>
      </c>
      <c r="B40" s="45">
        <v>18.814814814814802</v>
      </c>
      <c r="C40" s="54">
        <v>675</v>
      </c>
      <c r="D40" s="45">
        <v>2.63779527559055</v>
      </c>
      <c r="E40" s="45">
        <v>1.5748031496062902</v>
      </c>
      <c r="F40" s="45">
        <v>1.5748031496062902</v>
      </c>
      <c r="G40" s="45">
        <v>0</v>
      </c>
      <c r="H40" s="45">
        <v>85.039370078740092</v>
      </c>
      <c r="I40" s="45">
        <v>0</v>
      </c>
      <c r="J40" s="45">
        <v>3.1496062992125902</v>
      </c>
      <c r="K40" s="45">
        <v>0.7874015748031491</v>
      </c>
      <c r="L40" s="45">
        <v>7.0866141732283392</v>
      </c>
      <c r="M40" s="45">
        <v>0.7874015748031491</v>
      </c>
      <c r="N40" s="45">
        <v>0</v>
      </c>
      <c r="O40" s="45">
        <v>0</v>
      </c>
      <c r="P40" s="45">
        <f t="shared" si="0"/>
        <v>99.999999999999915</v>
      </c>
      <c r="Q40" s="54">
        <f t="shared" si="1"/>
        <v>126.99999999999993</v>
      </c>
      <c r="S40" s="29"/>
    </row>
    <row r="41" spans="1:19" x14ac:dyDescent="0.3">
      <c r="A41" s="25" t="s">
        <v>119</v>
      </c>
      <c r="B41" s="45">
        <v>26.013071895424801</v>
      </c>
      <c r="C41" s="54">
        <v>765</v>
      </c>
      <c r="D41" s="45">
        <v>2.4422110552763798</v>
      </c>
      <c r="E41" s="45">
        <v>0</v>
      </c>
      <c r="F41" s="45">
        <v>2.0100502512562799</v>
      </c>
      <c r="G41" s="45">
        <v>0</v>
      </c>
      <c r="H41" s="45">
        <v>86.934673366834105</v>
      </c>
      <c r="I41" s="45">
        <v>0</v>
      </c>
      <c r="J41" s="45">
        <v>1.0050251256281399</v>
      </c>
      <c r="K41" s="45">
        <v>0.50251256281406997</v>
      </c>
      <c r="L41" s="45">
        <v>9.0452261306532602</v>
      </c>
      <c r="M41" s="45">
        <v>0.50251256281406997</v>
      </c>
      <c r="N41" s="45">
        <v>0</v>
      </c>
      <c r="O41" s="45">
        <v>0</v>
      </c>
      <c r="P41" s="45">
        <f t="shared" si="0"/>
        <v>99.999999999999929</v>
      </c>
      <c r="Q41" s="54">
        <f t="shared" si="1"/>
        <v>198.99999999999972</v>
      </c>
      <c r="S41" s="29"/>
    </row>
    <row r="42" spans="1:19" x14ac:dyDescent="0.3">
      <c r="A42" s="25" t="s">
        <v>120</v>
      </c>
      <c r="B42" s="45">
        <v>31.466030989272898</v>
      </c>
      <c r="C42" s="54">
        <v>839</v>
      </c>
      <c r="D42" s="45">
        <v>2.77651515151515</v>
      </c>
      <c r="E42" s="45">
        <v>0.37878787878787801</v>
      </c>
      <c r="F42" s="45">
        <v>1.51515151515151</v>
      </c>
      <c r="G42" s="45">
        <v>0</v>
      </c>
      <c r="H42" s="45">
        <v>91.287878787878697</v>
      </c>
      <c r="I42" s="45">
        <v>0</v>
      </c>
      <c r="J42" s="45">
        <v>1.13636363636363</v>
      </c>
      <c r="K42" s="45">
        <v>0</v>
      </c>
      <c r="L42" s="45">
        <v>5.3030303030303001</v>
      </c>
      <c r="M42" s="45">
        <v>0.37878787878787801</v>
      </c>
      <c r="N42" s="45">
        <v>0</v>
      </c>
      <c r="O42" s="45">
        <v>0</v>
      </c>
      <c r="P42" s="45">
        <f t="shared" si="0"/>
        <v>99.999999999999886</v>
      </c>
      <c r="Q42" s="54">
        <f t="shared" si="1"/>
        <v>263.9999999999996</v>
      </c>
      <c r="S42" s="29"/>
    </row>
    <row r="43" spans="1:19" x14ac:dyDescent="0.3">
      <c r="A43" s="25" t="s">
        <v>121</v>
      </c>
      <c r="B43" s="45">
        <v>38.992974238875803</v>
      </c>
      <c r="C43" s="54">
        <v>854</v>
      </c>
      <c r="D43" s="45">
        <v>2.48348348348348</v>
      </c>
      <c r="E43" s="45">
        <v>0.30030030030029997</v>
      </c>
      <c r="F43" s="45">
        <v>0.60060060060059994</v>
      </c>
      <c r="G43" s="45">
        <v>0</v>
      </c>
      <c r="H43" s="45">
        <v>89.789789789789694</v>
      </c>
      <c r="I43" s="45">
        <v>0</v>
      </c>
      <c r="J43" s="45">
        <v>0.90090090090090003</v>
      </c>
      <c r="K43" s="45">
        <v>0.60060060060059994</v>
      </c>
      <c r="L43" s="45">
        <v>7.5075075075075004</v>
      </c>
      <c r="M43" s="45">
        <v>0</v>
      </c>
      <c r="N43" s="45">
        <v>0</v>
      </c>
      <c r="O43" s="45">
        <v>0.30030030030029997</v>
      </c>
      <c r="P43" s="45">
        <f t="shared" si="0"/>
        <v>99.999999999999872</v>
      </c>
      <c r="Q43" s="54">
        <f t="shared" si="1"/>
        <v>332.99999999999937</v>
      </c>
      <c r="S43" s="29"/>
    </row>
    <row r="44" spans="1:19" x14ac:dyDescent="0.3">
      <c r="A44" s="25" t="s">
        <v>122</v>
      </c>
      <c r="B44" s="45">
        <v>42</v>
      </c>
      <c r="C44" s="54">
        <v>950</v>
      </c>
      <c r="D44" s="45">
        <v>2.8922305764410998</v>
      </c>
      <c r="E44" s="45">
        <v>0</v>
      </c>
      <c r="F44" s="45">
        <v>1.5037593984962401</v>
      </c>
      <c r="G44" s="45">
        <v>0</v>
      </c>
      <c r="H44" s="45">
        <v>91.979949874686696</v>
      </c>
      <c r="I44" s="45">
        <v>0</v>
      </c>
      <c r="J44" s="45">
        <v>0.75187969924812004</v>
      </c>
      <c r="K44" s="45">
        <v>1.5037593984962401</v>
      </c>
      <c r="L44" s="45">
        <v>4.0100250626566396</v>
      </c>
      <c r="M44" s="45">
        <v>0</v>
      </c>
      <c r="N44" s="45">
        <v>0</v>
      </c>
      <c r="O44" s="45">
        <v>0.25062656641603998</v>
      </c>
      <c r="P44" s="45">
        <f t="shared" si="0"/>
        <v>99.999999999999986</v>
      </c>
      <c r="Q44" s="54">
        <f t="shared" si="1"/>
        <v>399</v>
      </c>
      <c r="S44" s="29"/>
    </row>
    <row r="45" spans="1:19" x14ac:dyDescent="0.3">
      <c r="A45" s="25" t="s">
        <v>123</v>
      </c>
      <c r="B45" s="45">
        <v>45.1388888888888</v>
      </c>
      <c r="C45" s="54">
        <v>1008</v>
      </c>
      <c r="D45" s="45">
        <v>2.8285714285714199</v>
      </c>
      <c r="E45" s="45">
        <v>0.219780219780219</v>
      </c>
      <c r="F45" s="45">
        <v>0.659340659340659</v>
      </c>
      <c r="G45" s="45">
        <v>0</v>
      </c>
      <c r="H45" s="45">
        <v>93.406593406593402</v>
      </c>
      <c r="I45" s="45">
        <v>0</v>
      </c>
      <c r="J45" s="45">
        <v>0.659340659340659</v>
      </c>
      <c r="K45" s="45">
        <v>0.43956043956043905</v>
      </c>
      <c r="L45" s="45">
        <v>4.3956043956043898</v>
      </c>
      <c r="M45" s="45">
        <v>0</v>
      </c>
      <c r="N45" s="45">
        <v>0.219780219780219</v>
      </c>
      <c r="O45" s="45">
        <v>0</v>
      </c>
      <c r="P45" s="45">
        <f t="shared" si="0"/>
        <v>99.999999999999986</v>
      </c>
      <c r="Q45" s="54">
        <f t="shared" si="1"/>
        <v>454.99999999999909</v>
      </c>
      <c r="S45" s="29"/>
    </row>
    <row r="46" spans="1:19" x14ac:dyDescent="0.3">
      <c r="A46" s="25" t="s">
        <v>124</v>
      </c>
      <c r="B46" s="45">
        <v>55.767484105358697</v>
      </c>
      <c r="C46" s="54">
        <v>1101</v>
      </c>
      <c r="D46" s="45">
        <v>2.80781758957654</v>
      </c>
      <c r="E46" s="45">
        <v>0</v>
      </c>
      <c r="F46" s="45">
        <v>0.97719869706840301</v>
      </c>
      <c r="G46" s="45">
        <v>0</v>
      </c>
      <c r="H46" s="45">
        <v>94.299674267100897</v>
      </c>
      <c r="I46" s="45">
        <v>0</v>
      </c>
      <c r="J46" s="45">
        <v>0.325732899022801</v>
      </c>
      <c r="K46" s="45">
        <v>1.6286644951139999</v>
      </c>
      <c r="L46" s="45">
        <v>2.4429967426710002</v>
      </c>
      <c r="M46" s="45">
        <v>0</v>
      </c>
      <c r="N46" s="45">
        <v>0.1628664495114</v>
      </c>
      <c r="O46" s="45">
        <v>0.1628664495114</v>
      </c>
      <c r="P46" s="45">
        <f t="shared" si="0"/>
        <v>99.999999999999886</v>
      </c>
      <c r="Q46" s="54">
        <f t="shared" si="1"/>
        <v>613.99999999999932</v>
      </c>
      <c r="S46" s="29"/>
    </row>
    <row r="47" spans="1:19" x14ac:dyDescent="0.3">
      <c r="A47" s="25" t="s">
        <v>125</v>
      </c>
      <c r="B47" s="45">
        <v>56.808688387635698</v>
      </c>
      <c r="C47" s="54">
        <v>1197</v>
      </c>
      <c r="D47" s="45">
        <v>2.9602941176470501</v>
      </c>
      <c r="E47" s="45">
        <v>0.14705882352941099</v>
      </c>
      <c r="F47" s="45">
        <v>1.1764705882352899</v>
      </c>
      <c r="G47" s="45">
        <v>0</v>
      </c>
      <c r="H47" s="45">
        <v>94.558823529411697</v>
      </c>
      <c r="I47" s="45">
        <v>0.14705882352941099</v>
      </c>
      <c r="J47" s="45">
        <v>0</v>
      </c>
      <c r="K47" s="45">
        <v>1.47058823529411</v>
      </c>
      <c r="L47" s="45">
        <v>2.5</v>
      </c>
      <c r="M47" s="45">
        <v>0</v>
      </c>
      <c r="N47" s="45">
        <v>0</v>
      </c>
      <c r="O47" s="45">
        <v>0</v>
      </c>
      <c r="P47" s="45">
        <f t="shared" si="0"/>
        <v>99.999999999999915</v>
      </c>
      <c r="Q47" s="54">
        <f t="shared" si="1"/>
        <v>679.99999999999932</v>
      </c>
      <c r="S47" s="29"/>
    </row>
    <row r="48" spans="1:19" x14ac:dyDescent="0.3">
      <c r="A48" s="25" t="s">
        <v>126</v>
      </c>
      <c r="B48" s="45">
        <v>65.627435697583707</v>
      </c>
      <c r="C48" s="54">
        <v>1283</v>
      </c>
      <c r="D48" s="45">
        <v>3.0047505938242201</v>
      </c>
      <c r="E48" s="45">
        <v>0</v>
      </c>
      <c r="F48" s="45">
        <v>0.59382422802850299</v>
      </c>
      <c r="G48" s="45">
        <v>0.1187648456057</v>
      </c>
      <c r="H48" s="45">
        <v>95.486935866983302</v>
      </c>
      <c r="I48" s="45">
        <v>0</v>
      </c>
      <c r="J48" s="45">
        <v>0</v>
      </c>
      <c r="K48" s="45">
        <v>1.5439429928741</v>
      </c>
      <c r="L48" s="45">
        <v>1.9002375296912102</v>
      </c>
      <c r="M48" s="45">
        <v>0.1187648456057</v>
      </c>
      <c r="N48" s="45">
        <v>0</v>
      </c>
      <c r="O48" s="45">
        <v>0.237529691211401</v>
      </c>
      <c r="P48" s="45">
        <f t="shared" si="0"/>
        <v>99.999999999999915</v>
      </c>
      <c r="Q48" s="54">
        <f t="shared" si="1"/>
        <v>841.99999999999886</v>
      </c>
      <c r="S48" s="29"/>
    </row>
    <row r="49" spans="1:19" x14ac:dyDescent="0.3">
      <c r="A49" s="25" t="s">
        <v>127</v>
      </c>
      <c r="B49" s="45">
        <v>70.1692524682651</v>
      </c>
      <c r="C49" s="54">
        <v>1418</v>
      </c>
      <c r="D49" s="45">
        <v>2.95879396984924</v>
      </c>
      <c r="E49" s="45">
        <v>0</v>
      </c>
      <c r="F49" s="45">
        <v>0.60301507537688392</v>
      </c>
      <c r="G49" s="45">
        <v>0</v>
      </c>
      <c r="H49" s="45">
        <v>95.979899497487395</v>
      </c>
      <c r="I49" s="45">
        <v>0.10050251256281399</v>
      </c>
      <c r="J49" s="45">
        <v>0.10050251256281399</v>
      </c>
      <c r="K49" s="45">
        <v>1.80904522613065</v>
      </c>
      <c r="L49" s="45">
        <v>1.10552763819095</v>
      </c>
      <c r="M49" s="45">
        <v>0.20100502512562798</v>
      </c>
      <c r="N49" s="45">
        <v>0</v>
      </c>
      <c r="O49" s="45">
        <v>0.10050251256281399</v>
      </c>
      <c r="P49" s="45">
        <f t="shared" si="0"/>
        <v>99.999999999999943</v>
      </c>
      <c r="Q49" s="54">
        <f t="shared" si="1"/>
        <v>994.99999999999909</v>
      </c>
      <c r="S49" s="29"/>
    </row>
    <row r="50" spans="1:19" x14ac:dyDescent="0.3">
      <c r="A50" s="22" t="s">
        <v>93</v>
      </c>
      <c r="B50" s="45"/>
      <c r="C50" s="5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54"/>
      <c r="S50" s="29"/>
    </row>
    <row r="51" spans="1:19" x14ac:dyDescent="0.3">
      <c r="A51" s="28" t="s">
        <v>51</v>
      </c>
      <c r="B51" s="45">
        <v>76.083916083916009</v>
      </c>
      <c r="C51" s="54">
        <v>715</v>
      </c>
      <c r="D51" s="45">
        <v>2.65441176470588</v>
      </c>
      <c r="E51" s="45">
        <v>0.183823529411764</v>
      </c>
      <c r="F51" s="45">
        <v>0.73529411764705799</v>
      </c>
      <c r="G51" s="45">
        <v>0</v>
      </c>
      <c r="H51" s="45">
        <v>96.507352941176407</v>
      </c>
      <c r="I51" s="45">
        <v>0</v>
      </c>
      <c r="J51" s="45">
        <v>0.183823529411764</v>
      </c>
      <c r="K51" s="45">
        <v>0.91911764705882304</v>
      </c>
      <c r="L51" s="45">
        <v>1.2867647058823499</v>
      </c>
      <c r="M51" s="45">
        <v>0.183823529411764</v>
      </c>
      <c r="N51" s="45">
        <v>0</v>
      </c>
      <c r="O51" s="45">
        <v>0</v>
      </c>
      <c r="P51" s="45">
        <f t="shared" si="0"/>
        <v>99.999999999999943</v>
      </c>
      <c r="Q51" s="54">
        <f t="shared" si="1"/>
        <v>543.99999999999943</v>
      </c>
      <c r="S51" s="29"/>
    </row>
    <row r="52" spans="1:19" x14ac:dyDescent="0.3">
      <c r="A52" s="28" t="s">
        <v>53</v>
      </c>
      <c r="B52" s="45">
        <v>75.675675675675606</v>
      </c>
      <c r="C52" s="54">
        <v>111</v>
      </c>
      <c r="D52" s="45">
        <v>2.8928571428571401</v>
      </c>
      <c r="E52" s="45">
        <v>0</v>
      </c>
      <c r="F52" s="45">
        <v>0</v>
      </c>
      <c r="G52" s="45">
        <v>0</v>
      </c>
      <c r="H52" s="45">
        <v>100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0"/>
        <v>100</v>
      </c>
      <c r="Q52" s="54">
        <f t="shared" si="1"/>
        <v>83.999999999999915</v>
      </c>
      <c r="S52" s="29"/>
    </row>
    <row r="53" spans="1:19" x14ac:dyDescent="0.3">
      <c r="A53" s="28" t="s">
        <v>52</v>
      </c>
      <c r="B53" s="45">
        <v>69.696969696969703</v>
      </c>
      <c r="C53" s="54">
        <v>33</v>
      </c>
      <c r="D53" s="45">
        <v>2.9565217391304301</v>
      </c>
      <c r="E53" s="45">
        <v>0</v>
      </c>
      <c r="F53" s="45">
        <v>0</v>
      </c>
      <c r="G53" s="45">
        <v>0</v>
      </c>
      <c r="H53" s="45">
        <v>100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0"/>
        <v>100</v>
      </c>
      <c r="Q53" s="54">
        <f t="shared" si="1"/>
        <v>23</v>
      </c>
      <c r="S53" s="29"/>
    </row>
    <row r="54" spans="1:19" x14ac:dyDescent="0.3">
      <c r="A54" s="28" t="s">
        <v>45</v>
      </c>
      <c r="B54" s="45">
        <v>14.383561643835598</v>
      </c>
      <c r="C54" s="54">
        <v>146</v>
      </c>
      <c r="D54" s="45">
        <v>1.9047619047619</v>
      </c>
      <c r="E54" s="45">
        <v>0</v>
      </c>
      <c r="F54" s="45">
        <v>0</v>
      </c>
      <c r="G54" s="45">
        <v>0</v>
      </c>
      <c r="H54" s="45">
        <v>85.714285714285694</v>
      </c>
      <c r="I54" s="45">
        <v>0</v>
      </c>
      <c r="J54" s="45">
        <v>4.7619047619047601</v>
      </c>
      <c r="K54" s="45">
        <v>9.5238095238095202</v>
      </c>
      <c r="L54" s="45">
        <v>0</v>
      </c>
      <c r="M54" s="45">
        <v>0</v>
      </c>
      <c r="N54" s="45">
        <v>0</v>
      </c>
      <c r="O54" s="45">
        <v>0</v>
      </c>
      <c r="P54" s="45">
        <f t="shared" si="0"/>
        <v>99.999999999999972</v>
      </c>
      <c r="Q54" s="54">
        <f t="shared" si="1"/>
        <v>20.999999999999975</v>
      </c>
      <c r="S54" s="29"/>
    </row>
    <row r="55" spans="1:19" x14ac:dyDescent="0.3">
      <c r="A55" s="28" t="s">
        <v>48</v>
      </c>
      <c r="B55" s="45">
        <v>60.913312693498398</v>
      </c>
      <c r="C55" s="54">
        <v>1292</v>
      </c>
      <c r="D55" s="45">
        <v>2.51842439644218</v>
      </c>
      <c r="E55" s="45">
        <v>0.127064803049555</v>
      </c>
      <c r="F55" s="45">
        <v>2.4142312579415499</v>
      </c>
      <c r="G55" s="45">
        <v>0</v>
      </c>
      <c r="H55" s="45">
        <v>90.978398983481497</v>
      </c>
      <c r="I55" s="45">
        <v>0</v>
      </c>
      <c r="J55" s="45">
        <v>0.38119440914866504</v>
      </c>
      <c r="K55" s="45">
        <v>2.5412960609910997</v>
      </c>
      <c r="L55" s="45">
        <v>3.0495552731893203</v>
      </c>
      <c r="M55" s="45">
        <v>0.127064803049555</v>
      </c>
      <c r="N55" s="45">
        <v>0.127064803049555</v>
      </c>
      <c r="O55" s="45">
        <v>0.25412960609911001</v>
      </c>
      <c r="P55" s="45">
        <f t="shared" si="0"/>
        <v>99.999999999999901</v>
      </c>
      <c r="Q55" s="54">
        <f t="shared" si="1"/>
        <v>786.99999999999932</v>
      </c>
      <c r="S55" s="29"/>
    </row>
    <row r="56" spans="1:19" x14ac:dyDescent="0.3">
      <c r="A56" s="28" t="s">
        <v>49</v>
      </c>
      <c r="B56" s="45">
        <v>47.093275488069402</v>
      </c>
      <c r="C56" s="54">
        <v>4610</v>
      </c>
      <c r="D56" s="45">
        <v>3.03546752648549</v>
      </c>
      <c r="E56" s="45">
        <v>4.6061722708429197E-2</v>
      </c>
      <c r="F56" s="45">
        <v>0.276370336250575</v>
      </c>
      <c r="G56" s="45">
        <v>0</v>
      </c>
      <c r="H56" s="45">
        <v>93.689543988945104</v>
      </c>
      <c r="I56" s="45">
        <v>4.6061722708429197E-2</v>
      </c>
      <c r="J56" s="45">
        <v>0.552740672501151</v>
      </c>
      <c r="K56" s="45">
        <v>0.92123445416858496</v>
      </c>
      <c r="L56" s="45">
        <v>4.32980193459235</v>
      </c>
      <c r="M56" s="45">
        <v>0</v>
      </c>
      <c r="N56" s="45">
        <v>4.6061722708429197E-2</v>
      </c>
      <c r="O56" s="45">
        <v>9.212344541685849E-2</v>
      </c>
      <c r="P56" s="45">
        <f t="shared" si="0"/>
        <v>99.999999999999915</v>
      </c>
      <c r="Q56" s="54">
        <f t="shared" si="1"/>
        <v>2170.9999999999995</v>
      </c>
      <c r="S56" s="29"/>
    </row>
    <row r="57" spans="1:19" x14ac:dyDescent="0.3">
      <c r="A57" s="28" t="s">
        <v>128</v>
      </c>
      <c r="B57" s="45">
        <v>65.454545454545396</v>
      </c>
      <c r="C57" s="54">
        <v>165</v>
      </c>
      <c r="D57" s="45">
        <v>2.9722222222222201</v>
      </c>
      <c r="E57" s="45">
        <v>0</v>
      </c>
      <c r="F57" s="45">
        <v>1.8518518518518501</v>
      </c>
      <c r="G57" s="45">
        <v>0.92592592592592504</v>
      </c>
      <c r="H57" s="45">
        <v>91.6666666666666</v>
      </c>
      <c r="I57" s="45">
        <v>0.92592592592592504</v>
      </c>
      <c r="J57" s="45">
        <v>0</v>
      </c>
      <c r="K57" s="45">
        <v>2.7777777777777701</v>
      </c>
      <c r="L57" s="45">
        <v>0</v>
      </c>
      <c r="M57" s="45">
        <v>0</v>
      </c>
      <c r="N57" s="45">
        <v>0</v>
      </c>
      <c r="O57" s="45">
        <v>1.8518518518518501</v>
      </c>
      <c r="P57" s="45">
        <f t="shared" si="0"/>
        <v>99.999999999999915</v>
      </c>
      <c r="Q57" s="54">
        <f t="shared" si="1"/>
        <v>107.99999999999991</v>
      </c>
      <c r="S57" s="29"/>
    </row>
    <row r="58" spans="1:19" x14ac:dyDescent="0.3">
      <c r="A58" s="28" t="s">
        <v>129</v>
      </c>
      <c r="B58" s="45">
        <v>65.740740740740705</v>
      </c>
      <c r="C58" s="54">
        <v>108</v>
      </c>
      <c r="D58" s="45">
        <v>3.07042253521126</v>
      </c>
      <c r="E58" s="45">
        <v>0</v>
      </c>
      <c r="F58" s="45">
        <v>0</v>
      </c>
      <c r="G58" s="45">
        <v>0</v>
      </c>
      <c r="H58" s="45">
        <v>100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0"/>
        <v>100</v>
      </c>
      <c r="Q58" s="54">
        <f t="shared" si="1"/>
        <v>70.999999999999957</v>
      </c>
      <c r="S58" s="29"/>
    </row>
    <row r="59" spans="1:19" x14ac:dyDescent="0.3">
      <c r="A59" s="28" t="s">
        <v>54</v>
      </c>
      <c r="B59" s="45">
        <v>74.285714285714192</v>
      </c>
      <c r="C59" s="54">
        <v>35</v>
      </c>
      <c r="D59" s="45">
        <v>4.6923076923076898</v>
      </c>
      <c r="E59" s="45">
        <v>0</v>
      </c>
      <c r="F59" s="45">
        <v>7.6923076923076898</v>
      </c>
      <c r="G59" s="45">
        <v>0</v>
      </c>
      <c r="H59" s="45">
        <v>92.307692307692307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0"/>
        <v>100</v>
      </c>
      <c r="Q59" s="54">
        <f t="shared" si="1"/>
        <v>25.999999999999964</v>
      </c>
      <c r="S59" s="29"/>
    </row>
    <row r="60" spans="1:19" x14ac:dyDescent="0.3">
      <c r="A60" s="28" t="s">
        <v>130</v>
      </c>
      <c r="B60" s="45">
        <v>45.800000000000004</v>
      </c>
      <c r="C60" s="54">
        <v>1000</v>
      </c>
      <c r="D60" s="45">
        <v>2.72270742358078</v>
      </c>
      <c r="E60" s="45">
        <v>0.21834061135371099</v>
      </c>
      <c r="F60" s="45">
        <v>2.40174672489082</v>
      </c>
      <c r="G60" s="45">
        <v>0</v>
      </c>
      <c r="H60" s="45">
        <v>92.576419213973807</v>
      </c>
      <c r="I60" s="45">
        <v>0</v>
      </c>
      <c r="J60" s="45">
        <v>0</v>
      </c>
      <c r="K60" s="45">
        <v>1.5283842794759801</v>
      </c>
      <c r="L60" s="45">
        <v>3.2751091703056701</v>
      </c>
      <c r="M60" s="45">
        <v>0</v>
      </c>
      <c r="N60" s="45">
        <v>0</v>
      </c>
      <c r="O60" s="45">
        <v>0</v>
      </c>
      <c r="P60" s="45">
        <f t="shared" si="0"/>
        <v>100</v>
      </c>
      <c r="Q60" s="54">
        <f t="shared" si="1"/>
        <v>458</v>
      </c>
      <c r="S60" s="29"/>
    </row>
    <row r="61" spans="1:19" x14ac:dyDescent="0.3">
      <c r="A61" s="28" t="s">
        <v>131</v>
      </c>
      <c r="B61" s="45">
        <v>24.449685534591101</v>
      </c>
      <c r="C61" s="54">
        <v>1272</v>
      </c>
      <c r="D61" s="45">
        <v>2.57556270096463</v>
      </c>
      <c r="E61" s="45">
        <v>0.32154340836012801</v>
      </c>
      <c r="F61" s="45">
        <v>0.32154340836012801</v>
      </c>
      <c r="G61" s="45">
        <v>0</v>
      </c>
      <c r="H61" s="45">
        <v>90.353697749196101</v>
      </c>
      <c r="I61" s="45">
        <v>0</v>
      </c>
      <c r="J61" s="45">
        <v>1.2861736334405101</v>
      </c>
      <c r="K61" s="45">
        <v>1.9292604501607702</v>
      </c>
      <c r="L61" s="45">
        <v>4.5016077170418001</v>
      </c>
      <c r="M61" s="45">
        <v>1.2861736334405101</v>
      </c>
      <c r="N61" s="45">
        <v>0</v>
      </c>
      <c r="O61" s="45">
        <v>0</v>
      </c>
      <c r="P61" s="45">
        <f t="shared" si="0"/>
        <v>99.999999999999943</v>
      </c>
      <c r="Q61" s="54">
        <f t="shared" si="1"/>
        <v>310.99999999999881</v>
      </c>
      <c r="S61" s="29"/>
    </row>
    <row r="62" spans="1:19" x14ac:dyDescent="0.3">
      <c r="A62" s="28" t="s">
        <v>50</v>
      </c>
      <c r="B62" s="45">
        <v>58.064516129032192</v>
      </c>
      <c r="C62" s="54">
        <v>31</v>
      </c>
      <c r="D62" s="45">
        <v>2.38888888888888</v>
      </c>
      <c r="E62" s="45">
        <v>0</v>
      </c>
      <c r="F62" s="45">
        <v>5.55555555555555</v>
      </c>
      <c r="G62" s="45">
        <v>0</v>
      </c>
      <c r="H62" s="45">
        <v>94.4444444444444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0"/>
        <v>99.999999999999943</v>
      </c>
      <c r="Q62" s="54">
        <f t="shared" si="1"/>
        <v>17.999999999999982</v>
      </c>
      <c r="S62" s="29"/>
    </row>
    <row r="63" spans="1:19" x14ac:dyDescent="0.3">
      <c r="A63" s="28" t="s">
        <v>132</v>
      </c>
      <c r="B63" s="46">
        <v>50</v>
      </c>
      <c r="C63" s="55">
        <v>572</v>
      </c>
      <c r="D63" s="45">
        <v>3.1958041958041901</v>
      </c>
      <c r="E63" s="45">
        <v>0.34965034965034902</v>
      </c>
      <c r="F63" s="45">
        <v>0</v>
      </c>
      <c r="G63" s="45">
        <v>0</v>
      </c>
      <c r="H63" s="45">
        <v>97.2027972027972</v>
      </c>
      <c r="I63" s="45">
        <v>0</v>
      </c>
      <c r="J63" s="45">
        <v>0</v>
      </c>
      <c r="K63" s="45">
        <v>0</v>
      </c>
      <c r="L63" s="45">
        <v>2.4475524475524399</v>
      </c>
      <c r="M63" s="45">
        <v>0</v>
      </c>
      <c r="N63" s="45">
        <v>0</v>
      </c>
      <c r="O63" s="45">
        <v>0</v>
      </c>
      <c r="P63" s="46">
        <f t="shared" si="0"/>
        <v>99.999999999999986</v>
      </c>
      <c r="Q63" s="54">
        <f t="shared" si="1"/>
        <v>286</v>
      </c>
      <c r="S63" s="29"/>
    </row>
    <row r="64" spans="1:19" x14ac:dyDescent="0.3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spans="2:16" x14ac:dyDescent="0.3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</row>
    <row r="66" spans="2:16" x14ac:dyDescent="0.3"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</row>
    <row r="67" spans="2:16" x14ac:dyDescent="0.3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</row>
    <row r="68" spans="2:16" x14ac:dyDescent="0.3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spans="2:16" x14ac:dyDescent="0.3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</row>
    <row r="70" spans="2:16" x14ac:dyDescent="0.3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 spans="2:16" x14ac:dyDescent="0.3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 spans="2:16" x14ac:dyDescent="0.3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 spans="2:16" x14ac:dyDescent="0.3"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</row>
    <row r="74" spans="2:16" x14ac:dyDescent="0.3"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6" x14ac:dyDescent="0.3"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spans="2:16" x14ac:dyDescent="0.3">
      <c r="B76" s="47"/>
      <c r="C76" s="47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2:16" x14ac:dyDescent="0.3">
      <c r="B77" s="47"/>
      <c r="C77" s="47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</row>
    <row r="78" spans="2:16" x14ac:dyDescent="0.3">
      <c r="B78" s="47"/>
      <c r="C78" s="47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2:16" x14ac:dyDescent="0.3">
      <c r="B79" s="47"/>
      <c r="C79" s="47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</row>
    <row r="80" spans="2:16" x14ac:dyDescent="0.3">
      <c r="B80" s="47"/>
      <c r="C80" s="47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</row>
    <row r="81" spans="2:15" x14ac:dyDescent="0.3">
      <c r="B81" s="47"/>
      <c r="C81" s="47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</row>
  </sheetData>
  <mergeCells count="1">
    <mergeCell ref="E3:P3"/>
  </mergeCells>
  <pageMargins left="0.7" right="0.7" top="0.75" bottom="0.75" header="0.3" footer="0.3"/>
  <ignoredErrors>
    <ignoredError sqref="P51:P63 P8:P10 P12:P25 P27:P28 P30:P32 P34:P38 P40:P4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815A-3555-4D63-849D-F77116B6AD96}">
  <dimension ref="A1:S75"/>
  <sheetViews>
    <sheetView zoomScale="80" zoomScaleNormal="80" workbookViewId="0">
      <selection activeCell="B6" sqref="B6:Q6"/>
    </sheetView>
  </sheetViews>
  <sheetFormatPr defaultColWidth="15.25" defaultRowHeight="13" x14ac:dyDescent="0.3"/>
  <cols>
    <col min="1" max="1" width="16.4140625" style="23" customWidth="1"/>
    <col min="2" max="2" width="12.4140625" style="26" customWidth="1"/>
    <col min="3" max="3" width="8.58203125" style="26" customWidth="1"/>
    <col min="4" max="4" width="13.1640625" style="26" customWidth="1"/>
    <col min="5" max="5" width="9.1640625" style="26" customWidth="1"/>
    <col min="6" max="9" width="7.25" style="26" customWidth="1"/>
    <col min="10" max="10" width="9.08203125" style="26" customWidth="1"/>
    <col min="11" max="11" width="7.25" style="26" customWidth="1"/>
    <col min="12" max="12" width="9" style="26" customWidth="1"/>
    <col min="13" max="13" width="7.25" style="26" customWidth="1"/>
    <col min="14" max="14" width="7.75" style="26" customWidth="1"/>
    <col min="15" max="17" width="7.25" style="26" customWidth="1"/>
    <col min="18" max="16384" width="15.25" style="23"/>
  </cols>
  <sheetData>
    <row r="1" spans="1:19" x14ac:dyDescent="0.3">
      <c r="A1" s="24" t="s">
        <v>151</v>
      </c>
    </row>
    <row r="3" spans="1:19" x14ac:dyDescent="0.3">
      <c r="E3" s="34" t="s">
        <v>155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7"/>
    </row>
    <row r="4" spans="1:19" ht="65" x14ac:dyDescent="0.3">
      <c r="B4" s="30" t="s">
        <v>153</v>
      </c>
      <c r="C4" s="30" t="s">
        <v>104</v>
      </c>
      <c r="D4" s="32" t="s">
        <v>154</v>
      </c>
      <c r="E4" s="35" t="s">
        <v>133</v>
      </c>
      <c r="F4" s="39" t="s">
        <v>134</v>
      </c>
      <c r="G4" s="39" t="s">
        <v>136</v>
      </c>
      <c r="H4" s="39" t="s">
        <v>137</v>
      </c>
      <c r="I4" s="39" t="s">
        <v>138</v>
      </c>
      <c r="J4" s="39" t="s">
        <v>139</v>
      </c>
      <c r="K4" s="39" t="s">
        <v>140</v>
      </c>
      <c r="L4" s="39" t="s">
        <v>141</v>
      </c>
      <c r="M4" s="39" t="s">
        <v>128</v>
      </c>
      <c r="N4" s="39" t="s">
        <v>142</v>
      </c>
      <c r="O4" s="39" t="s">
        <v>143</v>
      </c>
      <c r="P4" s="39" t="s">
        <v>135</v>
      </c>
      <c r="Q4" s="40" t="s">
        <v>104</v>
      </c>
    </row>
    <row r="5" spans="1:19" x14ac:dyDescent="0.3">
      <c r="B5" s="31" t="s">
        <v>103</v>
      </c>
      <c r="C5" s="31"/>
      <c r="D5" s="33" t="s">
        <v>102</v>
      </c>
      <c r="E5" s="36" t="s">
        <v>103</v>
      </c>
      <c r="F5" s="36" t="s">
        <v>103</v>
      </c>
      <c r="G5" s="36" t="s">
        <v>103</v>
      </c>
      <c r="H5" s="36" t="s">
        <v>103</v>
      </c>
      <c r="I5" s="36" t="s">
        <v>103</v>
      </c>
      <c r="J5" s="36" t="s">
        <v>103</v>
      </c>
      <c r="K5" s="36" t="s">
        <v>103</v>
      </c>
      <c r="L5" s="36" t="s">
        <v>103</v>
      </c>
      <c r="M5" s="36" t="s">
        <v>103</v>
      </c>
      <c r="N5" s="36" t="s">
        <v>103</v>
      </c>
      <c r="O5" s="36" t="s">
        <v>103</v>
      </c>
      <c r="P5" s="36" t="s">
        <v>103</v>
      </c>
      <c r="Q5" s="41"/>
    </row>
    <row r="6" spans="1:19" x14ac:dyDescent="0.3">
      <c r="A6" s="22" t="s">
        <v>96</v>
      </c>
      <c r="B6" s="45">
        <v>80.842418235877062</v>
      </c>
      <c r="C6" s="54">
        <v>10090</v>
      </c>
      <c r="D6" s="45">
        <v>6.4831433124923361</v>
      </c>
      <c r="E6" s="45">
        <v>0.35552286379796438</v>
      </c>
      <c r="F6" s="45">
        <v>1.3362755915164874</v>
      </c>
      <c r="G6" s="45">
        <v>0.11033468186833387</v>
      </c>
      <c r="H6" s="45">
        <v>92.484982223856761</v>
      </c>
      <c r="I6" s="45">
        <v>0.12259409096481513</v>
      </c>
      <c r="J6" s="45">
        <v>8.5815863675370377E-2</v>
      </c>
      <c r="K6" s="45">
        <v>1.5814637734461161</v>
      </c>
      <c r="L6" s="45">
        <v>2.6357729557435294</v>
      </c>
      <c r="M6" s="45">
        <v>6.1297045482407699E-2</v>
      </c>
      <c r="N6" s="45">
        <v>1.0910874095868555</v>
      </c>
      <c r="O6" s="45">
        <v>0.13485350006129693</v>
      </c>
      <c r="P6" s="45">
        <v>99.999999999999943</v>
      </c>
      <c r="Q6" s="54">
        <v>8156.9999999999945</v>
      </c>
    </row>
    <row r="7" spans="1:19" x14ac:dyDescent="0.3">
      <c r="A7" s="22" t="s">
        <v>97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1:19" x14ac:dyDescent="0.3">
      <c r="A8" s="25" t="s">
        <v>92</v>
      </c>
      <c r="B8" s="45">
        <v>76.639566395663905</v>
      </c>
      <c r="C8" s="54">
        <v>5535</v>
      </c>
      <c r="D8" s="45">
        <v>6.4226779820839202</v>
      </c>
      <c r="E8" s="45">
        <v>0.44790193305044701</v>
      </c>
      <c r="F8" s="45">
        <v>2.1216407355021198</v>
      </c>
      <c r="G8" s="45">
        <v>0.212164073550212</v>
      </c>
      <c r="H8" s="45">
        <v>87.9773691654879</v>
      </c>
      <c r="I8" s="45">
        <v>0.23573785950023501</v>
      </c>
      <c r="J8" s="45">
        <v>0.11786892975011701</v>
      </c>
      <c r="K8" s="45">
        <v>2.61669024045261</v>
      </c>
      <c r="L8" s="45">
        <v>4.2668552569542602</v>
      </c>
      <c r="M8" s="45">
        <v>4.7147571900047099E-2</v>
      </c>
      <c r="N8" s="45">
        <v>1.74446016030174</v>
      </c>
      <c r="O8" s="45">
        <v>0.212164073550212</v>
      </c>
      <c r="P8" s="45">
        <f>SUM(E8:O8)</f>
        <v>99.999999999999901</v>
      </c>
      <c r="Q8" s="54">
        <f>(B8/100)*C8</f>
        <v>4241.9999999999973</v>
      </c>
      <c r="S8" s="29"/>
    </row>
    <row r="9" spans="1:19" x14ac:dyDescent="0.3">
      <c r="A9" s="25" t="s">
        <v>164</v>
      </c>
      <c r="B9" s="45">
        <v>84.967320261437891</v>
      </c>
      <c r="C9" s="54">
        <v>306</v>
      </c>
      <c r="D9" s="45">
        <v>6.5538461538461501</v>
      </c>
      <c r="E9" s="45">
        <v>0.76923076923076905</v>
      </c>
      <c r="F9" s="45">
        <v>1.5384615384615301</v>
      </c>
      <c r="G9" s="45">
        <v>0</v>
      </c>
      <c r="H9" s="45">
        <v>92.692307692307693</v>
      </c>
      <c r="I9" s="45">
        <v>0</v>
      </c>
      <c r="J9" s="45">
        <v>0</v>
      </c>
      <c r="K9" s="45">
        <v>2.3076923076922999</v>
      </c>
      <c r="L9" s="45">
        <v>1.92307692307692</v>
      </c>
      <c r="M9" s="45">
        <v>0</v>
      </c>
      <c r="N9" s="45">
        <v>0.76923076923076905</v>
      </c>
      <c r="O9" s="45">
        <v>0</v>
      </c>
      <c r="P9" s="45">
        <f t="shared" ref="P9:P63" si="0">SUM(E9:O9)</f>
        <v>99.999999999999986</v>
      </c>
      <c r="Q9" s="54">
        <f t="shared" ref="Q9:Q63" si="1">(B9/100)*C9</f>
        <v>259.99999999999994</v>
      </c>
      <c r="S9" s="29"/>
    </row>
    <row r="10" spans="1:19" x14ac:dyDescent="0.3">
      <c r="A10" s="25" t="s">
        <v>91</v>
      </c>
      <c r="B10" s="45">
        <v>86.0202400564838</v>
      </c>
      <c r="C10" s="54">
        <v>4249</v>
      </c>
      <c r="D10" s="45">
        <v>6.5482900136798898</v>
      </c>
      <c r="E10" s="45">
        <v>0.21887824897400798</v>
      </c>
      <c r="F10" s="45">
        <v>0.41039671682626505</v>
      </c>
      <c r="G10" s="45">
        <v>0</v>
      </c>
      <c r="H10" s="45">
        <v>97.701778385772897</v>
      </c>
      <c r="I10" s="45">
        <v>0</v>
      </c>
      <c r="J10" s="45">
        <v>5.4719562243501996E-2</v>
      </c>
      <c r="K10" s="45">
        <v>0.32831737346101203</v>
      </c>
      <c r="L10" s="45">
        <v>0.79343365253077902</v>
      </c>
      <c r="M10" s="45">
        <v>8.2079343365253007E-2</v>
      </c>
      <c r="N10" s="45">
        <v>0.355677154582763</v>
      </c>
      <c r="O10" s="45">
        <v>5.4719562243501996E-2</v>
      </c>
      <c r="P10" s="45">
        <f t="shared" si="0"/>
        <v>100</v>
      </c>
      <c r="Q10" s="54">
        <f t="shared" si="1"/>
        <v>3654.9999999999968</v>
      </c>
      <c r="S10" s="29"/>
    </row>
    <row r="11" spans="1:19" x14ac:dyDescent="0.3">
      <c r="A11" s="22" t="s">
        <v>90</v>
      </c>
      <c r="B11" s="45"/>
      <c r="C11" s="54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54"/>
      <c r="S11" s="29"/>
    </row>
    <row r="12" spans="1:19" x14ac:dyDescent="0.3">
      <c r="A12" s="25" t="s">
        <v>7</v>
      </c>
      <c r="B12" s="45">
        <v>81.753130590339893</v>
      </c>
      <c r="C12" s="54">
        <v>559</v>
      </c>
      <c r="D12" s="45">
        <v>6.5251641137855501</v>
      </c>
      <c r="E12" s="45">
        <v>0.87527352297592997</v>
      </c>
      <c r="F12" s="45">
        <v>1.96936542669584</v>
      </c>
      <c r="G12" s="45">
        <v>0</v>
      </c>
      <c r="H12" s="45">
        <v>92.560175054704601</v>
      </c>
      <c r="I12" s="45">
        <v>0</v>
      </c>
      <c r="J12" s="45">
        <v>0.21881838074398202</v>
      </c>
      <c r="K12" s="45">
        <v>1.7505470459518599</v>
      </c>
      <c r="L12" s="45">
        <v>0.43763676148796499</v>
      </c>
      <c r="M12" s="45">
        <v>0</v>
      </c>
      <c r="N12" s="45">
        <v>1.96936542669584</v>
      </c>
      <c r="O12" s="45">
        <v>0.21881838074398202</v>
      </c>
      <c r="P12" s="45">
        <f t="shared" si="0"/>
        <v>100.00000000000001</v>
      </c>
      <c r="Q12" s="54">
        <f t="shared" si="1"/>
        <v>457</v>
      </c>
      <c r="S12" s="29"/>
    </row>
    <row r="13" spans="1:19" x14ac:dyDescent="0.3">
      <c r="A13" s="25" t="s">
        <v>8</v>
      </c>
      <c r="B13" s="45">
        <v>89.613526570048293</v>
      </c>
      <c r="C13" s="54">
        <v>828</v>
      </c>
      <c r="D13" s="45">
        <v>6.6037735849056602</v>
      </c>
      <c r="E13" s="45">
        <v>0</v>
      </c>
      <c r="F13" s="45">
        <v>0.539083557951482</v>
      </c>
      <c r="G13" s="45">
        <v>0</v>
      </c>
      <c r="H13" s="45">
        <v>98.652291105121208</v>
      </c>
      <c r="I13" s="45">
        <v>0</v>
      </c>
      <c r="J13" s="45">
        <v>0.13477088948787</v>
      </c>
      <c r="K13" s="45">
        <v>0.539083557951482</v>
      </c>
      <c r="L13" s="45">
        <v>0.13477088948787</v>
      </c>
      <c r="M13" s="45">
        <v>0</v>
      </c>
      <c r="N13" s="45">
        <v>0</v>
      </c>
      <c r="O13" s="45">
        <v>0</v>
      </c>
      <c r="P13" s="45">
        <f t="shared" si="0"/>
        <v>99.999999999999915</v>
      </c>
      <c r="Q13" s="54">
        <f t="shared" si="1"/>
        <v>741.99999999999989</v>
      </c>
      <c r="S13" s="29"/>
    </row>
    <row r="14" spans="1:19" x14ac:dyDescent="0.3">
      <c r="A14" s="25" t="s">
        <v>9</v>
      </c>
      <c r="B14" s="45">
        <v>75.401069518716497</v>
      </c>
      <c r="C14" s="54">
        <v>561</v>
      </c>
      <c r="D14" s="45">
        <v>6.4113475177304897</v>
      </c>
      <c r="E14" s="45">
        <v>0.23640661938534199</v>
      </c>
      <c r="F14" s="45">
        <v>1.1820330969267099</v>
      </c>
      <c r="G14" s="45">
        <v>0</v>
      </c>
      <c r="H14" s="45">
        <v>92.1985815602836</v>
      </c>
      <c r="I14" s="45">
        <v>0</v>
      </c>
      <c r="J14" s="45">
        <v>0</v>
      </c>
      <c r="K14" s="45">
        <v>1.6548463356973901</v>
      </c>
      <c r="L14" s="45">
        <v>1.8912529550827399</v>
      </c>
      <c r="M14" s="45">
        <v>0</v>
      </c>
      <c r="N14" s="45">
        <v>2.83687943262411</v>
      </c>
      <c r="O14" s="45">
        <v>0</v>
      </c>
      <c r="P14" s="45">
        <f t="shared" si="0"/>
        <v>99.999999999999886</v>
      </c>
      <c r="Q14" s="54">
        <f t="shared" si="1"/>
        <v>422.99999999999955</v>
      </c>
      <c r="S14" s="29"/>
    </row>
    <row r="15" spans="1:19" x14ac:dyDescent="0.3">
      <c r="A15" s="25" t="s">
        <v>10</v>
      </c>
      <c r="B15" s="45">
        <v>65.523465703971098</v>
      </c>
      <c r="C15" s="54">
        <v>554</v>
      </c>
      <c r="D15" s="45">
        <v>6.3636363636363598</v>
      </c>
      <c r="E15" s="45">
        <v>1.65289256198347</v>
      </c>
      <c r="F15" s="45">
        <v>1.1019283746556399</v>
      </c>
      <c r="G15" s="45">
        <v>0</v>
      </c>
      <c r="H15" s="45">
        <v>93.388429752066102</v>
      </c>
      <c r="I15" s="45">
        <v>0</v>
      </c>
      <c r="J15" s="45">
        <v>0.27548209366391097</v>
      </c>
      <c r="K15" s="45">
        <v>0.27548209366391097</v>
      </c>
      <c r="L15" s="45">
        <v>3.30578512396694</v>
      </c>
      <c r="M15" s="45">
        <v>0</v>
      </c>
      <c r="N15" s="45">
        <v>0</v>
      </c>
      <c r="O15" s="45">
        <v>0</v>
      </c>
      <c r="P15" s="45">
        <f t="shared" si="0"/>
        <v>99.999999999999972</v>
      </c>
      <c r="Q15" s="54">
        <f t="shared" si="1"/>
        <v>362.99999999999989</v>
      </c>
      <c r="S15" s="29"/>
    </row>
    <row r="16" spans="1:19" x14ac:dyDescent="0.3">
      <c r="A16" s="25" t="s">
        <v>11</v>
      </c>
      <c r="B16" s="45">
        <v>66.725352112675992</v>
      </c>
      <c r="C16" s="54">
        <v>568</v>
      </c>
      <c r="D16" s="45">
        <v>6.0870712401055398</v>
      </c>
      <c r="E16" s="45">
        <v>0.52770448548812598</v>
      </c>
      <c r="F16" s="45">
        <v>2.3746701846965599</v>
      </c>
      <c r="G16" s="45">
        <v>0.26385224274406299</v>
      </c>
      <c r="H16" s="45">
        <v>84.168865435356196</v>
      </c>
      <c r="I16" s="45">
        <v>2.3746701846965599</v>
      </c>
      <c r="J16" s="45">
        <v>0</v>
      </c>
      <c r="K16" s="45">
        <v>0.79155672823219003</v>
      </c>
      <c r="L16" s="45">
        <v>5.8047493403693906</v>
      </c>
      <c r="M16" s="45">
        <v>0.52770448548812598</v>
      </c>
      <c r="N16" s="45">
        <v>2.3746701846965599</v>
      </c>
      <c r="O16" s="45">
        <v>0.79155672823219003</v>
      </c>
      <c r="P16" s="45">
        <f t="shared" si="0"/>
        <v>99.999999999999972</v>
      </c>
      <c r="Q16" s="54">
        <f t="shared" si="1"/>
        <v>378.99999999999966</v>
      </c>
      <c r="S16" s="29"/>
    </row>
    <row r="17" spans="1:19" x14ac:dyDescent="0.3">
      <c r="A17" s="25" t="s">
        <v>12</v>
      </c>
      <c r="B17" s="45">
        <v>84.132841328413193</v>
      </c>
      <c r="C17" s="54">
        <v>1084</v>
      </c>
      <c r="D17" s="45">
        <v>6.54714912280701</v>
      </c>
      <c r="E17" s="45">
        <v>0</v>
      </c>
      <c r="F17" s="45">
        <v>0.65789473684210498</v>
      </c>
      <c r="G17" s="45">
        <v>0</v>
      </c>
      <c r="H17" s="45">
        <v>95.8333333333333</v>
      </c>
      <c r="I17" s="45">
        <v>0</v>
      </c>
      <c r="J17" s="45">
        <v>0.109649122807017</v>
      </c>
      <c r="K17" s="45">
        <v>2.0833333333333299</v>
      </c>
      <c r="L17" s="45">
        <v>0.98684210526315697</v>
      </c>
      <c r="M17" s="45">
        <v>0.109649122807017</v>
      </c>
      <c r="N17" s="45">
        <v>0.109649122807017</v>
      </c>
      <c r="O17" s="45">
        <v>0.109649122807017</v>
      </c>
      <c r="P17" s="45">
        <f t="shared" si="0"/>
        <v>99.999999999999943</v>
      </c>
      <c r="Q17" s="54">
        <f t="shared" si="1"/>
        <v>911.99999999999898</v>
      </c>
      <c r="S17" s="29"/>
    </row>
    <row r="18" spans="1:19" x14ac:dyDescent="0.3">
      <c r="A18" s="25" t="s">
        <v>107</v>
      </c>
      <c r="B18" s="45">
        <v>79.824561403508696</v>
      </c>
      <c r="C18" s="54">
        <v>570</v>
      </c>
      <c r="D18" s="45">
        <v>5.9428571428571404</v>
      </c>
      <c r="E18" s="45">
        <v>0.879120879120879</v>
      </c>
      <c r="F18" s="45">
        <v>6.3736263736263705</v>
      </c>
      <c r="G18" s="45">
        <v>0.219780219780219</v>
      </c>
      <c r="H18" s="45">
        <v>86.153846153846104</v>
      </c>
      <c r="I18" s="45">
        <v>0</v>
      </c>
      <c r="J18" s="45">
        <v>0</v>
      </c>
      <c r="K18" s="45">
        <v>2.19780219780219</v>
      </c>
      <c r="L18" s="45">
        <v>3.2967032967032899</v>
      </c>
      <c r="M18" s="45">
        <v>0</v>
      </c>
      <c r="N18" s="45">
        <v>0.879120879120879</v>
      </c>
      <c r="O18" s="45">
        <v>0</v>
      </c>
      <c r="P18" s="45">
        <f t="shared" si="0"/>
        <v>99.999999999999929</v>
      </c>
      <c r="Q18" s="54">
        <f t="shared" si="1"/>
        <v>454.9999999999996</v>
      </c>
      <c r="S18" s="29"/>
    </row>
    <row r="19" spans="1:19" x14ac:dyDescent="0.3">
      <c r="A19" s="25" t="s">
        <v>14</v>
      </c>
      <c r="B19" s="45">
        <v>75.526932084309095</v>
      </c>
      <c r="C19" s="54">
        <v>854</v>
      </c>
      <c r="D19" s="45">
        <v>6.7674418604651096</v>
      </c>
      <c r="E19" s="45">
        <v>0.15503875968992201</v>
      </c>
      <c r="F19" s="45">
        <v>0.31007751937984401</v>
      </c>
      <c r="G19" s="45">
        <v>0.31007751937984401</v>
      </c>
      <c r="H19" s="45">
        <v>89.457364341085196</v>
      </c>
      <c r="I19" s="45">
        <v>0</v>
      </c>
      <c r="J19" s="45">
        <v>0</v>
      </c>
      <c r="K19" s="45">
        <v>0.31007751937984401</v>
      </c>
      <c r="L19" s="45">
        <v>5.2713178294573604</v>
      </c>
      <c r="M19" s="45">
        <v>0</v>
      </c>
      <c r="N19" s="45">
        <v>3.87596899224806</v>
      </c>
      <c r="O19" s="45">
        <v>0.31007751937984401</v>
      </c>
      <c r="P19" s="45">
        <f t="shared" si="0"/>
        <v>99.999999999999915</v>
      </c>
      <c r="Q19" s="54">
        <f t="shared" si="1"/>
        <v>644.99999999999966</v>
      </c>
      <c r="S19" s="29"/>
    </row>
    <row r="20" spans="1:19" x14ac:dyDescent="0.3">
      <c r="A20" s="25" t="s">
        <v>15</v>
      </c>
      <c r="B20" s="45">
        <v>74.147217235188506</v>
      </c>
      <c r="C20" s="54">
        <v>557</v>
      </c>
      <c r="D20" s="45">
        <v>6.09685230024213</v>
      </c>
      <c r="E20" s="45">
        <v>0.96852300242130707</v>
      </c>
      <c r="F20" s="45">
        <v>1.2106537530266299</v>
      </c>
      <c r="G20" s="45">
        <v>0</v>
      </c>
      <c r="H20" s="45">
        <v>88.135593220338905</v>
      </c>
      <c r="I20" s="45">
        <v>0</v>
      </c>
      <c r="J20" s="45">
        <v>0.24213075060532602</v>
      </c>
      <c r="K20" s="45">
        <v>5.81113801452784</v>
      </c>
      <c r="L20" s="45">
        <v>2.1791767554479402</v>
      </c>
      <c r="M20" s="45">
        <v>0</v>
      </c>
      <c r="N20" s="45">
        <v>1.45278450363196</v>
      </c>
      <c r="O20" s="45">
        <v>0</v>
      </c>
      <c r="P20" s="45">
        <f t="shared" si="0"/>
        <v>99.999999999999915</v>
      </c>
      <c r="Q20" s="54">
        <f t="shared" si="1"/>
        <v>413</v>
      </c>
      <c r="S20" s="29"/>
    </row>
    <row r="21" spans="1:19" x14ac:dyDescent="0.3">
      <c r="A21" s="25" t="s">
        <v>16</v>
      </c>
      <c r="B21" s="45">
        <v>85.597189695550298</v>
      </c>
      <c r="C21" s="54">
        <v>854</v>
      </c>
      <c r="D21" s="45">
        <v>6.5649794801641503</v>
      </c>
      <c r="E21" s="45">
        <v>0.27359781121750998</v>
      </c>
      <c r="F21" s="45">
        <v>0.13679890560875499</v>
      </c>
      <c r="G21" s="45">
        <v>0.27359781121750998</v>
      </c>
      <c r="H21" s="45">
        <v>92.3392612859097</v>
      </c>
      <c r="I21" s="45">
        <v>0</v>
      </c>
      <c r="J21" s="45">
        <v>0.13679890560875499</v>
      </c>
      <c r="K21" s="45">
        <v>1.3679890560875501</v>
      </c>
      <c r="L21" s="45">
        <v>4.3775649794801597</v>
      </c>
      <c r="M21" s="45">
        <v>0</v>
      </c>
      <c r="N21" s="45">
        <v>1.0943912448700399</v>
      </c>
      <c r="O21" s="45">
        <v>0</v>
      </c>
      <c r="P21" s="45">
        <f t="shared" si="0"/>
        <v>99.999999999999972</v>
      </c>
      <c r="Q21" s="54">
        <f t="shared" si="1"/>
        <v>730.99999999999955</v>
      </c>
      <c r="S21" s="29"/>
    </row>
    <row r="22" spans="1:19" x14ac:dyDescent="0.3">
      <c r="A22" s="25" t="s">
        <v>17</v>
      </c>
      <c r="B22" s="45">
        <v>88.179669030732796</v>
      </c>
      <c r="C22" s="54">
        <v>846</v>
      </c>
      <c r="D22" s="45">
        <v>6.7560321715817597</v>
      </c>
      <c r="E22" s="45">
        <v>0</v>
      </c>
      <c r="F22" s="45">
        <v>0</v>
      </c>
      <c r="G22" s="45">
        <v>0.13404825737265399</v>
      </c>
      <c r="H22" s="45">
        <v>95.978552278820288</v>
      </c>
      <c r="I22" s="45">
        <v>0</v>
      </c>
      <c r="J22" s="45">
        <v>0</v>
      </c>
      <c r="K22" s="45">
        <v>0.40214477211796207</v>
      </c>
      <c r="L22" s="45">
        <v>3.2171581769436997</v>
      </c>
      <c r="M22" s="45">
        <v>0</v>
      </c>
      <c r="N22" s="45">
        <v>0.26809651474530799</v>
      </c>
      <c r="O22" s="45">
        <v>0</v>
      </c>
      <c r="P22" s="45">
        <f t="shared" si="0"/>
        <v>99.999999999999915</v>
      </c>
      <c r="Q22" s="54">
        <f t="shared" si="1"/>
        <v>745.99999999999943</v>
      </c>
      <c r="S22" s="29"/>
    </row>
    <row r="23" spans="1:19" x14ac:dyDescent="0.3">
      <c r="A23" s="25" t="s">
        <v>18</v>
      </c>
      <c r="B23" s="45">
        <v>81.690140845070403</v>
      </c>
      <c r="C23" s="54">
        <v>852</v>
      </c>
      <c r="D23" s="45">
        <v>6.67385057471264</v>
      </c>
      <c r="E23" s="45">
        <v>0</v>
      </c>
      <c r="F23" s="45">
        <v>0.43103448275862</v>
      </c>
      <c r="G23" s="45">
        <v>0.14367816091954</v>
      </c>
      <c r="H23" s="45">
        <v>92.816091954022895</v>
      </c>
      <c r="I23" s="45">
        <v>0</v>
      </c>
      <c r="J23" s="45">
        <v>0</v>
      </c>
      <c r="K23" s="45">
        <v>1.0057471264367801</v>
      </c>
      <c r="L23" s="45">
        <v>4.0229885057471204</v>
      </c>
      <c r="M23" s="45">
        <v>0</v>
      </c>
      <c r="N23" s="45">
        <v>1.4367816091954</v>
      </c>
      <c r="O23" s="45">
        <v>0.14367816091954</v>
      </c>
      <c r="P23" s="45">
        <f t="shared" si="0"/>
        <v>99.999999999999886</v>
      </c>
      <c r="Q23" s="54">
        <f t="shared" si="1"/>
        <v>695.99999999999977</v>
      </c>
      <c r="S23" s="29"/>
    </row>
    <row r="24" spans="1:19" x14ac:dyDescent="0.3">
      <c r="A24" s="25" t="s">
        <v>19</v>
      </c>
      <c r="B24" s="45">
        <v>83.512544802867296</v>
      </c>
      <c r="C24" s="54">
        <v>837</v>
      </c>
      <c r="D24" s="45">
        <v>6.2832618025751001</v>
      </c>
      <c r="E24" s="45">
        <v>0.28612303290414798</v>
      </c>
      <c r="F24" s="45">
        <v>4.4349070100143004</v>
      </c>
      <c r="G24" s="45">
        <v>0.14306151645207399</v>
      </c>
      <c r="H24" s="45">
        <v>87.839771101573604</v>
      </c>
      <c r="I24" s="45">
        <v>0</v>
      </c>
      <c r="J24" s="45">
        <v>0.14306151645207399</v>
      </c>
      <c r="K24" s="45">
        <v>4.4349070100143004</v>
      </c>
      <c r="L24" s="45">
        <v>1.57367668097281</v>
      </c>
      <c r="M24" s="45">
        <v>0.28612303290414798</v>
      </c>
      <c r="N24" s="45">
        <v>0.42918454935622302</v>
      </c>
      <c r="O24" s="45">
        <v>0.42918454935622302</v>
      </c>
      <c r="P24" s="45">
        <f t="shared" si="0"/>
        <v>99.999999999999901</v>
      </c>
      <c r="Q24" s="54">
        <f t="shared" si="1"/>
        <v>698.9999999999992</v>
      </c>
      <c r="S24" s="29"/>
    </row>
    <row r="25" spans="1:19" x14ac:dyDescent="0.3">
      <c r="A25" s="25" t="s">
        <v>20</v>
      </c>
      <c r="B25" s="45">
        <v>87.632508833922202</v>
      </c>
      <c r="C25" s="54">
        <v>566</v>
      </c>
      <c r="D25" s="45">
        <v>6.5282258064516103</v>
      </c>
      <c r="E25" s="45">
        <v>0.60483870967741904</v>
      </c>
      <c r="F25" s="45">
        <v>0.20161290322580602</v>
      </c>
      <c r="G25" s="45">
        <v>0</v>
      </c>
      <c r="H25" s="45">
        <v>97.379032258064498</v>
      </c>
      <c r="I25" s="45">
        <v>0.20161290322580602</v>
      </c>
      <c r="J25" s="45">
        <v>0</v>
      </c>
      <c r="K25" s="45">
        <v>0</v>
      </c>
      <c r="L25" s="45">
        <v>1.6129032258064497</v>
      </c>
      <c r="M25" s="45">
        <v>0</v>
      </c>
      <c r="N25" s="45">
        <v>0</v>
      </c>
      <c r="O25" s="45">
        <v>0</v>
      </c>
      <c r="P25" s="45">
        <f t="shared" si="0"/>
        <v>99.999999999999986</v>
      </c>
      <c r="Q25" s="54">
        <f t="shared" si="1"/>
        <v>495.99999999999972</v>
      </c>
      <c r="S25" s="29"/>
    </row>
    <row r="26" spans="1:19" x14ac:dyDescent="0.3">
      <c r="A26" s="22" t="s">
        <v>100</v>
      </c>
      <c r="B26" s="45"/>
      <c r="C26" s="5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54"/>
      <c r="S26" s="29"/>
    </row>
    <row r="27" spans="1:19" x14ac:dyDescent="0.3">
      <c r="A27" s="25" t="s">
        <v>108</v>
      </c>
      <c r="B27" s="45">
        <v>81.910745233968797</v>
      </c>
      <c r="C27" s="54">
        <v>4616</v>
      </c>
      <c r="D27" s="45">
        <v>6.5197037820682304</v>
      </c>
      <c r="E27" s="45">
        <v>0.39672044432689701</v>
      </c>
      <c r="F27" s="45">
        <v>0.76699285903200198</v>
      </c>
      <c r="G27" s="45">
        <v>7.9344088865379511E-2</v>
      </c>
      <c r="H27" s="45">
        <v>93.996297275852896</v>
      </c>
      <c r="I27" s="45">
        <v>2.6448029621793098E-2</v>
      </c>
      <c r="J27" s="45">
        <v>7.9344088865379511E-2</v>
      </c>
      <c r="K27" s="45">
        <v>0.55540862205765607</v>
      </c>
      <c r="L27" s="45">
        <v>3.1473155249933797</v>
      </c>
      <c r="M27" s="45">
        <v>5.2896059243586306E-2</v>
      </c>
      <c r="N27" s="45">
        <v>0.74054482941020794</v>
      </c>
      <c r="O27" s="45">
        <v>0.15868817773075902</v>
      </c>
      <c r="P27" s="45">
        <f t="shared" si="0"/>
        <v>99.999999999999915</v>
      </c>
      <c r="Q27" s="54">
        <f t="shared" si="1"/>
        <v>3780.9999999999995</v>
      </c>
      <c r="S27" s="29"/>
    </row>
    <row r="28" spans="1:19" x14ac:dyDescent="0.3">
      <c r="A28" s="25" t="s">
        <v>109</v>
      </c>
      <c r="B28" s="45">
        <v>79.941541834124891</v>
      </c>
      <c r="C28" s="54">
        <v>5474</v>
      </c>
      <c r="D28" s="45">
        <v>6.4515539305301601</v>
      </c>
      <c r="E28" s="45">
        <v>0.31992687385740398</v>
      </c>
      <c r="F28" s="45">
        <v>1.8281535648994498</v>
      </c>
      <c r="G28" s="45">
        <v>0.137111517367458</v>
      </c>
      <c r="H28" s="45">
        <v>91.179159049360109</v>
      </c>
      <c r="I28" s="45">
        <v>0.20566727605118798</v>
      </c>
      <c r="J28" s="45">
        <v>9.1407678244972507E-2</v>
      </c>
      <c r="K28" s="45">
        <v>2.4680073126142501</v>
      </c>
      <c r="L28" s="45">
        <v>2.1937842778793399</v>
      </c>
      <c r="M28" s="45">
        <v>6.8555758683729401E-2</v>
      </c>
      <c r="N28" s="45">
        <v>1.3939670932358299</v>
      </c>
      <c r="O28" s="45">
        <v>0.114259597806215</v>
      </c>
      <c r="P28" s="45">
        <f t="shared" si="0"/>
        <v>99.999999999999943</v>
      </c>
      <c r="Q28" s="54">
        <f t="shared" si="1"/>
        <v>4375.9999999999973</v>
      </c>
      <c r="S28" s="29"/>
    </row>
    <row r="29" spans="1:19" x14ac:dyDescent="0.3">
      <c r="A29" s="22" t="s">
        <v>99</v>
      </c>
      <c r="B29" s="45"/>
      <c r="C29" s="5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54"/>
      <c r="S29" s="29"/>
    </row>
    <row r="30" spans="1:19" x14ac:dyDescent="0.3">
      <c r="A30" s="25" t="s">
        <v>110</v>
      </c>
      <c r="B30" s="45">
        <v>59.459459459459396</v>
      </c>
      <c r="C30" s="54">
        <v>37</v>
      </c>
      <c r="D30" s="45">
        <v>6.6363636363636296</v>
      </c>
      <c r="E30" s="45">
        <v>0</v>
      </c>
      <c r="F30" s="45">
        <v>0</v>
      </c>
      <c r="G30" s="45">
        <v>0</v>
      </c>
      <c r="H30" s="45">
        <v>54.545454545454497</v>
      </c>
      <c r="I30" s="45">
        <v>0</v>
      </c>
      <c r="J30" s="45">
        <v>0</v>
      </c>
      <c r="K30" s="45">
        <v>13.636363636363599</v>
      </c>
      <c r="L30" s="45">
        <v>31.818181818181802</v>
      </c>
      <c r="M30" s="45">
        <v>0</v>
      </c>
      <c r="N30" s="45">
        <v>0</v>
      </c>
      <c r="O30" s="45">
        <v>0</v>
      </c>
      <c r="P30" s="45">
        <f t="shared" si="0"/>
        <v>99.999999999999901</v>
      </c>
      <c r="Q30" s="54">
        <f t="shared" si="1"/>
        <v>21.999999999999975</v>
      </c>
      <c r="S30" s="29"/>
    </row>
    <row r="31" spans="1:19" x14ac:dyDescent="0.3">
      <c r="A31" s="25" t="s">
        <v>111</v>
      </c>
      <c r="B31" s="45">
        <v>81.495710078114897</v>
      </c>
      <c r="C31" s="54">
        <v>7809</v>
      </c>
      <c r="D31" s="45">
        <v>6.4764299182903802</v>
      </c>
      <c r="E31" s="45">
        <v>0.40854808296668699</v>
      </c>
      <c r="F31" s="45">
        <v>1.5084852294154598</v>
      </c>
      <c r="G31" s="45">
        <v>9.4280326838466294E-2</v>
      </c>
      <c r="H31" s="45">
        <v>92.331866750471406</v>
      </c>
      <c r="I31" s="45">
        <v>0.12570710245128799</v>
      </c>
      <c r="J31" s="45">
        <v>9.4280326838466294E-2</v>
      </c>
      <c r="K31" s="45">
        <v>1.88560653676932</v>
      </c>
      <c r="L31" s="45">
        <v>2.2941546197360099</v>
      </c>
      <c r="M31" s="45">
        <v>7.8566939032055305E-2</v>
      </c>
      <c r="N31" s="45">
        <v>1.0370835952231299</v>
      </c>
      <c r="O31" s="45">
        <v>0.14142049025769901</v>
      </c>
      <c r="P31" s="45">
        <f t="shared" si="0"/>
        <v>99.999999999999986</v>
      </c>
      <c r="Q31" s="54">
        <f t="shared" si="1"/>
        <v>6363.9999999999918</v>
      </c>
      <c r="S31" s="29"/>
    </row>
    <row r="32" spans="1:19" x14ac:dyDescent="0.3">
      <c r="A32" s="25" t="s">
        <v>112</v>
      </c>
      <c r="B32" s="45">
        <v>78.921568627450895</v>
      </c>
      <c r="C32" s="54">
        <v>2244</v>
      </c>
      <c r="D32" s="45">
        <v>6.5053642010163699</v>
      </c>
      <c r="E32" s="45">
        <v>0.16939582156973398</v>
      </c>
      <c r="F32" s="45">
        <v>0.734048560135516</v>
      </c>
      <c r="G32" s="45">
        <v>0.16939582156973398</v>
      </c>
      <c r="H32" s="45">
        <v>93.506493506493499</v>
      </c>
      <c r="I32" s="45">
        <v>0.11293054771315598</v>
      </c>
      <c r="J32" s="45">
        <v>5.6465273856578201E-2</v>
      </c>
      <c r="K32" s="45">
        <v>0.33879164313946897</v>
      </c>
      <c r="L32" s="45">
        <v>3.5008469791078398</v>
      </c>
      <c r="M32" s="45">
        <v>0</v>
      </c>
      <c r="N32" s="45">
        <v>1.29870129870129</v>
      </c>
      <c r="O32" s="45">
        <v>0.11293054771315598</v>
      </c>
      <c r="P32" s="45">
        <f t="shared" si="0"/>
        <v>99.999999999999972</v>
      </c>
      <c r="Q32" s="54">
        <f t="shared" si="1"/>
        <v>1770.9999999999982</v>
      </c>
      <c r="S32" s="29"/>
    </row>
    <row r="33" spans="1:19" x14ac:dyDescent="0.3">
      <c r="A33" s="22" t="s">
        <v>98</v>
      </c>
      <c r="B33" s="45"/>
      <c r="C33" s="5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54"/>
      <c r="S33" s="29"/>
    </row>
    <row r="34" spans="1:19" x14ac:dyDescent="0.3">
      <c r="A34" s="25" t="s">
        <v>113</v>
      </c>
      <c r="B34" s="45">
        <v>70.236220472440905</v>
      </c>
      <c r="C34" s="54">
        <v>1905</v>
      </c>
      <c r="D34" s="45">
        <v>6.2780269058295897</v>
      </c>
      <c r="E34" s="45">
        <v>0.74738415545590409</v>
      </c>
      <c r="F34" s="45">
        <v>2.4663677130044799</v>
      </c>
      <c r="G34" s="45">
        <v>7.4738415545590409E-2</v>
      </c>
      <c r="H34" s="45">
        <v>86.322869955156904</v>
      </c>
      <c r="I34" s="45">
        <v>0.14947683109118001</v>
      </c>
      <c r="J34" s="45">
        <v>0.14947683109118001</v>
      </c>
      <c r="K34" s="45">
        <v>3.3632286995515597</v>
      </c>
      <c r="L34" s="45">
        <v>4.3348281016442396</v>
      </c>
      <c r="M34" s="45">
        <v>0</v>
      </c>
      <c r="N34" s="45">
        <v>2.1674140508221198</v>
      </c>
      <c r="O34" s="45">
        <v>0.224215246636771</v>
      </c>
      <c r="P34" s="45">
        <f t="shared" si="0"/>
        <v>99.999999999999915</v>
      </c>
      <c r="Q34" s="54">
        <f t="shared" si="1"/>
        <v>1337.9999999999991</v>
      </c>
      <c r="S34" s="29"/>
    </row>
    <row r="35" spans="1:19" x14ac:dyDescent="0.3">
      <c r="A35" s="25" t="s">
        <v>114</v>
      </c>
      <c r="B35" s="45">
        <v>76.363636363636303</v>
      </c>
      <c r="C35" s="54">
        <v>55</v>
      </c>
      <c r="D35" s="45">
        <v>6.5952380952380896</v>
      </c>
      <c r="E35" s="45">
        <v>0</v>
      </c>
      <c r="F35" s="45">
        <v>0</v>
      </c>
      <c r="G35" s="45">
        <v>0</v>
      </c>
      <c r="H35" s="45">
        <v>100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0"/>
        <v>100</v>
      </c>
      <c r="Q35" s="54">
        <f t="shared" si="1"/>
        <v>41.999999999999964</v>
      </c>
      <c r="S35" s="29"/>
    </row>
    <row r="36" spans="1:19" x14ac:dyDescent="0.3">
      <c r="A36" s="25" t="s">
        <v>115</v>
      </c>
      <c r="B36" s="45">
        <v>78.055045871559599</v>
      </c>
      <c r="C36" s="54">
        <v>2725</v>
      </c>
      <c r="D36" s="45">
        <v>6.4480488951574904</v>
      </c>
      <c r="E36" s="45">
        <v>0.32910202162670399</v>
      </c>
      <c r="F36" s="45">
        <v>2.3977433004231297</v>
      </c>
      <c r="G36" s="45">
        <v>0.28208744710860301</v>
      </c>
      <c r="H36" s="45">
        <v>89.1866478608368</v>
      </c>
      <c r="I36" s="45">
        <v>0.28208744710860301</v>
      </c>
      <c r="J36" s="45">
        <v>0.18805829807240201</v>
      </c>
      <c r="K36" s="45">
        <v>1.8805829807240202</v>
      </c>
      <c r="L36" s="45">
        <v>3.7611659614480404</v>
      </c>
      <c r="M36" s="45">
        <v>0.18805829807240201</v>
      </c>
      <c r="N36" s="45">
        <v>1.3634226610249101</v>
      </c>
      <c r="O36" s="45">
        <v>0.141043723554301</v>
      </c>
      <c r="P36" s="45">
        <f t="shared" si="0"/>
        <v>99.999999999999929</v>
      </c>
      <c r="Q36" s="54">
        <f t="shared" si="1"/>
        <v>2126.9999999999991</v>
      </c>
      <c r="S36" s="29"/>
    </row>
    <row r="37" spans="1:19" x14ac:dyDescent="0.3">
      <c r="A37" s="25" t="s">
        <v>116</v>
      </c>
      <c r="B37" s="45">
        <v>85.755395683453202</v>
      </c>
      <c r="C37" s="54">
        <v>4170</v>
      </c>
      <c r="D37" s="45">
        <v>6.5480984340044701</v>
      </c>
      <c r="E37" s="45">
        <v>0.33557046979865701</v>
      </c>
      <c r="F37" s="45">
        <v>0.53131991051454097</v>
      </c>
      <c r="G37" s="45">
        <v>5.5928411633109597E-2</v>
      </c>
      <c r="H37" s="45">
        <v>95.274049217002201</v>
      </c>
      <c r="I37" s="45">
        <v>2.7964205816554798E-2</v>
      </c>
      <c r="J37" s="45">
        <v>2.7964205816554798E-2</v>
      </c>
      <c r="K37" s="45">
        <v>1.0626398210290802</v>
      </c>
      <c r="L37" s="45">
        <v>1.7617449664429501</v>
      </c>
      <c r="M37" s="45">
        <v>2.7964205816554798E-2</v>
      </c>
      <c r="N37" s="45">
        <v>0.75503355704697905</v>
      </c>
      <c r="O37" s="45">
        <v>0.139821029082774</v>
      </c>
      <c r="P37" s="45">
        <f t="shared" si="0"/>
        <v>99.999999999999972</v>
      </c>
      <c r="Q37" s="54">
        <f t="shared" si="1"/>
        <v>3575.9999999999986</v>
      </c>
      <c r="S37" s="29"/>
    </row>
    <row r="38" spans="1:19" x14ac:dyDescent="0.3">
      <c r="A38" s="25" t="s">
        <v>117</v>
      </c>
      <c r="B38" s="45">
        <v>87.526427061310699</v>
      </c>
      <c r="C38" s="54">
        <v>946</v>
      </c>
      <c r="D38" s="45">
        <v>6.59299516908212</v>
      </c>
      <c r="E38" s="45">
        <v>0</v>
      </c>
      <c r="F38" s="45">
        <v>0.60386473429951604</v>
      </c>
      <c r="G38" s="45">
        <v>0</v>
      </c>
      <c r="H38" s="45">
        <v>97.946859903381593</v>
      </c>
      <c r="I38" s="45">
        <v>0.120772946859903</v>
      </c>
      <c r="J38" s="45">
        <v>0</v>
      </c>
      <c r="K38" s="45">
        <v>0.72463768115942007</v>
      </c>
      <c r="L38" s="45">
        <v>0.241545893719806</v>
      </c>
      <c r="M38" s="45">
        <v>0</v>
      </c>
      <c r="N38" s="45">
        <v>0.36231884057971003</v>
      </c>
      <c r="O38" s="45">
        <v>0</v>
      </c>
      <c r="P38" s="45">
        <f t="shared" si="0"/>
        <v>99.999999999999943</v>
      </c>
      <c r="Q38" s="54">
        <f t="shared" si="1"/>
        <v>827.9999999999992</v>
      </c>
      <c r="S38" s="29"/>
    </row>
    <row r="39" spans="1:19" x14ac:dyDescent="0.3">
      <c r="A39" s="22" t="s">
        <v>3</v>
      </c>
      <c r="B39" s="45"/>
      <c r="C39" s="5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54"/>
      <c r="S39" s="29"/>
    </row>
    <row r="40" spans="1:19" x14ac:dyDescent="0.3">
      <c r="A40" s="25" t="s">
        <v>118</v>
      </c>
      <c r="B40" s="45">
        <v>63.259259259259203</v>
      </c>
      <c r="C40" s="54">
        <v>675</v>
      </c>
      <c r="D40" s="45">
        <v>6.1358313817330199</v>
      </c>
      <c r="E40" s="45">
        <v>1.8735362997658001</v>
      </c>
      <c r="F40" s="45">
        <v>1.63934426229508</v>
      </c>
      <c r="G40" s="45">
        <v>0.23419203747072601</v>
      </c>
      <c r="H40" s="45">
        <v>86.885245901639294</v>
      </c>
      <c r="I40" s="45">
        <v>0.93676814988290402</v>
      </c>
      <c r="J40" s="45">
        <v>0.46838407494145201</v>
      </c>
      <c r="K40" s="45">
        <v>1.8735362997658001</v>
      </c>
      <c r="L40" s="45">
        <v>4.44964871194379</v>
      </c>
      <c r="M40" s="45">
        <v>0.46838407494145201</v>
      </c>
      <c r="N40" s="45">
        <v>0.93676814988290402</v>
      </c>
      <c r="O40" s="45">
        <v>0.23419203747072601</v>
      </c>
      <c r="P40" s="45">
        <f t="shared" si="0"/>
        <v>99.999999999999943</v>
      </c>
      <c r="Q40" s="54">
        <f t="shared" si="1"/>
        <v>426.9999999999996</v>
      </c>
      <c r="S40" s="29"/>
    </row>
    <row r="41" spans="1:19" x14ac:dyDescent="0.3">
      <c r="A41" s="25" t="s">
        <v>119</v>
      </c>
      <c r="B41" s="45">
        <v>73.594771241830003</v>
      </c>
      <c r="C41" s="54">
        <v>765</v>
      </c>
      <c r="D41" s="45">
        <v>6.2664298401420897</v>
      </c>
      <c r="E41" s="45">
        <v>0.355239786856127</v>
      </c>
      <c r="F41" s="45">
        <v>3.5523978685612705</v>
      </c>
      <c r="G41" s="45">
        <v>0.177619893428063</v>
      </c>
      <c r="H41" s="45">
        <v>88.277087033747705</v>
      </c>
      <c r="I41" s="45">
        <v>0.355239786856127</v>
      </c>
      <c r="J41" s="45">
        <v>0</v>
      </c>
      <c r="K41" s="45">
        <v>0.355239786856127</v>
      </c>
      <c r="L41" s="45">
        <v>4.7957371225577203</v>
      </c>
      <c r="M41" s="45">
        <v>0</v>
      </c>
      <c r="N41" s="45">
        <v>1.9538188277087001</v>
      </c>
      <c r="O41" s="45">
        <v>0.177619893428063</v>
      </c>
      <c r="P41" s="45">
        <f t="shared" si="0"/>
        <v>99.999999999999915</v>
      </c>
      <c r="Q41" s="54">
        <f t="shared" si="1"/>
        <v>562.99999999999955</v>
      </c>
      <c r="S41" s="29"/>
    </row>
    <row r="42" spans="1:19" x14ac:dyDescent="0.3">
      <c r="A42" s="25" t="s">
        <v>120</v>
      </c>
      <c r="B42" s="45">
        <v>77.830750893921291</v>
      </c>
      <c r="C42" s="54">
        <v>839</v>
      </c>
      <c r="D42" s="45">
        <v>6.4364471669218899</v>
      </c>
      <c r="E42" s="45">
        <v>0.76569678407350605</v>
      </c>
      <c r="F42" s="45">
        <v>2.4502297090352201</v>
      </c>
      <c r="G42" s="45">
        <v>0</v>
      </c>
      <c r="H42" s="45">
        <v>89.739663093415004</v>
      </c>
      <c r="I42" s="45">
        <v>0.15313935681470101</v>
      </c>
      <c r="J42" s="45">
        <v>0.15313935681470101</v>
      </c>
      <c r="K42" s="45">
        <v>1.22511485451761</v>
      </c>
      <c r="L42" s="45">
        <v>3.5222052067381298</v>
      </c>
      <c r="M42" s="45">
        <v>0.15313935681470101</v>
      </c>
      <c r="N42" s="45">
        <v>1.8376722817764102</v>
      </c>
      <c r="O42" s="45">
        <v>0</v>
      </c>
      <c r="P42" s="45">
        <f t="shared" si="0"/>
        <v>100</v>
      </c>
      <c r="Q42" s="54">
        <f t="shared" si="1"/>
        <v>652.99999999999955</v>
      </c>
      <c r="S42" s="29"/>
    </row>
    <row r="43" spans="1:19" x14ac:dyDescent="0.3">
      <c r="A43" s="25" t="s">
        <v>121</v>
      </c>
      <c r="B43" s="45">
        <v>79.274004683840701</v>
      </c>
      <c r="C43" s="54">
        <v>854</v>
      </c>
      <c r="D43" s="45">
        <v>6.5081240768094499</v>
      </c>
      <c r="E43" s="45">
        <v>0.29542097488921698</v>
      </c>
      <c r="F43" s="45">
        <v>0.73855243722304198</v>
      </c>
      <c r="G43" s="45">
        <v>0.44313146233382505</v>
      </c>
      <c r="H43" s="45">
        <v>92.0236336779911</v>
      </c>
      <c r="I43" s="45">
        <v>0.29542097488921698</v>
      </c>
      <c r="J43" s="45">
        <v>0.29542097488921698</v>
      </c>
      <c r="K43" s="45">
        <v>0.59084194977843396</v>
      </c>
      <c r="L43" s="45">
        <v>3.3973412112259895</v>
      </c>
      <c r="M43" s="45">
        <v>0</v>
      </c>
      <c r="N43" s="45">
        <v>1.3293943870014699</v>
      </c>
      <c r="O43" s="45">
        <v>0.59084194977843396</v>
      </c>
      <c r="P43" s="45">
        <f t="shared" si="0"/>
        <v>99.999999999999943</v>
      </c>
      <c r="Q43" s="54">
        <f t="shared" si="1"/>
        <v>676.99999999999966</v>
      </c>
      <c r="S43" s="29"/>
    </row>
    <row r="44" spans="1:19" x14ac:dyDescent="0.3">
      <c r="A44" s="25" t="s">
        <v>122</v>
      </c>
      <c r="B44" s="45">
        <v>80</v>
      </c>
      <c r="C44" s="54">
        <v>950</v>
      </c>
      <c r="D44" s="45">
        <v>6.5250000000000004</v>
      </c>
      <c r="E44" s="45">
        <v>0.52631578947368407</v>
      </c>
      <c r="F44" s="45">
        <v>1.4473684210526301</v>
      </c>
      <c r="G44" s="45">
        <v>0</v>
      </c>
      <c r="H44" s="45">
        <v>91.052631578947299</v>
      </c>
      <c r="I44" s="45">
        <v>0</v>
      </c>
      <c r="J44" s="45">
        <v>0.13157894736842102</v>
      </c>
      <c r="K44" s="45">
        <v>1.84210526315789</v>
      </c>
      <c r="L44" s="45">
        <v>3.2894736842105199</v>
      </c>
      <c r="M44" s="45">
        <v>0</v>
      </c>
      <c r="N44" s="45">
        <v>1.57894736842105</v>
      </c>
      <c r="O44" s="45">
        <v>0.13157894736842102</v>
      </c>
      <c r="P44" s="45">
        <f t="shared" si="0"/>
        <v>99.999999999999929</v>
      </c>
      <c r="Q44" s="54">
        <f t="shared" si="1"/>
        <v>760</v>
      </c>
      <c r="S44" s="29"/>
    </row>
    <row r="45" spans="1:19" x14ac:dyDescent="0.3">
      <c r="A45" s="25" t="s">
        <v>123</v>
      </c>
      <c r="B45" s="45">
        <v>81.9444444444444</v>
      </c>
      <c r="C45" s="54">
        <v>1008</v>
      </c>
      <c r="D45" s="45">
        <v>6.4455205811137999</v>
      </c>
      <c r="E45" s="45">
        <v>0.36319612590799</v>
      </c>
      <c r="F45" s="45">
        <v>1.33171912832929</v>
      </c>
      <c r="G45" s="45">
        <v>0.12106537530266301</v>
      </c>
      <c r="H45" s="45">
        <v>91.767554479418806</v>
      </c>
      <c r="I45" s="45">
        <v>0</v>
      </c>
      <c r="J45" s="45">
        <v>0</v>
      </c>
      <c r="K45" s="45">
        <v>1.57384987893462</v>
      </c>
      <c r="L45" s="45">
        <v>3.87409200968523</v>
      </c>
      <c r="M45" s="45">
        <v>0.12106537530266301</v>
      </c>
      <c r="N45" s="45">
        <v>0.84745762711864403</v>
      </c>
      <c r="O45" s="45">
        <v>0</v>
      </c>
      <c r="P45" s="45">
        <f t="shared" si="0"/>
        <v>99.999999999999901</v>
      </c>
      <c r="Q45" s="54">
        <f t="shared" si="1"/>
        <v>825.99999999999955</v>
      </c>
      <c r="S45" s="29"/>
    </row>
    <row r="46" spans="1:19" x14ac:dyDescent="0.3">
      <c r="A46" s="25" t="s">
        <v>124</v>
      </c>
      <c r="B46" s="45">
        <v>83.923705722070792</v>
      </c>
      <c r="C46" s="54">
        <v>1101</v>
      </c>
      <c r="D46" s="45">
        <v>6.6298701298701301</v>
      </c>
      <c r="E46" s="45">
        <v>0</v>
      </c>
      <c r="F46" s="45">
        <v>0.97402597402597402</v>
      </c>
      <c r="G46" s="45">
        <v>0.216450216450216</v>
      </c>
      <c r="H46" s="45">
        <v>93.290043290043201</v>
      </c>
      <c r="I46" s="45">
        <v>0.108225108225108</v>
      </c>
      <c r="J46" s="45">
        <v>0</v>
      </c>
      <c r="K46" s="45">
        <v>2.2727272727272698</v>
      </c>
      <c r="L46" s="45">
        <v>1.83982683982684</v>
      </c>
      <c r="M46" s="45">
        <v>0</v>
      </c>
      <c r="N46" s="45">
        <v>1.19047619047619</v>
      </c>
      <c r="O46" s="45">
        <v>0.108225108225108</v>
      </c>
      <c r="P46" s="45">
        <f t="shared" si="0"/>
        <v>99.999999999999915</v>
      </c>
      <c r="Q46" s="54">
        <f t="shared" si="1"/>
        <v>923.99999999999943</v>
      </c>
      <c r="S46" s="29"/>
    </row>
    <row r="47" spans="1:19" x14ac:dyDescent="0.3">
      <c r="A47" s="25" t="s">
        <v>125</v>
      </c>
      <c r="B47" s="45">
        <v>83.458646616541301</v>
      </c>
      <c r="C47" s="54">
        <v>1197</v>
      </c>
      <c r="D47" s="45">
        <v>6.5605605605605604</v>
      </c>
      <c r="E47" s="45">
        <v>0.30030030030029997</v>
      </c>
      <c r="F47" s="45">
        <v>1.1011011011011</v>
      </c>
      <c r="G47" s="45">
        <v>0</v>
      </c>
      <c r="H47" s="45">
        <v>93.993993993993996</v>
      </c>
      <c r="I47" s="45">
        <v>0</v>
      </c>
      <c r="J47" s="45">
        <v>0.1001001001001</v>
      </c>
      <c r="K47" s="45">
        <v>1.8018018018018001</v>
      </c>
      <c r="L47" s="45">
        <v>2.002002002002</v>
      </c>
      <c r="M47" s="45">
        <v>0</v>
      </c>
      <c r="N47" s="45">
        <v>0.70070070070070001</v>
      </c>
      <c r="O47" s="45">
        <v>0</v>
      </c>
      <c r="P47" s="45">
        <f t="shared" si="0"/>
        <v>99.999999999999986</v>
      </c>
      <c r="Q47" s="54">
        <f t="shared" si="1"/>
        <v>998.99999999999932</v>
      </c>
      <c r="S47" s="29"/>
    </row>
    <row r="48" spans="1:19" x14ac:dyDescent="0.3">
      <c r="A48" s="25" t="s">
        <v>126</v>
      </c>
      <c r="B48" s="45">
        <v>86.515978176149602</v>
      </c>
      <c r="C48" s="54">
        <v>1283</v>
      </c>
      <c r="D48" s="45">
        <v>6.5495495495495497</v>
      </c>
      <c r="E48" s="45">
        <v>9.0090090090090003E-2</v>
      </c>
      <c r="F48" s="45">
        <v>0.63063063063062996</v>
      </c>
      <c r="G48" s="45">
        <v>9.0090090090090003E-2</v>
      </c>
      <c r="H48" s="45">
        <v>95.045045045045001</v>
      </c>
      <c r="I48" s="45">
        <v>0</v>
      </c>
      <c r="J48" s="45">
        <v>0</v>
      </c>
      <c r="K48" s="45">
        <v>1.6216216216216199</v>
      </c>
      <c r="L48" s="45">
        <v>1.5315315315315299</v>
      </c>
      <c r="M48" s="45">
        <v>9.0090090090090003E-2</v>
      </c>
      <c r="N48" s="45">
        <v>0.72072072072072002</v>
      </c>
      <c r="O48" s="45">
        <v>0.18018018018018001</v>
      </c>
      <c r="P48" s="45">
        <f t="shared" si="0"/>
        <v>99.999999999999929</v>
      </c>
      <c r="Q48" s="54">
        <f t="shared" si="1"/>
        <v>1109.9999999999993</v>
      </c>
      <c r="S48" s="29"/>
    </row>
    <row r="49" spans="1:19" x14ac:dyDescent="0.3">
      <c r="A49" s="25" t="s">
        <v>127</v>
      </c>
      <c r="B49" s="45">
        <v>85.895627644569799</v>
      </c>
      <c r="C49" s="54">
        <v>1418</v>
      </c>
      <c r="D49" s="45">
        <v>6.48029556650246</v>
      </c>
      <c r="E49" s="45">
        <v>8.2101806239737202E-2</v>
      </c>
      <c r="F49" s="45">
        <v>0.98522167487684698</v>
      </c>
      <c r="G49" s="45">
        <v>0</v>
      </c>
      <c r="H49" s="45">
        <v>95.320197044334904</v>
      </c>
      <c r="I49" s="45">
        <v>0</v>
      </c>
      <c r="J49" s="45">
        <v>0</v>
      </c>
      <c r="K49" s="45">
        <v>1.8883415435139501</v>
      </c>
      <c r="L49" s="45">
        <v>0.98522167487684698</v>
      </c>
      <c r="M49" s="45">
        <v>0</v>
      </c>
      <c r="N49" s="45">
        <v>0.65681444991789795</v>
      </c>
      <c r="O49" s="45">
        <v>8.2101806239737202E-2</v>
      </c>
      <c r="P49" s="45">
        <f t="shared" si="0"/>
        <v>99.999999999999915</v>
      </c>
      <c r="Q49" s="54">
        <f t="shared" si="1"/>
        <v>1217.9999999999998</v>
      </c>
      <c r="S49" s="29"/>
    </row>
    <row r="50" spans="1:19" x14ac:dyDescent="0.3">
      <c r="A50" s="22" t="s">
        <v>93</v>
      </c>
      <c r="B50" s="45"/>
      <c r="C50" s="5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54"/>
      <c r="S50" s="29"/>
    </row>
    <row r="51" spans="1:19" x14ac:dyDescent="0.3">
      <c r="A51" s="28" t="s">
        <v>51</v>
      </c>
      <c r="B51" s="45">
        <v>87.692307692307608</v>
      </c>
      <c r="C51" s="54">
        <v>715</v>
      </c>
      <c r="D51" s="45">
        <v>6.45614035087719</v>
      </c>
      <c r="E51" s="45">
        <v>0</v>
      </c>
      <c r="F51" s="45">
        <v>1.1164274322168999</v>
      </c>
      <c r="G51" s="45">
        <v>0</v>
      </c>
      <c r="H51" s="45">
        <v>95.853269537480003</v>
      </c>
      <c r="I51" s="45">
        <v>0</v>
      </c>
      <c r="J51" s="45">
        <v>0</v>
      </c>
      <c r="K51" s="45">
        <v>1.1164274322168999</v>
      </c>
      <c r="L51" s="45">
        <v>0.47846889952153099</v>
      </c>
      <c r="M51" s="45">
        <v>0.15948963317384302</v>
      </c>
      <c r="N51" s="45">
        <v>1.2759170653907401</v>
      </c>
      <c r="O51" s="45">
        <v>0</v>
      </c>
      <c r="P51" s="45">
        <f t="shared" si="0"/>
        <v>99.999999999999915</v>
      </c>
      <c r="Q51" s="54">
        <f t="shared" si="1"/>
        <v>626.99999999999932</v>
      </c>
      <c r="S51" s="29"/>
    </row>
    <row r="52" spans="1:19" x14ac:dyDescent="0.3">
      <c r="A52" s="28" t="s">
        <v>53</v>
      </c>
      <c r="B52" s="45">
        <v>91.891891891891902</v>
      </c>
      <c r="C52" s="54">
        <v>111</v>
      </c>
      <c r="D52" s="45">
        <v>6.3529411764705799</v>
      </c>
      <c r="E52" s="45">
        <v>0.98039215686274506</v>
      </c>
      <c r="F52" s="45">
        <v>0</v>
      </c>
      <c r="G52" s="45">
        <v>0</v>
      </c>
      <c r="H52" s="45">
        <v>99.019607843137209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0"/>
        <v>99.999999999999957</v>
      </c>
      <c r="Q52" s="54">
        <f t="shared" si="1"/>
        <v>102</v>
      </c>
      <c r="S52" s="29"/>
    </row>
    <row r="53" spans="1:19" x14ac:dyDescent="0.3">
      <c r="A53" s="28" t="s">
        <v>52</v>
      </c>
      <c r="B53" s="45">
        <v>78.787878787878697</v>
      </c>
      <c r="C53" s="54">
        <v>33</v>
      </c>
      <c r="D53" s="45">
        <v>6.3076923076923004</v>
      </c>
      <c r="E53" s="45">
        <v>0</v>
      </c>
      <c r="F53" s="45">
        <v>0</v>
      </c>
      <c r="G53" s="45">
        <v>0</v>
      </c>
      <c r="H53" s="45">
        <v>96.153846153846104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3.84615384615384</v>
      </c>
      <c r="O53" s="45">
        <v>0</v>
      </c>
      <c r="P53" s="45">
        <f t="shared" si="0"/>
        <v>99.999999999999943</v>
      </c>
      <c r="Q53" s="54">
        <f t="shared" si="1"/>
        <v>25.999999999999968</v>
      </c>
      <c r="S53" s="29"/>
    </row>
    <row r="54" spans="1:19" x14ac:dyDescent="0.3">
      <c r="A54" s="28" t="s">
        <v>45</v>
      </c>
      <c r="B54" s="45">
        <v>56.164383561643803</v>
      </c>
      <c r="C54" s="54">
        <v>146</v>
      </c>
      <c r="D54" s="45">
        <v>5.5243902439024302</v>
      </c>
      <c r="E54" s="45">
        <v>3.6585365853658498</v>
      </c>
      <c r="F54" s="45">
        <v>8.5365853658536501</v>
      </c>
      <c r="G54" s="45">
        <v>1.2195121951219501</v>
      </c>
      <c r="H54" s="45">
        <v>74.390243902438996</v>
      </c>
      <c r="I54" s="45">
        <v>0</v>
      </c>
      <c r="J54" s="45">
        <v>2.4390243902439002</v>
      </c>
      <c r="K54" s="45">
        <v>6.09756097560975</v>
      </c>
      <c r="L54" s="45">
        <v>2.4390243902439002</v>
      </c>
      <c r="M54" s="45">
        <v>0</v>
      </c>
      <c r="N54" s="45">
        <v>0</v>
      </c>
      <c r="O54" s="45">
        <v>1.2195121951219501</v>
      </c>
      <c r="P54" s="45">
        <f t="shared" si="0"/>
        <v>99.999999999999957</v>
      </c>
      <c r="Q54" s="54">
        <f t="shared" si="1"/>
        <v>81.999999999999957</v>
      </c>
      <c r="S54" s="29"/>
    </row>
    <row r="55" spans="1:19" x14ac:dyDescent="0.3">
      <c r="A55" s="28" t="s">
        <v>48</v>
      </c>
      <c r="B55" s="45">
        <v>76.470588235294102</v>
      </c>
      <c r="C55" s="54">
        <v>1292</v>
      </c>
      <c r="D55" s="45">
        <v>6.3218623481781302</v>
      </c>
      <c r="E55" s="45">
        <v>0.60728744939271206</v>
      </c>
      <c r="F55" s="45">
        <v>3.7449392712550598</v>
      </c>
      <c r="G55" s="45">
        <v>0</v>
      </c>
      <c r="H55" s="45">
        <v>88.967611336032306</v>
      </c>
      <c r="I55" s="45">
        <v>0</v>
      </c>
      <c r="J55" s="45">
        <v>0.20242914979756998</v>
      </c>
      <c r="K55" s="45">
        <v>2.8340080971659898</v>
      </c>
      <c r="L55" s="45">
        <v>1.92307692307692</v>
      </c>
      <c r="M55" s="45">
        <v>0.20242914979756998</v>
      </c>
      <c r="N55" s="45">
        <v>1.31578947368421</v>
      </c>
      <c r="O55" s="45">
        <v>0.20242914979756998</v>
      </c>
      <c r="P55" s="45">
        <f t="shared" si="0"/>
        <v>99.999999999999901</v>
      </c>
      <c r="Q55" s="54">
        <f t="shared" si="1"/>
        <v>987.99999999999977</v>
      </c>
      <c r="S55" s="29"/>
    </row>
    <row r="56" spans="1:19" x14ac:dyDescent="0.3">
      <c r="A56" s="28" t="s">
        <v>49</v>
      </c>
      <c r="B56" s="45">
        <v>84.164859002169194</v>
      </c>
      <c r="C56" s="54">
        <v>4610</v>
      </c>
      <c r="D56" s="45">
        <v>6.6644329896907202</v>
      </c>
      <c r="E56" s="45">
        <v>0.12886597938144298</v>
      </c>
      <c r="F56" s="45">
        <v>0.335051546391752</v>
      </c>
      <c r="G56" s="45">
        <v>0.15463917525773099</v>
      </c>
      <c r="H56" s="45">
        <v>93.762886597938106</v>
      </c>
      <c r="I56" s="45">
        <v>0</v>
      </c>
      <c r="J56" s="45">
        <v>5.1546391752577296E-2</v>
      </c>
      <c r="K56" s="45">
        <v>0.97938144329896903</v>
      </c>
      <c r="L56" s="45">
        <v>3.2731958762886602</v>
      </c>
      <c r="M56" s="45">
        <v>0</v>
      </c>
      <c r="N56" s="45">
        <v>1.1855670103092699</v>
      </c>
      <c r="O56" s="45">
        <v>0.12886597938144298</v>
      </c>
      <c r="P56" s="45">
        <f t="shared" si="0"/>
        <v>99.999999999999943</v>
      </c>
      <c r="Q56" s="54">
        <f t="shared" si="1"/>
        <v>3879.9999999999995</v>
      </c>
      <c r="S56" s="29"/>
    </row>
    <row r="57" spans="1:19" x14ac:dyDescent="0.3">
      <c r="A57" s="28" t="s">
        <v>128</v>
      </c>
      <c r="B57" s="45">
        <v>71.515151515151501</v>
      </c>
      <c r="C57" s="54">
        <v>165</v>
      </c>
      <c r="D57" s="45">
        <v>6.3220338983050803</v>
      </c>
      <c r="E57" s="45">
        <v>0</v>
      </c>
      <c r="F57" s="45">
        <v>0</v>
      </c>
      <c r="G57" s="45">
        <v>0</v>
      </c>
      <c r="H57" s="45">
        <v>96.610169491525397</v>
      </c>
      <c r="I57" s="45">
        <v>0</v>
      </c>
      <c r="J57" s="45">
        <v>0</v>
      </c>
      <c r="K57" s="45">
        <v>2.5423728813559299</v>
      </c>
      <c r="L57" s="45">
        <v>0</v>
      </c>
      <c r="M57" s="45">
        <v>0</v>
      </c>
      <c r="N57" s="45">
        <v>0.84745762711864403</v>
      </c>
      <c r="O57" s="45">
        <v>0</v>
      </c>
      <c r="P57" s="45">
        <f t="shared" si="0"/>
        <v>99.999999999999972</v>
      </c>
      <c r="Q57" s="54">
        <f t="shared" si="1"/>
        <v>117.99999999999997</v>
      </c>
      <c r="S57" s="29"/>
    </row>
    <row r="58" spans="1:19" x14ac:dyDescent="0.3">
      <c r="A58" s="28" t="s">
        <v>129</v>
      </c>
      <c r="B58" s="45">
        <v>86.1111111111111</v>
      </c>
      <c r="C58" s="54">
        <v>108</v>
      </c>
      <c r="D58" s="45">
        <v>6.6129032258064502</v>
      </c>
      <c r="E58" s="45">
        <v>0</v>
      </c>
      <c r="F58" s="45">
        <v>0</v>
      </c>
      <c r="G58" s="45">
        <v>0</v>
      </c>
      <c r="H58" s="45">
        <v>89.247311827956892</v>
      </c>
      <c r="I58" s="45">
        <v>0</v>
      </c>
      <c r="J58" s="45">
        <v>0</v>
      </c>
      <c r="K58" s="45">
        <v>7.5268817204300991</v>
      </c>
      <c r="L58" s="45">
        <v>2.1505376344085998</v>
      </c>
      <c r="M58" s="45">
        <v>0</v>
      </c>
      <c r="N58" s="45">
        <v>1.0752688172042999</v>
      </c>
      <c r="O58" s="45">
        <v>0</v>
      </c>
      <c r="P58" s="45">
        <f t="shared" si="0"/>
        <v>99.999999999999886</v>
      </c>
      <c r="Q58" s="54">
        <f t="shared" si="1"/>
        <v>93</v>
      </c>
      <c r="S58" s="29"/>
    </row>
    <row r="59" spans="1:19" x14ac:dyDescent="0.3">
      <c r="A59" s="28" t="s">
        <v>54</v>
      </c>
      <c r="B59" s="45">
        <v>88.571428571428498</v>
      </c>
      <c r="C59" s="54">
        <v>35</v>
      </c>
      <c r="D59" s="45">
        <v>6.6129032258064502</v>
      </c>
      <c r="E59" s="45">
        <v>0</v>
      </c>
      <c r="F59" s="45">
        <v>3.2258064516128995</v>
      </c>
      <c r="G59" s="45">
        <v>0</v>
      </c>
      <c r="H59" s="45">
        <v>93.548387096774093</v>
      </c>
      <c r="I59" s="45">
        <v>0</v>
      </c>
      <c r="J59" s="45">
        <v>0</v>
      </c>
      <c r="K59" s="45">
        <v>3.2258064516128995</v>
      </c>
      <c r="L59" s="45">
        <v>0</v>
      </c>
      <c r="M59" s="45">
        <v>0</v>
      </c>
      <c r="N59" s="45">
        <v>0</v>
      </c>
      <c r="O59" s="45">
        <v>0</v>
      </c>
      <c r="P59" s="45">
        <f t="shared" si="0"/>
        <v>99.999999999999886</v>
      </c>
      <c r="Q59" s="54">
        <f t="shared" si="1"/>
        <v>30.999999999999975</v>
      </c>
      <c r="S59" s="29"/>
    </row>
    <row r="60" spans="1:19" x14ac:dyDescent="0.3">
      <c r="A60" s="28" t="s">
        <v>130</v>
      </c>
      <c r="B60" s="45">
        <v>80.400000000000006</v>
      </c>
      <c r="C60" s="54">
        <v>1000</v>
      </c>
      <c r="D60" s="45">
        <v>6.1243781094527296</v>
      </c>
      <c r="E60" s="45">
        <v>0.62189054726368098</v>
      </c>
      <c r="F60" s="45">
        <v>2.3631840796019898</v>
      </c>
      <c r="G60" s="45">
        <v>0.12437810945273599</v>
      </c>
      <c r="H60" s="45">
        <v>89.427860696517399</v>
      </c>
      <c r="I60" s="45">
        <v>0</v>
      </c>
      <c r="J60" s="45">
        <v>0</v>
      </c>
      <c r="K60" s="45">
        <v>3.4825870646766099</v>
      </c>
      <c r="L60" s="45">
        <v>2.7363184079601899</v>
      </c>
      <c r="M60" s="45">
        <v>0</v>
      </c>
      <c r="N60" s="45">
        <v>1.24378109452736</v>
      </c>
      <c r="O60" s="45">
        <v>0</v>
      </c>
      <c r="P60" s="45">
        <f t="shared" si="0"/>
        <v>99.999999999999957</v>
      </c>
      <c r="Q60" s="54">
        <f t="shared" si="1"/>
        <v>804</v>
      </c>
      <c r="S60" s="29"/>
    </row>
    <row r="61" spans="1:19" x14ac:dyDescent="0.3">
      <c r="A61" s="28" t="s">
        <v>131</v>
      </c>
      <c r="B61" s="45">
        <v>69.103773584905611</v>
      </c>
      <c r="C61" s="54">
        <v>1272</v>
      </c>
      <c r="D61" s="45">
        <v>6.2639362912400403</v>
      </c>
      <c r="E61" s="45">
        <v>0.91012514220705309</v>
      </c>
      <c r="F61" s="45">
        <v>2.7303754266211602</v>
      </c>
      <c r="G61" s="45">
        <v>0.113765642775881</v>
      </c>
      <c r="H61" s="45">
        <v>88.395904436859993</v>
      </c>
      <c r="I61" s="45">
        <v>1.02389078498293</v>
      </c>
      <c r="J61" s="45">
        <v>0.113765642775881</v>
      </c>
      <c r="K61" s="45">
        <v>1.3651877133105801</v>
      </c>
      <c r="L61" s="45">
        <v>3.7542662116040897</v>
      </c>
      <c r="M61" s="45">
        <v>0.227531285551763</v>
      </c>
      <c r="N61" s="45">
        <v>1.02389078498293</v>
      </c>
      <c r="O61" s="45">
        <v>0.34129692832764502</v>
      </c>
      <c r="P61" s="45">
        <f t="shared" si="0"/>
        <v>99.999999999999886</v>
      </c>
      <c r="Q61" s="54">
        <f t="shared" si="1"/>
        <v>878.99999999999943</v>
      </c>
      <c r="S61" s="29"/>
    </row>
    <row r="62" spans="1:19" x14ac:dyDescent="0.3">
      <c r="A62" s="28" t="s">
        <v>50</v>
      </c>
      <c r="B62" s="45">
        <v>61.290322580645096</v>
      </c>
      <c r="C62" s="54">
        <v>31</v>
      </c>
      <c r="D62" s="45">
        <v>6.6842105263157796</v>
      </c>
      <c r="E62" s="45">
        <v>0</v>
      </c>
      <c r="F62" s="45">
        <v>0</v>
      </c>
      <c r="G62" s="45">
        <v>0</v>
      </c>
      <c r="H62" s="45">
        <v>100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0"/>
        <v>100</v>
      </c>
      <c r="Q62" s="54">
        <f t="shared" si="1"/>
        <v>18.999999999999979</v>
      </c>
      <c r="S62" s="29"/>
    </row>
    <row r="63" spans="1:19" x14ac:dyDescent="0.3">
      <c r="A63" s="28" t="s">
        <v>132</v>
      </c>
      <c r="B63" s="46">
        <v>88.811188811188799</v>
      </c>
      <c r="C63" s="55">
        <v>572</v>
      </c>
      <c r="D63" s="46">
        <v>6.5807086614173196</v>
      </c>
      <c r="E63" s="46">
        <v>0.196850393700787</v>
      </c>
      <c r="F63" s="46">
        <v>0.196850393700787</v>
      </c>
      <c r="G63" s="46">
        <v>0</v>
      </c>
      <c r="H63" s="46">
        <v>98.03149606299209</v>
      </c>
      <c r="I63" s="46">
        <v>0.196850393700787</v>
      </c>
      <c r="J63" s="46">
        <v>0</v>
      </c>
      <c r="K63" s="46">
        <v>0</v>
      </c>
      <c r="L63" s="46">
        <v>1.37795275590551</v>
      </c>
      <c r="M63" s="46">
        <v>0</v>
      </c>
      <c r="N63" s="46">
        <v>0</v>
      </c>
      <c r="O63" s="46">
        <v>0</v>
      </c>
      <c r="P63" s="46">
        <f t="shared" si="0"/>
        <v>99.999999999999957</v>
      </c>
      <c r="Q63" s="54">
        <f t="shared" si="1"/>
        <v>507.99999999999994</v>
      </c>
      <c r="S63" s="29"/>
    </row>
    <row r="64" spans="1:19" x14ac:dyDescent="0.3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</row>
    <row r="65" spans="2:16" x14ac:dyDescent="0.3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</row>
    <row r="66" spans="2:16" x14ac:dyDescent="0.3"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</row>
    <row r="67" spans="2:16" x14ac:dyDescent="0.3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</row>
    <row r="68" spans="2:16" x14ac:dyDescent="0.3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spans="2:16" x14ac:dyDescent="0.3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</row>
    <row r="70" spans="2:16" x14ac:dyDescent="0.3"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</row>
    <row r="71" spans="2:16" x14ac:dyDescent="0.3"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</row>
    <row r="72" spans="2:16" x14ac:dyDescent="0.3"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</row>
    <row r="73" spans="2:16" x14ac:dyDescent="0.3"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</row>
    <row r="74" spans="2:16" x14ac:dyDescent="0.3"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</row>
    <row r="75" spans="2:16" x14ac:dyDescent="0.3"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</row>
  </sheetData>
  <mergeCells count="1">
    <mergeCell ref="E3:P3"/>
  </mergeCells>
  <pageMargins left="0.7" right="0.7" top="0.75" bottom="0.75" header="0.3" footer="0.3"/>
  <ignoredErrors>
    <ignoredError sqref="P51:P63 P8:P10 P12:P25 P27:P28 P30:P32 P34:P38 P40:P4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85D8-757D-4D08-8668-F5724E46AA2E}">
  <dimension ref="A1:K80"/>
  <sheetViews>
    <sheetView zoomScale="80" zoomScaleNormal="80" workbookViewId="0">
      <selection activeCell="B5" sqref="B5:I5"/>
    </sheetView>
  </sheetViews>
  <sheetFormatPr defaultColWidth="15.25" defaultRowHeight="13" x14ac:dyDescent="0.3"/>
  <cols>
    <col min="1" max="1" width="16.41406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25" style="26" customWidth="1"/>
    <col min="10" max="16384" width="15.25" style="23"/>
  </cols>
  <sheetData>
    <row r="1" spans="1:11" x14ac:dyDescent="0.3">
      <c r="A1" s="24" t="s">
        <v>163</v>
      </c>
    </row>
    <row r="3" spans="1:11" ht="91" x14ac:dyDescent="0.3">
      <c r="B3" s="30" t="s">
        <v>156</v>
      </c>
      <c r="C3" s="30" t="s">
        <v>104</v>
      </c>
      <c r="D3" s="32" t="s">
        <v>157</v>
      </c>
      <c r="E3" s="39" t="s">
        <v>160</v>
      </c>
      <c r="F3" s="39" t="s">
        <v>161</v>
      </c>
      <c r="G3" s="39" t="s">
        <v>162</v>
      </c>
      <c r="H3" s="39" t="s">
        <v>159</v>
      </c>
      <c r="I3" s="40" t="s">
        <v>104</v>
      </c>
    </row>
    <row r="4" spans="1:11" x14ac:dyDescent="0.3">
      <c r="B4" s="31" t="s">
        <v>103</v>
      </c>
      <c r="C4" s="31"/>
      <c r="D4" s="33" t="s">
        <v>158</v>
      </c>
      <c r="E4" s="36" t="s">
        <v>103</v>
      </c>
      <c r="F4" s="36" t="s">
        <v>103</v>
      </c>
      <c r="G4" s="36" t="s">
        <v>103</v>
      </c>
      <c r="H4" s="36" t="s">
        <v>102</v>
      </c>
      <c r="I4" s="41"/>
    </row>
    <row r="5" spans="1:11" x14ac:dyDescent="0.3">
      <c r="A5" s="22" t="s">
        <v>96</v>
      </c>
      <c r="B5" s="45">
        <v>7.3439048562933404</v>
      </c>
      <c r="C5" s="54">
        <v>10090</v>
      </c>
      <c r="D5" s="45"/>
      <c r="E5" s="42"/>
      <c r="F5" s="42"/>
      <c r="G5" s="42"/>
      <c r="H5" s="42"/>
      <c r="I5" s="42">
        <v>741</v>
      </c>
    </row>
    <row r="6" spans="1:11" x14ac:dyDescent="0.3">
      <c r="A6" s="22" t="s">
        <v>97</v>
      </c>
      <c r="B6" s="42"/>
      <c r="C6" s="42"/>
      <c r="D6" s="42"/>
      <c r="E6" s="42"/>
      <c r="F6" s="42"/>
      <c r="G6" s="42"/>
      <c r="H6" s="42"/>
      <c r="I6" s="42"/>
    </row>
    <row r="7" spans="1:11" x14ac:dyDescent="0.3">
      <c r="A7" s="25" t="s">
        <v>92</v>
      </c>
      <c r="B7" s="45">
        <v>11.887985546522099</v>
      </c>
      <c r="C7" s="54">
        <v>5535</v>
      </c>
      <c r="D7" s="49">
        <v>235.58662613981701</v>
      </c>
      <c r="E7" s="45">
        <v>82.201498230779009</v>
      </c>
      <c r="F7" s="45">
        <v>4.5017649628161394</v>
      </c>
      <c r="G7" s="45">
        <v>3.4521112155932898</v>
      </c>
      <c r="H7" s="45"/>
      <c r="I7" s="42">
        <v>658</v>
      </c>
      <c r="K7" s="29"/>
    </row>
    <row r="8" spans="1:11" x14ac:dyDescent="0.3">
      <c r="A8" s="25" t="s">
        <v>164</v>
      </c>
      <c r="B8" s="45">
        <v>8.8235294117646994</v>
      </c>
      <c r="C8" s="54">
        <v>306</v>
      </c>
      <c r="D8" s="49">
        <v>180.70370370370301</v>
      </c>
      <c r="E8" s="45">
        <v>85.540360873694198</v>
      </c>
      <c r="F8" s="45">
        <v>1.03133903133903</v>
      </c>
      <c r="G8" s="45">
        <v>2.5641025641025599</v>
      </c>
      <c r="H8" s="45"/>
      <c r="I8" s="42">
        <v>27</v>
      </c>
      <c r="K8" s="29"/>
    </row>
    <row r="9" spans="1:11" x14ac:dyDescent="0.3">
      <c r="A9" s="25" t="s">
        <v>91</v>
      </c>
      <c r="B9" s="45">
        <v>1.3179571663920899</v>
      </c>
      <c r="C9" s="54">
        <v>4249</v>
      </c>
      <c r="D9" s="49">
        <v>96.303571428571402</v>
      </c>
      <c r="E9" s="45">
        <v>67.7083333333333</v>
      </c>
      <c r="F9" s="45">
        <v>7.040816326530611</v>
      </c>
      <c r="G9" s="45">
        <v>11.547619047618999</v>
      </c>
      <c r="H9" s="45"/>
      <c r="I9" s="42">
        <v>56</v>
      </c>
      <c r="K9" s="29"/>
    </row>
    <row r="10" spans="1:11" x14ac:dyDescent="0.3">
      <c r="A10" s="22" t="s">
        <v>90</v>
      </c>
      <c r="B10" s="45"/>
      <c r="C10" s="54"/>
      <c r="D10" s="49"/>
      <c r="E10" s="45"/>
      <c r="F10" s="45"/>
      <c r="G10" s="45"/>
      <c r="H10" s="45"/>
      <c r="I10" s="42"/>
      <c r="K10" s="29"/>
    </row>
    <row r="11" spans="1:11" x14ac:dyDescent="0.3">
      <c r="A11" s="25" t="s">
        <v>7</v>
      </c>
      <c r="B11" s="45">
        <v>0.35778175313059002</v>
      </c>
      <c r="C11" s="54">
        <v>559</v>
      </c>
      <c r="D11" s="49">
        <v>31</v>
      </c>
      <c r="E11" s="45">
        <v>73.3333333333333</v>
      </c>
      <c r="F11" s="45">
        <v>26.6666666666666</v>
      </c>
      <c r="G11" s="45">
        <v>0</v>
      </c>
      <c r="H11" s="45"/>
      <c r="I11" s="42">
        <v>2</v>
      </c>
      <c r="K11" s="29"/>
    </row>
    <row r="12" spans="1:11" x14ac:dyDescent="0.3">
      <c r="A12" s="25" t="s">
        <v>8</v>
      </c>
      <c r="B12" s="45">
        <v>0.120772946859903</v>
      </c>
      <c r="C12" s="54">
        <v>828</v>
      </c>
      <c r="D12" s="49">
        <v>200</v>
      </c>
      <c r="E12" s="45">
        <v>50</v>
      </c>
      <c r="F12" s="45">
        <v>0</v>
      </c>
      <c r="G12" s="45">
        <v>0</v>
      </c>
      <c r="H12" s="45"/>
      <c r="I12" s="42">
        <v>1</v>
      </c>
      <c r="K12" s="29"/>
    </row>
    <row r="13" spans="1:11" x14ac:dyDescent="0.3">
      <c r="A13" s="25" t="s">
        <v>9</v>
      </c>
      <c r="B13" s="45">
        <v>0.35650623885918004</v>
      </c>
      <c r="C13" s="54">
        <v>561</v>
      </c>
      <c r="D13" s="49">
        <v>87.5</v>
      </c>
      <c r="E13" s="45">
        <v>58.3333333333333</v>
      </c>
      <c r="F13" s="45">
        <v>8.3333333333333304</v>
      </c>
      <c r="G13" s="45">
        <v>8.3333333333333304</v>
      </c>
      <c r="H13" s="45"/>
      <c r="I13" s="42">
        <v>2</v>
      </c>
      <c r="K13" s="29"/>
    </row>
    <row r="14" spans="1:11" x14ac:dyDescent="0.3">
      <c r="A14" s="25" t="s">
        <v>10</v>
      </c>
      <c r="B14" s="45">
        <v>13.5379061371841</v>
      </c>
      <c r="C14" s="54">
        <v>554</v>
      </c>
      <c r="D14" s="49">
        <v>149.06666666666601</v>
      </c>
      <c r="E14" s="45">
        <v>80.709918229918202</v>
      </c>
      <c r="F14" s="45">
        <v>8.4583357383357303</v>
      </c>
      <c r="G14" s="45">
        <v>2.4444444444444402</v>
      </c>
      <c r="H14" s="45"/>
      <c r="I14" s="42">
        <v>75</v>
      </c>
      <c r="K14" s="29"/>
    </row>
    <row r="15" spans="1:11" x14ac:dyDescent="0.3">
      <c r="A15" s="25" t="s">
        <v>11</v>
      </c>
      <c r="B15" s="45">
        <v>33.274647887323901</v>
      </c>
      <c r="C15" s="54">
        <v>568</v>
      </c>
      <c r="D15" s="49">
        <v>148.16931216931201</v>
      </c>
      <c r="E15" s="45">
        <v>86.025300320282412</v>
      </c>
      <c r="F15" s="45">
        <v>5.4010952607726708</v>
      </c>
      <c r="G15" s="45">
        <v>1.64134865722167</v>
      </c>
      <c r="H15" s="45"/>
      <c r="I15" s="42">
        <v>189</v>
      </c>
      <c r="K15" s="29"/>
    </row>
    <row r="16" spans="1:11" x14ac:dyDescent="0.3">
      <c r="A16" s="25" t="s">
        <v>12</v>
      </c>
      <c r="B16" s="45">
        <v>1.1992619926199199</v>
      </c>
      <c r="C16" s="54">
        <v>1084</v>
      </c>
      <c r="D16" s="49">
        <v>68</v>
      </c>
      <c r="E16" s="45">
        <v>78.846153846153797</v>
      </c>
      <c r="F16" s="45">
        <v>2.6923076923076898</v>
      </c>
      <c r="G16" s="45">
        <v>11.538461538461501</v>
      </c>
      <c r="H16" s="45"/>
      <c r="I16" s="42">
        <v>13</v>
      </c>
      <c r="K16" s="29"/>
    </row>
    <row r="17" spans="1:11" x14ac:dyDescent="0.3">
      <c r="A17" s="25" t="s">
        <v>107</v>
      </c>
      <c r="B17" s="45">
        <v>2.8070175438596401</v>
      </c>
      <c r="C17" s="54">
        <v>570</v>
      </c>
      <c r="D17" s="49">
        <v>188.75</v>
      </c>
      <c r="E17" s="45">
        <v>60.9114583333333</v>
      </c>
      <c r="F17" s="45">
        <v>5</v>
      </c>
      <c r="G17" s="45">
        <v>5.1041666666666607</v>
      </c>
      <c r="H17" s="45"/>
      <c r="I17" s="42">
        <v>16</v>
      </c>
      <c r="K17" s="29"/>
    </row>
    <row r="18" spans="1:11" x14ac:dyDescent="0.3">
      <c r="A18" s="25" t="s">
        <v>14</v>
      </c>
      <c r="B18" s="45">
        <v>11.124121779859401</v>
      </c>
      <c r="C18" s="54">
        <v>854</v>
      </c>
      <c r="D18" s="49">
        <v>23.778947368421001</v>
      </c>
      <c r="E18" s="45">
        <v>88.30632954936361</v>
      </c>
      <c r="F18" s="45">
        <v>1.26900584795321</v>
      </c>
      <c r="G18" s="45">
        <v>0</v>
      </c>
      <c r="H18" s="45"/>
      <c r="I18" s="42">
        <v>95</v>
      </c>
      <c r="K18" s="29"/>
    </row>
    <row r="19" spans="1:11" x14ac:dyDescent="0.3">
      <c r="A19" s="25" t="s">
        <v>15</v>
      </c>
      <c r="B19" s="45">
        <v>3.05206463195691</v>
      </c>
      <c r="C19" s="54">
        <v>557</v>
      </c>
      <c r="D19" s="49">
        <v>193.35294117647001</v>
      </c>
      <c r="E19" s="45">
        <v>73.063725490195992</v>
      </c>
      <c r="F19" s="45">
        <v>5.7034313725490202</v>
      </c>
      <c r="G19" s="45">
        <v>6.7647058823529393</v>
      </c>
      <c r="H19" s="45"/>
      <c r="I19" s="42">
        <v>17</v>
      </c>
      <c r="K19" s="29"/>
    </row>
    <row r="20" spans="1:11" x14ac:dyDescent="0.3">
      <c r="A20" s="25" t="s">
        <v>16</v>
      </c>
      <c r="B20" s="45">
        <v>8.3138173302107692</v>
      </c>
      <c r="C20" s="54">
        <v>854</v>
      </c>
      <c r="D20" s="49">
        <v>453.09859154929501</v>
      </c>
      <c r="E20" s="45">
        <v>78.887154587782504</v>
      </c>
      <c r="F20" s="45">
        <v>0.91549295774647799</v>
      </c>
      <c r="G20" s="45">
        <v>2.7563261798643102</v>
      </c>
      <c r="H20" s="45"/>
      <c r="I20" s="42">
        <v>71</v>
      </c>
      <c r="K20" s="29"/>
    </row>
    <row r="21" spans="1:11" x14ac:dyDescent="0.3">
      <c r="A21" s="25" t="s">
        <v>17</v>
      </c>
      <c r="B21" s="45">
        <v>4.2553191489361701</v>
      </c>
      <c r="C21" s="54">
        <v>846</v>
      </c>
      <c r="D21" s="49">
        <v>76.75</v>
      </c>
      <c r="E21" s="45">
        <v>81.5277777777777</v>
      </c>
      <c r="F21" s="45">
        <v>2.0370370370370301</v>
      </c>
      <c r="G21" s="45">
        <v>1.38888888888888</v>
      </c>
      <c r="H21" s="45"/>
      <c r="I21" s="42">
        <v>36</v>
      </c>
      <c r="K21" s="29"/>
    </row>
    <row r="22" spans="1:11" x14ac:dyDescent="0.3">
      <c r="A22" s="25" t="s">
        <v>18</v>
      </c>
      <c r="B22" s="45">
        <v>7.3943661971830901</v>
      </c>
      <c r="C22" s="54">
        <v>852</v>
      </c>
      <c r="D22" s="49">
        <v>87.238095238095198</v>
      </c>
      <c r="E22" s="45">
        <v>79.483405483405406</v>
      </c>
      <c r="F22" s="45">
        <v>4.0644540644540603</v>
      </c>
      <c r="G22" s="45">
        <v>2.1717171717171699</v>
      </c>
      <c r="H22" s="45"/>
      <c r="I22" s="42">
        <v>63</v>
      </c>
      <c r="K22" s="29"/>
    </row>
    <row r="23" spans="1:11" x14ac:dyDescent="0.3">
      <c r="A23" s="25" t="s">
        <v>19</v>
      </c>
      <c r="B23" s="45">
        <v>1.9115890083632001</v>
      </c>
      <c r="C23" s="54">
        <v>837</v>
      </c>
      <c r="D23" s="49">
        <v>107.875</v>
      </c>
      <c r="E23" s="45">
        <v>65.78125</v>
      </c>
      <c r="F23" s="45">
        <v>11.1875</v>
      </c>
      <c r="G23" s="45">
        <v>5</v>
      </c>
      <c r="H23" s="45"/>
      <c r="I23" s="42">
        <v>16</v>
      </c>
      <c r="K23" s="29"/>
    </row>
    <row r="24" spans="1:11" x14ac:dyDescent="0.3">
      <c r="A24" s="25" t="s">
        <v>20</v>
      </c>
      <c r="B24" s="45">
        <v>25.618374558303803</v>
      </c>
      <c r="C24" s="54">
        <v>566</v>
      </c>
      <c r="D24" s="49">
        <v>510.772413793103</v>
      </c>
      <c r="E24" s="45">
        <v>78.191536482449195</v>
      </c>
      <c r="F24" s="45">
        <v>5.1945048325575698</v>
      </c>
      <c r="G24" s="45">
        <v>11.5033635330187</v>
      </c>
      <c r="H24" s="45"/>
      <c r="I24" s="42">
        <v>145</v>
      </c>
      <c r="K24" s="29"/>
    </row>
    <row r="25" spans="1:11" x14ac:dyDescent="0.3">
      <c r="A25" s="22" t="s">
        <v>100</v>
      </c>
      <c r="B25" s="45"/>
      <c r="C25" s="54"/>
      <c r="D25" s="49"/>
      <c r="E25" s="45"/>
      <c r="F25" s="45"/>
      <c r="G25" s="45"/>
      <c r="H25" s="45"/>
      <c r="I25" s="42"/>
      <c r="K25" s="29"/>
    </row>
    <row r="26" spans="1:11" x14ac:dyDescent="0.3">
      <c r="A26" s="25" t="s">
        <v>108</v>
      </c>
      <c r="B26" s="45">
        <v>7.6473136915077902</v>
      </c>
      <c r="C26" s="54">
        <v>4616</v>
      </c>
      <c r="D26" s="49">
        <v>147.300283286118</v>
      </c>
      <c r="E26" s="45">
        <v>81.725985691991298</v>
      </c>
      <c r="F26" s="45">
        <v>4.0633765824983907</v>
      </c>
      <c r="G26" s="45">
        <v>4.2657358379737902</v>
      </c>
      <c r="H26" s="45"/>
      <c r="I26" s="42">
        <v>353</v>
      </c>
      <c r="K26" s="29"/>
    </row>
    <row r="27" spans="1:11" x14ac:dyDescent="0.3">
      <c r="A27" s="25" t="s">
        <v>109</v>
      </c>
      <c r="B27" s="45">
        <v>7.08805261234928</v>
      </c>
      <c r="C27" s="54">
        <v>5474</v>
      </c>
      <c r="D27" s="49">
        <v>291.98711340206103</v>
      </c>
      <c r="E27" s="45">
        <v>80.774663136175391</v>
      </c>
      <c r="F27" s="45">
        <v>5.02557030938907</v>
      </c>
      <c r="G27" s="45">
        <v>3.8185099612192497</v>
      </c>
      <c r="H27" s="45"/>
      <c r="I27" s="42">
        <v>388</v>
      </c>
      <c r="K27" s="29"/>
    </row>
    <row r="28" spans="1:11" x14ac:dyDescent="0.3">
      <c r="A28" s="22" t="s">
        <v>99</v>
      </c>
      <c r="B28" s="45"/>
      <c r="C28" s="54"/>
      <c r="D28" s="49"/>
      <c r="E28" s="45"/>
      <c r="F28" s="45"/>
      <c r="G28" s="45"/>
      <c r="H28" s="45"/>
      <c r="I28" s="42"/>
      <c r="K28" s="29"/>
    </row>
    <row r="29" spans="1:11" x14ac:dyDescent="0.3">
      <c r="A29" s="25" t="s">
        <v>110</v>
      </c>
      <c r="B29" s="45">
        <v>8.1081081081080999</v>
      </c>
      <c r="C29" s="54">
        <v>37</v>
      </c>
      <c r="D29" s="49">
        <v>96.6666666666666</v>
      </c>
      <c r="E29" s="45">
        <v>86.6666666666666</v>
      </c>
      <c r="F29" s="45">
        <v>0</v>
      </c>
      <c r="G29" s="45">
        <v>0</v>
      </c>
      <c r="H29" s="45"/>
      <c r="I29" s="42">
        <v>3</v>
      </c>
      <c r="K29" s="29"/>
    </row>
    <row r="30" spans="1:11" x14ac:dyDescent="0.3">
      <c r="A30" s="25" t="s">
        <v>111</v>
      </c>
      <c r="B30" s="45">
        <v>6.1083365347675702</v>
      </c>
      <c r="C30" s="54">
        <v>7809</v>
      </c>
      <c r="D30" s="49">
        <v>195.427672955974</v>
      </c>
      <c r="E30" s="45">
        <v>81.152028147765591</v>
      </c>
      <c r="F30" s="45">
        <v>4.8260968386160803</v>
      </c>
      <c r="G30" s="45">
        <v>4.5024377489182603</v>
      </c>
      <c r="H30" s="45"/>
      <c r="I30" s="42">
        <v>477</v>
      </c>
      <c r="K30" s="29"/>
    </row>
    <row r="31" spans="1:11" x14ac:dyDescent="0.3">
      <c r="A31" s="25" t="s">
        <v>112</v>
      </c>
      <c r="B31" s="45">
        <v>11.631016042780699</v>
      </c>
      <c r="C31" s="54">
        <v>2244</v>
      </c>
      <c r="D31" s="49">
        <v>275.01532567049799</v>
      </c>
      <c r="E31" s="45">
        <v>81.303926511972506</v>
      </c>
      <c r="F31" s="45">
        <v>4.1465326499809194</v>
      </c>
      <c r="G31" s="45">
        <v>3.2173326035395</v>
      </c>
      <c r="H31" s="45"/>
      <c r="I31" s="42">
        <v>261</v>
      </c>
      <c r="K31" s="29"/>
    </row>
    <row r="32" spans="1:11" x14ac:dyDescent="0.3">
      <c r="A32" s="22" t="s">
        <v>98</v>
      </c>
      <c r="B32" s="45"/>
      <c r="C32" s="54"/>
      <c r="D32" s="49"/>
      <c r="E32" s="45"/>
      <c r="F32" s="45"/>
      <c r="G32" s="45"/>
      <c r="H32" s="45"/>
      <c r="I32" s="42"/>
      <c r="K32" s="29"/>
    </row>
    <row r="33" spans="1:11" x14ac:dyDescent="0.3">
      <c r="A33" s="25" t="s">
        <v>113</v>
      </c>
      <c r="B33" s="45">
        <v>9.7637795275590502</v>
      </c>
      <c r="C33" s="54">
        <v>1905</v>
      </c>
      <c r="D33" s="49">
        <v>136.30107526881699</v>
      </c>
      <c r="E33" s="45">
        <v>84.538514699544891</v>
      </c>
      <c r="F33" s="45">
        <v>3.9438057173489001</v>
      </c>
      <c r="G33" s="45">
        <v>3.7900665642601097</v>
      </c>
      <c r="H33" s="45"/>
      <c r="I33" s="42">
        <v>186</v>
      </c>
      <c r="K33" s="29"/>
    </row>
    <row r="34" spans="1:11" x14ac:dyDescent="0.3">
      <c r="A34" s="25" t="s">
        <v>114</v>
      </c>
      <c r="B34" s="45">
        <v>5.4545454545454497</v>
      </c>
      <c r="C34" s="54">
        <v>55</v>
      </c>
      <c r="D34" s="49">
        <v>146.666666666666</v>
      </c>
      <c r="E34" s="45">
        <v>76.633986928104505</v>
      </c>
      <c r="F34" s="45">
        <v>23.366013071895399</v>
      </c>
      <c r="G34" s="45">
        <v>0</v>
      </c>
      <c r="H34" s="45"/>
      <c r="I34" s="42">
        <v>3</v>
      </c>
      <c r="K34" s="29"/>
    </row>
    <row r="35" spans="1:11" x14ac:dyDescent="0.3">
      <c r="A35" s="25" t="s">
        <v>115</v>
      </c>
      <c r="B35" s="45">
        <v>10.055045871559599</v>
      </c>
      <c r="C35" s="54">
        <v>2725</v>
      </c>
      <c r="D35" s="49">
        <v>256.29197080291902</v>
      </c>
      <c r="E35" s="45">
        <v>82.7372243936112</v>
      </c>
      <c r="F35" s="45">
        <v>4.6900542685214202</v>
      </c>
      <c r="G35" s="45">
        <v>2.40806407704217</v>
      </c>
      <c r="H35" s="45"/>
      <c r="I35" s="42">
        <v>274</v>
      </c>
      <c r="K35" s="29"/>
    </row>
    <row r="36" spans="1:11" x14ac:dyDescent="0.3">
      <c r="A36" s="25" t="s">
        <v>116</v>
      </c>
      <c r="B36" s="45">
        <v>5.7314148681055102</v>
      </c>
      <c r="C36" s="54">
        <v>4170</v>
      </c>
      <c r="D36" s="49">
        <v>271.506276150627</v>
      </c>
      <c r="E36" s="45">
        <v>76.9906990266104</v>
      </c>
      <c r="F36" s="45">
        <v>4.2841245806726898</v>
      </c>
      <c r="G36" s="45">
        <v>6.7892245928698092</v>
      </c>
      <c r="H36" s="45"/>
      <c r="I36" s="42">
        <v>239</v>
      </c>
      <c r="K36" s="29"/>
    </row>
    <row r="37" spans="1:11" x14ac:dyDescent="0.3">
      <c r="A37" s="25" t="s">
        <v>117</v>
      </c>
      <c r="B37" s="45">
        <v>3.1712473572938595</v>
      </c>
      <c r="C37" s="54">
        <v>946</v>
      </c>
      <c r="D37" s="49">
        <v>124.633333333333</v>
      </c>
      <c r="E37" s="45">
        <v>80.3333333333333</v>
      </c>
      <c r="F37" s="45">
        <v>7.7222222222222205</v>
      </c>
      <c r="G37" s="45">
        <v>0</v>
      </c>
      <c r="H37" s="45"/>
      <c r="I37" s="42">
        <v>30</v>
      </c>
      <c r="K37" s="29"/>
    </row>
    <row r="38" spans="1:11" x14ac:dyDescent="0.3">
      <c r="A38" s="22" t="s">
        <v>3</v>
      </c>
      <c r="B38" s="45"/>
      <c r="C38" s="54"/>
      <c r="D38" s="49"/>
      <c r="E38" s="45"/>
      <c r="F38" s="45"/>
      <c r="G38" s="45"/>
      <c r="H38" s="45"/>
      <c r="I38" s="42"/>
      <c r="K38" s="29"/>
    </row>
    <row r="39" spans="1:11" x14ac:dyDescent="0.3">
      <c r="A39" s="25" t="s">
        <v>118</v>
      </c>
      <c r="B39" s="45">
        <v>12.8888888888888</v>
      </c>
      <c r="C39" s="54">
        <v>675</v>
      </c>
      <c r="D39" s="49">
        <v>130.37931034482699</v>
      </c>
      <c r="E39" s="45">
        <v>89.259715380404998</v>
      </c>
      <c r="F39" s="45">
        <v>2.6728699142492198</v>
      </c>
      <c r="G39" s="45">
        <v>2.8160919540229803</v>
      </c>
      <c r="H39" s="45"/>
      <c r="I39" s="42">
        <v>87</v>
      </c>
      <c r="K39" s="29"/>
    </row>
    <row r="40" spans="1:11" x14ac:dyDescent="0.3">
      <c r="A40" s="25" t="s">
        <v>119</v>
      </c>
      <c r="B40" s="45">
        <v>11.1111111111111</v>
      </c>
      <c r="C40" s="54">
        <v>765</v>
      </c>
      <c r="D40" s="49">
        <v>109.37647058823499</v>
      </c>
      <c r="E40" s="45">
        <v>85.012291975613692</v>
      </c>
      <c r="F40" s="45">
        <v>3.30703575547866</v>
      </c>
      <c r="G40" s="45">
        <v>3.6806722689075602</v>
      </c>
      <c r="H40" s="45"/>
      <c r="I40" s="42">
        <v>85</v>
      </c>
      <c r="K40" s="29"/>
    </row>
    <row r="41" spans="1:11" x14ac:dyDescent="0.3">
      <c r="A41" s="25" t="s">
        <v>120</v>
      </c>
      <c r="B41" s="45">
        <v>11.3230035756853</v>
      </c>
      <c r="C41" s="54">
        <v>839</v>
      </c>
      <c r="D41" s="49">
        <v>103.6</v>
      </c>
      <c r="E41" s="45">
        <v>83.957994987468595</v>
      </c>
      <c r="F41" s="45">
        <v>4.28441102756892</v>
      </c>
      <c r="G41" s="45">
        <v>2.1378446115288203</v>
      </c>
      <c r="H41" s="45"/>
      <c r="I41" s="42">
        <v>95</v>
      </c>
      <c r="K41" s="29"/>
    </row>
    <row r="42" spans="1:11" x14ac:dyDescent="0.3">
      <c r="A42" s="25" t="s">
        <v>121</v>
      </c>
      <c r="B42" s="45">
        <v>8.548009367681491</v>
      </c>
      <c r="C42" s="54">
        <v>854</v>
      </c>
      <c r="D42" s="49">
        <v>135.12328767123199</v>
      </c>
      <c r="E42" s="45">
        <v>81.389501670323511</v>
      </c>
      <c r="F42" s="45">
        <v>4.2871276364427002</v>
      </c>
      <c r="G42" s="45">
        <v>5.0259443752594395</v>
      </c>
      <c r="H42" s="45"/>
      <c r="I42" s="42">
        <v>73</v>
      </c>
      <c r="K42" s="29"/>
    </row>
    <row r="43" spans="1:11" x14ac:dyDescent="0.3">
      <c r="A43" s="25" t="s">
        <v>122</v>
      </c>
      <c r="B43" s="45">
        <v>8.7368421052631504</v>
      </c>
      <c r="C43" s="54">
        <v>950</v>
      </c>
      <c r="D43" s="49">
        <v>290.69879518072202</v>
      </c>
      <c r="E43" s="45">
        <v>84.959603511694198</v>
      </c>
      <c r="F43" s="45">
        <v>2.7747767627285698</v>
      </c>
      <c r="G43" s="45">
        <v>4.5322246066399101</v>
      </c>
      <c r="H43" s="45"/>
      <c r="I43" s="42">
        <v>83</v>
      </c>
      <c r="K43" s="29"/>
    </row>
    <row r="44" spans="1:11" x14ac:dyDescent="0.3">
      <c r="A44" s="25" t="s">
        <v>123</v>
      </c>
      <c r="B44" s="45">
        <v>9.4246031746031704</v>
      </c>
      <c r="C44" s="54">
        <v>1008</v>
      </c>
      <c r="D44" s="49">
        <v>145.84210526315701</v>
      </c>
      <c r="E44" s="45">
        <v>76.858956840955202</v>
      </c>
      <c r="F44" s="45">
        <v>5.2251221896383102</v>
      </c>
      <c r="G44" s="45">
        <v>5.2694235588972393</v>
      </c>
      <c r="H44" s="45"/>
      <c r="I44" s="42">
        <v>95</v>
      </c>
      <c r="K44" s="29"/>
    </row>
    <row r="45" spans="1:11" x14ac:dyDescent="0.3">
      <c r="A45" s="25" t="s">
        <v>124</v>
      </c>
      <c r="B45" s="45">
        <v>6.8119891008174394</v>
      </c>
      <c r="C45" s="54">
        <v>1101</v>
      </c>
      <c r="D45" s="49">
        <v>407.26666666666603</v>
      </c>
      <c r="E45" s="45">
        <v>69.503531692479001</v>
      </c>
      <c r="F45" s="45">
        <v>5.5011294261294195</v>
      </c>
      <c r="G45" s="45">
        <v>7.62431548957864</v>
      </c>
      <c r="H45" s="45"/>
      <c r="I45" s="42">
        <v>75</v>
      </c>
      <c r="K45" s="29"/>
    </row>
    <row r="46" spans="1:11" x14ac:dyDescent="0.3">
      <c r="A46" s="25" t="s">
        <v>125</v>
      </c>
      <c r="B46" s="45">
        <v>5.1796157059314902</v>
      </c>
      <c r="C46" s="54">
        <v>1197</v>
      </c>
      <c r="D46" s="49">
        <v>150.822580645161</v>
      </c>
      <c r="E46" s="45">
        <v>82.103942652329692</v>
      </c>
      <c r="F46" s="45">
        <v>6.2181899641577001</v>
      </c>
      <c r="G46" s="45">
        <v>1.68010752688172</v>
      </c>
      <c r="H46" s="45"/>
      <c r="I46" s="42">
        <v>62</v>
      </c>
      <c r="K46" s="29"/>
    </row>
    <row r="47" spans="1:11" x14ac:dyDescent="0.3">
      <c r="A47" s="25" t="s">
        <v>126</v>
      </c>
      <c r="B47" s="45">
        <v>4.0530007794232201</v>
      </c>
      <c r="C47" s="54">
        <v>1283</v>
      </c>
      <c r="D47" s="49">
        <v>839.61538461538396</v>
      </c>
      <c r="E47" s="45">
        <v>77.9833666333666</v>
      </c>
      <c r="F47" s="45">
        <v>7.5648185148185094</v>
      </c>
      <c r="G47" s="45">
        <v>3.1752580752580704</v>
      </c>
      <c r="H47" s="45"/>
      <c r="I47" s="42">
        <v>52</v>
      </c>
      <c r="K47" s="29"/>
    </row>
    <row r="48" spans="1:11" x14ac:dyDescent="0.3">
      <c r="A48" s="25" t="s">
        <v>127</v>
      </c>
      <c r="B48" s="45">
        <v>2.3977433004231297</v>
      </c>
      <c r="C48" s="54">
        <v>1418</v>
      </c>
      <c r="D48" s="49">
        <v>100.088235294117</v>
      </c>
      <c r="E48" s="45">
        <v>75.563725490195992</v>
      </c>
      <c r="F48" s="45">
        <v>6.8382352941176396</v>
      </c>
      <c r="G48" s="45">
        <v>4.1666666666666599</v>
      </c>
      <c r="H48" s="45"/>
      <c r="I48" s="42">
        <v>34</v>
      </c>
      <c r="K48" s="29"/>
    </row>
    <row r="49" spans="1:11" x14ac:dyDescent="0.3">
      <c r="A49" s="22" t="s">
        <v>93</v>
      </c>
      <c r="B49" s="45"/>
      <c r="C49" s="54"/>
      <c r="D49" s="49"/>
      <c r="E49" s="45"/>
      <c r="F49" s="45"/>
      <c r="G49" s="45"/>
      <c r="H49" s="45"/>
      <c r="I49" s="42"/>
      <c r="K49" s="29"/>
    </row>
    <row r="50" spans="1:11" x14ac:dyDescent="0.3">
      <c r="A50" s="28" t="s">
        <v>51</v>
      </c>
      <c r="B50" s="45">
        <v>0.41958041958041897</v>
      </c>
      <c r="C50" s="54">
        <v>715</v>
      </c>
      <c r="D50" s="49">
        <v>57.3333333333333</v>
      </c>
      <c r="E50" s="45">
        <v>30.555555555555504</v>
      </c>
      <c r="F50" s="45">
        <v>13.8888888888888</v>
      </c>
      <c r="G50" s="45">
        <v>5.55555555555555</v>
      </c>
      <c r="H50" s="45"/>
      <c r="I50" s="42">
        <v>3</v>
      </c>
      <c r="K50" s="29"/>
    </row>
    <row r="51" spans="1:11" x14ac:dyDescent="0.3">
      <c r="A51" s="28" t="s">
        <v>53</v>
      </c>
      <c r="B51" s="45">
        <v>0</v>
      </c>
      <c r="C51" s="54">
        <v>111</v>
      </c>
      <c r="D51" s="42">
        <v>0</v>
      </c>
      <c r="E51" s="45">
        <v>0</v>
      </c>
      <c r="F51" s="45">
        <v>0</v>
      </c>
      <c r="G51" s="45">
        <v>0</v>
      </c>
      <c r="H51" s="45"/>
      <c r="I51" s="42">
        <v>0</v>
      </c>
      <c r="K51" s="29"/>
    </row>
    <row r="52" spans="1:11" x14ac:dyDescent="0.3">
      <c r="A52" s="28" t="s">
        <v>52</v>
      </c>
      <c r="B52" s="45">
        <v>3.0303030303030298</v>
      </c>
      <c r="C52" s="54">
        <v>33</v>
      </c>
      <c r="D52" s="42">
        <v>50</v>
      </c>
      <c r="E52" s="45">
        <v>100</v>
      </c>
      <c r="F52" s="45">
        <v>0</v>
      </c>
      <c r="G52" s="45">
        <v>0</v>
      </c>
      <c r="H52" s="45"/>
      <c r="I52" s="42">
        <v>1</v>
      </c>
      <c r="K52" s="29"/>
    </row>
    <row r="53" spans="1:11" x14ac:dyDescent="0.3">
      <c r="A53" s="28" t="s">
        <v>45</v>
      </c>
      <c r="B53" s="45">
        <v>3.4246575342465704</v>
      </c>
      <c r="C53" s="54">
        <v>146</v>
      </c>
      <c r="D53" s="49">
        <v>12.2</v>
      </c>
      <c r="E53" s="45">
        <v>84.6666666666666</v>
      </c>
      <c r="F53" s="45">
        <v>7.3333333333333304</v>
      </c>
      <c r="G53" s="45">
        <v>8</v>
      </c>
      <c r="H53" s="45"/>
      <c r="I53" s="42">
        <v>5</v>
      </c>
      <c r="K53" s="29"/>
    </row>
    <row r="54" spans="1:11" x14ac:dyDescent="0.3">
      <c r="A54" s="28" t="s">
        <v>48</v>
      </c>
      <c r="B54" s="45">
        <v>0.92879256965944201</v>
      </c>
      <c r="C54" s="54">
        <v>1292</v>
      </c>
      <c r="D54" s="49">
        <v>67.9166666666666</v>
      </c>
      <c r="E54" s="45">
        <v>65.2083333333333</v>
      </c>
      <c r="F54" s="45">
        <v>12.1527777777777</v>
      </c>
      <c r="G54" s="45">
        <v>6.8055555555555491</v>
      </c>
      <c r="H54" s="45"/>
      <c r="I54" s="42">
        <v>12</v>
      </c>
      <c r="K54" s="29"/>
    </row>
    <row r="55" spans="1:11" x14ac:dyDescent="0.3">
      <c r="A55" s="28" t="s">
        <v>49</v>
      </c>
      <c r="B55" s="45">
        <v>6.0520607375271105</v>
      </c>
      <c r="C55" s="54">
        <v>4610</v>
      </c>
      <c r="D55" s="49">
        <v>155.193548387096</v>
      </c>
      <c r="E55" s="45">
        <v>81.840658883070404</v>
      </c>
      <c r="F55" s="45">
        <v>2.1407986676803801</v>
      </c>
      <c r="G55" s="45">
        <v>1.5502413641166499</v>
      </c>
      <c r="H55" s="45"/>
      <c r="I55" s="42">
        <v>279</v>
      </c>
      <c r="K55" s="29"/>
    </row>
    <row r="56" spans="1:11" x14ac:dyDescent="0.3">
      <c r="A56" s="28" t="s">
        <v>128</v>
      </c>
      <c r="B56" s="45">
        <v>1.8181818181818101</v>
      </c>
      <c r="C56" s="54">
        <v>165</v>
      </c>
      <c r="D56" s="49">
        <v>109.333333333333</v>
      </c>
      <c r="E56" s="45">
        <v>82.2222222222222</v>
      </c>
      <c r="F56" s="45">
        <v>0</v>
      </c>
      <c r="G56" s="45">
        <v>0</v>
      </c>
      <c r="H56" s="45"/>
      <c r="I56" s="42">
        <v>3</v>
      </c>
      <c r="K56" s="29"/>
    </row>
    <row r="57" spans="1:11" x14ac:dyDescent="0.3">
      <c r="A57" s="28" t="s">
        <v>129</v>
      </c>
      <c r="B57" s="45">
        <v>2.7777777777777701</v>
      </c>
      <c r="C57" s="54">
        <v>108</v>
      </c>
      <c r="D57" s="49">
        <v>24.6666666666666</v>
      </c>
      <c r="E57" s="45">
        <v>58.3333333333333</v>
      </c>
      <c r="F57" s="45">
        <v>8.3333333333333304</v>
      </c>
      <c r="G57" s="45">
        <v>0</v>
      </c>
      <c r="H57" s="45"/>
      <c r="I57" s="42">
        <v>3</v>
      </c>
      <c r="K57" s="29"/>
    </row>
    <row r="58" spans="1:11" x14ac:dyDescent="0.3">
      <c r="A58" s="28" t="s">
        <v>54</v>
      </c>
      <c r="B58" s="45">
        <v>0</v>
      </c>
      <c r="C58" s="54">
        <v>35</v>
      </c>
      <c r="D58" s="49">
        <v>0</v>
      </c>
      <c r="E58" s="45">
        <v>0</v>
      </c>
      <c r="F58" s="45">
        <v>0</v>
      </c>
      <c r="G58" s="45">
        <v>0</v>
      </c>
      <c r="H58" s="45"/>
      <c r="I58" s="42">
        <v>0</v>
      </c>
      <c r="K58" s="29"/>
    </row>
    <row r="59" spans="1:11" x14ac:dyDescent="0.3">
      <c r="A59" s="28" t="s">
        <v>130</v>
      </c>
      <c r="B59" s="45">
        <v>3.5000000000000004</v>
      </c>
      <c r="C59" s="54">
        <v>1000</v>
      </c>
      <c r="D59" s="49">
        <v>222.71428571428501</v>
      </c>
      <c r="E59" s="45">
        <v>71.6666666666666</v>
      </c>
      <c r="F59" s="45">
        <v>2.91309523809523</v>
      </c>
      <c r="G59" s="45">
        <v>7.2857142857142803</v>
      </c>
      <c r="H59" s="45"/>
      <c r="I59" s="42">
        <v>35</v>
      </c>
      <c r="K59" s="29"/>
    </row>
    <row r="60" spans="1:11" x14ac:dyDescent="0.3">
      <c r="A60" s="28" t="s">
        <v>131</v>
      </c>
      <c r="B60" s="45">
        <v>21.069182389937101</v>
      </c>
      <c r="C60" s="54">
        <v>1272</v>
      </c>
      <c r="D60" s="49">
        <v>160.414179104477</v>
      </c>
      <c r="E60" s="45">
        <v>84.724864638116898</v>
      </c>
      <c r="F60" s="45">
        <v>6.2942121318204602</v>
      </c>
      <c r="G60" s="45">
        <v>2.8885950285203998</v>
      </c>
      <c r="H60" s="45"/>
      <c r="I60" s="42">
        <v>268</v>
      </c>
      <c r="K60" s="29"/>
    </row>
    <row r="61" spans="1:11" x14ac:dyDescent="0.3">
      <c r="A61" s="28" t="s">
        <v>50</v>
      </c>
      <c r="B61" s="45">
        <v>0</v>
      </c>
      <c r="C61" s="54">
        <v>31</v>
      </c>
      <c r="D61" s="49">
        <v>0</v>
      </c>
      <c r="E61" s="45">
        <v>0</v>
      </c>
      <c r="F61" s="45">
        <v>0</v>
      </c>
      <c r="G61" s="45">
        <v>0</v>
      </c>
      <c r="H61" s="45"/>
      <c r="I61" s="42">
        <v>0</v>
      </c>
      <c r="K61" s="29"/>
    </row>
    <row r="62" spans="1:11" x14ac:dyDescent="0.3">
      <c r="A62" s="28" t="s">
        <v>132</v>
      </c>
      <c r="B62" s="46">
        <v>23.076923076923002</v>
      </c>
      <c r="C62" s="55">
        <v>572</v>
      </c>
      <c r="D62" s="50">
        <v>528.05303030303003</v>
      </c>
      <c r="E62" s="46">
        <v>78.201020414523001</v>
      </c>
      <c r="F62" s="46">
        <v>5.6745191973801603</v>
      </c>
      <c r="G62" s="46">
        <v>10.510549046912599</v>
      </c>
      <c r="H62" s="46"/>
      <c r="I62" s="43">
        <v>132</v>
      </c>
      <c r="K62" s="29"/>
    </row>
    <row r="63" spans="1:11" x14ac:dyDescent="0.3">
      <c r="B63" s="48"/>
      <c r="C63" s="48"/>
      <c r="D63" s="48"/>
      <c r="E63" s="48"/>
      <c r="F63" s="48"/>
      <c r="G63" s="48"/>
      <c r="H63" s="48"/>
      <c r="I63" s="51"/>
    </row>
    <row r="64" spans="1:11" x14ac:dyDescent="0.3">
      <c r="B64" s="47"/>
      <c r="C64" s="47"/>
      <c r="D64" s="47"/>
      <c r="E64" s="47"/>
      <c r="F64" s="47"/>
      <c r="G64" s="47"/>
      <c r="H64" s="47"/>
      <c r="I64" s="44"/>
    </row>
    <row r="65" spans="2:9" x14ac:dyDescent="0.3">
      <c r="B65" s="47"/>
      <c r="C65" s="47"/>
      <c r="D65" s="47"/>
      <c r="E65" s="47"/>
      <c r="F65" s="47"/>
      <c r="G65" s="47"/>
      <c r="H65" s="47"/>
      <c r="I65" s="44"/>
    </row>
    <row r="66" spans="2:9" x14ac:dyDescent="0.3">
      <c r="B66" s="47"/>
      <c r="C66" s="47"/>
      <c r="D66" s="47"/>
      <c r="E66" s="47"/>
      <c r="F66" s="47"/>
      <c r="G66" s="47"/>
      <c r="H66" s="47"/>
      <c r="I66" s="44"/>
    </row>
    <row r="67" spans="2:9" x14ac:dyDescent="0.3">
      <c r="B67" s="47"/>
      <c r="C67" s="47"/>
      <c r="D67" s="47"/>
      <c r="E67" s="47"/>
      <c r="F67" s="47"/>
      <c r="G67" s="47"/>
      <c r="H67" s="47"/>
      <c r="I67" s="44"/>
    </row>
    <row r="68" spans="2:9" x14ac:dyDescent="0.3">
      <c r="B68" s="47"/>
      <c r="C68" s="47"/>
      <c r="D68" s="47"/>
      <c r="E68" s="47"/>
      <c r="F68" s="47"/>
      <c r="G68" s="47"/>
      <c r="H68" s="47"/>
      <c r="I68" s="44"/>
    </row>
    <row r="69" spans="2:9" x14ac:dyDescent="0.3">
      <c r="B69" s="47"/>
      <c r="C69" s="47"/>
      <c r="D69" s="47"/>
      <c r="E69" s="47"/>
      <c r="F69" s="47"/>
      <c r="G69" s="47"/>
      <c r="H69" s="44"/>
      <c r="I69" s="44"/>
    </row>
    <row r="70" spans="2:9" x14ac:dyDescent="0.3">
      <c r="B70" s="47"/>
      <c r="C70" s="47"/>
      <c r="D70" s="47"/>
      <c r="E70" s="47"/>
      <c r="F70" s="47"/>
      <c r="G70" s="47"/>
      <c r="H70" s="44"/>
      <c r="I70" s="44"/>
    </row>
    <row r="71" spans="2:9" x14ac:dyDescent="0.3">
      <c r="B71" s="47"/>
      <c r="C71" s="47"/>
      <c r="D71" s="47"/>
      <c r="E71" s="47"/>
      <c r="F71" s="47"/>
      <c r="G71" s="47"/>
      <c r="H71" s="44"/>
      <c r="I71" s="44"/>
    </row>
    <row r="72" spans="2:9" x14ac:dyDescent="0.3">
      <c r="B72" s="47"/>
      <c r="C72" s="47"/>
      <c r="D72" s="47"/>
      <c r="E72" s="47"/>
      <c r="F72" s="47"/>
      <c r="G72" s="47"/>
      <c r="H72" s="44"/>
      <c r="I72" s="44"/>
    </row>
    <row r="73" spans="2:9" x14ac:dyDescent="0.3">
      <c r="B73" s="47"/>
      <c r="C73" s="47"/>
      <c r="D73" s="47"/>
      <c r="E73" s="47"/>
      <c r="F73" s="47"/>
      <c r="G73" s="47"/>
      <c r="H73" s="44"/>
      <c r="I73" s="44"/>
    </row>
    <row r="74" spans="2:9" x14ac:dyDescent="0.3">
      <c r="B74" s="47"/>
      <c r="C74" s="47"/>
      <c r="D74" s="47"/>
      <c r="E74" s="47"/>
      <c r="F74" s="47"/>
      <c r="G74" s="47"/>
      <c r="H74" s="44"/>
      <c r="I74" s="44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E76" s="44"/>
      <c r="F76" s="44"/>
      <c r="G76" s="44"/>
    </row>
    <row r="77" spans="2:9" x14ac:dyDescent="0.3">
      <c r="E77" s="44"/>
      <c r="F77" s="44"/>
      <c r="G77" s="44"/>
    </row>
    <row r="78" spans="2:9" x14ac:dyDescent="0.3">
      <c r="E78" s="44"/>
      <c r="F78" s="44"/>
      <c r="G78" s="44"/>
    </row>
    <row r="79" spans="2:9" x14ac:dyDescent="0.3">
      <c r="E79" s="44"/>
      <c r="F79" s="44"/>
      <c r="G79" s="44"/>
    </row>
    <row r="80" spans="2:9" x14ac:dyDescent="0.3">
      <c r="E80" s="44"/>
      <c r="F80" s="44"/>
      <c r="G80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9094-9EC8-49C4-8965-3D70D1482C1F}">
  <dimension ref="A1:K99"/>
  <sheetViews>
    <sheetView zoomScale="80" zoomScaleNormal="80" workbookViewId="0">
      <selection activeCell="B5" sqref="B5:I5"/>
    </sheetView>
  </sheetViews>
  <sheetFormatPr defaultColWidth="15.25" defaultRowHeight="15.5" x14ac:dyDescent="0.3"/>
  <cols>
    <col min="1" max="1" width="16.41406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25" style="26" customWidth="1"/>
    <col min="10" max="16384" width="15.25" style="23"/>
  </cols>
  <sheetData>
    <row r="1" spans="1:11" ht="13" x14ac:dyDescent="0.3">
      <c r="A1" s="24" t="s">
        <v>165</v>
      </c>
    </row>
    <row r="3" spans="1:11" ht="91" x14ac:dyDescent="0.3">
      <c r="B3" s="30" t="s">
        <v>166</v>
      </c>
      <c r="C3" s="30" t="s">
        <v>104</v>
      </c>
      <c r="D3" s="32" t="s">
        <v>171</v>
      </c>
      <c r="E3" s="39" t="s">
        <v>167</v>
      </c>
      <c r="F3" s="39" t="s">
        <v>168</v>
      </c>
      <c r="G3" s="39" t="s">
        <v>169</v>
      </c>
      <c r="H3" s="39" t="s">
        <v>170</v>
      </c>
      <c r="I3" s="40" t="s">
        <v>104</v>
      </c>
    </row>
    <row r="4" spans="1:11" ht="13" x14ac:dyDescent="0.3">
      <c r="B4" s="31" t="s">
        <v>103</v>
      </c>
      <c r="C4" s="31"/>
      <c r="D4" s="33" t="s">
        <v>158</v>
      </c>
      <c r="E4" s="36" t="s">
        <v>103</v>
      </c>
      <c r="F4" s="36" t="s">
        <v>103</v>
      </c>
      <c r="G4" s="36" t="s">
        <v>103</v>
      </c>
      <c r="H4" s="36" t="s">
        <v>102</v>
      </c>
      <c r="I4" s="41"/>
    </row>
    <row r="5" spans="1:11" ht="13" x14ac:dyDescent="0.3">
      <c r="A5" s="22" t="s">
        <v>96</v>
      </c>
      <c r="B5" s="45">
        <v>23.557978196233854</v>
      </c>
      <c r="C5" s="54">
        <v>10090</v>
      </c>
      <c r="D5" s="45"/>
      <c r="E5" s="42"/>
      <c r="F5" s="42"/>
      <c r="G5" s="42"/>
      <c r="H5" s="42"/>
      <c r="I5" s="54">
        <v>2377</v>
      </c>
    </row>
    <row r="6" spans="1:11" ht="13" x14ac:dyDescent="0.3">
      <c r="A6" s="22" t="s">
        <v>97</v>
      </c>
      <c r="B6" s="42"/>
      <c r="C6" s="42"/>
      <c r="D6" s="42"/>
      <c r="E6" s="42"/>
      <c r="F6" s="42"/>
      <c r="G6" s="42"/>
      <c r="H6" s="42"/>
      <c r="I6" s="54"/>
    </row>
    <row r="7" spans="1:11" ht="13" x14ac:dyDescent="0.3">
      <c r="A7" s="25" t="s">
        <v>92</v>
      </c>
      <c r="B7" s="45">
        <v>40.343270099367601</v>
      </c>
      <c r="C7" s="54">
        <v>5535</v>
      </c>
      <c r="D7" s="49">
        <v>322.876399462606</v>
      </c>
      <c r="E7" s="45">
        <v>73.650048054413602</v>
      </c>
      <c r="F7" s="45">
        <v>2.7485054896965502</v>
      </c>
      <c r="G7" s="45">
        <v>0.64601406987510801</v>
      </c>
      <c r="H7" s="45"/>
      <c r="I7" s="54">
        <v>2233</v>
      </c>
      <c r="K7" s="29"/>
    </row>
    <row r="8" spans="1:11" ht="13" x14ac:dyDescent="0.3">
      <c r="A8" s="25" t="s">
        <v>164</v>
      </c>
      <c r="B8" s="45">
        <v>21.568627450980298</v>
      </c>
      <c r="C8" s="54">
        <v>306</v>
      </c>
      <c r="D8" s="49">
        <v>278.60606060606</v>
      </c>
      <c r="E8" s="45">
        <v>72.622758977544805</v>
      </c>
      <c r="F8" s="45">
        <v>3.3986059988733697</v>
      </c>
      <c r="G8" s="45">
        <v>0.84956709956709908</v>
      </c>
      <c r="H8" s="45"/>
      <c r="I8" s="54">
        <v>66</v>
      </c>
      <c r="K8" s="29"/>
    </row>
    <row r="9" spans="1:11" ht="13" x14ac:dyDescent="0.3">
      <c r="A9" s="25" t="s">
        <v>91</v>
      </c>
      <c r="B9" s="45">
        <v>1.8357260531889801</v>
      </c>
      <c r="C9" s="54">
        <v>4249</v>
      </c>
      <c r="D9" s="49">
        <v>710.923076923076</v>
      </c>
      <c r="E9" s="45">
        <v>69.006781644281602</v>
      </c>
      <c r="F9" s="45">
        <v>3.2044159544159498</v>
      </c>
      <c r="G9" s="45">
        <v>2.4903337403337398</v>
      </c>
      <c r="H9" s="45"/>
      <c r="I9" s="54">
        <v>78</v>
      </c>
      <c r="K9" s="29"/>
    </row>
    <row r="10" spans="1:11" ht="13" x14ac:dyDescent="0.3">
      <c r="A10" s="22" t="s">
        <v>90</v>
      </c>
      <c r="B10" s="45"/>
      <c r="C10" s="54"/>
      <c r="D10" s="49"/>
      <c r="E10" s="45"/>
      <c r="F10" s="45"/>
      <c r="G10" s="45"/>
      <c r="H10" s="45"/>
      <c r="I10" s="54"/>
      <c r="K10" s="29"/>
    </row>
    <row r="11" spans="1:11" ht="13" x14ac:dyDescent="0.3">
      <c r="A11" s="25" t="s">
        <v>7</v>
      </c>
      <c r="B11" s="45">
        <v>0.17889087656529501</v>
      </c>
      <c r="C11" s="54">
        <v>559</v>
      </c>
      <c r="D11" s="49">
        <v>600</v>
      </c>
      <c r="E11" s="45">
        <v>50</v>
      </c>
      <c r="F11" s="45">
        <v>0</v>
      </c>
      <c r="G11" s="45">
        <v>0</v>
      </c>
      <c r="H11" s="45"/>
      <c r="I11" s="54">
        <v>1</v>
      </c>
      <c r="K11" s="29"/>
    </row>
    <row r="12" spans="1:11" ht="13" x14ac:dyDescent="0.3">
      <c r="A12" s="25" t="s">
        <v>8</v>
      </c>
      <c r="B12" s="45">
        <v>0.60386473429951604</v>
      </c>
      <c r="C12" s="54">
        <v>828</v>
      </c>
      <c r="D12" s="49">
        <v>332</v>
      </c>
      <c r="E12" s="45">
        <v>54.399999999999906</v>
      </c>
      <c r="F12" s="45">
        <v>5.35</v>
      </c>
      <c r="G12" s="45">
        <v>0</v>
      </c>
      <c r="H12" s="45"/>
      <c r="I12" s="54">
        <v>5</v>
      </c>
      <c r="K12" s="29"/>
    </row>
    <row r="13" spans="1:11" ht="13" x14ac:dyDescent="0.3">
      <c r="A13" s="25" t="s">
        <v>9</v>
      </c>
      <c r="B13" s="45">
        <v>0.53475935828876997</v>
      </c>
      <c r="C13" s="54">
        <v>561</v>
      </c>
      <c r="D13" s="49">
        <v>266.666666666666</v>
      </c>
      <c r="E13" s="45">
        <v>66.6666666666666</v>
      </c>
      <c r="F13" s="45">
        <v>0</v>
      </c>
      <c r="G13" s="45">
        <v>0</v>
      </c>
      <c r="H13" s="45"/>
      <c r="I13" s="54">
        <v>3</v>
      </c>
      <c r="K13" s="29"/>
    </row>
    <row r="14" spans="1:11" ht="13" x14ac:dyDescent="0.3">
      <c r="A14" s="25" t="s">
        <v>10</v>
      </c>
      <c r="B14" s="45">
        <v>20.036101083032403</v>
      </c>
      <c r="C14" s="54">
        <v>554</v>
      </c>
      <c r="D14" s="49">
        <v>219.666666666666</v>
      </c>
      <c r="E14" s="45">
        <v>83.2116146221409</v>
      </c>
      <c r="F14" s="45">
        <v>5.67621606568974</v>
      </c>
      <c r="G14" s="45">
        <v>3.0784355784355699</v>
      </c>
      <c r="H14" s="45"/>
      <c r="I14" s="54">
        <v>111</v>
      </c>
      <c r="K14" s="29"/>
    </row>
    <row r="15" spans="1:11" ht="13" x14ac:dyDescent="0.3">
      <c r="A15" s="25" t="s">
        <v>11</v>
      </c>
      <c r="B15" s="45">
        <v>50.880281690140805</v>
      </c>
      <c r="C15" s="54">
        <v>568</v>
      </c>
      <c r="D15" s="49">
        <v>245.083044982698</v>
      </c>
      <c r="E15" s="45">
        <v>86.093247741659198</v>
      </c>
      <c r="F15" s="45">
        <v>5.05380152119871</v>
      </c>
      <c r="G15" s="45">
        <v>0.80117342864747709</v>
      </c>
      <c r="H15" s="45"/>
      <c r="I15" s="54">
        <v>289</v>
      </c>
      <c r="K15" s="29"/>
    </row>
    <row r="16" spans="1:11" ht="13" x14ac:dyDescent="0.3">
      <c r="A16" s="25" t="s">
        <v>12</v>
      </c>
      <c r="B16" s="45">
        <v>0.83025830258302502</v>
      </c>
      <c r="C16" s="54">
        <v>1084</v>
      </c>
      <c r="D16" s="49">
        <v>3670</v>
      </c>
      <c r="E16" s="45">
        <v>63.773148148148096</v>
      </c>
      <c r="F16" s="45">
        <v>0.37037037037037002</v>
      </c>
      <c r="G16" s="45">
        <v>7.4074074074074003</v>
      </c>
      <c r="H16" s="45"/>
      <c r="I16" s="54">
        <v>9</v>
      </c>
      <c r="K16" s="29"/>
    </row>
    <row r="17" spans="1:11" ht="13" x14ac:dyDescent="0.3">
      <c r="A17" s="25" t="s">
        <v>107</v>
      </c>
      <c r="B17" s="45">
        <v>0.35087719298245601</v>
      </c>
      <c r="C17" s="54">
        <v>570</v>
      </c>
      <c r="D17" s="49">
        <v>350</v>
      </c>
      <c r="E17" s="45">
        <v>45.8333333333333</v>
      </c>
      <c r="F17" s="45">
        <v>4.1666666666666599</v>
      </c>
      <c r="G17" s="45">
        <v>0</v>
      </c>
      <c r="H17" s="45"/>
      <c r="I17" s="54">
        <v>2</v>
      </c>
      <c r="K17" s="29"/>
    </row>
    <row r="18" spans="1:11" ht="13" x14ac:dyDescent="0.3">
      <c r="A18" s="25" t="s">
        <v>14</v>
      </c>
      <c r="B18" s="45">
        <v>68.852459016393396</v>
      </c>
      <c r="C18" s="54">
        <v>854</v>
      </c>
      <c r="D18" s="49">
        <v>365.11904761904702</v>
      </c>
      <c r="E18" s="45">
        <v>74.461611007348509</v>
      </c>
      <c r="F18" s="45">
        <v>1.72807181437532</v>
      </c>
      <c r="G18" s="45">
        <v>0.48303571944617102</v>
      </c>
      <c r="H18" s="45"/>
      <c r="I18" s="54">
        <v>588</v>
      </c>
      <c r="K18" s="29"/>
    </row>
    <row r="19" spans="1:11" ht="13" x14ac:dyDescent="0.3">
      <c r="A19" s="25" t="s">
        <v>15</v>
      </c>
      <c r="B19" s="45">
        <v>0</v>
      </c>
      <c r="C19" s="54">
        <v>557</v>
      </c>
      <c r="D19" s="49"/>
      <c r="E19" s="45">
        <v>0</v>
      </c>
      <c r="F19" s="45">
        <v>0</v>
      </c>
      <c r="G19" s="45">
        <v>0</v>
      </c>
      <c r="H19" s="45"/>
      <c r="I19" s="54">
        <v>0</v>
      </c>
      <c r="K19" s="29"/>
    </row>
    <row r="20" spans="1:11" ht="13" x14ac:dyDescent="0.3">
      <c r="A20" s="25" t="s">
        <v>16</v>
      </c>
      <c r="B20" s="45">
        <v>61.592505854800905</v>
      </c>
      <c r="C20" s="54">
        <v>854</v>
      </c>
      <c r="D20" s="49">
        <v>409.98479087452398</v>
      </c>
      <c r="E20" s="45">
        <v>69.567704431426606</v>
      </c>
      <c r="F20" s="45">
        <v>2.3513875546029599</v>
      </c>
      <c r="G20" s="45">
        <v>0.286569000223663</v>
      </c>
      <c r="H20" s="45"/>
      <c r="I20" s="54">
        <v>526</v>
      </c>
      <c r="K20" s="29"/>
    </row>
    <row r="21" spans="1:11" ht="13" x14ac:dyDescent="0.3">
      <c r="A21" s="25" t="s">
        <v>17</v>
      </c>
      <c r="B21" s="45">
        <v>41.134751773049601</v>
      </c>
      <c r="C21" s="54">
        <v>846</v>
      </c>
      <c r="D21" s="49">
        <v>279.68965517241298</v>
      </c>
      <c r="E21" s="45">
        <v>67.465858496414896</v>
      </c>
      <c r="F21" s="45">
        <v>1.4060717957776701</v>
      </c>
      <c r="G21" s="45">
        <v>0.37867177522349899</v>
      </c>
      <c r="H21" s="45"/>
      <c r="I21" s="54">
        <v>348</v>
      </c>
      <c r="K21" s="29"/>
    </row>
    <row r="22" spans="1:11" ht="13" x14ac:dyDescent="0.3">
      <c r="A22" s="25" t="s">
        <v>18</v>
      </c>
      <c r="B22" s="45">
        <v>55.164319248826196</v>
      </c>
      <c r="C22" s="54">
        <v>852</v>
      </c>
      <c r="D22" s="49">
        <v>281.812765957446</v>
      </c>
      <c r="E22" s="45">
        <v>71.057376565695392</v>
      </c>
      <c r="F22" s="45">
        <v>3.4121791002269801</v>
      </c>
      <c r="G22" s="45">
        <v>0.50301418439716294</v>
      </c>
      <c r="H22" s="45"/>
      <c r="I22" s="54">
        <v>470</v>
      </c>
      <c r="K22" s="29"/>
    </row>
    <row r="23" spans="1:11" ht="13" x14ac:dyDescent="0.3">
      <c r="A23" s="25" t="s">
        <v>19</v>
      </c>
      <c r="B23" s="45">
        <v>0.11947431302270001</v>
      </c>
      <c r="C23" s="54">
        <v>837</v>
      </c>
      <c r="D23" s="49">
        <v>20</v>
      </c>
      <c r="E23" s="45">
        <v>50</v>
      </c>
      <c r="F23" s="45">
        <v>50</v>
      </c>
      <c r="G23" s="45">
        <v>0</v>
      </c>
      <c r="H23" s="45"/>
      <c r="I23" s="54">
        <v>1</v>
      </c>
      <c r="K23" s="29"/>
    </row>
    <row r="24" spans="1:11" ht="13" x14ac:dyDescent="0.3">
      <c r="A24" s="25" t="s">
        <v>20</v>
      </c>
      <c r="B24" s="45">
        <v>4.2402826855123603</v>
      </c>
      <c r="C24" s="54">
        <v>566</v>
      </c>
      <c r="D24" s="49">
        <v>111.458333333333</v>
      </c>
      <c r="E24" s="45">
        <v>84.5833333333333</v>
      </c>
      <c r="F24" s="45">
        <v>3.6111111111111103</v>
      </c>
      <c r="G24" s="45">
        <v>10.4166666666666</v>
      </c>
      <c r="H24" s="45"/>
      <c r="I24" s="54">
        <v>24</v>
      </c>
      <c r="K24" s="29"/>
    </row>
    <row r="25" spans="1:11" ht="13" x14ac:dyDescent="0.3">
      <c r="A25" s="22" t="s">
        <v>100</v>
      </c>
      <c r="B25" s="45"/>
      <c r="C25" s="54"/>
      <c r="D25" s="49"/>
      <c r="E25" s="45"/>
      <c r="F25" s="45"/>
      <c r="G25" s="45"/>
      <c r="H25" s="45"/>
      <c r="I25" s="54"/>
      <c r="K25" s="29"/>
    </row>
    <row r="26" spans="1:11" ht="13" x14ac:dyDescent="0.3">
      <c r="A26" s="25" t="s">
        <v>108</v>
      </c>
      <c r="B26" s="45">
        <v>29.8310225303292</v>
      </c>
      <c r="C26" s="54">
        <v>4616</v>
      </c>
      <c r="D26" s="49">
        <v>287.50472040668097</v>
      </c>
      <c r="E26" s="45">
        <v>74.751672404432497</v>
      </c>
      <c r="F26" s="45">
        <v>2.1556778977557101</v>
      </c>
      <c r="G26" s="45">
        <v>0.57429675948194403</v>
      </c>
      <c r="H26" s="45"/>
      <c r="I26" s="54">
        <v>1377</v>
      </c>
      <c r="K26" s="29"/>
    </row>
    <row r="27" spans="1:11" ht="13" x14ac:dyDescent="0.3">
      <c r="A27" s="25" t="s">
        <v>109</v>
      </c>
      <c r="B27" s="45">
        <v>18.268176835951699</v>
      </c>
      <c r="C27" s="54">
        <v>5474</v>
      </c>
      <c r="D27" s="49">
        <v>398.92899999999997</v>
      </c>
      <c r="E27" s="45">
        <v>71.703135465373904</v>
      </c>
      <c r="F27" s="45">
        <v>3.6432967336528699</v>
      </c>
      <c r="G27" s="45">
        <v>0.90206024054193901</v>
      </c>
      <c r="H27" s="45"/>
      <c r="I27" s="54">
        <v>1000</v>
      </c>
      <c r="K27" s="29"/>
    </row>
    <row r="28" spans="1:11" ht="13" x14ac:dyDescent="0.3">
      <c r="A28" s="22" t="s">
        <v>99</v>
      </c>
      <c r="B28" s="45"/>
      <c r="C28" s="54"/>
      <c r="D28" s="49"/>
      <c r="E28" s="45"/>
      <c r="F28" s="45"/>
      <c r="G28" s="45"/>
      <c r="H28" s="45"/>
      <c r="I28" s="54"/>
      <c r="K28" s="29"/>
    </row>
    <row r="29" spans="1:11" ht="13" x14ac:dyDescent="0.3">
      <c r="A29" s="25" t="s">
        <v>110</v>
      </c>
      <c r="B29" s="45">
        <v>21.6216216216216</v>
      </c>
      <c r="C29" s="54">
        <v>37</v>
      </c>
      <c r="D29" s="49">
        <v>239.375</v>
      </c>
      <c r="E29" s="45">
        <v>88.244047619047606</v>
      </c>
      <c r="F29" s="45">
        <v>0.625</v>
      </c>
      <c r="G29" s="45">
        <v>0</v>
      </c>
      <c r="H29" s="45"/>
      <c r="I29" s="54">
        <v>8</v>
      </c>
      <c r="K29" s="29"/>
    </row>
    <row r="30" spans="1:11" ht="13" x14ac:dyDescent="0.3">
      <c r="A30" s="25" t="s">
        <v>111</v>
      </c>
      <c r="B30" s="45">
        <v>17.031630170316301</v>
      </c>
      <c r="C30" s="54">
        <v>7809</v>
      </c>
      <c r="D30" s="49">
        <v>313.15187969924801</v>
      </c>
      <c r="E30" s="45">
        <v>72.794474490304992</v>
      </c>
      <c r="F30" s="45">
        <v>2.8450502189275602</v>
      </c>
      <c r="G30" s="45">
        <v>0.82771340645201708</v>
      </c>
      <c r="H30" s="45"/>
      <c r="I30" s="54">
        <v>1330</v>
      </c>
      <c r="K30" s="29"/>
    </row>
    <row r="31" spans="1:11" ht="13" x14ac:dyDescent="0.3">
      <c r="A31" s="25" t="s">
        <v>112</v>
      </c>
      <c r="B31" s="45">
        <v>46.301247771836003</v>
      </c>
      <c r="C31" s="54">
        <v>2244</v>
      </c>
      <c r="D31" s="49">
        <v>362.28681424446501</v>
      </c>
      <c r="E31" s="45">
        <v>74.219042264888799</v>
      </c>
      <c r="F31" s="45">
        <v>2.7167934626456498</v>
      </c>
      <c r="G31" s="45">
        <v>0.56978637898690399</v>
      </c>
      <c r="H31" s="45"/>
      <c r="I31" s="54">
        <v>1039</v>
      </c>
      <c r="K31" s="29"/>
    </row>
    <row r="32" spans="1:11" ht="13" x14ac:dyDescent="0.3">
      <c r="A32" s="22" t="s">
        <v>98</v>
      </c>
      <c r="B32" s="45"/>
      <c r="C32" s="54"/>
      <c r="D32" s="49"/>
      <c r="E32" s="45"/>
      <c r="F32" s="45"/>
      <c r="G32" s="45"/>
      <c r="H32" s="45"/>
      <c r="I32" s="54"/>
      <c r="K32" s="29"/>
    </row>
    <row r="33" spans="1:11" ht="13" x14ac:dyDescent="0.3">
      <c r="A33" s="25" t="s">
        <v>113</v>
      </c>
      <c r="B33" s="45">
        <v>31.601049868766403</v>
      </c>
      <c r="C33" s="54">
        <v>1905</v>
      </c>
      <c r="D33" s="49">
        <v>350.34717607973403</v>
      </c>
      <c r="E33" s="45">
        <v>76.642009282483897</v>
      </c>
      <c r="F33" s="45">
        <v>2.5590391921758</v>
      </c>
      <c r="G33" s="45">
        <v>0.82083077037395902</v>
      </c>
      <c r="H33" s="45"/>
      <c r="I33" s="54">
        <v>602</v>
      </c>
      <c r="K33" s="29"/>
    </row>
    <row r="34" spans="1:11" ht="13" x14ac:dyDescent="0.3">
      <c r="A34" s="25" t="s">
        <v>114</v>
      </c>
      <c r="B34" s="45">
        <v>27.272727272727199</v>
      </c>
      <c r="C34" s="54">
        <v>55</v>
      </c>
      <c r="D34" s="49">
        <v>213</v>
      </c>
      <c r="E34" s="45">
        <v>72.023391812865398</v>
      </c>
      <c r="F34" s="45">
        <v>0</v>
      </c>
      <c r="G34" s="45">
        <v>0</v>
      </c>
      <c r="H34" s="45"/>
      <c r="I34" s="54">
        <v>15</v>
      </c>
      <c r="K34" s="29"/>
    </row>
    <row r="35" spans="1:11" ht="13" x14ac:dyDescent="0.3">
      <c r="A35" s="25" t="s">
        <v>115</v>
      </c>
      <c r="B35" s="45">
        <v>35.633027522935699</v>
      </c>
      <c r="C35" s="54">
        <v>2725</v>
      </c>
      <c r="D35" s="49">
        <v>297.68589083419101</v>
      </c>
      <c r="E35" s="45">
        <v>75.194515823055895</v>
      </c>
      <c r="F35" s="45">
        <v>2.8315670796556098</v>
      </c>
      <c r="G35" s="45">
        <v>0.28298035096113899</v>
      </c>
      <c r="H35" s="45"/>
      <c r="I35" s="54">
        <v>971</v>
      </c>
      <c r="K35" s="29"/>
    </row>
    <row r="36" spans="1:11" ht="13" x14ac:dyDescent="0.3">
      <c r="A36" s="25" t="s">
        <v>116</v>
      </c>
      <c r="B36" s="45">
        <v>16.211031175059901</v>
      </c>
      <c r="C36" s="54">
        <v>4170</v>
      </c>
      <c r="D36" s="49">
        <v>341.211538461538</v>
      </c>
      <c r="E36" s="45">
        <v>69.648053912192992</v>
      </c>
      <c r="F36" s="45">
        <v>2.7492873020424202</v>
      </c>
      <c r="G36" s="45">
        <v>1.0047900817131499</v>
      </c>
      <c r="H36" s="45"/>
      <c r="I36" s="54">
        <v>676</v>
      </c>
      <c r="K36" s="29"/>
    </row>
    <row r="37" spans="1:11" ht="13" x14ac:dyDescent="0.3">
      <c r="A37" s="25" t="s">
        <v>117</v>
      </c>
      <c r="B37" s="45">
        <v>9.4080338266384711</v>
      </c>
      <c r="C37" s="54">
        <v>946</v>
      </c>
      <c r="D37" s="49">
        <v>615.16853932584195</v>
      </c>
      <c r="E37" s="45">
        <v>59.764130784480194</v>
      </c>
      <c r="F37" s="45">
        <v>4.0074793191941502</v>
      </c>
      <c r="G37" s="45">
        <v>2.7496038040684398</v>
      </c>
      <c r="H37" s="45"/>
      <c r="I37" s="54">
        <v>89</v>
      </c>
      <c r="K37" s="29"/>
    </row>
    <row r="38" spans="1:11" ht="13" x14ac:dyDescent="0.3">
      <c r="A38" s="22" t="s">
        <v>3</v>
      </c>
      <c r="B38" s="45"/>
      <c r="C38" s="54"/>
      <c r="D38" s="49"/>
      <c r="E38" s="45"/>
      <c r="F38" s="45"/>
      <c r="G38" s="45"/>
      <c r="H38" s="45"/>
      <c r="I38" s="54"/>
      <c r="K38" s="29"/>
    </row>
    <row r="39" spans="1:11" ht="13" x14ac:dyDescent="0.3">
      <c r="A39" s="25" t="s">
        <v>118</v>
      </c>
      <c r="B39" s="45">
        <v>22.962962962962898</v>
      </c>
      <c r="C39" s="54">
        <v>675</v>
      </c>
      <c r="D39" s="49">
        <v>176.62580645161199</v>
      </c>
      <c r="E39" s="45">
        <v>86.191634530344103</v>
      </c>
      <c r="F39" s="45">
        <v>1.0794395568589099</v>
      </c>
      <c r="G39" s="45">
        <v>0.187096774193548</v>
      </c>
      <c r="H39" s="45"/>
      <c r="I39" s="54">
        <v>155</v>
      </c>
      <c r="K39" s="29"/>
    </row>
    <row r="40" spans="1:11" ht="13" x14ac:dyDescent="0.3">
      <c r="A40" s="25" t="s">
        <v>119</v>
      </c>
      <c r="B40" s="45">
        <v>32.156862745098003</v>
      </c>
      <c r="C40" s="54">
        <v>765</v>
      </c>
      <c r="D40" s="49">
        <v>257.532520325203</v>
      </c>
      <c r="E40" s="45">
        <v>77.364673029307099</v>
      </c>
      <c r="F40" s="45">
        <v>1.87773008199837</v>
      </c>
      <c r="G40" s="45">
        <v>0.50038714672860996</v>
      </c>
      <c r="H40" s="45"/>
      <c r="I40" s="54">
        <v>246</v>
      </c>
      <c r="K40" s="29"/>
    </row>
    <row r="41" spans="1:11" ht="13" x14ac:dyDescent="0.3">
      <c r="A41" s="25" t="s">
        <v>120</v>
      </c>
      <c r="B41" s="45">
        <v>37.425506555423098</v>
      </c>
      <c r="C41" s="54">
        <v>839</v>
      </c>
      <c r="D41" s="49">
        <v>241.09235668789799</v>
      </c>
      <c r="E41" s="45">
        <v>77.677389713030294</v>
      </c>
      <c r="F41" s="45">
        <v>2.56382453356975</v>
      </c>
      <c r="G41" s="45">
        <v>0.542361742998685</v>
      </c>
      <c r="H41" s="45"/>
      <c r="I41" s="54">
        <v>314</v>
      </c>
      <c r="K41" s="29"/>
    </row>
    <row r="42" spans="1:11" ht="13" x14ac:dyDescent="0.3">
      <c r="A42" s="25" t="s">
        <v>121</v>
      </c>
      <c r="B42" s="45">
        <v>31.030444964871101</v>
      </c>
      <c r="C42" s="54">
        <v>854</v>
      </c>
      <c r="D42" s="49">
        <v>390.33207547169798</v>
      </c>
      <c r="E42" s="45">
        <v>77.846932178140207</v>
      </c>
      <c r="F42" s="45">
        <v>2.66451199435661</v>
      </c>
      <c r="G42" s="45">
        <v>0.68000940457297299</v>
      </c>
      <c r="H42" s="45"/>
      <c r="I42" s="54">
        <v>265</v>
      </c>
      <c r="K42" s="29"/>
    </row>
    <row r="43" spans="1:11" ht="13" x14ac:dyDescent="0.3">
      <c r="A43" s="25" t="s">
        <v>122</v>
      </c>
      <c r="B43" s="45">
        <v>32.736842105263101</v>
      </c>
      <c r="C43" s="54">
        <v>950</v>
      </c>
      <c r="D43" s="49">
        <v>302.070739549839</v>
      </c>
      <c r="E43" s="45">
        <v>72.598941805091002</v>
      </c>
      <c r="F43" s="45">
        <v>2.8025867085640401</v>
      </c>
      <c r="G43" s="45">
        <v>1.0539164301222099</v>
      </c>
      <c r="H43" s="45"/>
      <c r="I43" s="54">
        <v>311</v>
      </c>
      <c r="K43" s="29"/>
    </row>
    <row r="44" spans="1:11" ht="13" x14ac:dyDescent="0.3">
      <c r="A44" s="25" t="s">
        <v>123</v>
      </c>
      <c r="B44" s="45">
        <v>29.067460317460299</v>
      </c>
      <c r="C44" s="54">
        <v>1008</v>
      </c>
      <c r="D44" s="49">
        <v>313.38566552901</v>
      </c>
      <c r="E44" s="45">
        <v>73.098633449107894</v>
      </c>
      <c r="F44" s="45">
        <v>2.2312625332474401</v>
      </c>
      <c r="G44" s="45">
        <v>0.41416111381981602</v>
      </c>
      <c r="H44" s="45"/>
      <c r="I44" s="54">
        <v>293</v>
      </c>
      <c r="K44" s="29"/>
    </row>
    <row r="45" spans="1:11" ht="13" x14ac:dyDescent="0.3">
      <c r="A45" s="25" t="s">
        <v>124</v>
      </c>
      <c r="B45" s="45">
        <v>23.8873751135331</v>
      </c>
      <c r="C45" s="54">
        <v>1101</v>
      </c>
      <c r="D45" s="49">
        <v>343.463878326996</v>
      </c>
      <c r="E45" s="45">
        <v>68.387832971306594</v>
      </c>
      <c r="F45" s="45">
        <v>3.6093422338625198</v>
      </c>
      <c r="G45" s="45">
        <v>1.1990021553038699</v>
      </c>
      <c r="H45" s="45"/>
      <c r="I45" s="54">
        <v>263</v>
      </c>
      <c r="K45" s="29"/>
    </row>
    <row r="46" spans="1:11" ht="13" x14ac:dyDescent="0.3">
      <c r="A46" s="25" t="s">
        <v>125</v>
      </c>
      <c r="B46" s="45">
        <v>21.303258145363397</v>
      </c>
      <c r="C46" s="54">
        <v>1197</v>
      </c>
      <c r="D46" s="49">
        <v>459.83529411764698</v>
      </c>
      <c r="E46" s="45">
        <v>68.489413660331294</v>
      </c>
      <c r="F46" s="45">
        <v>4.3711002981907798</v>
      </c>
      <c r="G46" s="45">
        <v>0.89978213507625193</v>
      </c>
      <c r="H46" s="45"/>
      <c r="I46" s="54">
        <v>255</v>
      </c>
      <c r="K46" s="29"/>
    </row>
    <row r="47" spans="1:11" ht="13" x14ac:dyDescent="0.3">
      <c r="A47" s="25" t="s">
        <v>126</v>
      </c>
      <c r="B47" s="45">
        <v>13.3281371784879</v>
      </c>
      <c r="C47" s="54">
        <v>1283</v>
      </c>
      <c r="D47" s="49">
        <v>469.40350877192901</v>
      </c>
      <c r="E47" s="45">
        <v>66.174832720656894</v>
      </c>
      <c r="F47" s="45">
        <v>3.0157744403358397</v>
      </c>
      <c r="G47" s="45">
        <v>0.45512670565302099</v>
      </c>
      <c r="H47" s="45"/>
      <c r="I47" s="54">
        <v>171</v>
      </c>
      <c r="K47" s="29"/>
    </row>
    <row r="48" spans="1:11" ht="13" x14ac:dyDescent="0.3">
      <c r="A48" s="25" t="s">
        <v>127</v>
      </c>
      <c r="B48" s="45">
        <v>7.3342736248236893</v>
      </c>
      <c r="C48" s="54">
        <v>1418</v>
      </c>
      <c r="D48" s="49">
        <v>493.548076923076</v>
      </c>
      <c r="E48" s="45">
        <v>62.132409612727798</v>
      </c>
      <c r="F48" s="45">
        <v>3.5225431142837298</v>
      </c>
      <c r="G48" s="45">
        <v>1.1398237179487101</v>
      </c>
      <c r="H48" s="45"/>
      <c r="I48" s="54">
        <v>104</v>
      </c>
      <c r="K48" s="29"/>
    </row>
    <row r="49" spans="1:11" ht="13" x14ac:dyDescent="0.3">
      <c r="A49" s="22" t="s">
        <v>93</v>
      </c>
      <c r="B49" s="45"/>
      <c r="C49" s="54"/>
      <c r="D49" s="49"/>
      <c r="E49" s="45"/>
      <c r="F49" s="45"/>
      <c r="G49" s="45"/>
      <c r="H49" s="45"/>
      <c r="I49" s="54"/>
      <c r="K49" s="29"/>
    </row>
    <row r="50" spans="1:11" ht="13" x14ac:dyDescent="0.3">
      <c r="A50" s="28" t="s">
        <v>51</v>
      </c>
      <c r="B50" s="45">
        <v>0</v>
      </c>
      <c r="C50" s="54">
        <v>715</v>
      </c>
      <c r="D50" s="49">
        <v>0</v>
      </c>
      <c r="E50" s="45">
        <v>0</v>
      </c>
      <c r="F50" s="45">
        <v>0</v>
      </c>
      <c r="G50" s="45">
        <v>0</v>
      </c>
      <c r="H50" s="45"/>
      <c r="I50" s="54">
        <v>0</v>
      </c>
      <c r="K50" s="29"/>
    </row>
    <row r="51" spans="1:11" ht="13" x14ac:dyDescent="0.3">
      <c r="A51" s="28" t="s">
        <v>53</v>
      </c>
      <c r="B51" s="45">
        <v>0</v>
      </c>
      <c r="C51" s="54">
        <v>111</v>
      </c>
      <c r="D51" s="49">
        <v>0</v>
      </c>
      <c r="E51" s="45">
        <v>0</v>
      </c>
      <c r="F51" s="45">
        <v>0</v>
      </c>
      <c r="G51" s="45">
        <v>0</v>
      </c>
      <c r="H51" s="45"/>
      <c r="I51" s="54">
        <v>0</v>
      </c>
      <c r="K51" s="29"/>
    </row>
    <row r="52" spans="1:11" ht="13" x14ac:dyDescent="0.3">
      <c r="A52" s="28" t="s">
        <v>52</v>
      </c>
      <c r="B52" s="45">
        <v>0</v>
      </c>
      <c r="C52" s="54">
        <v>33</v>
      </c>
      <c r="D52" s="49">
        <v>0</v>
      </c>
      <c r="E52" s="45">
        <v>0</v>
      </c>
      <c r="F52" s="45">
        <v>0</v>
      </c>
      <c r="G52" s="45">
        <v>0</v>
      </c>
      <c r="H52" s="45"/>
      <c r="I52" s="54">
        <v>0</v>
      </c>
      <c r="K52" s="29"/>
    </row>
    <row r="53" spans="1:11" ht="13" x14ac:dyDescent="0.3">
      <c r="A53" s="28" t="s">
        <v>45</v>
      </c>
      <c r="B53" s="45">
        <v>4.7945205479451998</v>
      </c>
      <c r="C53" s="54">
        <v>146</v>
      </c>
      <c r="D53" s="49">
        <v>35.142857142857103</v>
      </c>
      <c r="E53" s="45">
        <v>90.476190476190396</v>
      </c>
      <c r="F53" s="45">
        <v>0</v>
      </c>
      <c r="G53" s="45">
        <v>2.38095238095238</v>
      </c>
      <c r="H53" s="45"/>
      <c r="I53" s="54">
        <v>7</v>
      </c>
      <c r="K53" s="29"/>
    </row>
    <row r="54" spans="1:11" ht="13" x14ac:dyDescent="0.3">
      <c r="A54" s="28" t="s">
        <v>48</v>
      </c>
      <c r="B54" s="45">
        <v>0</v>
      </c>
      <c r="C54" s="54">
        <v>1292</v>
      </c>
      <c r="D54" s="49">
        <v>0</v>
      </c>
      <c r="E54" s="45">
        <v>0</v>
      </c>
      <c r="F54" s="45">
        <v>0</v>
      </c>
      <c r="G54" s="45">
        <v>0</v>
      </c>
      <c r="H54" s="45"/>
      <c r="I54" s="54">
        <v>0</v>
      </c>
      <c r="K54" s="29"/>
    </row>
    <row r="55" spans="1:11" ht="13" x14ac:dyDescent="0.3">
      <c r="A55" s="28" t="s">
        <v>49</v>
      </c>
      <c r="B55" s="45">
        <v>42.017353579175698</v>
      </c>
      <c r="C55" s="54">
        <v>4610</v>
      </c>
      <c r="D55" s="49">
        <v>356.78368611254501</v>
      </c>
      <c r="E55" s="45">
        <v>70.715393501573004</v>
      </c>
      <c r="F55" s="45">
        <v>2.28091029561753</v>
      </c>
      <c r="G55" s="45">
        <v>0.44895271464280095</v>
      </c>
      <c r="H55" s="45"/>
      <c r="I55" s="54">
        <v>1937</v>
      </c>
      <c r="K55" s="29"/>
    </row>
    <row r="56" spans="1:11" ht="13" x14ac:dyDescent="0.3">
      <c r="A56" s="28" t="s">
        <v>128</v>
      </c>
      <c r="B56" s="45">
        <v>2.4242424242424199</v>
      </c>
      <c r="C56" s="54">
        <v>165</v>
      </c>
      <c r="D56" s="49">
        <v>377</v>
      </c>
      <c r="E56" s="45">
        <v>59.7083333333333</v>
      </c>
      <c r="F56" s="45">
        <v>1.6666666666666601</v>
      </c>
      <c r="G56" s="45">
        <v>0</v>
      </c>
      <c r="H56" s="45"/>
      <c r="I56" s="54">
        <v>4</v>
      </c>
      <c r="K56" s="29"/>
    </row>
    <row r="57" spans="1:11" ht="13" x14ac:dyDescent="0.3">
      <c r="A57" s="28" t="s">
        <v>129</v>
      </c>
      <c r="B57" s="45">
        <v>2.7777777777777701</v>
      </c>
      <c r="C57" s="54">
        <v>108</v>
      </c>
      <c r="D57" s="49">
        <v>73.3333333333333</v>
      </c>
      <c r="E57" s="45">
        <v>46.6666666666666</v>
      </c>
      <c r="F57" s="45">
        <v>3.3333333333333299</v>
      </c>
      <c r="G57" s="45">
        <v>0</v>
      </c>
      <c r="H57" s="45"/>
      <c r="I57" s="54">
        <v>3</v>
      </c>
      <c r="K57" s="29"/>
    </row>
    <row r="58" spans="1:11" ht="13" x14ac:dyDescent="0.3">
      <c r="A58" s="28" t="s">
        <v>54</v>
      </c>
      <c r="B58" s="45">
        <v>0</v>
      </c>
      <c r="C58" s="54">
        <v>35</v>
      </c>
      <c r="D58" s="49">
        <v>0</v>
      </c>
      <c r="E58" s="45">
        <v>0</v>
      </c>
      <c r="F58" s="45">
        <v>0</v>
      </c>
      <c r="G58" s="45">
        <v>0</v>
      </c>
      <c r="H58" s="45"/>
      <c r="I58" s="54">
        <v>0</v>
      </c>
      <c r="K58" s="29"/>
    </row>
    <row r="59" spans="1:11" ht="13" x14ac:dyDescent="0.3">
      <c r="A59" s="28" t="s">
        <v>130</v>
      </c>
      <c r="B59" s="45">
        <v>1.7999999999999998</v>
      </c>
      <c r="C59" s="54">
        <v>1000</v>
      </c>
      <c r="D59" s="49">
        <v>303.33333333333297</v>
      </c>
      <c r="E59" s="45">
        <v>84.101851851851805</v>
      </c>
      <c r="F59" s="45">
        <v>0.92592592592592504</v>
      </c>
      <c r="G59" s="45">
        <v>0</v>
      </c>
      <c r="H59" s="45"/>
      <c r="I59" s="54">
        <v>18</v>
      </c>
      <c r="K59" s="29"/>
    </row>
    <row r="60" spans="1:11" ht="13" x14ac:dyDescent="0.3">
      <c r="A60" s="28" t="s">
        <v>131</v>
      </c>
      <c r="B60" s="45">
        <v>30.581761006289298</v>
      </c>
      <c r="C60" s="54">
        <v>1272</v>
      </c>
      <c r="D60" s="49">
        <v>241.295629820051</v>
      </c>
      <c r="E60" s="45">
        <v>86.386815305219699</v>
      </c>
      <c r="F60" s="45">
        <v>5.3304420469185594</v>
      </c>
      <c r="G60" s="45">
        <v>1.4307938391228801</v>
      </c>
      <c r="H60" s="45"/>
      <c r="I60" s="54">
        <v>389</v>
      </c>
      <c r="K60" s="29"/>
    </row>
    <row r="61" spans="1:11" ht="13" x14ac:dyDescent="0.3">
      <c r="A61" s="28" t="s">
        <v>50</v>
      </c>
      <c r="B61" s="45">
        <v>0</v>
      </c>
      <c r="C61" s="54">
        <v>31</v>
      </c>
      <c r="D61" s="49">
        <v>0</v>
      </c>
      <c r="E61" s="45">
        <v>0</v>
      </c>
      <c r="F61" s="45">
        <v>0</v>
      </c>
      <c r="G61" s="45">
        <v>0</v>
      </c>
      <c r="H61" s="45"/>
      <c r="I61" s="54">
        <v>0</v>
      </c>
      <c r="K61" s="29"/>
    </row>
    <row r="62" spans="1:11" ht="13" x14ac:dyDescent="0.3">
      <c r="A62" s="28" t="s">
        <v>132</v>
      </c>
      <c r="B62" s="46">
        <v>3.3216783216783203</v>
      </c>
      <c r="C62" s="55">
        <v>572</v>
      </c>
      <c r="D62" s="50">
        <v>128.157894736842</v>
      </c>
      <c r="E62" s="46">
        <v>80.5263157894736</v>
      </c>
      <c r="F62" s="46">
        <v>4.5614035087719298</v>
      </c>
      <c r="G62" s="46">
        <v>13.157894736842099</v>
      </c>
      <c r="H62" s="46"/>
      <c r="I62" s="55">
        <v>19</v>
      </c>
      <c r="K62" s="29"/>
    </row>
    <row r="63" spans="1:11" ht="13" x14ac:dyDescent="0.3">
      <c r="B63" s="48"/>
      <c r="C63" s="51"/>
      <c r="D63" s="53"/>
      <c r="E63" s="48"/>
      <c r="F63" s="48"/>
      <c r="G63" s="48"/>
      <c r="H63" s="48"/>
      <c r="I63" s="51"/>
    </row>
    <row r="64" spans="1:11" ht="13" x14ac:dyDescent="0.3">
      <c r="B64" s="47"/>
      <c r="C64" s="44"/>
      <c r="D64" s="52"/>
      <c r="E64" s="47"/>
      <c r="F64" s="47"/>
      <c r="G64" s="47"/>
      <c r="H64" s="47"/>
      <c r="I64" s="44"/>
    </row>
    <row r="65" spans="2:9" ht="13" x14ac:dyDescent="0.3">
      <c r="B65" s="47"/>
      <c r="C65" s="44"/>
      <c r="D65" s="52"/>
      <c r="E65" s="47"/>
      <c r="F65" s="47"/>
      <c r="G65" s="47"/>
      <c r="H65" s="47"/>
      <c r="I65" s="44"/>
    </row>
    <row r="66" spans="2:9" ht="13" x14ac:dyDescent="0.3">
      <c r="B66" s="47"/>
      <c r="C66" s="44"/>
      <c r="D66" s="52"/>
      <c r="E66" s="47"/>
      <c r="F66" s="47"/>
      <c r="G66" s="47"/>
      <c r="H66" s="47"/>
      <c r="I66" s="44"/>
    </row>
    <row r="67" spans="2:9" ht="13" x14ac:dyDescent="0.3">
      <c r="B67" s="47"/>
      <c r="C67" s="44"/>
      <c r="D67" s="52"/>
      <c r="E67" s="47"/>
      <c r="F67" s="47"/>
      <c r="G67" s="47"/>
      <c r="H67" s="47"/>
      <c r="I67" s="44"/>
    </row>
    <row r="68" spans="2:9" ht="13" x14ac:dyDescent="0.3">
      <c r="B68" s="47"/>
      <c r="C68" s="44"/>
      <c r="D68" s="52"/>
      <c r="E68" s="47"/>
      <c r="F68" s="47"/>
      <c r="G68" s="47"/>
      <c r="H68" s="47"/>
      <c r="I68" s="44"/>
    </row>
    <row r="69" spans="2:9" ht="13" x14ac:dyDescent="0.3">
      <c r="B69" s="47"/>
      <c r="C69" s="47"/>
      <c r="D69" s="47"/>
      <c r="E69" s="47"/>
      <c r="F69" s="47"/>
      <c r="G69" s="47"/>
      <c r="H69" s="47"/>
      <c r="I69" s="44"/>
    </row>
    <row r="70" spans="2:9" ht="13" x14ac:dyDescent="0.3">
      <c r="B70" s="47"/>
      <c r="C70" s="47"/>
      <c r="D70" s="47"/>
      <c r="E70" s="47"/>
      <c r="F70" s="47"/>
      <c r="G70" s="47"/>
      <c r="H70" s="47"/>
      <c r="I70" s="44"/>
    </row>
    <row r="71" spans="2:9" ht="13" x14ac:dyDescent="0.3">
      <c r="B71" s="47"/>
      <c r="C71" s="47"/>
      <c r="D71" s="47"/>
      <c r="E71" s="47"/>
      <c r="F71" s="47"/>
      <c r="G71" s="47"/>
      <c r="H71" s="47"/>
      <c r="I71" s="44"/>
    </row>
    <row r="72" spans="2:9" ht="13" x14ac:dyDescent="0.3">
      <c r="B72" s="47"/>
      <c r="C72" s="47"/>
      <c r="D72" s="47"/>
      <c r="E72" s="47"/>
      <c r="F72" s="47"/>
      <c r="G72" s="47"/>
      <c r="H72" s="47"/>
      <c r="I72" s="44"/>
    </row>
    <row r="73" spans="2:9" ht="13" x14ac:dyDescent="0.3">
      <c r="B73" s="47"/>
      <c r="C73" s="47"/>
      <c r="D73" s="47"/>
      <c r="E73" s="47"/>
      <c r="F73" s="47"/>
      <c r="G73" s="47"/>
      <c r="H73" s="47"/>
      <c r="I73" s="44"/>
    </row>
    <row r="74" spans="2:9" ht="13" x14ac:dyDescent="0.3">
      <c r="B74" s="47"/>
      <c r="C74" s="47"/>
      <c r="D74" s="47"/>
      <c r="E74" s="47"/>
      <c r="F74" s="47"/>
      <c r="G74" s="47"/>
      <c r="H74" s="47"/>
      <c r="I74" s="44"/>
    </row>
    <row r="75" spans="2:9" ht="13" x14ac:dyDescent="0.3">
      <c r="B75" s="47"/>
      <c r="C75" s="47"/>
      <c r="D75" s="47"/>
      <c r="E75" s="47"/>
      <c r="F75" s="47"/>
      <c r="G75" s="47"/>
      <c r="H75" s="44"/>
      <c r="I75" s="44"/>
    </row>
    <row r="76" spans="2:9" ht="13" x14ac:dyDescent="0.3">
      <c r="B76" s="47"/>
      <c r="C76" s="47"/>
      <c r="D76" s="47"/>
      <c r="E76" s="47"/>
      <c r="F76" s="47"/>
      <c r="G76" s="47"/>
      <c r="H76" s="44"/>
      <c r="I76" s="44"/>
    </row>
    <row r="77" spans="2:9" ht="13" x14ac:dyDescent="0.3">
      <c r="B77" s="47"/>
      <c r="C77" s="47"/>
      <c r="D77" s="47"/>
      <c r="E77" s="47"/>
      <c r="F77" s="47"/>
      <c r="G77" s="47"/>
      <c r="H77" s="44"/>
      <c r="I77" s="44"/>
    </row>
    <row r="78" spans="2:9" ht="13" x14ac:dyDescent="0.3">
      <c r="B78" s="47"/>
      <c r="C78" s="47"/>
      <c r="D78" s="47"/>
      <c r="E78" s="47"/>
      <c r="F78" s="47"/>
      <c r="G78" s="47"/>
      <c r="H78" s="44"/>
      <c r="I78" s="44"/>
    </row>
    <row r="79" spans="2:9" ht="13" x14ac:dyDescent="0.3">
      <c r="B79" s="47"/>
      <c r="C79" s="47"/>
      <c r="D79" s="47"/>
      <c r="E79" s="47"/>
      <c r="F79" s="47"/>
      <c r="G79" s="47"/>
      <c r="H79" s="44"/>
      <c r="I79" s="44"/>
    </row>
    <row r="80" spans="2:9" ht="13" x14ac:dyDescent="0.3">
      <c r="B80" s="47"/>
      <c r="C80" s="47"/>
      <c r="D80" s="47"/>
      <c r="E80" s="47"/>
      <c r="F80" s="47"/>
      <c r="G80" s="47"/>
      <c r="H80" s="44"/>
      <c r="I80" s="44"/>
    </row>
    <row r="81" spans="2:9" ht="13" x14ac:dyDescent="0.3">
      <c r="B81" s="44"/>
      <c r="C81" s="44"/>
      <c r="D81" s="44"/>
      <c r="E81" s="44"/>
      <c r="F81" s="44"/>
      <c r="G81" s="44"/>
      <c r="H81" s="44"/>
      <c r="I81" s="44"/>
    </row>
    <row r="82" spans="2:9" ht="13" x14ac:dyDescent="0.3">
      <c r="E82" s="44"/>
      <c r="F82" s="44"/>
      <c r="G82" s="44"/>
    </row>
    <row r="83" spans="2:9" ht="13" x14ac:dyDescent="0.3">
      <c r="E83" s="44"/>
      <c r="F83" s="44"/>
      <c r="G83" s="44"/>
    </row>
    <row r="84" spans="2:9" ht="13" x14ac:dyDescent="0.3">
      <c r="E84" s="44"/>
      <c r="F84" s="44"/>
      <c r="G84" s="44"/>
    </row>
    <row r="85" spans="2:9" ht="13" x14ac:dyDescent="0.3">
      <c r="E85" s="44"/>
      <c r="F85" s="44"/>
      <c r="G85" s="44"/>
    </row>
    <row r="86" spans="2:9" ht="13" x14ac:dyDescent="0.3">
      <c r="E86" s="44"/>
      <c r="F86" s="44"/>
      <c r="G86" s="44"/>
    </row>
    <row r="87" spans="2:9" ht="13" x14ac:dyDescent="0.3"/>
    <row r="88" spans="2:9" ht="13" x14ac:dyDescent="0.3"/>
    <row r="89" spans="2:9" ht="13" x14ac:dyDescent="0.3"/>
    <row r="90" spans="2:9" ht="13" x14ac:dyDescent="0.3"/>
    <row r="91" spans="2:9" ht="13" x14ac:dyDescent="0.3"/>
    <row r="92" spans="2:9" ht="13" x14ac:dyDescent="0.3"/>
    <row r="93" spans="2:9" ht="13" x14ac:dyDescent="0.3"/>
    <row r="94" spans="2:9" ht="13" x14ac:dyDescent="0.3"/>
    <row r="95" spans="2:9" ht="13" x14ac:dyDescent="0.3"/>
    <row r="96" spans="2:9" ht="13" x14ac:dyDescent="0.3"/>
    <row r="97" ht="13" x14ac:dyDescent="0.3"/>
    <row r="98" ht="13" x14ac:dyDescent="0.3"/>
    <row r="99" ht="13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B66F-B0A3-4250-9AC7-1A358F75AAE6}">
  <dimension ref="A1:K105"/>
  <sheetViews>
    <sheetView zoomScale="80" zoomScaleNormal="80" workbookViewId="0">
      <selection activeCell="B5" sqref="B5:I5"/>
    </sheetView>
  </sheetViews>
  <sheetFormatPr defaultColWidth="15.25" defaultRowHeight="15.5" x14ac:dyDescent="0.3"/>
  <cols>
    <col min="1" max="1" width="16.41406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25" style="26" customWidth="1"/>
    <col min="10" max="16384" width="15.25" style="23"/>
  </cols>
  <sheetData>
    <row r="1" spans="1:11" ht="13" x14ac:dyDescent="0.3">
      <c r="A1" s="24" t="s">
        <v>172</v>
      </c>
    </row>
    <row r="3" spans="1:11" ht="91" x14ac:dyDescent="0.3">
      <c r="B3" s="30" t="s">
        <v>173</v>
      </c>
      <c r="C3" s="30" t="s">
        <v>104</v>
      </c>
      <c r="D3" s="32" t="s">
        <v>174</v>
      </c>
      <c r="E3" s="39" t="s">
        <v>175</v>
      </c>
      <c r="F3" s="39" t="s">
        <v>176</v>
      </c>
      <c r="G3" s="39" t="s">
        <v>177</v>
      </c>
      <c r="H3" s="39" t="s">
        <v>178</v>
      </c>
      <c r="I3" s="40" t="s">
        <v>104</v>
      </c>
    </row>
    <row r="4" spans="1:11" ht="13" x14ac:dyDescent="0.3">
      <c r="B4" s="31" t="s">
        <v>103</v>
      </c>
      <c r="C4" s="31"/>
      <c r="D4" s="33" t="s">
        <v>158</v>
      </c>
      <c r="E4" s="36" t="s">
        <v>103</v>
      </c>
      <c r="F4" s="36" t="s">
        <v>103</v>
      </c>
      <c r="G4" s="36" t="s">
        <v>103</v>
      </c>
      <c r="H4" s="36" t="s">
        <v>102</v>
      </c>
      <c r="I4" s="41"/>
    </row>
    <row r="5" spans="1:11" ht="13" x14ac:dyDescent="0.3">
      <c r="A5" s="22" t="s">
        <v>96</v>
      </c>
      <c r="B5" s="45">
        <v>6.997026759167464</v>
      </c>
      <c r="C5" s="54">
        <v>10090</v>
      </c>
      <c r="D5" s="45"/>
      <c r="E5" s="42"/>
      <c r="F5" s="42"/>
      <c r="G5" s="42"/>
      <c r="H5" s="42"/>
      <c r="I5" s="54">
        <v>706</v>
      </c>
    </row>
    <row r="6" spans="1:11" ht="13" x14ac:dyDescent="0.3">
      <c r="A6" s="22" t="s">
        <v>97</v>
      </c>
      <c r="B6" s="42"/>
      <c r="C6" s="42"/>
      <c r="D6" s="42"/>
      <c r="E6" s="42"/>
      <c r="F6" s="42"/>
      <c r="G6" s="42"/>
      <c r="H6" s="42"/>
      <c r="I6" s="42"/>
    </row>
    <row r="7" spans="1:11" ht="13" x14ac:dyDescent="0.3">
      <c r="A7" s="25" t="s">
        <v>92</v>
      </c>
      <c r="B7" s="45">
        <v>12.032520325203199</v>
      </c>
      <c r="C7" s="54">
        <v>5535</v>
      </c>
      <c r="D7" s="49">
        <v>61.7117117117117</v>
      </c>
      <c r="E7" s="45">
        <v>75.408916365860804</v>
      </c>
      <c r="F7" s="45">
        <v>2.4896999271999198</v>
      </c>
      <c r="G7" s="45">
        <v>0.85686281519614793</v>
      </c>
      <c r="H7" s="45"/>
      <c r="I7" s="42">
        <v>666</v>
      </c>
      <c r="K7" s="29"/>
    </row>
    <row r="8" spans="1:11" ht="13" x14ac:dyDescent="0.3">
      <c r="A8" s="25" t="s">
        <v>164</v>
      </c>
      <c r="B8" s="45">
        <v>5.55555555555555</v>
      </c>
      <c r="C8" s="54">
        <v>306</v>
      </c>
      <c r="D8" s="49">
        <v>27.9411764705882</v>
      </c>
      <c r="E8" s="45">
        <v>87.908496732026094</v>
      </c>
      <c r="F8" s="45">
        <v>3.2679738562091498</v>
      </c>
      <c r="G8" s="45">
        <v>0</v>
      </c>
      <c r="H8" s="45"/>
      <c r="I8" s="42">
        <v>17</v>
      </c>
      <c r="K8" s="29"/>
    </row>
    <row r="9" spans="1:11" ht="13" x14ac:dyDescent="0.3">
      <c r="A9" s="25" t="s">
        <v>91</v>
      </c>
      <c r="B9" s="45">
        <v>0.54130383619675204</v>
      </c>
      <c r="C9" s="54">
        <v>4249</v>
      </c>
      <c r="D9" s="49">
        <v>167.304347826086</v>
      </c>
      <c r="E9" s="45">
        <v>57.173913043478194</v>
      </c>
      <c r="F9" s="45">
        <v>4.3478260869565206</v>
      </c>
      <c r="G9" s="45">
        <v>0.86956521739130399</v>
      </c>
      <c r="H9" s="45"/>
      <c r="I9" s="42">
        <v>23</v>
      </c>
      <c r="K9" s="29"/>
    </row>
    <row r="10" spans="1:11" ht="13" x14ac:dyDescent="0.3">
      <c r="A10" s="22" t="s">
        <v>90</v>
      </c>
      <c r="B10" s="45"/>
      <c r="C10" s="54"/>
      <c r="D10" s="49"/>
      <c r="E10" s="45"/>
      <c r="F10" s="45"/>
      <c r="G10" s="45"/>
      <c r="H10" s="45"/>
      <c r="I10" s="42"/>
      <c r="K10" s="29"/>
    </row>
    <row r="11" spans="1:11" ht="13" x14ac:dyDescent="0.3">
      <c r="A11" s="25" t="s">
        <v>7</v>
      </c>
      <c r="B11" s="45">
        <v>0</v>
      </c>
      <c r="C11" s="54">
        <v>559</v>
      </c>
      <c r="D11" s="49"/>
      <c r="E11" s="45">
        <v>0</v>
      </c>
      <c r="F11" s="45">
        <v>0</v>
      </c>
      <c r="G11" s="45">
        <v>0</v>
      </c>
      <c r="H11" s="45"/>
      <c r="I11" s="42">
        <v>0</v>
      </c>
      <c r="J11" s="42"/>
      <c r="K11" s="29"/>
    </row>
    <row r="12" spans="1:11" ht="13" x14ac:dyDescent="0.3">
      <c r="A12" s="25" t="s">
        <v>8</v>
      </c>
      <c r="B12" s="45">
        <v>0.120772946859903</v>
      </c>
      <c r="C12" s="54">
        <v>828</v>
      </c>
      <c r="D12" s="49">
        <v>50</v>
      </c>
      <c r="E12" s="45">
        <v>100</v>
      </c>
      <c r="F12" s="45">
        <v>0</v>
      </c>
      <c r="G12" s="45">
        <v>0</v>
      </c>
      <c r="H12" s="45"/>
      <c r="I12" s="42">
        <v>1</v>
      </c>
      <c r="K12" s="29"/>
    </row>
    <row r="13" spans="1:11" ht="13" x14ac:dyDescent="0.3">
      <c r="A13" s="25" t="s">
        <v>9</v>
      </c>
      <c r="B13" s="45">
        <v>0.17825311942959002</v>
      </c>
      <c r="C13" s="54">
        <v>561</v>
      </c>
      <c r="D13" s="49">
        <v>2</v>
      </c>
      <c r="E13" s="45">
        <v>0</v>
      </c>
      <c r="F13" s="45">
        <v>0</v>
      </c>
      <c r="G13" s="45">
        <v>0</v>
      </c>
      <c r="H13" s="45"/>
      <c r="I13" s="42">
        <v>1</v>
      </c>
      <c r="K13" s="29"/>
    </row>
    <row r="14" spans="1:11" ht="13" x14ac:dyDescent="0.3">
      <c r="A14" s="25" t="s">
        <v>10</v>
      </c>
      <c r="B14" s="45">
        <v>1.44404332129963</v>
      </c>
      <c r="C14" s="54">
        <v>554</v>
      </c>
      <c r="D14" s="49">
        <v>79.375</v>
      </c>
      <c r="E14" s="45">
        <v>83.3333333333333</v>
      </c>
      <c r="F14" s="45">
        <v>6.25</v>
      </c>
      <c r="G14" s="45">
        <v>0</v>
      </c>
      <c r="H14" s="45"/>
      <c r="I14" s="42">
        <v>8</v>
      </c>
      <c r="K14" s="29"/>
    </row>
    <row r="15" spans="1:11" ht="13" x14ac:dyDescent="0.3">
      <c r="A15" s="25" t="s">
        <v>11</v>
      </c>
      <c r="B15" s="45">
        <v>10.0352112676056</v>
      </c>
      <c r="C15" s="54">
        <v>568</v>
      </c>
      <c r="D15" s="49">
        <v>66.438596491227997</v>
      </c>
      <c r="E15" s="45">
        <v>82.533227006911204</v>
      </c>
      <c r="F15" s="45">
        <v>3.6523125996810202</v>
      </c>
      <c r="G15" s="45">
        <v>3.2163742690058403</v>
      </c>
      <c r="H15" s="45"/>
      <c r="I15" s="42">
        <v>57</v>
      </c>
      <c r="K15" s="29"/>
    </row>
    <row r="16" spans="1:11" ht="13" x14ac:dyDescent="0.3">
      <c r="A16" s="25" t="s">
        <v>12</v>
      </c>
      <c r="B16" s="45">
        <v>0.83025830258302502</v>
      </c>
      <c r="C16" s="54">
        <v>1084</v>
      </c>
      <c r="D16" s="49">
        <v>188.333333333333</v>
      </c>
      <c r="E16" s="45">
        <v>72.2222222222222</v>
      </c>
      <c r="F16" s="45">
        <v>0</v>
      </c>
      <c r="G16" s="45">
        <v>0</v>
      </c>
      <c r="H16" s="45"/>
      <c r="I16" s="42">
        <v>9</v>
      </c>
      <c r="K16" s="29"/>
    </row>
    <row r="17" spans="1:11" ht="13" x14ac:dyDescent="0.3">
      <c r="A17" s="25" t="s">
        <v>107</v>
      </c>
      <c r="B17" s="45">
        <v>0.175438596491228</v>
      </c>
      <c r="C17" s="54">
        <v>570</v>
      </c>
      <c r="D17" s="49">
        <v>50</v>
      </c>
      <c r="E17" s="45">
        <v>50</v>
      </c>
      <c r="F17" s="45">
        <v>0</v>
      </c>
      <c r="G17" s="45">
        <v>0</v>
      </c>
      <c r="H17" s="45"/>
      <c r="I17" s="42">
        <v>1</v>
      </c>
      <c r="K17" s="29"/>
    </row>
    <row r="18" spans="1:11" ht="13" x14ac:dyDescent="0.3">
      <c r="A18" s="25" t="s">
        <v>14</v>
      </c>
      <c r="B18" s="45">
        <v>25.526932084309102</v>
      </c>
      <c r="C18" s="54">
        <v>854</v>
      </c>
      <c r="D18" s="49">
        <v>28.642201834862298</v>
      </c>
      <c r="E18" s="45">
        <v>85.920935270132503</v>
      </c>
      <c r="F18" s="45">
        <v>0.76930428134556494</v>
      </c>
      <c r="G18" s="45">
        <v>0.86327726809378103</v>
      </c>
      <c r="H18" s="45"/>
      <c r="I18" s="42">
        <v>218</v>
      </c>
      <c r="K18" s="29"/>
    </row>
    <row r="19" spans="1:11" ht="13" x14ac:dyDescent="0.3">
      <c r="A19" s="25" t="s">
        <v>15</v>
      </c>
      <c r="B19" s="45">
        <v>0</v>
      </c>
      <c r="C19" s="54">
        <v>557</v>
      </c>
      <c r="D19" s="49"/>
      <c r="E19" s="45">
        <v>0</v>
      </c>
      <c r="F19" s="45">
        <v>0</v>
      </c>
      <c r="G19" s="45">
        <v>0</v>
      </c>
      <c r="H19" s="45"/>
      <c r="I19" s="42">
        <v>0</v>
      </c>
      <c r="K19" s="29"/>
    </row>
    <row r="20" spans="1:11" ht="13" x14ac:dyDescent="0.3">
      <c r="A20" s="25" t="s">
        <v>16</v>
      </c>
      <c r="B20" s="45">
        <v>25.644028103044398</v>
      </c>
      <c r="C20" s="54">
        <v>854</v>
      </c>
      <c r="D20" s="49">
        <v>81.470319634703202</v>
      </c>
      <c r="E20" s="45">
        <v>64.79593170232431</v>
      </c>
      <c r="F20" s="45">
        <v>3.06430745814307</v>
      </c>
      <c r="G20" s="45">
        <v>0</v>
      </c>
      <c r="H20" s="45"/>
      <c r="I20" s="42">
        <v>219</v>
      </c>
      <c r="K20" s="29"/>
    </row>
    <row r="21" spans="1:11" ht="13" x14ac:dyDescent="0.3">
      <c r="A21" s="25" t="s">
        <v>17</v>
      </c>
      <c r="B21" s="45">
        <v>11.2293144208037</v>
      </c>
      <c r="C21" s="54">
        <v>846</v>
      </c>
      <c r="D21" s="49">
        <v>73.473684210526301</v>
      </c>
      <c r="E21" s="45">
        <v>69.718713450292398</v>
      </c>
      <c r="F21" s="45">
        <v>2.31637426900584</v>
      </c>
      <c r="G21" s="45">
        <v>1.2280701754385901</v>
      </c>
      <c r="H21" s="45"/>
      <c r="I21" s="42">
        <v>95</v>
      </c>
      <c r="K21" s="29"/>
    </row>
    <row r="22" spans="1:11" ht="13" x14ac:dyDescent="0.3">
      <c r="A22" s="25" t="s">
        <v>18</v>
      </c>
      <c r="B22" s="45">
        <v>9.6244131455399007</v>
      </c>
      <c r="C22" s="54">
        <v>852</v>
      </c>
      <c r="D22" s="49">
        <v>81.219512195121894</v>
      </c>
      <c r="E22" s="45">
        <v>75.829732868757205</v>
      </c>
      <c r="F22" s="45">
        <v>4.2276422764227597</v>
      </c>
      <c r="G22" s="45">
        <v>1.00174216027874</v>
      </c>
      <c r="H22" s="45"/>
      <c r="I22" s="42">
        <v>82</v>
      </c>
      <c r="K22" s="29"/>
    </row>
    <row r="23" spans="1:11" ht="13" x14ac:dyDescent="0.3">
      <c r="A23" s="25" t="s">
        <v>19</v>
      </c>
      <c r="B23" s="45">
        <v>0.35842293906810002</v>
      </c>
      <c r="C23" s="54">
        <v>837</v>
      </c>
      <c r="D23" s="49">
        <v>137.666666666666</v>
      </c>
      <c r="E23" s="45">
        <v>38.3333333333333</v>
      </c>
      <c r="F23" s="45">
        <v>0</v>
      </c>
      <c r="G23" s="45">
        <v>6.6666666666666599</v>
      </c>
      <c r="H23" s="45"/>
      <c r="I23" s="42">
        <v>3</v>
      </c>
      <c r="K23" s="29"/>
    </row>
    <row r="24" spans="1:11" ht="13" x14ac:dyDescent="0.3">
      <c r="A24" s="25" t="s">
        <v>20</v>
      </c>
      <c r="B24" s="45">
        <v>2.1201413427561802</v>
      </c>
      <c r="C24" s="54">
        <v>566</v>
      </c>
      <c r="D24" s="49">
        <v>88.75</v>
      </c>
      <c r="E24" s="45">
        <v>81.9444444444444</v>
      </c>
      <c r="F24" s="45">
        <v>12.5</v>
      </c>
      <c r="G24" s="45">
        <v>2.7777777777777703E-2</v>
      </c>
      <c r="H24" s="45"/>
      <c r="I24" s="42">
        <v>12</v>
      </c>
      <c r="K24" s="29"/>
    </row>
    <row r="25" spans="1:11" ht="13" x14ac:dyDescent="0.3">
      <c r="A25" s="22" t="s">
        <v>100</v>
      </c>
      <c r="B25" s="45"/>
      <c r="C25" s="54"/>
      <c r="D25" s="49"/>
      <c r="E25" s="45"/>
      <c r="F25" s="45"/>
      <c r="G25" s="45"/>
      <c r="H25" s="45"/>
      <c r="I25" s="42"/>
      <c r="K25" s="29"/>
    </row>
    <row r="26" spans="1:11" ht="13" x14ac:dyDescent="0.3">
      <c r="A26" s="25" t="s">
        <v>108</v>
      </c>
      <c r="B26" s="45">
        <v>8.8171577123050202</v>
      </c>
      <c r="C26" s="54">
        <v>4616</v>
      </c>
      <c r="D26" s="49">
        <v>58.378378378378301</v>
      </c>
      <c r="E26" s="45">
        <v>76.145524745524696</v>
      </c>
      <c r="F26" s="45">
        <v>2.0707753207753199</v>
      </c>
      <c r="G26" s="45">
        <v>1.0182910182910101</v>
      </c>
      <c r="H26" s="45"/>
      <c r="I26" s="42">
        <v>407</v>
      </c>
      <c r="K26" s="29"/>
    </row>
    <row r="27" spans="1:11" ht="13" x14ac:dyDescent="0.3">
      <c r="A27" s="25" t="s">
        <v>109</v>
      </c>
      <c r="B27" s="45">
        <v>5.46218487394958</v>
      </c>
      <c r="C27" s="54">
        <v>5474</v>
      </c>
      <c r="D27" s="49">
        <v>72.451505016722393</v>
      </c>
      <c r="E27" s="45">
        <v>73.714228002271497</v>
      </c>
      <c r="F27" s="45">
        <v>3.2471242525590296</v>
      </c>
      <c r="G27" s="45">
        <v>0.58938525242872997</v>
      </c>
      <c r="H27" s="45"/>
      <c r="I27" s="42">
        <v>299</v>
      </c>
      <c r="K27" s="29"/>
    </row>
    <row r="28" spans="1:11" ht="13" x14ac:dyDescent="0.3">
      <c r="A28" s="22" t="s">
        <v>99</v>
      </c>
      <c r="B28" s="45"/>
      <c r="C28" s="54"/>
      <c r="D28" s="49"/>
      <c r="E28" s="45"/>
      <c r="F28" s="45"/>
      <c r="G28" s="45"/>
      <c r="H28" s="45"/>
      <c r="I28" s="42"/>
      <c r="K28" s="29"/>
    </row>
    <row r="29" spans="1:11" ht="13" x14ac:dyDescent="0.3">
      <c r="A29" s="25" t="s">
        <v>110</v>
      </c>
      <c r="B29" s="45">
        <v>2.7027027027027</v>
      </c>
      <c r="C29" s="54">
        <v>37</v>
      </c>
      <c r="D29" s="49">
        <v>5</v>
      </c>
      <c r="E29" s="45">
        <v>100</v>
      </c>
      <c r="F29" s="45">
        <v>0</v>
      </c>
      <c r="G29" s="45">
        <v>0</v>
      </c>
      <c r="H29" s="45"/>
      <c r="I29" s="42">
        <v>1</v>
      </c>
      <c r="K29" s="29"/>
    </row>
    <row r="30" spans="1:11" ht="13" x14ac:dyDescent="0.3">
      <c r="A30" s="25" t="s">
        <v>111</v>
      </c>
      <c r="B30" s="45">
        <v>4.8405685747214697</v>
      </c>
      <c r="C30" s="54">
        <v>7809</v>
      </c>
      <c r="D30" s="49">
        <v>56.015873015872998</v>
      </c>
      <c r="E30" s="45">
        <v>72.657566468413009</v>
      </c>
      <c r="F30" s="45">
        <v>3.18316765538987</v>
      </c>
      <c r="G30" s="45">
        <v>1.4689258419417099</v>
      </c>
      <c r="H30" s="45"/>
      <c r="I30" s="42">
        <v>378</v>
      </c>
      <c r="K30" s="29"/>
    </row>
    <row r="31" spans="1:11" ht="13" x14ac:dyDescent="0.3">
      <c r="A31" s="25" t="s">
        <v>112</v>
      </c>
      <c r="B31" s="45">
        <v>14.572192513368901</v>
      </c>
      <c r="C31" s="54">
        <v>2244</v>
      </c>
      <c r="D31" s="49">
        <v>74.140672782874603</v>
      </c>
      <c r="E31" s="45">
        <v>77.881414737148603</v>
      </c>
      <c r="F31" s="45">
        <v>1.8668450560652399</v>
      </c>
      <c r="G31" s="45">
        <v>0.10830784913353701</v>
      </c>
      <c r="H31" s="45"/>
      <c r="I31" s="42">
        <v>327</v>
      </c>
      <c r="K31" s="29"/>
    </row>
    <row r="32" spans="1:11" ht="13" x14ac:dyDescent="0.3">
      <c r="A32" s="22" t="s">
        <v>98</v>
      </c>
      <c r="B32" s="45"/>
      <c r="C32" s="54"/>
      <c r="D32" s="49"/>
      <c r="E32" s="45"/>
      <c r="F32" s="45"/>
      <c r="G32" s="45"/>
      <c r="H32" s="45"/>
      <c r="I32" s="42"/>
      <c r="K32" s="29"/>
    </row>
    <row r="33" spans="1:11" ht="13" x14ac:dyDescent="0.3">
      <c r="A33" s="25" t="s">
        <v>113</v>
      </c>
      <c r="B33" s="45">
        <v>9.1863517060367403</v>
      </c>
      <c r="C33" s="54">
        <v>1905</v>
      </c>
      <c r="D33" s="49">
        <v>67</v>
      </c>
      <c r="E33" s="45">
        <v>81.620086923658292</v>
      </c>
      <c r="F33" s="45">
        <v>1.2107142857142801</v>
      </c>
      <c r="G33" s="45">
        <v>0.50714285714285701</v>
      </c>
      <c r="H33" s="45"/>
      <c r="I33" s="42">
        <v>175</v>
      </c>
      <c r="K33" s="29"/>
    </row>
    <row r="34" spans="1:11" ht="13" x14ac:dyDescent="0.3">
      <c r="A34" s="25" t="s">
        <v>114</v>
      </c>
      <c r="B34" s="45">
        <v>7.2727272727272698</v>
      </c>
      <c r="C34" s="54">
        <v>55</v>
      </c>
      <c r="D34" s="49">
        <v>140</v>
      </c>
      <c r="E34" s="45">
        <v>100</v>
      </c>
      <c r="F34" s="45">
        <v>0</v>
      </c>
      <c r="G34" s="45">
        <v>0</v>
      </c>
      <c r="H34" s="45"/>
      <c r="I34" s="42">
        <v>4</v>
      </c>
      <c r="K34" s="29"/>
    </row>
    <row r="35" spans="1:11" ht="13" x14ac:dyDescent="0.3">
      <c r="A35" s="25" t="s">
        <v>115</v>
      </c>
      <c r="B35" s="45">
        <v>10.568807339449499</v>
      </c>
      <c r="C35" s="54">
        <v>2725</v>
      </c>
      <c r="D35" s="49">
        <v>49.4166666666666</v>
      </c>
      <c r="E35" s="45">
        <v>75.47677669552661</v>
      </c>
      <c r="F35" s="45">
        <v>2.3098958333333299</v>
      </c>
      <c r="G35" s="45">
        <v>0.72040343915343896</v>
      </c>
      <c r="H35" s="45"/>
      <c r="I35" s="42">
        <v>288</v>
      </c>
      <c r="K35" s="29"/>
    </row>
    <row r="36" spans="1:11" ht="13" x14ac:dyDescent="0.3">
      <c r="A36" s="25" t="s">
        <v>116</v>
      </c>
      <c r="B36" s="45">
        <v>4.8681055155875299</v>
      </c>
      <c r="C36" s="54">
        <v>4170</v>
      </c>
      <c r="D36" s="49">
        <v>74.788177339901395</v>
      </c>
      <c r="E36" s="45">
        <v>71.030981169897402</v>
      </c>
      <c r="F36" s="45">
        <v>3.8501020052744099</v>
      </c>
      <c r="G36" s="45">
        <v>1.45046524356869</v>
      </c>
      <c r="H36" s="45"/>
      <c r="I36" s="42">
        <v>203</v>
      </c>
      <c r="K36" s="29"/>
    </row>
    <row r="37" spans="1:11" ht="13" x14ac:dyDescent="0.3">
      <c r="A37" s="25" t="s">
        <v>117</v>
      </c>
      <c r="B37" s="45">
        <v>3.06553911205074</v>
      </c>
      <c r="C37" s="54">
        <v>946</v>
      </c>
      <c r="D37" s="49">
        <v>112.758620689655</v>
      </c>
      <c r="E37" s="45">
        <v>59.195402298850496</v>
      </c>
      <c r="F37" s="45">
        <v>5.3448275862068897</v>
      </c>
      <c r="G37" s="45">
        <v>0</v>
      </c>
      <c r="H37" s="45"/>
      <c r="I37" s="42">
        <v>29</v>
      </c>
      <c r="K37" s="29"/>
    </row>
    <row r="38" spans="1:11" ht="13" x14ac:dyDescent="0.3">
      <c r="A38" s="22" t="s">
        <v>3</v>
      </c>
      <c r="B38" s="45"/>
      <c r="C38" s="54"/>
      <c r="D38" s="49"/>
      <c r="E38" s="45"/>
      <c r="F38" s="45"/>
      <c r="G38" s="45"/>
      <c r="H38" s="45"/>
      <c r="I38" s="42"/>
      <c r="K38" s="29"/>
    </row>
    <row r="39" spans="1:11" ht="13" x14ac:dyDescent="0.3">
      <c r="A39" s="25" t="s">
        <v>118</v>
      </c>
      <c r="B39" s="45">
        <v>5.3333333333333304</v>
      </c>
      <c r="C39" s="54">
        <v>675</v>
      </c>
      <c r="D39" s="49">
        <v>39.6388888888888</v>
      </c>
      <c r="E39" s="45">
        <v>87.893518518518505</v>
      </c>
      <c r="F39" s="45">
        <v>0</v>
      </c>
      <c r="G39" s="45">
        <v>0</v>
      </c>
      <c r="H39" s="45"/>
      <c r="I39" s="42">
        <v>36</v>
      </c>
      <c r="K39" s="29"/>
    </row>
    <row r="40" spans="1:11" ht="13" x14ac:dyDescent="0.3">
      <c r="A40" s="25" t="s">
        <v>119</v>
      </c>
      <c r="B40" s="45">
        <v>9.2810457516339806</v>
      </c>
      <c r="C40" s="54">
        <v>765</v>
      </c>
      <c r="D40" s="49">
        <v>48.4366197183098</v>
      </c>
      <c r="E40" s="45">
        <v>70.528169014084497</v>
      </c>
      <c r="F40" s="45">
        <v>1.09154929577464</v>
      </c>
      <c r="G40" s="45">
        <v>0</v>
      </c>
      <c r="H40" s="45"/>
      <c r="I40" s="42">
        <v>71</v>
      </c>
      <c r="K40" s="29"/>
    </row>
    <row r="41" spans="1:11" ht="13" x14ac:dyDescent="0.3">
      <c r="A41" s="25" t="s">
        <v>120</v>
      </c>
      <c r="B41" s="45">
        <v>10.7270560190703</v>
      </c>
      <c r="C41" s="54">
        <v>839</v>
      </c>
      <c r="D41" s="49">
        <v>43.2</v>
      </c>
      <c r="E41" s="45">
        <v>76.555449735449699</v>
      </c>
      <c r="F41" s="45">
        <v>0.77777777777777701</v>
      </c>
      <c r="G41" s="45">
        <v>0.634920634920634</v>
      </c>
      <c r="H41" s="45"/>
      <c r="I41" s="42">
        <v>90</v>
      </c>
      <c r="K41" s="29"/>
    </row>
    <row r="42" spans="1:11" ht="13" x14ac:dyDescent="0.3">
      <c r="A42" s="25" t="s">
        <v>121</v>
      </c>
      <c r="B42" s="45">
        <v>8.6651053864168599</v>
      </c>
      <c r="C42" s="54">
        <v>854</v>
      </c>
      <c r="D42" s="49">
        <v>63.9324324324324</v>
      </c>
      <c r="E42" s="45">
        <v>80.875160875160802</v>
      </c>
      <c r="F42" s="45">
        <v>2.5506756756756701</v>
      </c>
      <c r="G42" s="45">
        <v>1.8018018018018001</v>
      </c>
      <c r="H42" s="45"/>
      <c r="I42" s="42">
        <v>74</v>
      </c>
      <c r="K42" s="29"/>
    </row>
    <row r="43" spans="1:11" ht="13" x14ac:dyDescent="0.3">
      <c r="A43" s="25" t="s">
        <v>122</v>
      </c>
      <c r="B43" s="45">
        <v>10.105263157894701</v>
      </c>
      <c r="C43" s="54">
        <v>950</v>
      </c>
      <c r="D43" s="49">
        <v>59.3645833333333</v>
      </c>
      <c r="E43" s="45">
        <v>76.997790404040401</v>
      </c>
      <c r="F43" s="45">
        <v>4.0694444444444402</v>
      </c>
      <c r="G43" s="45">
        <v>1.9097222222222199</v>
      </c>
      <c r="H43" s="45"/>
      <c r="I43" s="42">
        <v>96</v>
      </c>
      <c r="K43" s="29"/>
    </row>
    <row r="44" spans="1:11" ht="13" x14ac:dyDescent="0.3">
      <c r="A44" s="25" t="s">
        <v>123</v>
      </c>
      <c r="B44" s="45">
        <v>8.0357142857142794</v>
      </c>
      <c r="C44" s="54">
        <v>1008</v>
      </c>
      <c r="D44" s="49">
        <v>49.851851851851798</v>
      </c>
      <c r="E44" s="45">
        <v>77.051440329218096</v>
      </c>
      <c r="F44" s="45">
        <v>2.0061728395061698</v>
      </c>
      <c r="G44" s="45">
        <v>4.11522633744856E-3</v>
      </c>
      <c r="H44" s="45"/>
      <c r="I44" s="42">
        <v>81</v>
      </c>
      <c r="K44" s="29"/>
    </row>
    <row r="45" spans="1:11" ht="13" x14ac:dyDescent="0.3">
      <c r="A45" s="25" t="s">
        <v>124</v>
      </c>
      <c r="B45" s="45">
        <v>6.7211625794731997</v>
      </c>
      <c r="C45" s="54">
        <v>1101</v>
      </c>
      <c r="D45" s="49">
        <v>40.864864864864799</v>
      </c>
      <c r="E45" s="45">
        <v>76.35885885885881</v>
      </c>
      <c r="F45" s="45">
        <v>5.0563063063062996</v>
      </c>
      <c r="G45" s="45">
        <v>0.60060060060059994</v>
      </c>
      <c r="H45" s="45"/>
      <c r="I45" s="42">
        <v>74</v>
      </c>
      <c r="K45" s="29"/>
    </row>
    <row r="46" spans="1:11" ht="13" x14ac:dyDescent="0.3">
      <c r="A46" s="25" t="s">
        <v>125</v>
      </c>
      <c r="B46" s="45">
        <v>7.6858813700918907</v>
      </c>
      <c r="C46" s="54">
        <v>1197</v>
      </c>
      <c r="D46" s="49">
        <v>111.032608695652</v>
      </c>
      <c r="E46" s="45">
        <v>72.346014492753596</v>
      </c>
      <c r="F46" s="45">
        <v>2.5543478260869499</v>
      </c>
      <c r="G46" s="45">
        <v>1.0326086956521701</v>
      </c>
      <c r="H46" s="45"/>
      <c r="I46" s="42">
        <v>92</v>
      </c>
      <c r="K46" s="29"/>
    </row>
    <row r="47" spans="1:11" ht="13" x14ac:dyDescent="0.3">
      <c r="A47" s="25" t="s">
        <v>126</v>
      </c>
      <c r="B47" s="45">
        <v>4.4427123928293</v>
      </c>
      <c r="C47" s="54">
        <v>1283</v>
      </c>
      <c r="D47" s="49">
        <v>123.807017543859</v>
      </c>
      <c r="E47" s="45">
        <v>65.277483481430792</v>
      </c>
      <c r="F47" s="45">
        <v>2.0097687400318898</v>
      </c>
      <c r="G47" s="45">
        <v>1.35233918128654</v>
      </c>
      <c r="H47" s="45"/>
      <c r="I47" s="42">
        <v>57</v>
      </c>
      <c r="K47" s="29"/>
    </row>
    <row r="48" spans="1:11" ht="13" x14ac:dyDescent="0.3">
      <c r="A48" s="25" t="s">
        <v>127</v>
      </c>
      <c r="B48" s="45">
        <v>2.46826516220028</v>
      </c>
      <c r="C48" s="54">
        <v>1418</v>
      </c>
      <c r="D48" s="49">
        <v>54.428571428571402</v>
      </c>
      <c r="E48" s="45">
        <v>66.434391534391494</v>
      </c>
      <c r="F48" s="45">
        <v>5.7301587301587293</v>
      </c>
      <c r="G48" s="45">
        <v>0</v>
      </c>
      <c r="H48" s="45"/>
      <c r="I48" s="42">
        <v>35</v>
      </c>
      <c r="K48" s="29"/>
    </row>
    <row r="49" spans="1:11" ht="13" x14ac:dyDescent="0.3">
      <c r="A49" s="22" t="s">
        <v>93</v>
      </c>
      <c r="B49" s="45"/>
      <c r="C49" s="54"/>
      <c r="D49" s="49"/>
      <c r="E49" s="45"/>
      <c r="F49" s="45"/>
      <c r="G49" s="45"/>
      <c r="H49" s="45"/>
      <c r="I49" s="42"/>
      <c r="K49" s="29"/>
    </row>
    <row r="50" spans="1:11" ht="13" x14ac:dyDescent="0.3">
      <c r="A50" s="28" t="s">
        <v>51</v>
      </c>
      <c r="B50" s="45">
        <v>0</v>
      </c>
      <c r="C50" s="54">
        <v>715</v>
      </c>
      <c r="D50" s="49">
        <v>0</v>
      </c>
      <c r="E50" s="45">
        <v>0</v>
      </c>
      <c r="F50" s="45">
        <v>0</v>
      </c>
      <c r="G50" s="45">
        <v>0</v>
      </c>
      <c r="H50" s="45"/>
      <c r="I50" s="42">
        <v>0</v>
      </c>
      <c r="K50" s="29"/>
    </row>
    <row r="51" spans="1:11" ht="13" x14ac:dyDescent="0.3">
      <c r="A51" s="28" t="s">
        <v>53</v>
      </c>
      <c r="B51" s="45">
        <v>0</v>
      </c>
      <c r="C51" s="54">
        <v>111</v>
      </c>
      <c r="D51" s="49">
        <v>0</v>
      </c>
      <c r="E51" s="45">
        <v>0</v>
      </c>
      <c r="F51" s="45">
        <v>0</v>
      </c>
      <c r="G51" s="45">
        <v>0</v>
      </c>
      <c r="H51" s="45"/>
      <c r="I51" s="42">
        <v>0</v>
      </c>
      <c r="K51" s="29"/>
    </row>
    <row r="52" spans="1:11" ht="13" x14ac:dyDescent="0.3">
      <c r="A52" s="28" t="s">
        <v>52</v>
      </c>
      <c r="B52" s="45">
        <v>0</v>
      </c>
      <c r="C52" s="54">
        <v>33</v>
      </c>
      <c r="D52" s="49">
        <v>0</v>
      </c>
      <c r="E52" s="45">
        <v>0</v>
      </c>
      <c r="F52" s="45">
        <v>0</v>
      </c>
      <c r="G52" s="45">
        <v>0</v>
      </c>
      <c r="H52" s="45"/>
      <c r="I52" s="42">
        <v>0</v>
      </c>
      <c r="K52" s="29"/>
    </row>
    <row r="53" spans="1:11" ht="13" x14ac:dyDescent="0.3">
      <c r="A53" s="28" t="s">
        <v>45</v>
      </c>
      <c r="B53" s="45">
        <v>0.68493150684931503</v>
      </c>
      <c r="C53" s="54">
        <v>146</v>
      </c>
      <c r="D53" s="49">
        <v>50</v>
      </c>
      <c r="E53" s="45">
        <v>100</v>
      </c>
      <c r="F53" s="45">
        <v>0</v>
      </c>
      <c r="G53" s="45">
        <v>0</v>
      </c>
      <c r="H53" s="45"/>
      <c r="I53" s="42">
        <v>1</v>
      </c>
      <c r="K53" s="29"/>
    </row>
    <row r="54" spans="1:11" ht="13" x14ac:dyDescent="0.3">
      <c r="A54" s="28" t="s">
        <v>48</v>
      </c>
      <c r="B54" s="45">
        <v>0</v>
      </c>
      <c r="C54" s="54">
        <v>1292</v>
      </c>
      <c r="D54" s="49">
        <v>0</v>
      </c>
      <c r="E54" s="45">
        <v>0</v>
      </c>
      <c r="F54" s="45">
        <v>0</v>
      </c>
      <c r="G54" s="45">
        <v>0</v>
      </c>
      <c r="H54" s="45"/>
      <c r="I54" s="42">
        <v>0</v>
      </c>
      <c r="K54" s="29"/>
    </row>
    <row r="55" spans="1:11" ht="13" x14ac:dyDescent="0.3">
      <c r="A55" s="28" t="s">
        <v>49</v>
      </c>
      <c r="B55" s="45">
        <v>13.470715835140901</v>
      </c>
      <c r="C55" s="54">
        <v>4610</v>
      </c>
      <c r="D55" s="49">
        <v>64.062801932367094</v>
      </c>
      <c r="E55" s="45">
        <v>74.247002906141304</v>
      </c>
      <c r="F55" s="45">
        <v>2.15595365897298</v>
      </c>
      <c r="G55" s="45">
        <v>0.65540091506275</v>
      </c>
      <c r="H55" s="45"/>
      <c r="I55" s="42">
        <v>621</v>
      </c>
      <c r="K55" s="29"/>
    </row>
    <row r="56" spans="1:11" ht="13" x14ac:dyDescent="0.3">
      <c r="A56" s="28" t="s">
        <v>128</v>
      </c>
      <c r="B56" s="45">
        <v>1.2121212121212099</v>
      </c>
      <c r="C56" s="54">
        <v>165</v>
      </c>
      <c r="D56" s="49">
        <v>22.5</v>
      </c>
      <c r="E56" s="45">
        <v>75</v>
      </c>
      <c r="F56" s="45">
        <v>0</v>
      </c>
      <c r="G56" s="45">
        <v>0</v>
      </c>
      <c r="H56" s="45"/>
      <c r="I56" s="42">
        <v>2</v>
      </c>
      <c r="K56" s="29"/>
    </row>
    <row r="57" spans="1:11" ht="13" x14ac:dyDescent="0.3">
      <c r="A57" s="28" t="s">
        <v>129</v>
      </c>
      <c r="B57" s="45">
        <v>0</v>
      </c>
      <c r="C57" s="54">
        <v>108</v>
      </c>
      <c r="D57" s="49">
        <v>0</v>
      </c>
      <c r="E57" s="45">
        <v>0</v>
      </c>
      <c r="F57" s="45">
        <v>0</v>
      </c>
      <c r="G57" s="45">
        <v>0</v>
      </c>
      <c r="H57" s="45"/>
      <c r="I57" s="42">
        <v>0</v>
      </c>
      <c r="K57" s="29"/>
    </row>
    <row r="58" spans="1:11" ht="13" x14ac:dyDescent="0.3">
      <c r="A58" s="28" t="s">
        <v>54</v>
      </c>
      <c r="B58" s="45">
        <v>0</v>
      </c>
      <c r="C58" s="54">
        <v>35</v>
      </c>
      <c r="D58" s="49">
        <v>0</v>
      </c>
      <c r="E58" s="45">
        <v>0</v>
      </c>
      <c r="F58" s="45">
        <v>0</v>
      </c>
      <c r="G58" s="45">
        <v>0</v>
      </c>
      <c r="H58" s="45"/>
      <c r="I58" s="42">
        <v>0</v>
      </c>
      <c r="K58" s="29"/>
    </row>
    <row r="59" spans="1:11" ht="13" x14ac:dyDescent="0.3">
      <c r="A59" s="28" t="s">
        <v>130</v>
      </c>
      <c r="B59" s="45">
        <v>0.6</v>
      </c>
      <c r="C59" s="54">
        <v>1000</v>
      </c>
      <c r="D59" s="49">
        <v>34.1666666666666</v>
      </c>
      <c r="E59" s="45">
        <v>66.6666666666666</v>
      </c>
      <c r="F59" s="45">
        <v>11.1111111111111</v>
      </c>
      <c r="G59" s="45">
        <v>0</v>
      </c>
      <c r="H59" s="45"/>
      <c r="I59" s="42">
        <v>6</v>
      </c>
      <c r="K59" s="29"/>
    </row>
    <row r="60" spans="1:11" ht="13" x14ac:dyDescent="0.3">
      <c r="A60" s="28" t="s">
        <v>131</v>
      </c>
      <c r="B60" s="45">
        <v>5.1886792452830104</v>
      </c>
      <c r="C60" s="54">
        <v>1272</v>
      </c>
      <c r="D60" s="49">
        <v>65.681818181818102</v>
      </c>
      <c r="E60" s="45">
        <v>83.197887970615199</v>
      </c>
      <c r="F60" s="45">
        <v>3.9118457300275398</v>
      </c>
      <c r="G60" s="45">
        <v>2.7777777777777701</v>
      </c>
      <c r="H60" s="45"/>
      <c r="I60" s="42">
        <v>66</v>
      </c>
      <c r="K60" s="29"/>
    </row>
    <row r="61" spans="1:11" ht="13" x14ac:dyDescent="0.3">
      <c r="A61" s="28" t="s">
        <v>50</v>
      </c>
      <c r="B61" s="45">
        <v>0</v>
      </c>
      <c r="C61" s="54">
        <v>31</v>
      </c>
      <c r="D61" s="49">
        <v>0</v>
      </c>
      <c r="E61" s="45">
        <v>0</v>
      </c>
      <c r="F61" s="45">
        <v>0</v>
      </c>
      <c r="G61" s="45">
        <v>0</v>
      </c>
      <c r="H61" s="45"/>
      <c r="I61" s="42">
        <v>0</v>
      </c>
      <c r="K61" s="29"/>
    </row>
    <row r="62" spans="1:11" ht="13" x14ac:dyDescent="0.3">
      <c r="A62" s="28" t="s">
        <v>132</v>
      </c>
      <c r="B62" s="45">
        <v>1.7482517482517401</v>
      </c>
      <c r="C62" s="55">
        <v>572</v>
      </c>
      <c r="D62" s="49">
        <v>100.5</v>
      </c>
      <c r="E62" s="45">
        <v>78.3333333333333</v>
      </c>
      <c r="F62" s="45">
        <v>15</v>
      </c>
      <c r="G62" s="45">
        <v>3.3333333333333298E-2</v>
      </c>
      <c r="H62" s="45"/>
      <c r="I62" s="42">
        <v>10</v>
      </c>
      <c r="K62" s="29"/>
    </row>
    <row r="63" spans="1:11" ht="13" x14ac:dyDescent="0.3">
      <c r="B63" s="48"/>
      <c r="C63" s="51"/>
      <c r="D63" s="53"/>
      <c r="E63" s="48"/>
      <c r="F63" s="48"/>
      <c r="G63" s="48"/>
      <c r="H63" s="48"/>
      <c r="I63" s="51"/>
    </row>
    <row r="64" spans="1:11" ht="13" x14ac:dyDescent="0.3">
      <c r="B64" s="47"/>
      <c r="C64" s="44"/>
      <c r="D64" s="52"/>
      <c r="E64" s="47"/>
      <c r="F64" s="47"/>
      <c r="G64" s="47"/>
      <c r="H64" s="47"/>
      <c r="I64" s="44"/>
    </row>
    <row r="65" spans="2:9" ht="13" x14ac:dyDescent="0.3">
      <c r="B65" s="47"/>
      <c r="C65" s="44"/>
      <c r="D65" s="52"/>
      <c r="E65" s="47"/>
      <c r="F65" s="47"/>
      <c r="G65" s="47"/>
      <c r="H65" s="47"/>
      <c r="I65" s="44"/>
    </row>
    <row r="66" spans="2:9" ht="13" x14ac:dyDescent="0.3">
      <c r="B66" s="47"/>
      <c r="C66" s="44"/>
      <c r="D66" s="52"/>
      <c r="E66" s="47"/>
      <c r="F66" s="47"/>
      <c r="G66" s="47"/>
      <c r="H66" s="47"/>
      <c r="I66" s="44"/>
    </row>
    <row r="67" spans="2:9" ht="13" x14ac:dyDescent="0.3">
      <c r="B67" s="47"/>
      <c r="C67" s="44"/>
      <c r="D67" s="52"/>
      <c r="E67" s="47"/>
      <c r="F67" s="47"/>
      <c r="G67" s="47"/>
      <c r="H67" s="47"/>
      <c r="I67" s="44"/>
    </row>
    <row r="68" spans="2:9" ht="13" x14ac:dyDescent="0.3">
      <c r="B68" s="47"/>
      <c r="C68" s="44"/>
      <c r="D68" s="52"/>
      <c r="E68" s="47"/>
      <c r="F68" s="47"/>
      <c r="G68" s="47"/>
      <c r="H68" s="47"/>
      <c r="I68" s="44"/>
    </row>
    <row r="69" spans="2:9" ht="13" x14ac:dyDescent="0.3">
      <c r="B69" s="47"/>
      <c r="C69" s="44"/>
      <c r="D69" s="52"/>
      <c r="E69" s="47"/>
      <c r="F69" s="47"/>
      <c r="G69" s="47"/>
      <c r="H69" s="47"/>
      <c r="I69" s="44"/>
    </row>
    <row r="70" spans="2:9" ht="13" x14ac:dyDescent="0.3">
      <c r="B70" s="47"/>
      <c r="C70" s="44"/>
      <c r="D70" s="52"/>
      <c r="E70" s="47"/>
      <c r="F70" s="47"/>
      <c r="G70" s="47"/>
      <c r="H70" s="47"/>
      <c r="I70" s="44"/>
    </row>
    <row r="71" spans="2:9" ht="13" x14ac:dyDescent="0.3">
      <c r="B71" s="47"/>
      <c r="C71" s="44"/>
      <c r="D71" s="52"/>
      <c r="E71" s="47"/>
      <c r="F71" s="47"/>
      <c r="G71" s="47"/>
      <c r="H71" s="47"/>
      <c r="I71" s="44"/>
    </row>
    <row r="72" spans="2:9" ht="13" x14ac:dyDescent="0.3">
      <c r="B72" s="47"/>
      <c r="C72" s="44"/>
      <c r="D72" s="52"/>
      <c r="E72" s="47"/>
      <c r="F72" s="47"/>
      <c r="G72" s="47"/>
      <c r="H72" s="47"/>
      <c r="I72" s="44"/>
    </row>
    <row r="73" spans="2:9" ht="13" x14ac:dyDescent="0.3">
      <c r="B73" s="47"/>
      <c r="C73" s="44"/>
      <c r="D73" s="52"/>
      <c r="E73" s="47"/>
      <c r="F73" s="47"/>
      <c r="G73" s="47"/>
      <c r="H73" s="47"/>
      <c r="I73" s="44"/>
    </row>
    <row r="74" spans="2:9" ht="13" x14ac:dyDescent="0.3">
      <c r="B74" s="47"/>
      <c r="C74" s="44"/>
      <c r="D74" s="52"/>
      <c r="E74" s="47"/>
      <c r="F74" s="47"/>
      <c r="G74" s="47"/>
      <c r="H74" s="47"/>
      <c r="I74" s="44"/>
    </row>
    <row r="75" spans="2:9" ht="13" x14ac:dyDescent="0.3">
      <c r="B75" s="47"/>
      <c r="C75" s="47"/>
      <c r="D75" s="47"/>
      <c r="E75" s="47"/>
      <c r="F75" s="47"/>
      <c r="G75" s="47"/>
      <c r="H75" s="47"/>
      <c r="I75" s="44"/>
    </row>
    <row r="76" spans="2:9" ht="13" x14ac:dyDescent="0.3">
      <c r="B76" s="47"/>
      <c r="C76" s="47"/>
      <c r="D76" s="47"/>
      <c r="E76" s="47"/>
      <c r="F76" s="47"/>
      <c r="G76" s="47"/>
      <c r="H76" s="47"/>
      <c r="I76" s="44"/>
    </row>
    <row r="77" spans="2:9" ht="13" x14ac:dyDescent="0.3">
      <c r="B77" s="47"/>
      <c r="C77" s="47"/>
      <c r="D77" s="47"/>
      <c r="E77" s="47"/>
      <c r="F77" s="47"/>
      <c r="G77" s="47"/>
      <c r="H77" s="47"/>
      <c r="I77" s="44"/>
    </row>
    <row r="78" spans="2:9" ht="13" x14ac:dyDescent="0.3">
      <c r="B78" s="47"/>
      <c r="C78" s="47"/>
      <c r="D78" s="47"/>
      <c r="E78" s="47"/>
      <c r="F78" s="47"/>
      <c r="G78" s="47"/>
      <c r="H78" s="47"/>
      <c r="I78" s="44"/>
    </row>
    <row r="79" spans="2:9" ht="13" x14ac:dyDescent="0.3">
      <c r="B79" s="47"/>
      <c r="C79" s="47"/>
      <c r="D79" s="47"/>
      <c r="E79" s="47"/>
      <c r="F79" s="47"/>
      <c r="G79" s="47"/>
      <c r="H79" s="47"/>
      <c r="I79" s="44"/>
    </row>
    <row r="80" spans="2:9" ht="13" x14ac:dyDescent="0.3">
      <c r="B80" s="47"/>
      <c r="C80" s="47"/>
      <c r="D80" s="47"/>
      <c r="E80" s="47"/>
      <c r="F80" s="47"/>
      <c r="G80" s="47"/>
      <c r="H80" s="47"/>
      <c r="I80" s="44"/>
    </row>
    <row r="81" spans="2:9" ht="13" x14ac:dyDescent="0.3">
      <c r="B81" s="47"/>
      <c r="C81" s="47"/>
      <c r="D81" s="47"/>
      <c r="E81" s="47"/>
      <c r="F81" s="47"/>
      <c r="G81" s="47"/>
      <c r="H81" s="44"/>
      <c r="I81" s="44"/>
    </row>
    <row r="82" spans="2:9" ht="13" x14ac:dyDescent="0.3">
      <c r="B82" s="47"/>
      <c r="C82" s="47"/>
      <c r="D82" s="47"/>
      <c r="E82" s="47"/>
      <c r="F82" s="47"/>
      <c r="G82" s="47"/>
      <c r="H82" s="44"/>
      <c r="I82" s="44"/>
    </row>
    <row r="83" spans="2:9" ht="13" x14ac:dyDescent="0.3">
      <c r="B83" s="47"/>
      <c r="C83" s="47"/>
      <c r="D83" s="47"/>
      <c r="E83" s="47"/>
      <c r="F83" s="47"/>
      <c r="G83" s="47"/>
      <c r="H83" s="44"/>
      <c r="I83" s="44"/>
    </row>
    <row r="84" spans="2:9" ht="13" x14ac:dyDescent="0.3">
      <c r="B84" s="47"/>
      <c r="C84" s="47"/>
      <c r="D84" s="47"/>
      <c r="E84" s="47"/>
      <c r="F84" s="47"/>
      <c r="G84" s="47"/>
      <c r="H84" s="44"/>
      <c r="I84" s="44"/>
    </row>
    <row r="85" spans="2:9" ht="13" x14ac:dyDescent="0.3">
      <c r="B85" s="47"/>
      <c r="C85" s="47"/>
      <c r="D85" s="47"/>
      <c r="E85" s="47"/>
      <c r="F85" s="47"/>
      <c r="G85" s="47"/>
      <c r="H85" s="44"/>
      <c r="I85" s="44"/>
    </row>
    <row r="86" spans="2:9" ht="13" x14ac:dyDescent="0.3">
      <c r="B86" s="47"/>
      <c r="C86" s="47"/>
      <c r="D86" s="47"/>
      <c r="E86" s="47"/>
      <c r="F86" s="47"/>
      <c r="G86" s="47"/>
      <c r="H86" s="44"/>
      <c r="I86" s="44"/>
    </row>
    <row r="87" spans="2:9" ht="13" x14ac:dyDescent="0.3">
      <c r="B87" s="44"/>
      <c r="C87" s="44"/>
      <c r="D87" s="44"/>
      <c r="E87" s="44"/>
      <c r="F87" s="44"/>
      <c r="G87" s="44"/>
      <c r="H87" s="44"/>
      <c r="I87" s="44"/>
    </row>
    <row r="88" spans="2:9" ht="13" x14ac:dyDescent="0.3">
      <c r="E88" s="44"/>
      <c r="F88" s="44"/>
      <c r="G88" s="44"/>
    </row>
    <row r="89" spans="2:9" ht="13" x14ac:dyDescent="0.3">
      <c r="E89" s="44"/>
      <c r="F89" s="44"/>
      <c r="G89" s="44"/>
    </row>
    <row r="90" spans="2:9" ht="13" x14ac:dyDescent="0.3">
      <c r="E90" s="44"/>
      <c r="F90" s="44"/>
      <c r="G90" s="44"/>
    </row>
    <row r="91" spans="2:9" ht="13" x14ac:dyDescent="0.3">
      <c r="E91" s="44"/>
      <c r="F91" s="44"/>
      <c r="G91" s="44"/>
    </row>
    <row r="92" spans="2:9" ht="13" x14ac:dyDescent="0.3">
      <c r="E92" s="44"/>
      <c r="F92" s="44"/>
      <c r="G92" s="44"/>
    </row>
    <row r="93" spans="2:9" ht="13" x14ac:dyDescent="0.3"/>
    <row r="94" spans="2:9" ht="13" x14ac:dyDescent="0.3"/>
    <row r="95" spans="2:9" ht="13" x14ac:dyDescent="0.3"/>
    <row r="96" spans="2:9" ht="13" x14ac:dyDescent="0.3"/>
    <row r="97" ht="13" x14ac:dyDescent="0.3"/>
    <row r="98" ht="13" x14ac:dyDescent="0.3"/>
    <row r="99" ht="13" x14ac:dyDescent="0.3"/>
    <row r="100" ht="13" x14ac:dyDescent="0.3"/>
    <row r="101" ht="13" x14ac:dyDescent="0.3"/>
    <row r="102" ht="13" x14ac:dyDescent="0.3"/>
    <row r="103" ht="13" x14ac:dyDescent="0.3"/>
    <row r="104" ht="13" x14ac:dyDescent="0.3"/>
    <row r="105" ht="13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7132-BB73-4D78-8A01-A31C81DB3E9D}">
  <dimension ref="A1:K111"/>
  <sheetViews>
    <sheetView zoomScale="80" zoomScaleNormal="80" workbookViewId="0">
      <selection activeCell="B5" sqref="B5:I5"/>
    </sheetView>
  </sheetViews>
  <sheetFormatPr defaultColWidth="15.25" defaultRowHeight="15.5" x14ac:dyDescent="0.3"/>
  <cols>
    <col min="1" max="1" width="16.4140625" style="23" customWidth="1"/>
    <col min="2" max="2" width="12.6640625" style="26" customWidth="1"/>
    <col min="3" max="3" width="7.6640625" style="26" customWidth="1"/>
    <col min="4" max="8" width="12.6640625" style="26" customWidth="1"/>
    <col min="9" max="9" width="7.25" style="26" customWidth="1"/>
    <col min="10" max="16384" width="15.25" style="23"/>
  </cols>
  <sheetData>
    <row r="1" spans="1:11" ht="13" x14ac:dyDescent="0.3">
      <c r="A1" s="24" t="s">
        <v>179</v>
      </c>
    </row>
    <row r="3" spans="1:11" ht="91" x14ac:dyDescent="0.3">
      <c r="B3" s="30" t="s">
        <v>180</v>
      </c>
      <c r="C3" s="30" t="s">
        <v>104</v>
      </c>
      <c r="D3" s="32" t="s">
        <v>181</v>
      </c>
      <c r="E3" s="39" t="s">
        <v>182</v>
      </c>
      <c r="F3" s="39" t="s">
        <v>183</v>
      </c>
      <c r="G3" s="39" t="s">
        <v>184</v>
      </c>
      <c r="H3" s="39" t="s">
        <v>185</v>
      </c>
      <c r="I3" s="40" t="s">
        <v>104</v>
      </c>
    </row>
    <row r="4" spans="1:11" ht="13" x14ac:dyDescent="0.3">
      <c r="B4" s="31" t="s">
        <v>103</v>
      </c>
      <c r="C4" s="31"/>
      <c r="D4" s="33" t="s">
        <v>158</v>
      </c>
      <c r="E4" s="36" t="s">
        <v>103</v>
      </c>
      <c r="F4" s="36" t="s">
        <v>103</v>
      </c>
      <c r="G4" s="36" t="s">
        <v>103</v>
      </c>
      <c r="H4" s="36" t="s">
        <v>102</v>
      </c>
      <c r="I4" s="41"/>
    </row>
    <row r="5" spans="1:11" ht="13" x14ac:dyDescent="0.3">
      <c r="A5" s="22" t="s">
        <v>96</v>
      </c>
      <c r="B5" s="45">
        <v>6.9375619425173368E-2</v>
      </c>
      <c r="C5" s="54">
        <v>10090</v>
      </c>
      <c r="D5" s="42"/>
      <c r="E5" s="42"/>
      <c r="F5" s="42"/>
      <c r="G5" s="42"/>
      <c r="H5" s="42"/>
      <c r="I5" s="42">
        <v>7</v>
      </c>
    </row>
    <row r="6" spans="1:11" ht="13" x14ac:dyDescent="0.3">
      <c r="A6" s="22" t="s">
        <v>97</v>
      </c>
      <c r="B6" s="42"/>
      <c r="C6" s="42"/>
      <c r="D6" s="42"/>
      <c r="E6" s="42"/>
      <c r="F6" s="42"/>
      <c r="G6" s="42"/>
      <c r="H6" s="42"/>
      <c r="I6" s="42"/>
    </row>
    <row r="7" spans="1:11" ht="13" x14ac:dyDescent="0.3">
      <c r="A7" s="25" t="s">
        <v>92</v>
      </c>
      <c r="B7" s="45">
        <v>0.12646793134598</v>
      </c>
      <c r="C7" s="54">
        <v>5535</v>
      </c>
      <c r="D7" s="49">
        <v>92.857142857142804</v>
      </c>
      <c r="E7" s="45">
        <v>75.952380952380906</v>
      </c>
      <c r="F7" s="45">
        <v>4.7619047619047601</v>
      </c>
      <c r="G7" s="45">
        <v>0</v>
      </c>
      <c r="H7" s="45"/>
      <c r="I7" s="42">
        <v>7</v>
      </c>
      <c r="K7" s="29"/>
    </row>
    <row r="8" spans="1:11" ht="13" x14ac:dyDescent="0.3">
      <c r="A8" s="25" t="s">
        <v>164</v>
      </c>
      <c r="B8" s="45">
        <v>0</v>
      </c>
      <c r="C8" s="54">
        <v>306</v>
      </c>
      <c r="D8" s="49">
        <v>0</v>
      </c>
      <c r="E8" s="45">
        <v>0</v>
      </c>
      <c r="F8" s="45">
        <v>0</v>
      </c>
      <c r="G8" s="45">
        <v>0</v>
      </c>
      <c r="H8" s="45"/>
      <c r="I8" s="42">
        <v>0</v>
      </c>
      <c r="K8" s="29"/>
    </row>
    <row r="9" spans="1:11" ht="13" x14ac:dyDescent="0.3">
      <c r="A9" s="25" t="s">
        <v>91</v>
      </c>
      <c r="B9" s="45">
        <v>0</v>
      </c>
      <c r="C9" s="54">
        <v>4249</v>
      </c>
      <c r="D9" s="49">
        <v>0</v>
      </c>
      <c r="E9" s="45">
        <v>0</v>
      </c>
      <c r="F9" s="45">
        <v>0</v>
      </c>
      <c r="G9" s="45">
        <v>0</v>
      </c>
      <c r="H9" s="45"/>
      <c r="I9" s="42">
        <v>0</v>
      </c>
      <c r="K9" s="29"/>
    </row>
    <row r="10" spans="1:11" ht="13" x14ac:dyDescent="0.3">
      <c r="A10" s="22" t="s">
        <v>90</v>
      </c>
      <c r="B10" s="45"/>
      <c r="C10" s="54"/>
      <c r="D10" s="49"/>
      <c r="E10" s="45"/>
      <c r="F10" s="45"/>
      <c r="G10" s="45"/>
      <c r="H10" s="45"/>
      <c r="I10" s="42"/>
      <c r="K10" s="29"/>
    </row>
    <row r="11" spans="1:11" ht="13" x14ac:dyDescent="0.3">
      <c r="A11" s="25" t="s">
        <v>7</v>
      </c>
      <c r="B11" s="45">
        <v>0</v>
      </c>
      <c r="C11" s="54">
        <v>559</v>
      </c>
      <c r="D11" s="49">
        <v>0</v>
      </c>
      <c r="E11" s="45">
        <v>0</v>
      </c>
      <c r="F11" s="45">
        <v>0</v>
      </c>
      <c r="G11" s="45">
        <v>0</v>
      </c>
      <c r="H11" s="45"/>
      <c r="I11" s="42">
        <v>0</v>
      </c>
      <c r="K11" s="29"/>
    </row>
    <row r="12" spans="1:11" ht="13" x14ac:dyDescent="0.3">
      <c r="A12" s="25" t="s">
        <v>8</v>
      </c>
      <c r="B12" s="45">
        <v>0</v>
      </c>
      <c r="C12" s="54">
        <v>828</v>
      </c>
      <c r="D12" s="49">
        <v>0</v>
      </c>
      <c r="E12" s="45">
        <v>0</v>
      </c>
      <c r="F12" s="45">
        <v>0</v>
      </c>
      <c r="G12" s="45">
        <v>0</v>
      </c>
      <c r="H12" s="45"/>
      <c r="I12" s="42">
        <v>0</v>
      </c>
      <c r="K12" s="29"/>
    </row>
    <row r="13" spans="1:11" ht="13" x14ac:dyDescent="0.3">
      <c r="A13" s="25" t="s">
        <v>9</v>
      </c>
      <c r="B13" s="45">
        <v>0</v>
      </c>
      <c r="C13" s="54">
        <v>561</v>
      </c>
      <c r="D13" s="49">
        <v>0</v>
      </c>
      <c r="E13" s="45">
        <v>0</v>
      </c>
      <c r="F13" s="45">
        <v>0</v>
      </c>
      <c r="G13" s="45">
        <v>0</v>
      </c>
      <c r="H13" s="45"/>
      <c r="I13" s="42">
        <v>0</v>
      </c>
      <c r="K13" s="29"/>
    </row>
    <row r="14" spans="1:11" ht="13" x14ac:dyDescent="0.3">
      <c r="A14" s="25" t="s">
        <v>10</v>
      </c>
      <c r="B14" s="45">
        <v>0</v>
      </c>
      <c r="C14" s="54">
        <v>554</v>
      </c>
      <c r="D14" s="49">
        <v>0</v>
      </c>
      <c r="E14" s="45">
        <v>0</v>
      </c>
      <c r="F14" s="45">
        <v>0</v>
      </c>
      <c r="G14" s="45">
        <v>0</v>
      </c>
      <c r="H14" s="45"/>
      <c r="I14" s="42">
        <v>0</v>
      </c>
      <c r="K14" s="29"/>
    </row>
    <row r="15" spans="1:11" ht="13" x14ac:dyDescent="0.3">
      <c r="A15" s="25" t="s">
        <v>11</v>
      </c>
      <c r="B15" s="45">
        <v>0</v>
      </c>
      <c r="C15" s="54">
        <v>568</v>
      </c>
      <c r="D15" s="49">
        <v>0</v>
      </c>
      <c r="E15" s="45">
        <v>0</v>
      </c>
      <c r="F15" s="45">
        <v>0</v>
      </c>
      <c r="G15" s="45">
        <v>0</v>
      </c>
      <c r="H15" s="45"/>
      <c r="I15" s="42">
        <v>0</v>
      </c>
      <c r="K15" s="29"/>
    </row>
    <row r="16" spans="1:11" ht="13" x14ac:dyDescent="0.3">
      <c r="A16" s="25" t="s">
        <v>12</v>
      </c>
      <c r="B16" s="45">
        <v>0</v>
      </c>
      <c r="C16" s="54">
        <v>1084</v>
      </c>
      <c r="D16" s="49">
        <v>0</v>
      </c>
      <c r="E16" s="45">
        <v>0</v>
      </c>
      <c r="F16" s="45">
        <v>0</v>
      </c>
      <c r="G16" s="45">
        <v>0</v>
      </c>
      <c r="H16" s="45"/>
      <c r="I16" s="42">
        <v>0</v>
      </c>
      <c r="K16" s="29"/>
    </row>
    <row r="17" spans="1:11" ht="13" x14ac:dyDescent="0.3">
      <c r="A17" s="25" t="s">
        <v>107</v>
      </c>
      <c r="B17" s="45">
        <v>0.175438596491228</v>
      </c>
      <c r="C17" s="54">
        <v>570</v>
      </c>
      <c r="D17" s="49">
        <v>50</v>
      </c>
      <c r="E17" s="45">
        <v>100</v>
      </c>
      <c r="F17" s="45">
        <v>0</v>
      </c>
      <c r="G17" s="45">
        <v>0</v>
      </c>
      <c r="H17" s="45"/>
      <c r="I17" s="42">
        <v>1</v>
      </c>
      <c r="K17" s="29"/>
    </row>
    <row r="18" spans="1:11" ht="13" x14ac:dyDescent="0.3">
      <c r="A18" s="25" t="s">
        <v>14</v>
      </c>
      <c r="B18" s="45">
        <v>0</v>
      </c>
      <c r="C18" s="54">
        <v>854</v>
      </c>
      <c r="D18" s="49">
        <v>0</v>
      </c>
      <c r="E18" s="45">
        <v>0</v>
      </c>
      <c r="F18" s="45">
        <v>0</v>
      </c>
      <c r="G18" s="45">
        <v>0</v>
      </c>
      <c r="H18" s="45"/>
      <c r="I18" s="42">
        <v>0</v>
      </c>
      <c r="K18" s="29"/>
    </row>
    <row r="19" spans="1:11" ht="13" x14ac:dyDescent="0.3">
      <c r="A19" s="25" t="s">
        <v>15</v>
      </c>
      <c r="B19" s="45">
        <v>0</v>
      </c>
      <c r="C19" s="54">
        <v>557</v>
      </c>
      <c r="D19" s="49">
        <v>0</v>
      </c>
      <c r="E19" s="45">
        <v>0</v>
      </c>
      <c r="F19" s="45">
        <v>0</v>
      </c>
      <c r="G19" s="45">
        <v>0</v>
      </c>
      <c r="H19" s="45"/>
      <c r="I19" s="42">
        <v>0</v>
      </c>
      <c r="K19" s="29"/>
    </row>
    <row r="20" spans="1:11" ht="13" x14ac:dyDescent="0.3">
      <c r="A20" s="25" t="s">
        <v>16</v>
      </c>
      <c r="B20" s="45">
        <v>0</v>
      </c>
      <c r="C20" s="54">
        <v>854</v>
      </c>
      <c r="D20" s="49">
        <v>0</v>
      </c>
      <c r="E20" s="45">
        <v>0</v>
      </c>
      <c r="F20" s="45">
        <v>0</v>
      </c>
      <c r="G20" s="45">
        <v>0</v>
      </c>
      <c r="H20" s="45"/>
      <c r="I20" s="42">
        <v>0</v>
      </c>
      <c r="K20" s="29"/>
    </row>
    <row r="21" spans="1:11" ht="13" x14ac:dyDescent="0.3">
      <c r="A21" s="25" t="s">
        <v>17</v>
      </c>
      <c r="B21" s="45">
        <v>0</v>
      </c>
      <c r="C21" s="54">
        <v>846</v>
      </c>
      <c r="D21" s="49">
        <v>0</v>
      </c>
      <c r="E21" s="45">
        <v>0</v>
      </c>
      <c r="F21" s="45">
        <v>0</v>
      </c>
      <c r="G21" s="45">
        <v>0</v>
      </c>
      <c r="H21" s="45"/>
      <c r="I21" s="42">
        <v>0</v>
      </c>
      <c r="K21" s="29"/>
    </row>
    <row r="22" spans="1:11" ht="13" x14ac:dyDescent="0.3">
      <c r="A22" s="25" t="s">
        <v>18</v>
      </c>
      <c r="B22" s="45">
        <v>0.70422535211267601</v>
      </c>
      <c r="C22" s="54">
        <v>852</v>
      </c>
      <c r="D22" s="49">
        <v>100</v>
      </c>
      <c r="E22" s="45">
        <v>71.9444444444444</v>
      </c>
      <c r="F22" s="45">
        <v>5.55555555555555</v>
      </c>
      <c r="G22" s="45">
        <v>0</v>
      </c>
      <c r="H22" s="45"/>
      <c r="I22" s="42">
        <v>6</v>
      </c>
      <c r="K22" s="29"/>
    </row>
    <row r="23" spans="1:11" ht="13" x14ac:dyDescent="0.3">
      <c r="A23" s="25" t="s">
        <v>19</v>
      </c>
      <c r="B23" s="45">
        <v>0</v>
      </c>
      <c r="C23" s="54">
        <v>837</v>
      </c>
      <c r="D23" s="49">
        <v>0</v>
      </c>
      <c r="E23" s="45">
        <v>0</v>
      </c>
      <c r="F23" s="45">
        <v>0</v>
      </c>
      <c r="G23" s="45">
        <v>0</v>
      </c>
      <c r="H23" s="45"/>
      <c r="I23" s="42">
        <v>0</v>
      </c>
      <c r="K23" s="29"/>
    </row>
    <row r="24" spans="1:11" ht="13" x14ac:dyDescent="0.3">
      <c r="A24" s="25" t="s">
        <v>20</v>
      </c>
      <c r="B24" s="45">
        <v>0</v>
      </c>
      <c r="C24" s="54">
        <v>566</v>
      </c>
      <c r="D24" s="49">
        <v>0</v>
      </c>
      <c r="E24" s="45">
        <v>0</v>
      </c>
      <c r="F24" s="45">
        <v>0</v>
      </c>
      <c r="G24" s="45">
        <v>0</v>
      </c>
      <c r="H24" s="45"/>
      <c r="I24" s="42">
        <v>0</v>
      </c>
      <c r="K24" s="29"/>
    </row>
    <row r="25" spans="1:11" ht="13" x14ac:dyDescent="0.3">
      <c r="A25" s="22" t="s">
        <v>100</v>
      </c>
      <c r="B25" s="45"/>
      <c r="C25" s="54"/>
      <c r="D25" s="49"/>
      <c r="E25" s="45"/>
      <c r="F25" s="45"/>
      <c r="G25" s="45"/>
      <c r="H25" s="45"/>
      <c r="I25" s="42"/>
      <c r="K25" s="29"/>
    </row>
    <row r="26" spans="1:11" ht="13" x14ac:dyDescent="0.3">
      <c r="A26" s="25" t="s">
        <v>108</v>
      </c>
      <c r="B26" s="45">
        <v>0.10831889081455799</v>
      </c>
      <c r="C26" s="54">
        <v>4616</v>
      </c>
      <c r="D26" s="49">
        <v>86</v>
      </c>
      <c r="E26" s="45">
        <v>81.3333333333333</v>
      </c>
      <c r="F26" s="45">
        <v>6.6666666666666599</v>
      </c>
      <c r="G26" s="45">
        <v>0</v>
      </c>
      <c r="H26" s="45"/>
      <c r="I26" s="42">
        <v>5</v>
      </c>
      <c r="K26" s="29"/>
    </row>
    <row r="27" spans="1:11" ht="13" x14ac:dyDescent="0.3">
      <c r="A27" s="25" t="s">
        <v>109</v>
      </c>
      <c r="B27" s="45">
        <v>3.6536353671903499E-2</v>
      </c>
      <c r="C27" s="54">
        <v>5474</v>
      </c>
      <c r="D27" s="49">
        <v>110</v>
      </c>
      <c r="E27" s="45">
        <v>62.5</v>
      </c>
      <c r="F27" s="45">
        <v>0</v>
      </c>
      <c r="G27" s="45">
        <v>0</v>
      </c>
      <c r="H27" s="45"/>
      <c r="I27" s="42">
        <v>2</v>
      </c>
      <c r="K27" s="29"/>
    </row>
    <row r="28" spans="1:11" ht="13" x14ac:dyDescent="0.3">
      <c r="A28" s="22" t="s">
        <v>99</v>
      </c>
      <c r="B28" s="45"/>
      <c r="C28" s="54"/>
      <c r="D28" s="49"/>
      <c r="E28" s="45"/>
      <c r="F28" s="45"/>
      <c r="G28" s="45"/>
      <c r="H28" s="45"/>
      <c r="I28" s="42"/>
      <c r="K28" s="29"/>
    </row>
    <row r="29" spans="1:11" ht="13" x14ac:dyDescent="0.3">
      <c r="A29" s="25" t="s">
        <v>110</v>
      </c>
      <c r="B29" s="45">
        <v>0</v>
      </c>
      <c r="C29" s="54">
        <v>37</v>
      </c>
      <c r="D29" s="49">
        <v>0</v>
      </c>
      <c r="E29" s="45">
        <v>0</v>
      </c>
      <c r="F29" s="45">
        <v>0</v>
      </c>
      <c r="G29" s="45">
        <v>0</v>
      </c>
      <c r="H29" s="45"/>
      <c r="I29" s="42">
        <v>0</v>
      </c>
      <c r="K29" s="29"/>
    </row>
    <row r="30" spans="1:11" ht="13" x14ac:dyDescent="0.3">
      <c r="A30" s="25" t="s">
        <v>111</v>
      </c>
      <c r="B30" s="45">
        <v>5.1222947880650495E-2</v>
      </c>
      <c r="C30" s="54">
        <v>7809</v>
      </c>
      <c r="D30" s="49">
        <v>105</v>
      </c>
      <c r="E30" s="45">
        <v>81.6666666666666</v>
      </c>
      <c r="F30" s="45">
        <v>8.3333333333333304</v>
      </c>
      <c r="G30" s="45">
        <v>0</v>
      </c>
      <c r="H30" s="45"/>
      <c r="I30" s="42">
        <v>4</v>
      </c>
      <c r="K30" s="29"/>
    </row>
    <row r="31" spans="1:11" ht="13" x14ac:dyDescent="0.3">
      <c r="A31" s="25" t="s">
        <v>112</v>
      </c>
      <c r="B31" s="45">
        <v>0.13368983957219199</v>
      </c>
      <c r="C31" s="54">
        <v>2244</v>
      </c>
      <c r="D31" s="49">
        <v>76.6666666666666</v>
      </c>
      <c r="E31" s="45">
        <v>68.3333333333333</v>
      </c>
      <c r="F31" s="45">
        <v>0</v>
      </c>
      <c r="G31" s="45">
        <v>0</v>
      </c>
      <c r="H31" s="45"/>
      <c r="I31" s="42">
        <v>3</v>
      </c>
      <c r="K31" s="29"/>
    </row>
    <row r="32" spans="1:11" ht="13" x14ac:dyDescent="0.3">
      <c r="A32" s="22" t="s">
        <v>98</v>
      </c>
      <c r="B32" s="45"/>
      <c r="C32" s="54"/>
      <c r="D32" s="49"/>
      <c r="E32" s="45"/>
      <c r="F32" s="45"/>
      <c r="G32" s="45"/>
      <c r="H32" s="45"/>
      <c r="I32" s="42"/>
      <c r="K32" s="29"/>
    </row>
    <row r="33" spans="1:11" ht="13" x14ac:dyDescent="0.3">
      <c r="A33" s="25" t="s">
        <v>113</v>
      </c>
      <c r="B33" s="45">
        <v>5.2493438320209897E-2</v>
      </c>
      <c r="C33" s="54">
        <v>1905</v>
      </c>
      <c r="D33" s="49">
        <v>20</v>
      </c>
      <c r="E33" s="45">
        <v>50</v>
      </c>
      <c r="F33" s="45">
        <v>0</v>
      </c>
      <c r="G33" s="45">
        <v>0</v>
      </c>
      <c r="H33" s="45"/>
      <c r="I33" s="42">
        <v>1</v>
      </c>
      <c r="K33" s="29"/>
    </row>
    <row r="34" spans="1:11" ht="13" x14ac:dyDescent="0.3">
      <c r="A34" s="25" t="s">
        <v>114</v>
      </c>
      <c r="B34" s="45">
        <v>0</v>
      </c>
      <c r="C34" s="54">
        <v>55</v>
      </c>
      <c r="D34" s="49">
        <v>0</v>
      </c>
      <c r="E34" s="45">
        <v>0</v>
      </c>
      <c r="F34" s="45">
        <v>0</v>
      </c>
      <c r="G34" s="45">
        <v>0</v>
      </c>
      <c r="H34" s="45"/>
      <c r="I34" s="42">
        <v>0</v>
      </c>
      <c r="K34" s="29"/>
    </row>
    <row r="35" spans="1:11" ht="13" x14ac:dyDescent="0.3">
      <c r="A35" s="25" t="s">
        <v>115</v>
      </c>
      <c r="B35" s="45">
        <v>0.146788990825688</v>
      </c>
      <c r="C35" s="54">
        <v>2725</v>
      </c>
      <c r="D35" s="49">
        <v>115</v>
      </c>
      <c r="E35" s="45">
        <v>88.75</v>
      </c>
      <c r="F35" s="45">
        <v>0</v>
      </c>
      <c r="G35" s="45">
        <v>0</v>
      </c>
      <c r="H35" s="45"/>
      <c r="I35" s="42">
        <v>4</v>
      </c>
      <c r="K35" s="29"/>
    </row>
    <row r="36" spans="1:11" ht="13" x14ac:dyDescent="0.3">
      <c r="A36" s="25" t="s">
        <v>116</v>
      </c>
      <c r="B36" s="45">
        <v>2.3980815347721798E-2</v>
      </c>
      <c r="C36" s="54">
        <v>4170</v>
      </c>
      <c r="D36" s="49">
        <v>20</v>
      </c>
      <c r="E36" s="45">
        <v>60</v>
      </c>
      <c r="F36" s="45">
        <v>0</v>
      </c>
      <c r="G36" s="45">
        <v>0</v>
      </c>
      <c r="H36" s="45"/>
      <c r="I36" s="42">
        <v>1</v>
      </c>
      <c r="K36" s="29"/>
    </row>
    <row r="37" spans="1:11" ht="13" x14ac:dyDescent="0.3">
      <c r="A37" s="25" t="s">
        <v>117</v>
      </c>
      <c r="B37" s="45">
        <v>0.105708245243128</v>
      </c>
      <c r="C37" s="54">
        <v>946</v>
      </c>
      <c r="D37" s="49">
        <v>150</v>
      </c>
      <c r="E37" s="45">
        <v>66.6666666666666</v>
      </c>
      <c r="F37" s="45">
        <v>33.3333333333333</v>
      </c>
      <c r="G37" s="45">
        <v>0</v>
      </c>
      <c r="H37" s="45"/>
      <c r="I37" s="42">
        <v>1</v>
      </c>
      <c r="K37" s="29"/>
    </row>
    <row r="38" spans="1:11" ht="13" x14ac:dyDescent="0.3">
      <c r="A38" s="22" t="s">
        <v>3</v>
      </c>
      <c r="B38" s="45"/>
      <c r="C38" s="54"/>
      <c r="D38" s="49"/>
      <c r="E38" s="45"/>
      <c r="F38" s="45"/>
      <c r="G38" s="45"/>
      <c r="H38" s="45"/>
      <c r="I38" s="42"/>
      <c r="K38" s="29"/>
    </row>
    <row r="39" spans="1:11" ht="13" x14ac:dyDescent="0.3">
      <c r="A39" s="25" t="s">
        <v>118</v>
      </c>
      <c r="B39" s="45">
        <v>0</v>
      </c>
      <c r="C39" s="54">
        <v>675</v>
      </c>
      <c r="D39" s="49">
        <v>0</v>
      </c>
      <c r="E39" s="45">
        <v>0</v>
      </c>
      <c r="F39" s="45">
        <v>0</v>
      </c>
      <c r="G39" s="45">
        <v>0</v>
      </c>
      <c r="H39" s="45"/>
      <c r="I39" s="42">
        <v>0</v>
      </c>
      <c r="K39" s="29"/>
    </row>
    <row r="40" spans="1:11" ht="13" x14ac:dyDescent="0.3">
      <c r="A40" s="25" t="s">
        <v>119</v>
      </c>
      <c r="B40" s="45">
        <v>0</v>
      </c>
      <c r="C40" s="54">
        <v>765</v>
      </c>
      <c r="D40" s="49">
        <v>0</v>
      </c>
      <c r="E40" s="45">
        <v>0</v>
      </c>
      <c r="F40" s="45">
        <v>0</v>
      </c>
      <c r="G40" s="45">
        <v>0</v>
      </c>
      <c r="H40" s="45"/>
      <c r="I40" s="42">
        <v>0</v>
      </c>
      <c r="K40" s="29"/>
    </row>
    <row r="41" spans="1:11" ht="13" x14ac:dyDescent="0.3">
      <c r="A41" s="25" t="s">
        <v>120</v>
      </c>
      <c r="B41" s="45">
        <v>0</v>
      </c>
      <c r="C41" s="54">
        <v>839</v>
      </c>
      <c r="D41" s="49">
        <v>0</v>
      </c>
      <c r="E41" s="45">
        <v>0</v>
      </c>
      <c r="F41" s="45">
        <v>0</v>
      </c>
      <c r="G41" s="45">
        <v>0</v>
      </c>
      <c r="H41" s="45"/>
      <c r="I41" s="42">
        <v>0</v>
      </c>
      <c r="K41" s="29"/>
    </row>
    <row r="42" spans="1:11" ht="13" x14ac:dyDescent="0.3">
      <c r="A42" s="25" t="s">
        <v>121</v>
      </c>
      <c r="B42" s="45">
        <v>0.23419203747072601</v>
      </c>
      <c r="C42" s="54">
        <v>854</v>
      </c>
      <c r="D42" s="49">
        <v>35</v>
      </c>
      <c r="E42" s="45">
        <v>75</v>
      </c>
      <c r="F42" s="45">
        <v>0</v>
      </c>
      <c r="G42" s="45">
        <v>0</v>
      </c>
      <c r="H42" s="45"/>
      <c r="I42" s="42">
        <v>2</v>
      </c>
      <c r="K42" s="29"/>
    </row>
    <row r="43" spans="1:11" ht="13" x14ac:dyDescent="0.3">
      <c r="A43" s="25" t="s">
        <v>122</v>
      </c>
      <c r="B43" s="45">
        <v>0.21052631578947298</v>
      </c>
      <c r="C43" s="54">
        <v>950</v>
      </c>
      <c r="D43" s="49">
        <v>105</v>
      </c>
      <c r="E43" s="45">
        <v>77.5</v>
      </c>
      <c r="F43" s="45">
        <v>0</v>
      </c>
      <c r="G43" s="45">
        <v>0</v>
      </c>
      <c r="H43" s="45"/>
      <c r="I43" s="42">
        <v>2</v>
      </c>
      <c r="K43" s="29"/>
    </row>
    <row r="44" spans="1:11" ht="13" x14ac:dyDescent="0.3">
      <c r="A44" s="25" t="s">
        <v>123</v>
      </c>
      <c r="B44" s="45">
        <v>0.19841269841269801</v>
      </c>
      <c r="C44" s="54">
        <v>1008</v>
      </c>
      <c r="D44" s="49">
        <v>110</v>
      </c>
      <c r="E44" s="45">
        <v>80</v>
      </c>
      <c r="F44" s="45">
        <v>0</v>
      </c>
      <c r="G44" s="45">
        <v>0</v>
      </c>
      <c r="H44" s="45"/>
      <c r="I44" s="42">
        <v>2</v>
      </c>
      <c r="K44" s="29"/>
    </row>
    <row r="45" spans="1:11" ht="13" x14ac:dyDescent="0.3">
      <c r="A45" s="25" t="s">
        <v>124</v>
      </c>
      <c r="B45" s="45">
        <v>0</v>
      </c>
      <c r="C45" s="54">
        <v>1101</v>
      </c>
      <c r="D45" s="49">
        <v>0</v>
      </c>
      <c r="E45" s="45">
        <v>0</v>
      </c>
      <c r="F45" s="45">
        <v>0</v>
      </c>
      <c r="G45" s="45">
        <v>0</v>
      </c>
      <c r="H45" s="45"/>
      <c r="I45" s="42">
        <v>0</v>
      </c>
      <c r="K45" s="29"/>
    </row>
    <row r="46" spans="1:11" ht="13" x14ac:dyDescent="0.3">
      <c r="A46" s="25" t="s">
        <v>125</v>
      </c>
      <c r="B46" s="45">
        <v>8.3542188805346695E-2</v>
      </c>
      <c r="C46" s="54">
        <v>1197</v>
      </c>
      <c r="D46" s="49">
        <v>150</v>
      </c>
      <c r="E46" s="45">
        <v>66.6666666666666</v>
      </c>
      <c r="F46" s="45">
        <v>33.3333333333333</v>
      </c>
      <c r="G46" s="45">
        <v>0</v>
      </c>
      <c r="H46" s="45"/>
      <c r="I46" s="42">
        <v>1</v>
      </c>
      <c r="K46" s="29"/>
    </row>
    <row r="47" spans="1:11" ht="13" x14ac:dyDescent="0.3">
      <c r="A47" s="25" t="s">
        <v>126</v>
      </c>
      <c r="B47" s="45">
        <v>0</v>
      </c>
      <c r="C47" s="54">
        <v>1283</v>
      </c>
      <c r="D47" s="49">
        <v>0</v>
      </c>
      <c r="E47" s="45">
        <v>0</v>
      </c>
      <c r="F47" s="45">
        <v>0</v>
      </c>
      <c r="G47" s="45">
        <v>0</v>
      </c>
      <c r="H47" s="45"/>
      <c r="I47" s="42">
        <v>0</v>
      </c>
      <c r="K47" s="29"/>
    </row>
    <row r="48" spans="1:11" ht="13" x14ac:dyDescent="0.3">
      <c r="A48" s="25" t="s">
        <v>127</v>
      </c>
      <c r="B48" s="45">
        <v>0</v>
      </c>
      <c r="C48" s="54">
        <v>1418</v>
      </c>
      <c r="D48" s="49">
        <v>0</v>
      </c>
      <c r="E48" s="45">
        <v>0</v>
      </c>
      <c r="F48" s="45">
        <v>0</v>
      </c>
      <c r="G48" s="45">
        <v>0</v>
      </c>
      <c r="H48" s="45"/>
      <c r="I48" s="42">
        <v>0</v>
      </c>
      <c r="K48" s="29"/>
    </row>
    <row r="49" spans="1:11" ht="13" x14ac:dyDescent="0.3">
      <c r="A49" s="22" t="s">
        <v>93</v>
      </c>
      <c r="B49" s="45"/>
      <c r="C49" s="54"/>
      <c r="D49" s="49"/>
      <c r="E49" s="45"/>
      <c r="F49" s="45"/>
      <c r="G49" s="45"/>
      <c r="H49" s="45"/>
      <c r="I49" s="42"/>
      <c r="K49" s="29"/>
    </row>
    <row r="50" spans="1:11" ht="13" x14ac:dyDescent="0.3">
      <c r="A50" s="28" t="s">
        <v>51</v>
      </c>
      <c r="B50" s="45">
        <v>0</v>
      </c>
      <c r="C50" s="54">
        <v>715</v>
      </c>
      <c r="D50" s="49">
        <v>0</v>
      </c>
      <c r="E50" s="45">
        <v>0</v>
      </c>
      <c r="F50" s="45">
        <v>0</v>
      </c>
      <c r="G50" s="45">
        <v>0</v>
      </c>
      <c r="H50" s="45"/>
      <c r="I50" s="42">
        <v>0</v>
      </c>
      <c r="K50" s="29"/>
    </row>
    <row r="51" spans="1:11" ht="13" x14ac:dyDescent="0.3">
      <c r="A51" s="28" t="s">
        <v>53</v>
      </c>
      <c r="B51" s="45">
        <v>0</v>
      </c>
      <c r="C51" s="54">
        <v>111</v>
      </c>
      <c r="D51" s="49">
        <v>0</v>
      </c>
      <c r="E51" s="45">
        <v>0</v>
      </c>
      <c r="F51" s="45">
        <v>0</v>
      </c>
      <c r="G51" s="45">
        <v>0</v>
      </c>
      <c r="H51" s="45"/>
      <c r="I51" s="42">
        <v>0</v>
      </c>
      <c r="K51" s="29"/>
    </row>
    <row r="52" spans="1:11" ht="13" x14ac:dyDescent="0.3">
      <c r="A52" s="28" t="s">
        <v>52</v>
      </c>
      <c r="B52" s="45">
        <v>0</v>
      </c>
      <c r="C52" s="54">
        <v>33</v>
      </c>
      <c r="D52" s="49">
        <v>0</v>
      </c>
      <c r="E52" s="45">
        <v>0</v>
      </c>
      <c r="F52" s="45">
        <v>0</v>
      </c>
      <c r="G52" s="45">
        <v>0</v>
      </c>
      <c r="H52" s="45"/>
      <c r="I52" s="42">
        <v>0</v>
      </c>
      <c r="K52" s="29"/>
    </row>
    <row r="53" spans="1:11" ht="13" x14ac:dyDescent="0.3">
      <c r="A53" s="28" t="s">
        <v>45</v>
      </c>
      <c r="B53" s="45">
        <v>0</v>
      </c>
      <c r="C53" s="54">
        <v>146</v>
      </c>
      <c r="D53" s="49">
        <v>0</v>
      </c>
      <c r="E53" s="45">
        <v>0</v>
      </c>
      <c r="F53" s="45">
        <v>0</v>
      </c>
      <c r="G53" s="45">
        <v>0</v>
      </c>
      <c r="H53" s="45"/>
      <c r="I53" s="42">
        <v>0</v>
      </c>
      <c r="K53" s="29"/>
    </row>
    <row r="54" spans="1:11" ht="13" x14ac:dyDescent="0.3">
      <c r="A54" s="28" t="s">
        <v>48</v>
      </c>
      <c r="B54" s="45">
        <v>7.7399380804953496E-2</v>
      </c>
      <c r="C54" s="54">
        <v>1292</v>
      </c>
      <c r="D54" s="49">
        <v>50</v>
      </c>
      <c r="E54" s="45">
        <v>100</v>
      </c>
      <c r="F54" s="45">
        <v>0</v>
      </c>
      <c r="G54" s="45">
        <v>0</v>
      </c>
      <c r="H54" s="45"/>
      <c r="I54" s="42">
        <v>1</v>
      </c>
      <c r="K54" s="29"/>
    </row>
    <row r="55" spans="1:11" ht="13" x14ac:dyDescent="0.3">
      <c r="A55" s="28" t="s">
        <v>49</v>
      </c>
      <c r="B55" s="45">
        <v>0.13015184381778699</v>
      </c>
      <c r="C55" s="54">
        <v>4610</v>
      </c>
      <c r="D55" s="49">
        <v>100</v>
      </c>
      <c r="E55" s="45">
        <v>71.9444444444444</v>
      </c>
      <c r="F55" s="45">
        <v>5.55555555555555</v>
      </c>
      <c r="G55" s="45">
        <v>0</v>
      </c>
      <c r="H55" s="45"/>
      <c r="I55" s="42">
        <v>6</v>
      </c>
      <c r="K55" s="29"/>
    </row>
    <row r="56" spans="1:11" ht="13" x14ac:dyDescent="0.3">
      <c r="A56" s="28" t="s">
        <v>128</v>
      </c>
      <c r="B56" s="45">
        <v>0</v>
      </c>
      <c r="C56" s="54">
        <v>165</v>
      </c>
      <c r="D56" s="49">
        <v>0</v>
      </c>
      <c r="E56" s="45">
        <v>0</v>
      </c>
      <c r="F56" s="45">
        <v>0</v>
      </c>
      <c r="G56" s="45">
        <v>0</v>
      </c>
      <c r="H56" s="45"/>
      <c r="I56" s="42">
        <v>0</v>
      </c>
      <c r="K56" s="29"/>
    </row>
    <row r="57" spans="1:11" ht="13" x14ac:dyDescent="0.3">
      <c r="A57" s="28" t="s">
        <v>129</v>
      </c>
      <c r="B57" s="45">
        <v>0</v>
      </c>
      <c r="C57" s="54">
        <v>108</v>
      </c>
      <c r="D57" s="49">
        <v>0</v>
      </c>
      <c r="E57" s="45">
        <v>0</v>
      </c>
      <c r="F57" s="45">
        <v>0</v>
      </c>
      <c r="G57" s="45">
        <v>0</v>
      </c>
      <c r="H57" s="45"/>
      <c r="I57" s="42">
        <v>0</v>
      </c>
      <c r="K57" s="29"/>
    </row>
    <row r="58" spans="1:11" ht="13" x14ac:dyDescent="0.3">
      <c r="A58" s="28" t="s">
        <v>54</v>
      </c>
      <c r="B58" s="45">
        <v>0</v>
      </c>
      <c r="C58" s="54">
        <v>35</v>
      </c>
      <c r="D58" s="49">
        <v>0</v>
      </c>
      <c r="E58" s="45">
        <v>0</v>
      </c>
      <c r="F58" s="45">
        <v>0</v>
      </c>
      <c r="G58" s="45">
        <v>0</v>
      </c>
      <c r="H58" s="45"/>
      <c r="I58" s="42">
        <v>0</v>
      </c>
      <c r="K58" s="29"/>
    </row>
    <row r="59" spans="1:11" ht="13" x14ac:dyDescent="0.3">
      <c r="A59" s="28" t="s">
        <v>130</v>
      </c>
      <c r="B59" s="45">
        <v>0</v>
      </c>
      <c r="C59" s="54">
        <v>1000</v>
      </c>
      <c r="D59" s="49">
        <v>0</v>
      </c>
      <c r="E59" s="45">
        <v>0</v>
      </c>
      <c r="F59" s="45">
        <v>0</v>
      </c>
      <c r="G59" s="45">
        <v>0</v>
      </c>
      <c r="H59" s="45"/>
      <c r="I59" s="42">
        <v>0</v>
      </c>
      <c r="K59" s="29"/>
    </row>
    <row r="60" spans="1:11" ht="13" x14ac:dyDescent="0.3">
      <c r="A60" s="28" t="s">
        <v>131</v>
      </c>
      <c r="B60" s="45">
        <v>0</v>
      </c>
      <c r="C60" s="54">
        <v>1272</v>
      </c>
      <c r="D60" s="49">
        <v>0</v>
      </c>
      <c r="E60" s="45">
        <v>0</v>
      </c>
      <c r="F60" s="45">
        <v>0</v>
      </c>
      <c r="G60" s="45">
        <v>0</v>
      </c>
      <c r="H60" s="45"/>
      <c r="I60" s="42">
        <v>0</v>
      </c>
      <c r="K60" s="29"/>
    </row>
    <row r="61" spans="1:11" ht="13" x14ac:dyDescent="0.3">
      <c r="A61" s="28" t="s">
        <v>50</v>
      </c>
      <c r="B61" s="45">
        <v>0</v>
      </c>
      <c r="C61" s="54">
        <v>31</v>
      </c>
      <c r="D61" s="49">
        <v>0</v>
      </c>
      <c r="E61" s="45">
        <v>0</v>
      </c>
      <c r="F61" s="45">
        <v>0</v>
      </c>
      <c r="G61" s="45">
        <v>0</v>
      </c>
      <c r="H61" s="45"/>
      <c r="I61" s="42">
        <v>0</v>
      </c>
      <c r="K61" s="29"/>
    </row>
    <row r="62" spans="1:11" ht="13" x14ac:dyDescent="0.3">
      <c r="A62" s="28" t="s">
        <v>132</v>
      </c>
      <c r="B62" s="46">
        <v>0</v>
      </c>
      <c r="C62" s="55">
        <v>572</v>
      </c>
      <c r="D62" s="43">
        <v>0</v>
      </c>
      <c r="E62" s="46">
        <v>0</v>
      </c>
      <c r="F62" s="46">
        <v>0</v>
      </c>
      <c r="G62" s="46">
        <v>0</v>
      </c>
      <c r="H62" s="46"/>
      <c r="I62" s="43">
        <v>0</v>
      </c>
      <c r="K62" s="29"/>
    </row>
    <row r="63" spans="1:11" ht="13" x14ac:dyDescent="0.3">
      <c r="B63" s="48"/>
      <c r="C63" s="51"/>
      <c r="D63" s="53"/>
      <c r="E63" s="48"/>
      <c r="F63" s="48"/>
      <c r="G63" s="48"/>
      <c r="H63" s="48"/>
      <c r="I63" s="51"/>
    </row>
    <row r="64" spans="1:11" ht="13" x14ac:dyDescent="0.3">
      <c r="B64" s="47"/>
      <c r="C64" s="44"/>
      <c r="D64" s="52"/>
      <c r="E64" s="47"/>
      <c r="F64" s="47"/>
      <c r="G64" s="47"/>
      <c r="H64" s="47"/>
      <c r="I64" s="44"/>
    </row>
    <row r="65" spans="2:9" ht="13" x14ac:dyDescent="0.3">
      <c r="B65" s="47"/>
      <c r="C65" s="44"/>
      <c r="D65" s="52"/>
      <c r="E65" s="47"/>
      <c r="F65" s="47"/>
      <c r="G65" s="47"/>
      <c r="H65" s="47"/>
      <c r="I65" s="44"/>
    </row>
    <row r="66" spans="2:9" ht="13" x14ac:dyDescent="0.3">
      <c r="B66" s="47"/>
      <c r="C66" s="44"/>
      <c r="D66" s="52"/>
      <c r="E66" s="47"/>
      <c r="F66" s="47"/>
      <c r="G66" s="47"/>
      <c r="H66" s="47"/>
      <c r="I66" s="44"/>
    </row>
    <row r="67" spans="2:9" ht="13" x14ac:dyDescent="0.3">
      <c r="B67" s="47"/>
      <c r="C67" s="44"/>
      <c r="D67" s="52"/>
      <c r="E67" s="47"/>
      <c r="F67" s="47"/>
      <c r="G67" s="47"/>
      <c r="H67" s="47"/>
      <c r="I67" s="44"/>
    </row>
    <row r="68" spans="2:9" ht="13" x14ac:dyDescent="0.3">
      <c r="B68" s="47"/>
      <c r="C68" s="44"/>
      <c r="D68" s="52"/>
      <c r="E68" s="47"/>
      <c r="F68" s="47"/>
      <c r="G68" s="47"/>
      <c r="H68" s="47"/>
      <c r="I68" s="44"/>
    </row>
    <row r="69" spans="2:9" ht="13" x14ac:dyDescent="0.3">
      <c r="B69" s="47"/>
      <c r="C69" s="44"/>
      <c r="D69" s="52"/>
      <c r="E69" s="47"/>
      <c r="F69" s="47"/>
      <c r="G69" s="47"/>
      <c r="H69" s="47"/>
      <c r="I69" s="44"/>
    </row>
    <row r="70" spans="2:9" ht="13" x14ac:dyDescent="0.3">
      <c r="B70" s="47"/>
      <c r="C70" s="44"/>
      <c r="D70" s="52"/>
      <c r="E70" s="47"/>
      <c r="F70" s="47"/>
      <c r="G70" s="47"/>
      <c r="H70" s="47"/>
      <c r="I70" s="44"/>
    </row>
    <row r="71" spans="2:9" ht="13" x14ac:dyDescent="0.3">
      <c r="B71" s="47"/>
      <c r="C71" s="44"/>
      <c r="D71" s="52"/>
      <c r="E71" s="47"/>
      <c r="F71" s="47"/>
      <c r="G71" s="47"/>
      <c r="H71" s="47"/>
      <c r="I71" s="44"/>
    </row>
    <row r="72" spans="2:9" ht="13" x14ac:dyDescent="0.3">
      <c r="B72" s="47"/>
      <c r="C72" s="44"/>
      <c r="D72" s="52"/>
      <c r="E72" s="47"/>
      <c r="F72" s="47"/>
      <c r="G72" s="47"/>
      <c r="H72" s="47"/>
      <c r="I72" s="44"/>
    </row>
    <row r="73" spans="2:9" ht="13" x14ac:dyDescent="0.3">
      <c r="B73" s="47"/>
      <c r="C73" s="44"/>
      <c r="D73" s="52"/>
      <c r="E73" s="47"/>
      <c r="F73" s="47"/>
      <c r="G73" s="47"/>
      <c r="H73" s="47"/>
      <c r="I73" s="44"/>
    </row>
    <row r="74" spans="2:9" ht="13" x14ac:dyDescent="0.3">
      <c r="B74" s="47"/>
      <c r="C74" s="44"/>
      <c r="D74" s="52"/>
      <c r="E74" s="47"/>
      <c r="F74" s="47"/>
      <c r="G74" s="47"/>
      <c r="H74" s="47"/>
      <c r="I74" s="44"/>
    </row>
    <row r="75" spans="2:9" ht="13" x14ac:dyDescent="0.3">
      <c r="B75" s="47"/>
      <c r="C75" s="44"/>
      <c r="D75" s="52"/>
      <c r="E75" s="47"/>
      <c r="F75" s="47"/>
      <c r="G75" s="47"/>
      <c r="H75" s="47"/>
      <c r="I75" s="44"/>
    </row>
    <row r="76" spans="2:9" ht="13" x14ac:dyDescent="0.3">
      <c r="B76" s="47"/>
      <c r="C76" s="44"/>
      <c r="D76" s="52"/>
      <c r="E76" s="47"/>
      <c r="F76" s="47"/>
      <c r="G76" s="47"/>
      <c r="H76" s="47"/>
      <c r="I76" s="44"/>
    </row>
    <row r="77" spans="2:9" ht="13" x14ac:dyDescent="0.3">
      <c r="B77" s="47"/>
      <c r="C77" s="44"/>
      <c r="D77" s="52"/>
      <c r="E77" s="47"/>
      <c r="F77" s="47"/>
      <c r="G77" s="47"/>
      <c r="H77" s="47"/>
      <c r="I77" s="44"/>
    </row>
    <row r="78" spans="2:9" ht="13" x14ac:dyDescent="0.3">
      <c r="B78" s="47"/>
      <c r="C78" s="44"/>
      <c r="D78" s="52"/>
      <c r="E78" s="47"/>
      <c r="F78" s="47"/>
      <c r="G78" s="47"/>
      <c r="H78" s="47"/>
      <c r="I78" s="44"/>
    </row>
    <row r="79" spans="2:9" ht="13" x14ac:dyDescent="0.3">
      <c r="B79" s="47"/>
      <c r="C79" s="44"/>
      <c r="D79" s="52"/>
      <c r="E79" s="47"/>
      <c r="F79" s="47"/>
      <c r="G79" s="47"/>
      <c r="H79" s="47"/>
      <c r="I79" s="44"/>
    </row>
    <row r="80" spans="2:9" ht="13" x14ac:dyDescent="0.3">
      <c r="B80" s="47"/>
      <c r="C80" s="44"/>
      <c r="D80" s="52"/>
      <c r="E80" s="47"/>
      <c r="F80" s="47"/>
      <c r="G80" s="47"/>
      <c r="H80" s="47"/>
      <c r="I80" s="44"/>
    </row>
    <row r="81" spans="2:9" ht="13" x14ac:dyDescent="0.3">
      <c r="B81" s="47"/>
      <c r="C81" s="47"/>
      <c r="D81" s="47"/>
      <c r="E81" s="47"/>
      <c r="F81" s="47"/>
      <c r="G81" s="47"/>
      <c r="H81" s="47"/>
      <c r="I81" s="44"/>
    </row>
    <row r="82" spans="2:9" ht="13" x14ac:dyDescent="0.3">
      <c r="B82" s="47"/>
      <c r="C82" s="47"/>
      <c r="D82" s="47"/>
      <c r="E82" s="47"/>
      <c r="F82" s="47"/>
      <c r="G82" s="47"/>
      <c r="H82" s="47"/>
      <c r="I82" s="44"/>
    </row>
    <row r="83" spans="2:9" ht="13" x14ac:dyDescent="0.3">
      <c r="B83" s="47"/>
      <c r="C83" s="47"/>
      <c r="D83" s="47"/>
      <c r="E83" s="47"/>
      <c r="F83" s="47"/>
      <c r="G83" s="47"/>
      <c r="H83" s="47"/>
      <c r="I83" s="44"/>
    </row>
    <row r="84" spans="2:9" ht="13" x14ac:dyDescent="0.3">
      <c r="B84" s="47"/>
      <c r="C84" s="47"/>
      <c r="D84" s="47"/>
      <c r="E84" s="47"/>
      <c r="F84" s="47"/>
      <c r="G84" s="47"/>
      <c r="H84" s="47"/>
      <c r="I84" s="44"/>
    </row>
    <row r="85" spans="2:9" ht="13" x14ac:dyDescent="0.3">
      <c r="B85" s="47"/>
      <c r="C85" s="47"/>
      <c r="D85" s="47"/>
      <c r="E85" s="47"/>
      <c r="F85" s="47"/>
      <c r="G85" s="47"/>
      <c r="H85" s="47"/>
      <c r="I85" s="44"/>
    </row>
    <row r="86" spans="2:9" ht="13" x14ac:dyDescent="0.3">
      <c r="B86" s="47"/>
      <c r="C86" s="47"/>
      <c r="D86" s="47"/>
      <c r="E86" s="47"/>
      <c r="F86" s="47"/>
      <c r="G86" s="47"/>
      <c r="H86" s="47"/>
      <c r="I86" s="44"/>
    </row>
    <row r="87" spans="2:9" ht="13" x14ac:dyDescent="0.3">
      <c r="B87" s="47"/>
      <c r="C87" s="47"/>
      <c r="D87" s="47"/>
      <c r="E87" s="47"/>
      <c r="F87" s="47"/>
      <c r="G87" s="47"/>
      <c r="H87" s="44"/>
      <c r="I87" s="44"/>
    </row>
    <row r="88" spans="2:9" ht="13" x14ac:dyDescent="0.3">
      <c r="B88" s="47"/>
      <c r="C88" s="47"/>
      <c r="D88" s="47"/>
      <c r="E88" s="47"/>
      <c r="F88" s="47"/>
      <c r="G88" s="47"/>
      <c r="H88" s="44"/>
      <c r="I88" s="44"/>
    </row>
    <row r="89" spans="2:9" ht="13" x14ac:dyDescent="0.3">
      <c r="B89" s="47"/>
      <c r="C89" s="47"/>
      <c r="D89" s="47"/>
      <c r="E89" s="47"/>
      <c r="F89" s="47"/>
      <c r="G89" s="47"/>
      <c r="H89" s="44"/>
      <c r="I89" s="44"/>
    </row>
    <row r="90" spans="2:9" ht="13" x14ac:dyDescent="0.3">
      <c r="B90" s="47"/>
      <c r="C90" s="47"/>
      <c r="D90" s="47"/>
      <c r="E90" s="47"/>
      <c r="F90" s="47"/>
      <c r="G90" s="47"/>
      <c r="H90" s="44"/>
      <c r="I90" s="44"/>
    </row>
    <row r="91" spans="2:9" ht="13" x14ac:dyDescent="0.3">
      <c r="B91" s="47"/>
      <c r="C91" s="47"/>
      <c r="D91" s="47"/>
      <c r="E91" s="47"/>
      <c r="F91" s="47"/>
      <c r="G91" s="47"/>
      <c r="H91" s="44"/>
      <c r="I91" s="44"/>
    </row>
    <row r="92" spans="2:9" ht="13" x14ac:dyDescent="0.3">
      <c r="B92" s="47"/>
      <c r="C92" s="47"/>
      <c r="D92" s="47"/>
      <c r="E92" s="47"/>
      <c r="F92" s="47"/>
      <c r="G92" s="47"/>
      <c r="H92" s="44"/>
      <c r="I92" s="44"/>
    </row>
    <row r="93" spans="2:9" ht="13" x14ac:dyDescent="0.3">
      <c r="B93" s="44"/>
      <c r="C93" s="44"/>
      <c r="D93" s="44"/>
      <c r="E93" s="44"/>
      <c r="F93" s="44"/>
      <c r="G93" s="44"/>
      <c r="H93" s="44"/>
      <c r="I93" s="44"/>
    </row>
    <row r="94" spans="2:9" ht="13" x14ac:dyDescent="0.3">
      <c r="E94" s="44"/>
      <c r="F94" s="44"/>
      <c r="G94" s="44"/>
    </row>
    <row r="95" spans="2:9" ht="13" x14ac:dyDescent="0.3">
      <c r="E95" s="44"/>
      <c r="F95" s="44"/>
      <c r="G95" s="44"/>
    </row>
    <row r="96" spans="2:9" ht="13" x14ac:dyDescent="0.3">
      <c r="E96" s="44"/>
      <c r="F96" s="44"/>
      <c r="G96" s="44"/>
    </row>
    <row r="97" spans="5:7" ht="13" x14ac:dyDescent="0.3">
      <c r="E97" s="44"/>
      <c r="F97" s="44"/>
      <c r="G97" s="44"/>
    </row>
    <row r="98" spans="5:7" ht="13" x14ac:dyDescent="0.3">
      <c r="E98" s="44"/>
      <c r="F98" s="44"/>
      <c r="G98" s="44"/>
    </row>
    <row r="99" spans="5:7" ht="13" x14ac:dyDescent="0.3"/>
    <row r="100" spans="5:7" ht="13" x14ac:dyDescent="0.3"/>
    <row r="101" spans="5:7" ht="13" x14ac:dyDescent="0.3"/>
    <row r="102" spans="5:7" ht="13" x14ac:dyDescent="0.3"/>
    <row r="103" spans="5:7" ht="13" x14ac:dyDescent="0.3"/>
    <row r="104" spans="5:7" ht="13" x14ac:dyDescent="0.3"/>
    <row r="105" spans="5:7" ht="13" x14ac:dyDescent="0.3"/>
    <row r="106" spans="5:7" ht="13" x14ac:dyDescent="0.3"/>
    <row r="107" spans="5:7" ht="13" x14ac:dyDescent="0.3"/>
    <row r="108" spans="5:7" ht="13" x14ac:dyDescent="0.3"/>
    <row r="109" spans="5:7" ht="13" x14ac:dyDescent="0.3"/>
    <row r="110" spans="5:7" ht="13" x14ac:dyDescent="0.3"/>
    <row r="111" spans="5:7" ht="13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500F-8F63-49B6-B0EF-1EE3EA6E378C}">
  <dimension ref="A1:E99"/>
  <sheetViews>
    <sheetView zoomScale="80" zoomScaleNormal="80" workbookViewId="0">
      <selection activeCell="F10" sqref="F10"/>
    </sheetView>
  </sheetViews>
  <sheetFormatPr defaultColWidth="15.25" defaultRowHeight="13" x14ac:dyDescent="0.3"/>
  <cols>
    <col min="1" max="1" width="16.4140625" style="23" customWidth="1"/>
    <col min="2" max="2" width="12.6640625" style="26" customWidth="1"/>
    <col min="3" max="3" width="7.6640625" style="26" customWidth="1"/>
    <col min="4" max="16384" width="15.25" style="23"/>
  </cols>
  <sheetData>
    <row r="1" spans="1:3" x14ac:dyDescent="0.3">
      <c r="A1" s="24" t="s">
        <v>186</v>
      </c>
    </row>
    <row r="3" spans="1:3" ht="65" x14ac:dyDescent="0.3">
      <c r="B3" s="30" t="s">
        <v>187</v>
      </c>
      <c r="C3" s="30" t="s">
        <v>104</v>
      </c>
    </row>
    <row r="4" spans="1:3" x14ac:dyDescent="0.3">
      <c r="B4" s="31" t="s">
        <v>103</v>
      </c>
      <c r="C4" s="31"/>
    </row>
    <row r="5" spans="1:3" x14ac:dyDescent="0.3">
      <c r="A5" s="22" t="s">
        <v>96</v>
      </c>
      <c r="B5" s="45">
        <v>0.86223984142715493</v>
      </c>
      <c r="C5" s="54">
        <v>10090</v>
      </c>
    </row>
    <row r="6" spans="1:3" x14ac:dyDescent="0.3">
      <c r="A6" s="22" t="s">
        <v>97</v>
      </c>
      <c r="B6" s="42"/>
      <c r="C6" s="42"/>
    </row>
    <row r="7" spans="1:3" x14ac:dyDescent="0.3">
      <c r="A7" s="25" t="s">
        <v>92</v>
      </c>
      <c r="B7" s="45">
        <v>1.4634146341463401</v>
      </c>
      <c r="C7" s="54">
        <v>5535</v>
      </c>
    </row>
    <row r="8" spans="1:3" x14ac:dyDescent="0.3">
      <c r="A8" s="25" t="s">
        <v>164</v>
      </c>
      <c r="B8" s="45">
        <v>0.98039215686274506</v>
      </c>
      <c r="C8" s="54">
        <v>306</v>
      </c>
    </row>
    <row r="9" spans="1:3" x14ac:dyDescent="0.3">
      <c r="A9" s="25" t="s">
        <v>91</v>
      </c>
      <c r="B9" s="45">
        <v>7.0604848199576298E-2</v>
      </c>
      <c r="C9" s="54">
        <v>4249</v>
      </c>
    </row>
    <row r="10" spans="1:3" x14ac:dyDescent="0.3">
      <c r="A10" s="22" t="s">
        <v>90</v>
      </c>
      <c r="B10" s="45"/>
      <c r="C10" s="54"/>
    </row>
    <row r="11" spans="1:3" x14ac:dyDescent="0.3">
      <c r="A11" s="25" t="s">
        <v>7</v>
      </c>
      <c r="B11" s="45">
        <v>0.53667262969588503</v>
      </c>
      <c r="C11" s="54">
        <v>559</v>
      </c>
    </row>
    <row r="12" spans="1:3" x14ac:dyDescent="0.3">
      <c r="A12" s="25" t="s">
        <v>8</v>
      </c>
      <c r="B12" s="45">
        <v>0.120772946859903</v>
      </c>
      <c r="C12" s="54">
        <v>828</v>
      </c>
    </row>
    <row r="13" spans="1:3" x14ac:dyDescent="0.3">
      <c r="A13" s="25" t="s">
        <v>9</v>
      </c>
      <c r="B13" s="45">
        <v>0.35650623885918004</v>
      </c>
      <c r="C13" s="54">
        <v>561</v>
      </c>
    </row>
    <row r="14" spans="1:3" x14ac:dyDescent="0.3">
      <c r="A14" s="25" t="s">
        <v>10</v>
      </c>
      <c r="B14" s="45">
        <v>0.180505415162454</v>
      </c>
      <c r="C14" s="54">
        <v>554</v>
      </c>
    </row>
    <row r="15" spans="1:3" x14ac:dyDescent="0.3">
      <c r="A15" s="25" t="s">
        <v>11</v>
      </c>
      <c r="B15" s="45">
        <v>0.352112676056338</v>
      </c>
      <c r="C15" s="54">
        <v>568</v>
      </c>
    </row>
    <row r="16" spans="1:3" x14ac:dyDescent="0.3">
      <c r="A16" s="25" t="s">
        <v>12</v>
      </c>
      <c r="B16" s="45">
        <v>9.2250922509225008E-2</v>
      </c>
      <c r="C16" s="54">
        <v>1084</v>
      </c>
    </row>
    <row r="17" spans="1:3" x14ac:dyDescent="0.3">
      <c r="A17" s="25" t="s">
        <v>107</v>
      </c>
      <c r="B17" s="45">
        <v>0.175438596491228</v>
      </c>
      <c r="C17" s="54">
        <v>570</v>
      </c>
    </row>
    <row r="18" spans="1:3" x14ac:dyDescent="0.3">
      <c r="A18" s="25" t="s">
        <v>14</v>
      </c>
      <c r="B18" s="45">
        <v>3.7470725995316099</v>
      </c>
      <c r="C18" s="54">
        <v>854</v>
      </c>
    </row>
    <row r="19" spans="1:3" x14ac:dyDescent="0.3">
      <c r="A19" s="25" t="s">
        <v>15</v>
      </c>
      <c r="B19" s="45">
        <v>1.2567324955116599</v>
      </c>
      <c r="C19" s="54">
        <v>557</v>
      </c>
    </row>
    <row r="20" spans="1:3" x14ac:dyDescent="0.3">
      <c r="A20" s="25" t="s">
        <v>16</v>
      </c>
      <c r="B20" s="45">
        <v>0.23419203747072601</v>
      </c>
      <c r="C20" s="54">
        <v>854</v>
      </c>
    </row>
    <row r="21" spans="1:3" x14ac:dyDescent="0.3">
      <c r="A21" s="25" t="s">
        <v>17</v>
      </c>
      <c r="B21" s="45">
        <v>1.0638297872340399</v>
      </c>
      <c r="C21" s="54">
        <v>846</v>
      </c>
    </row>
    <row r="22" spans="1:3" x14ac:dyDescent="0.3">
      <c r="A22" s="25" t="s">
        <v>18</v>
      </c>
      <c r="B22" s="45">
        <v>1.8779342723004602</v>
      </c>
      <c r="C22" s="54">
        <v>852</v>
      </c>
    </row>
    <row r="23" spans="1:3" x14ac:dyDescent="0.3">
      <c r="A23" s="25" t="s">
        <v>19</v>
      </c>
      <c r="B23" s="45">
        <v>1.194743130227</v>
      </c>
      <c r="C23" s="54">
        <v>837</v>
      </c>
    </row>
    <row r="24" spans="1:3" x14ac:dyDescent="0.3">
      <c r="A24" s="25" t="s">
        <v>20</v>
      </c>
      <c r="B24" s="45">
        <v>0</v>
      </c>
      <c r="C24" s="54">
        <v>566</v>
      </c>
    </row>
    <row r="25" spans="1:3" x14ac:dyDescent="0.3">
      <c r="A25" s="22" t="s">
        <v>100</v>
      </c>
      <c r="B25" s="45"/>
      <c r="C25" s="54"/>
    </row>
    <row r="26" spans="1:3" x14ac:dyDescent="0.3">
      <c r="A26" s="25" t="s">
        <v>108</v>
      </c>
      <c r="B26" s="45">
        <v>0.80155979202772898</v>
      </c>
      <c r="C26" s="54">
        <v>4616</v>
      </c>
    </row>
    <row r="27" spans="1:3" x14ac:dyDescent="0.3">
      <c r="A27" s="25" t="s">
        <v>109</v>
      </c>
      <c r="B27" s="45">
        <v>0.91340884179758797</v>
      </c>
      <c r="C27" s="54">
        <v>5474</v>
      </c>
    </row>
    <row r="28" spans="1:3" x14ac:dyDescent="0.3">
      <c r="A28" s="22" t="s">
        <v>99</v>
      </c>
      <c r="B28" s="45"/>
      <c r="C28" s="54"/>
    </row>
    <row r="29" spans="1:3" x14ac:dyDescent="0.3">
      <c r="A29" s="25" t="s">
        <v>110</v>
      </c>
      <c r="B29" s="45">
        <v>0</v>
      </c>
      <c r="C29" s="54">
        <v>37</v>
      </c>
    </row>
    <row r="30" spans="1:3" x14ac:dyDescent="0.3">
      <c r="A30" s="25" t="s">
        <v>111</v>
      </c>
      <c r="B30" s="45">
        <v>0.76834421820975796</v>
      </c>
      <c r="C30" s="54">
        <v>7809</v>
      </c>
    </row>
    <row r="31" spans="1:3" x14ac:dyDescent="0.3">
      <c r="A31" s="25" t="s">
        <v>112</v>
      </c>
      <c r="B31" s="45">
        <v>1.2032085561497299</v>
      </c>
      <c r="C31" s="54">
        <v>2244</v>
      </c>
    </row>
    <row r="32" spans="1:3" x14ac:dyDescent="0.3">
      <c r="A32" s="22" t="s">
        <v>98</v>
      </c>
      <c r="B32" s="45"/>
      <c r="C32" s="54"/>
    </row>
    <row r="33" spans="1:3" x14ac:dyDescent="0.3">
      <c r="A33" s="25" t="s">
        <v>113</v>
      </c>
      <c r="B33" s="45">
        <v>0.83989501312335901</v>
      </c>
      <c r="C33" s="54">
        <v>1905</v>
      </c>
    </row>
    <row r="34" spans="1:3" x14ac:dyDescent="0.3">
      <c r="A34" s="25" t="s">
        <v>114</v>
      </c>
      <c r="B34" s="45">
        <v>0</v>
      </c>
      <c r="C34" s="54">
        <v>55</v>
      </c>
    </row>
    <row r="35" spans="1:3" x14ac:dyDescent="0.3">
      <c r="A35" s="25" t="s">
        <v>115</v>
      </c>
      <c r="B35" s="45">
        <v>1.28440366972477</v>
      </c>
      <c r="C35" s="54">
        <v>2725</v>
      </c>
    </row>
    <row r="36" spans="1:3" x14ac:dyDescent="0.3">
      <c r="A36" s="25" t="s">
        <v>116</v>
      </c>
      <c r="B36" s="45">
        <v>0.74340527577937598</v>
      </c>
      <c r="C36" s="54">
        <v>4170</v>
      </c>
    </row>
    <row r="37" spans="1:3" x14ac:dyDescent="0.3">
      <c r="A37" s="25" t="s">
        <v>117</v>
      </c>
      <c r="B37" s="45">
        <v>0.42283298097251498</v>
      </c>
      <c r="C37" s="54">
        <v>946</v>
      </c>
    </row>
    <row r="38" spans="1:3" x14ac:dyDescent="0.3">
      <c r="A38" s="22" t="s">
        <v>3</v>
      </c>
      <c r="B38" s="45"/>
      <c r="C38" s="54"/>
    </row>
    <row r="39" spans="1:3" x14ac:dyDescent="0.3">
      <c r="A39" s="25" t="s">
        <v>118</v>
      </c>
      <c r="B39" s="45">
        <v>0.148148148148148</v>
      </c>
      <c r="C39" s="54">
        <v>675</v>
      </c>
    </row>
    <row r="40" spans="1:3" x14ac:dyDescent="0.3">
      <c r="A40" s="25" t="s">
        <v>119</v>
      </c>
      <c r="B40" s="45">
        <v>1.0457516339869199</v>
      </c>
      <c r="C40" s="54">
        <v>765</v>
      </c>
    </row>
    <row r="41" spans="1:3" x14ac:dyDescent="0.3">
      <c r="A41" s="25" t="s">
        <v>120</v>
      </c>
      <c r="B41" s="45">
        <v>1.3110846245530299</v>
      </c>
      <c r="C41" s="54">
        <v>839</v>
      </c>
    </row>
    <row r="42" spans="1:3" x14ac:dyDescent="0.3">
      <c r="A42" s="25" t="s">
        <v>121</v>
      </c>
      <c r="B42" s="45">
        <v>1.0538641686182599</v>
      </c>
      <c r="C42" s="54">
        <v>854</v>
      </c>
    </row>
    <row r="43" spans="1:3" x14ac:dyDescent="0.3">
      <c r="A43" s="25" t="s">
        <v>122</v>
      </c>
      <c r="B43" s="45">
        <v>1.3684210526315699</v>
      </c>
      <c r="C43" s="54">
        <v>950</v>
      </c>
    </row>
    <row r="44" spans="1:3" x14ac:dyDescent="0.3">
      <c r="A44" s="25" t="s">
        <v>123</v>
      </c>
      <c r="B44" s="45">
        <v>1.28968253968253</v>
      </c>
      <c r="C44" s="54">
        <v>1008</v>
      </c>
    </row>
    <row r="45" spans="1:3" x14ac:dyDescent="0.3">
      <c r="A45" s="25" t="s">
        <v>124</v>
      </c>
      <c r="B45" s="45">
        <v>0.72661217075385998</v>
      </c>
      <c r="C45" s="54">
        <v>1101</v>
      </c>
    </row>
    <row r="46" spans="1:3" x14ac:dyDescent="0.3">
      <c r="A46" s="25" t="s">
        <v>125</v>
      </c>
      <c r="B46" s="45">
        <v>0.334168755221386</v>
      </c>
      <c r="C46" s="54">
        <v>1197</v>
      </c>
    </row>
    <row r="47" spans="1:3" x14ac:dyDescent="0.3">
      <c r="A47" s="25" t="s">
        <v>126</v>
      </c>
      <c r="B47" s="45">
        <v>0.31176929072486298</v>
      </c>
      <c r="C47" s="54">
        <v>1283</v>
      </c>
    </row>
    <row r="48" spans="1:3" x14ac:dyDescent="0.3">
      <c r="A48" s="25" t="s">
        <v>127</v>
      </c>
      <c r="B48" s="45">
        <v>1.12834978843441</v>
      </c>
      <c r="C48" s="54">
        <v>1418</v>
      </c>
    </row>
    <row r="49" spans="1:5" x14ac:dyDescent="0.3">
      <c r="A49" s="22" t="s">
        <v>93</v>
      </c>
      <c r="B49" s="45"/>
      <c r="C49" s="54"/>
    </row>
    <row r="50" spans="1:5" x14ac:dyDescent="0.3">
      <c r="A50" s="28" t="s">
        <v>51</v>
      </c>
      <c r="B50" s="45">
        <v>0.55944055944055904</v>
      </c>
      <c r="C50" s="54">
        <v>715</v>
      </c>
    </row>
    <row r="51" spans="1:5" x14ac:dyDescent="0.3">
      <c r="A51" s="28" t="s">
        <v>53</v>
      </c>
      <c r="B51" s="45">
        <v>0</v>
      </c>
      <c r="C51" s="54">
        <v>111</v>
      </c>
    </row>
    <row r="52" spans="1:5" x14ac:dyDescent="0.3">
      <c r="A52" s="28" t="s">
        <v>52</v>
      </c>
      <c r="B52" s="45">
        <v>3.0303030303030298</v>
      </c>
      <c r="C52" s="54">
        <v>33</v>
      </c>
    </row>
    <row r="53" spans="1:5" x14ac:dyDescent="0.3">
      <c r="A53" s="28" t="s">
        <v>45</v>
      </c>
      <c r="B53" s="45">
        <v>0</v>
      </c>
      <c r="C53" s="54">
        <v>146</v>
      </c>
    </row>
    <row r="54" spans="1:5" x14ac:dyDescent="0.3">
      <c r="A54" s="28" t="s">
        <v>48</v>
      </c>
      <c r="B54" s="45">
        <v>0</v>
      </c>
      <c r="C54" s="54">
        <v>1292</v>
      </c>
    </row>
    <row r="55" spans="1:5" x14ac:dyDescent="0.3">
      <c r="A55" s="28" t="s">
        <v>49</v>
      </c>
      <c r="B55" s="45">
        <v>1.27982646420824</v>
      </c>
      <c r="C55" s="54">
        <v>4610</v>
      </c>
    </row>
    <row r="56" spans="1:5" x14ac:dyDescent="0.3">
      <c r="A56" s="28" t="s">
        <v>128</v>
      </c>
      <c r="B56" s="45">
        <v>1.2121212121212099</v>
      </c>
      <c r="C56" s="54">
        <v>165</v>
      </c>
    </row>
    <row r="57" spans="1:5" x14ac:dyDescent="0.3">
      <c r="A57" s="28" t="s">
        <v>129</v>
      </c>
      <c r="B57" s="45">
        <v>1.8518518518518501</v>
      </c>
      <c r="C57" s="54">
        <v>108</v>
      </c>
      <c r="E57" s="29"/>
    </row>
    <row r="58" spans="1:5" x14ac:dyDescent="0.3">
      <c r="A58" s="28" t="s">
        <v>54</v>
      </c>
      <c r="B58" s="45">
        <v>0</v>
      </c>
      <c r="C58" s="54">
        <v>35</v>
      </c>
      <c r="E58" s="29"/>
    </row>
    <row r="59" spans="1:5" x14ac:dyDescent="0.3">
      <c r="A59" s="28" t="s">
        <v>130</v>
      </c>
      <c r="B59" s="45">
        <v>1.6</v>
      </c>
      <c r="C59" s="54">
        <v>1000</v>
      </c>
      <c r="E59" s="29"/>
    </row>
    <row r="60" spans="1:5" x14ac:dyDescent="0.3">
      <c r="A60" s="28" t="s">
        <v>131</v>
      </c>
      <c r="B60" s="45">
        <v>0.23584905660377301</v>
      </c>
      <c r="C60" s="54">
        <v>1272</v>
      </c>
      <c r="E60" s="29"/>
    </row>
    <row r="61" spans="1:5" x14ac:dyDescent="0.3">
      <c r="A61" s="28" t="s">
        <v>50</v>
      </c>
      <c r="B61" s="45">
        <v>0</v>
      </c>
      <c r="C61" s="54">
        <v>31</v>
      </c>
      <c r="E61" s="29"/>
    </row>
    <row r="62" spans="1:5" x14ac:dyDescent="0.3">
      <c r="A62" s="28" t="s">
        <v>132</v>
      </c>
      <c r="B62" s="46">
        <v>0</v>
      </c>
      <c r="C62" s="55">
        <v>572</v>
      </c>
      <c r="E62" s="29"/>
    </row>
    <row r="63" spans="1:5" x14ac:dyDescent="0.3">
      <c r="B63" s="48"/>
      <c r="C63" s="51"/>
    </row>
    <row r="64" spans="1:5" x14ac:dyDescent="0.3">
      <c r="B64" s="47"/>
      <c r="C64" s="44"/>
    </row>
    <row r="65" spans="2:3" x14ac:dyDescent="0.3">
      <c r="B65" s="47"/>
      <c r="C65" s="44"/>
    </row>
    <row r="66" spans="2:3" x14ac:dyDescent="0.3">
      <c r="B66" s="47"/>
      <c r="C66" s="44"/>
    </row>
    <row r="67" spans="2:3" x14ac:dyDescent="0.3">
      <c r="B67" s="47"/>
      <c r="C67" s="44"/>
    </row>
    <row r="68" spans="2:3" x14ac:dyDescent="0.3">
      <c r="B68" s="47"/>
      <c r="C68" s="44"/>
    </row>
    <row r="69" spans="2:3" x14ac:dyDescent="0.3">
      <c r="B69" s="47"/>
      <c r="C69" s="44"/>
    </row>
    <row r="70" spans="2:3" x14ac:dyDescent="0.3">
      <c r="B70" s="47"/>
      <c r="C70" s="44"/>
    </row>
    <row r="71" spans="2:3" x14ac:dyDescent="0.3">
      <c r="B71" s="47"/>
      <c r="C71" s="44"/>
    </row>
    <row r="72" spans="2:3" x14ac:dyDescent="0.3">
      <c r="B72" s="47"/>
      <c r="C72" s="44"/>
    </row>
    <row r="73" spans="2:3" x14ac:dyDescent="0.3">
      <c r="B73" s="47"/>
      <c r="C73" s="44"/>
    </row>
    <row r="74" spans="2:3" x14ac:dyDescent="0.3">
      <c r="B74" s="47"/>
      <c r="C74" s="44"/>
    </row>
    <row r="75" spans="2:3" x14ac:dyDescent="0.3">
      <c r="B75" s="47"/>
      <c r="C75" s="44"/>
    </row>
    <row r="76" spans="2:3" x14ac:dyDescent="0.3">
      <c r="B76" s="47"/>
      <c r="C76" s="44"/>
    </row>
    <row r="77" spans="2:3" x14ac:dyDescent="0.3">
      <c r="B77" s="47"/>
      <c r="C77" s="44"/>
    </row>
    <row r="78" spans="2:3" x14ac:dyDescent="0.3">
      <c r="B78" s="47"/>
      <c r="C78" s="44"/>
    </row>
    <row r="79" spans="2:3" x14ac:dyDescent="0.3">
      <c r="B79" s="47"/>
      <c r="C79" s="44"/>
    </row>
    <row r="80" spans="2:3" x14ac:dyDescent="0.3">
      <c r="B80" s="47"/>
      <c r="C80" s="44"/>
    </row>
    <row r="81" spans="2:3" x14ac:dyDescent="0.3">
      <c r="B81" s="47"/>
      <c r="C81" s="47"/>
    </row>
    <row r="82" spans="2:3" x14ac:dyDescent="0.3">
      <c r="B82" s="47"/>
      <c r="C82" s="47"/>
    </row>
    <row r="83" spans="2:3" x14ac:dyDescent="0.3">
      <c r="B83" s="47"/>
      <c r="C83" s="47"/>
    </row>
    <row r="84" spans="2:3" x14ac:dyDescent="0.3">
      <c r="B84" s="47"/>
      <c r="C84" s="47"/>
    </row>
    <row r="85" spans="2:3" x14ac:dyDescent="0.3">
      <c r="B85" s="47"/>
      <c r="C85" s="47"/>
    </row>
    <row r="86" spans="2:3" x14ac:dyDescent="0.3">
      <c r="B86" s="47"/>
      <c r="C86" s="47"/>
    </row>
    <row r="87" spans="2:3" x14ac:dyDescent="0.3">
      <c r="B87" s="47"/>
      <c r="C87" s="47"/>
    </row>
    <row r="88" spans="2:3" x14ac:dyDescent="0.3">
      <c r="B88" s="47"/>
      <c r="C88" s="47"/>
    </row>
    <row r="89" spans="2:3" x14ac:dyDescent="0.3">
      <c r="B89" s="47"/>
      <c r="C89" s="47"/>
    </row>
    <row r="90" spans="2:3" x14ac:dyDescent="0.3">
      <c r="B90" s="47"/>
      <c r="C90" s="47"/>
    </row>
    <row r="91" spans="2:3" x14ac:dyDescent="0.3">
      <c r="B91" s="47"/>
      <c r="C91" s="47"/>
    </row>
    <row r="92" spans="2:3" x14ac:dyDescent="0.3">
      <c r="B92" s="47"/>
      <c r="C92" s="47"/>
    </row>
    <row r="93" spans="2:3" x14ac:dyDescent="0.3">
      <c r="B93" s="47"/>
      <c r="C93" s="44"/>
    </row>
    <row r="94" spans="2:3" x14ac:dyDescent="0.3">
      <c r="B94" s="47"/>
    </row>
    <row r="95" spans="2:3" x14ac:dyDescent="0.3">
      <c r="B95" s="47"/>
    </row>
    <row r="96" spans="2:3" x14ac:dyDescent="0.3">
      <c r="B96" s="47"/>
    </row>
    <row r="97" spans="2:2" x14ac:dyDescent="0.3">
      <c r="B97" s="47"/>
    </row>
    <row r="98" spans="2:2" x14ac:dyDescent="0.3">
      <c r="B98" s="47"/>
    </row>
    <row r="99" spans="2:2" x14ac:dyDescent="0.3">
      <c r="B99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60BA-EDBD-4C7D-B23A-DB8715CC5298}">
  <dimension ref="A1:F105"/>
  <sheetViews>
    <sheetView tabSelected="1" zoomScale="80" zoomScaleNormal="80" workbookViewId="0">
      <selection activeCell="D9" sqref="D9"/>
    </sheetView>
  </sheetViews>
  <sheetFormatPr defaultColWidth="15.25" defaultRowHeight="13" x14ac:dyDescent="0.3"/>
  <cols>
    <col min="1" max="1" width="16.4140625" style="23" customWidth="1"/>
    <col min="2" max="3" width="12.6640625" style="26" customWidth="1"/>
    <col min="4" max="4" width="7.6640625" style="26" customWidth="1"/>
    <col min="5" max="16384" width="15.25" style="23"/>
  </cols>
  <sheetData>
    <row r="1" spans="1:4" x14ac:dyDescent="0.3">
      <c r="A1" s="24" t="s">
        <v>188</v>
      </c>
    </row>
    <row r="3" spans="1:4" ht="39" x14ac:dyDescent="0.3">
      <c r="B3" s="30" t="s">
        <v>189</v>
      </c>
      <c r="C3" s="30" t="s">
        <v>191</v>
      </c>
      <c r="D3" s="30" t="s">
        <v>104</v>
      </c>
    </row>
    <row r="4" spans="1:4" x14ac:dyDescent="0.3">
      <c r="B4" s="31" t="s">
        <v>190</v>
      </c>
      <c r="C4" s="31" t="s">
        <v>190</v>
      </c>
      <c r="D4" s="31"/>
    </row>
    <row r="5" spans="1:4" x14ac:dyDescent="0.3">
      <c r="A5" s="22" t="s">
        <v>96</v>
      </c>
      <c r="B5" s="42"/>
      <c r="C5" s="42"/>
      <c r="D5" s="42"/>
    </row>
    <row r="6" spans="1:4" x14ac:dyDescent="0.3">
      <c r="A6" s="22" t="s">
        <v>97</v>
      </c>
      <c r="B6" s="42"/>
      <c r="C6" s="42"/>
      <c r="D6" s="42"/>
    </row>
    <row r="7" spans="1:4" x14ac:dyDescent="0.3">
      <c r="A7" s="25" t="s">
        <v>92</v>
      </c>
      <c r="B7" s="54">
        <v>13275.4833586357</v>
      </c>
      <c r="C7" s="54">
        <v>6177.85986328125</v>
      </c>
      <c r="D7" s="54">
        <v>5535</v>
      </c>
    </row>
    <row r="8" spans="1:4" x14ac:dyDescent="0.3">
      <c r="A8" s="25" t="s">
        <v>164</v>
      </c>
      <c r="B8" s="54">
        <v>12996.0737286447</v>
      </c>
      <c r="C8" s="54">
        <v>6327.0020019531203</v>
      </c>
      <c r="D8" s="54">
        <v>306</v>
      </c>
    </row>
    <row r="9" spans="1:4" x14ac:dyDescent="0.3">
      <c r="A9" s="25" t="s">
        <v>91</v>
      </c>
      <c r="B9" s="54">
        <v>15175.701355282699</v>
      </c>
      <c r="C9" s="54">
        <v>7345.3447265625</v>
      </c>
      <c r="D9" s="54">
        <v>4249</v>
      </c>
    </row>
    <row r="10" spans="1:4" x14ac:dyDescent="0.3">
      <c r="A10" s="22" t="s">
        <v>90</v>
      </c>
      <c r="B10" s="54"/>
      <c r="C10" s="54"/>
      <c r="D10" s="54"/>
    </row>
    <row r="11" spans="1:4" x14ac:dyDescent="0.3">
      <c r="A11" s="25" t="s">
        <v>7</v>
      </c>
      <c r="B11" s="54">
        <v>16986.3644814363</v>
      </c>
      <c r="C11" s="54">
        <v>6157.2330729166597</v>
      </c>
      <c r="D11" s="54">
        <v>559</v>
      </c>
    </row>
    <row r="12" spans="1:4" x14ac:dyDescent="0.3">
      <c r="A12" s="25" t="s">
        <v>8</v>
      </c>
      <c r="B12" s="54">
        <v>13048.1464178899</v>
      </c>
      <c r="C12" s="54">
        <v>7849.02880859375</v>
      </c>
      <c r="D12" s="54">
        <v>828</v>
      </c>
    </row>
    <row r="13" spans="1:4" x14ac:dyDescent="0.3">
      <c r="A13" s="25" t="s">
        <v>9</v>
      </c>
      <c r="B13" s="54">
        <v>12871.246335431901</v>
      </c>
      <c r="C13" s="54">
        <v>6624.27978515625</v>
      </c>
      <c r="D13" s="54">
        <v>561</v>
      </c>
    </row>
    <row r="14" spans="1:4" x14ac:dyDescent="0.3">
      <c r="A14" s="25" t="s">
        <v>10</v>
      </c>
      <c r="B14" s="54">
        <v>7450.1299554474599</v>
      </c>
      <c r="C14" s="54">
        <v>3998.8899739583298</v>
      </c>
      <c r="D14" s="54">
        <v>554</v>
      </c>
    </row>
    <row r="15" spans="1:4" x14ac:dyDescent="0.3">
      <c r="A15" s="25" t="s">
        <v>11</v>
      </c>
      <c r="B15" s="54">
        <v>8460.77723281619</v>
      </c>
      <c r="C15" s="54">
        <v>4576.18201349431</v>
      </c>
      <c r="D15" s="54">
        <v>568</v>
      </c>
    </row>
    <row r="16" spans="1:4" x14ac:dyDescent="0.3">
      <c r="A16" s="25" t="s">
        <v>12</v>
      </c>
      <c r="B16" s="54">
        <v>21702.513409511899</v>
      </c>
      <c r="C16" s="54">
        <v>10274.711425781201</v>
      </c>
      <c r="D16" s="54">
        <v>1084</v>
      </c>
    </row>
    <row r="17" spans="1:4" x14ac:dyDescent="0.3">
      <c r="A17" s="25" t="s">
        <v>107</v>
      </c>
      <c r="B17" s="54">
        <v>9817.5904903233804</v>
      </c>
      <c r="C17" s="54">
        <v>3900</v>
      </c>
      <c r="D17" s="54">
        <v>570</v>
      </c>
    </row>
    <row r="18" spans="1:4" x14ac:dyDescent="0.3">
      <c r="A18" s="25" t="s">
        <v>14</v>
      </c>
      <c r="B18" s="54">
        <v>14535.019175744101</v>
      </c>
      <c r="C18" s="54">
        <v>8225.5416666666606</v>
      </c>
      <c r="D18" s="54">
        <v>854</v>
      </c>
    </row>
    <row r="19" spans="1:4" x14ac:dyDescent="0.3">
      <c r="A19" s="25" t="s">
        <v>15</v>
      </c>
      <c r="B19" s="54">
        <v>11446.346772769901</v>
      </c>
      <c r="C19" s="54">
        <v>4992.00048828125</v>
      </c>
      <c r="D19" s="54">
        <v>557</v>
      </c>
    </row>
    <row r="20" spans="1:4" x14ac:dyDescent="0.3">
      <c r="A20" s="25" t="s">
        <v>16</v>
      </c>
      <c r="B20" s="54">
        <v>12263.615208749199</v>
      </c>
      <c r="C20" s="54">
        <v>7278.6104910714203</v>
      </c>
      <c r="D20" s="54">
        <v>854</v>
      </c>
    </row>
    <row r="21" spans="1:4" x14ac:dyDescent="0.3">
      <c r="A21" s="25" t="s">
        <v>17</v>
      </c>
      <c r="B21" s="54">
        <v>20399.243250851599</v>
      </c>
      <c r="C21" s="54">
        <v>9906.12158203125</v>
      </c>
      <c r="D21" s="54">
        <v>846</v>
      </c>
    </row>
    <row r="22" spans="1:4" x14ac:dyDescent="0.3">
      <c r="A22" s="25" t="s">
        <v>18</v>
      </c>
      <c r="B22" s="54">
        <v>14170.351484742399</v>
      </c>
      <c r="C22" s="54">
        <v>7018.87353515625</v>
      </c>
      <c r="D22" s="54">
        <v>852</v>
      </c>
    </row>
    <row r="23" spans="1:4" x14ac:dyDescent="0.3">
      <c r="A23" s="25" t="s">
        <v>19</v>
      </c>
      <c r="B23" s="54">
        <v>16610.152082993001</v>
      </c>
      <c r="C23" s="54">
        <v>6280.2135416666597</v>
      </c>
      <c r="D23" s="54">
        <v>837</v>
      </c>
    </row>
    <row r="24" spans="1:4" x14ac:dyDescent="0.3">
      <c r="A24" s="25" t="s">
        <v>20</v>
      </c>
      <c r="B24" s="54">
        <v>6834.3671234423</v>
      </c>
      <c r="C24" s="54">
        <v>3876.5697021484302</v>
      </c>
      <c r="D24" s="54">
        <v>566</v>
      </c>
    </row>
    <row r="25" spans="1:4" x14ac:dyDescent="0.3">
      <c r="A25" s="22" t="s">
        <v>100</v>
      </c>
      <c r="B25" s="54"/>
      <c r="C25" s="54"/>
      <c r="D25" s="54"/>
    </row>
    <row r="26" spans="1:4" x14ac:dyDescent="0.3">
      <c r="A26" s="25" t="s">
        <v>108</v>
      </c>
      <c r="B26" s="54">
        <v>12994.484736405801</v>
      </c>
      <c r="C26" s="54">
        <v>6240.66015625</v>
      </c>
      <c r="D26" s="54">
        <v>4616</v>
      </c>
    </row>
    <row r="27" spans="1:4" x14ac:dyDescent="0.3">
      <c r="A27" s="25" t="s">
        <v>109</v>
      </c>
      <c r="B27" s="54">
        <v>14971.7962123421</v>
      </c>
      <c r="C27" s="54">
        <v>6935.0665690104097</v>
      </c>
      <c r="D27" s="54">
        <v>5474</v>
      </c>
    </row>
    <row r="28" spans="1:4" x14ac:dyDescent="0.3">
      <c r="A28" s="22" t="s">
        <v>99</v>
      </c>
      <c r="B28" s="54"/>
      <c r="C28" s="54"/>
      <c r="D28" s="54"/>
    </row>
    <row r="29" spans="1:4" x14ac:dyDescent="0.3">
      <c r="A29" s="25" t="s">
        <v>110</v>
      </c>
      <c r="B29" s="54">
        <v>12145.3464764569</v>
      </c>
      <c r="C29" s="54">
        <v>6783.3701171875</v>
      </c>
      <c r="D29" s="54">
        <v>37</v>
      </c>
    </row>
    <row r="30" spans="1:4" x14ac:dyDescent="0.3">
      <c r="A30" s="25" t="s">
        <v>111</v>
      </c>
      <c r="B30" s="54">
        <v>14516.835723701501</v>
      </c>
      <c r="C30" s="54">
        <v>6949.26708984375</v>
      </c>
      <c r="D30" s="54">
        <v>7809</v>
      </c>
    </row>
    <row r="31" spans="1:4" x14ac:dyDescent="0.3">
      <c r="A31" s="25" t="s">
        <v>112</v>
      </c>
      <c r="B31" s="54">
        <v>12534.227283242501</v>
      </c>
      <c r="C31" s="54">
        <v>5614.8920200892799</v>
      </c>
      <c r="D31" s="54">
        <v>2244</v>
      </c>
    </row>
    <row r="32" spans="1:4" x14ac:dyDescent="0.3">
      <c r="A32" s="22" t="s">
        <v>98</v>
      </c>
      <c r="B32" s="54"/>
      <c r="C32" s="54"/>
      <c r="D32" s="54"/>
    </row>
    <row r="33" spans="1:4" x14ac:dyDescent="0.3">
      <c r="A33" s="25" t="s">
        <v>113</v>
      </c>
      <c r="B33" s="54">
        <v>10916.109367209499</v>
      </c>
      <c r="C33" s="54">
        <v>4669.5442708333303</v>
      </c>
      <c r="D33" s="54">
        <v>1905</v>
      </c>
    </row>
    <row r="34" spans="1:4" x14ac:dyDescent="0.3">
      <c r="A34" s="25" t="s">
        <v>114</v>
      </c>
      <c r="B34" s="54">
        <v>7990.4289796555204</v>
      </c>
      <c r="C34" s="54">
        <v>4319.91796875</v>
      </c>
      <c r="D34" s="54">
        <v>55</v>
      </c>
    </row>
    <row r="35" spans="1:4" x14ac:dyDescent="0.3">
      <c r="A35" s="25" t="s">
        <v>115</v>
      </c>
      <c r="B35" s="54">
        <v>11692.0302722917</v>
      </c>
      <c r="C35" s="54">
        <v>5553.794921875</v>
      </c>
      <c r="D35" s="54">
        <v>2725</v>
      </c>
    </row>
    <row r="36" spans="1:4" x14ac:dyDescent="0.3">
      <c r="A36" s="25" t="s">
        <v>116</v>
      </c>
      <c r="B36" s="54">
        <v>14375.740475651901</v>
      </c>
      <c r="C36" s="54">
        <v>7585.5414550781197</v>
      </c>
      <c r="D36" s="54">
        <v>4170</v>
      </c>
    </row>
    <row r="37" spans="1:4" x14ac:dyDescent="0.3">
      <c r="A37" s="25" t="s">
        <v>117</v>
      </c>
      <c r="B37" s="54">
        <v>22347.8570063517</v>
      </c>
      <c r="C37" s="54">
        <v>10915.912109375</v>
      </c>
      <c r="D37" s="54">
        <v>946</v>
      </c>
    </row>
    <row r="38" spans="1:4" x14ac:dyDescent="0.3">
      <c r="A38" s="22" t="s">
        <v>3</v>
      </c>
      <c r="B38" s="54"/>
      <c r="C38" s="54"/>
      <c r="D38" s="54"/>
    </row>
    <row r="39" spans="1:4" x14ac:dyDescent="0.3">
      <c r="A39" s="25" t="s">
        <v>118</v>
      </c>
      <c r="B39" s="54">
        <v>1412.0555752110399</v>
      </c>
      <c r="C39" s="54">
        <v>1345.09558105468</v>
      </c>
      <c r="D39" s="54">
        <v>675</v>
      </c>
    </row>
    <row r="40" spans="1:4" x14ac:dyDescent="0.3">
      <c r="A40" s="25" t="s">
        <v>119</v>
      </c>
      <c r="B40" s="54">
        <v>2594.9535724314401</v>
      </c>
      <c r="C40" s="54">
        <v>2575.0452473958298</v>
      </c>
      <c r="D40" s="54">
        <v>765</v>
      </c>
    </row>
    <row r="41" spans="1:4" x14ac:dyDescent="0.3">
      <c r="A41" s="25" t="s">
        <v>120</v>
      </c>
      <c r="B41" s="54">
        <v>3733.3533381942498</v>
      </c>
      <c r="C41" s="54">
        <v>3774.048828125</v>
      </c>
      <c r="D41" s="54">
        <v>839</v>
      </c>
    </row>
    <row r="42" spans="1:4" x14ac:dyDescent="0.3">
      <c r="A42" s="25" t="s">
        <v>121</v>
      </c>
      <c r="B42" s="54">
        <v>4832.2371944363904</v>
      </c>
      <c r="C42" s="54">
        <v>4919.11376953125</v>
      </c>
      <c r="D42" s="54">
        <v>854</v>
      </c>
    </row>
    <row r="43" spans="1:4" x14ac:dyDescent="0.3">
      <c r="A43" s="25" t="s">
        <v>122</v>
      </c>
      <c r="B43" s="54">
        <v>6139.4596802901497</v>
      </c>
      <c r="C43" s="54">
        <v>6224.3282877604097</v>
      </c>
      <c r="D43" s="54">
        <v>950</v>
      </c>
    </row>
    <row r="44" spans="1:4" x14ac:dyDescent="0.3">
      <c r="A44" s="25" t="s">
        <v>123</v>
      </c>
      <c r="B44" s="54">
        <v>7804.4535875228603</v>
      </c>
      <c r="C44" s="54">
        <v>7544.6286621093705</v>
      </c>
      <c r="D44" s="54">
        <v>1008</v>
      </c>
    </row>
    <row r="45" spans="1:4" x14ac:dyDescent="0.3">
      <c r="A45" s="25" t="s">
        <v>124</v>
      </c>
      <c r="B45" s="54">
        <v>10172.4745731361</v>
      </c>
      <c r="C45" s="54">
        <v>9495.6380208333303</v>
      </c>
      <c r="D45" s="54">
        <v>1101</v>
      </c>
    </row>
    <row r="46" spans="1:4" x14ac:dyDescent="0.3">
      <c r="A46" s="25" t="s">
        <v>125</v>
      </c>
      <c r="B46" s="54">
        <v>13610.527181519499</v>
      </c>
      <c r="C46" s="54">
        <v>12324</v>
      </c>
      <c r="D46" s="54">
        <v>1197</v>
      </c>
    </row>
    <row r="47" spans="1:4" x14ac:dyDescent="0.3">
      <c r="A47" s="25" t="s">
        <v>126</v>
      </c>
      <c r="B47" s="54">
        <v>18271.629094328899</v>
      </c>
      <c r="C47" s="54">
        <v>14946.1669921875</v>
      </c>
      <c r="D47" s="54">
        <v>1283</v>
      </c>
    </row>
    <row r="48" spans="1:4" x14ac:dyDescent="0.3">
      <c r="A48" s="25" t="s">
        <v>127</v>
      </c>
      <c r="B48" s="54">
        <v>47325.311295356099</v>
      </c>
      <c r="C48" s="54">
        <v>20905.9501953125</v>
      </c>
      <c r="D48" s="54">
        <v>1418</v>
      </c>
    </row>
    <row r="49" spans="1:6" x14ac:dyDescent="0.3">
      <c r="A49" s="22" t="s">
        <v>93</v>
      </c>
      <c r="B49" s="54"/>
      <c r="C49" s="54"/>
      <c r="D49" s="54"/>
    </row>
    <row r="50" spans="1:6" x14ac:dyDescent="0.3">
      <c r="A50" s="28" t="s">
        <v>51</v>
      </c>
      <c r="B50" s="54">
        <v>19593.8719893995</v>
      </c>
      <c r="C50" s="54">
        <v>9073.609375</v>
      </c>
      <c r="D50" s="54">
        <v>715</v>
      </c>
    </row>
    <row r="51" spans="1:6" x14ac:dyDescent="0.3">
      <c r="A51" s="28" t="s">
        <v>53</v>
      </c>
      <c r="B51" s="54">
        <v>23908.669238962</v>
      </c>
      <c r="C51" s="54">
        <v>14164.8</v>
      </c>
      <c r="D51" s="54">
        <v>111</v>
      </c>
    </row>
    <row r="52" spans="1:6" x14ac:dyDescent="0.3">
      <c r="A52" s="28" t="s">
        <v>52</v>
      </c>
      <c r="B52" s="54">
        <v>88471.0202501085</v>
      </c>
      <c r="C52" s="54">
        <v>17101.240234375</v>
      </c>
      <c r="D52" s="54">
        <v>33</v>
      </c>
    </row>
    <row r="53" spans="1:6" x14ac:dyDescent="0.3">
      <c r="A53" s="28" t="s">
        <v>45</v>
      </c>
      <c r="B53" s="54">
        <v>8148.8593822306002</v>
      </c>
      <c r="C53" s="54">
        <v>3297.7987726384899</v>
      </c>
      <c r="D53" s="54">
        <v>146</v>
      </c>
    </row>
    <row r="54" spans="1:6" x14ac:dyDescent="0.3">
      <c r="A54" s="28" t="s">
        <v>48</v>
      </c>
      <c r="B54" s="54">
        <v>9952.3987163986494</v>
      </c>
      <c r="C54" s="54">
        <v>4781.7238769531205</v>
      </c>
      <c r="D54" s="54">
        <v>1292</v>
      </c>
    </row>
    <row r="55" spans="1:6" x14ac:dyDescent="0.3">
      <c r="A55" s="28" t="s">
        <v>49</v>
      </c>
      <c r="B55" s="54">
        <v>15168.6894851944</v>
      </c>
      <c r="C55" s="54">
        <v>7968.65478515625</v>
      </c>
      <c r="D55" s="54">
        <v>4610</v>
      </c>
    </row>
    <row r="56" spans="1:6" x14ac:dyDescent="0.3">
      <c r="A56" s="28" t="s">
        <v>128</v>
      </c>
      <c r="B56" s="54">
        <v>25088.273106064298</v>
      </c>
      <c r="C56" s="54">
        <v>9750.388671875</v>
      </c>
      <c r="D56" s="54">
        <v>165</v>
      </c>
    </row>
    <row r="57" spans="1:6" x14ac:dyDescent="0.3">
      <c r="A57" s="28" t="s">
        <v>129</v>
      </c>
      <c r="B57" s="54">
        <v>18630.026756337698</v>
      </c>
      <c r="C57" s="54">
        <v>8243.7493489583303</v>
      </c>
      <c r="D57" s="54">
        <v>108</v>
      </c>
      <c r="F57" s="29"/>
    </row>
    <row r="58" spans="1:6" x14ac:dyDescent="0.3">
      <c r="A58" s="28" t="s">
        <v>54</v>
      </c>
      <c r="B58" s="54">
        <v>21629.0076939174</v>
      </c>
      <c r="C58" s="54">
        <v>10322.001302083299</v>
      </c>
      <c r="D58" s="54">
        <v>35</v>
      </c>
      <c r="F58" s="29"/>
    </row>
    <row r="59" spans="1:6" x14ac:dyDescent="0.3">
      <c r="A59" s="28" t="s">
        <v>130</v>
      </c>
      <c r="B59" s="54">
        <v>14136.2733105957</v>
      </c>
      <c r="C59" s="54">
        <v>5695.3522949218705</v>
      </c>
      <c r="D59" s="54">
        <v>1000</v>
      </c>
      <c r="F59" s="29"/>
    </row>
    <row r="60" spans="1:6" x14ac:dyDescent="0.3">
      <c r="A60" s="28" t="s">
        <v>131</v>
      </c>
      <c r="B60" s="54">
        <v>9682.8817129493491</v>
      </c>
      <c r="C60" s="54">
        <v>4520.00830078125</v>
      </c>
      <c r="D60" s="54">
        <v>1272</v>
      </c>
      <c r="F60" s="29"/>
    </row>
    <row r="61" spans="1:6" x14ac:dyDescent="0.3">
      <c r="A61" s="28" t="s">
        <v>50</v>
      </c>
      <c r="B61" s="54">
        <v>11070.1063012345</v>
      </c>
      <c r="C61" s="54">
        <v>6885.4501953125</v>
      </c>
      <c r="D61" s="54">
        <v>31</v>
      </c>
      <c r="F61" s="29"/>
    </row>
    <row r="62" spans="1:6" x14ac:dyDescent="0.3">
      <c r="A62" s="28" t="s">
        <v>132</v>
      </c>
      <c r="B62" s="55">
        <v>8172.2781101304799</v>
      </c>
      <c r="C62" s="55">
        <v>4142.4499023437502</v>
      </c>
      <c r="D62" s="55">
        <v>572</v>
      </c>
      <c r="F62" s="29"/>
    </row>
    <row r="63" spans="1:6" x14ac:dyDescent="0.3">
      <c r="B63" s="48"/>
      <c r="C63" s="48"/>
      <c r="D63" s="51"/>
    </row>
    <row r="64" spans="1:6" x14ac:dyDescent="0.3">
      <c r="B64" s="47"/>
      <c r="C64" s="47"/>
      <c r="D64" s="44"/>
    </row>
    <row r="65" spans="2:4" x14ac:dyDescent="0.3">
      <c r="B65" s="47"/>
      <c r="C65" s="47"/>
      <c r="D65" s="44"/>
    </row>
    <row r="66" spans="2:4" x14ac:dyDescent="0.3">
      <c r="B66" s="47"/>
      <c r="C66" s="47"/>
      <c r="D66" s="44"/>
    </row>
    <row r="67" spans="2:4" x14ac:dyDescent="0.3">
      <c r="B67" s="47"/>
      <c r="C67" s="47"/>
      <c r="D67" s="44"/>
    </row>
    <row r="68" spans="2:4" x14ac:dyDescent="0.3">
      <c r="B68" s="47"/>
      <c r="C68" s="47"/>
      <c r="D68" s="44"/>
    </row>
    <row r="69" spans="2:4" x14ac:dyDescent="0.3">
      <c r="B69" s="47"/>
      <c r="C69" s="47"/>
      <c r="D69" s="44"/>
    </row>
    <row r="70" spans="2:4" x14ac:dyDescent="0.3">
      <c r="B70" s="47"/>
      <c r="C70" s="47"/>
      <c r="D70" s="44"/>
    </row>
    <row r="71" spans="2:4" x14ac:dyDescent="0.3">
      <c r="B71" s="47"/>
      <c r="C71" s="47"/>
      <c r="D71" s="44"/>
    </row>
    <row r="72" spans="2:4" x14ac:dyDescent="0.3">
      <c r="B72" s="47"/>
      <c r="C72" s="47"/>
      <c r="D72" s="44"/>
    </row>
    <row r="73" spans="2:4" x14ac:dyDescent="0.3">
      <c r="B73" s="47"/>
      <c r="C73" s="47"/>
      <c r="D73" s="44"/>
    </row>
    <row r="74" spans="2:4" x14ac:dyDescent="0.3">
      <c r="B74" s="47"/>
      <c r="C74" s="47"/>
      <c r="D74" s="44"/>
    </row>
    <row r="75" spans="2:4" x14ac:dyDescent="0.3">
      <c r="B75" s="47"/>
      <c r="C75" s="47"/>
      <c r="D75" s="44"/>
    </row>
    <row r="76" spans="2:4" x14ac:dyDescent="0.3">
      <c r="B76" s="47"/>
      <c r="C76" s="47"/>
      <c r="D76" s="44"/>
    </row>
    <row r="77" spans="2:4" x14ac:dyDescent="0.3">
      <c r="B77" s="47"/>
      <c r="C77" s="47"/>
      <c r="D77" s="44"/>
    </row>
    <row r="78" spans="2:4" x14ac:dyDescent="0.3">
      <c r="B78" s="47"/>
      <c r="C78" s="47"/>
      <c r="D78" s="44"/>
    </row>
    <row r="79" spans="2:4" x14ac:dyDescent="0.3">
      <c r="B79" s="47"/>
      <c r="C79" s="47"/>
      <c r="D79" s="44"/>
    </row>
    <row r="80" spans="2:4" x14ac:dyDescent="0.3">
      <c r="B80" s="47"/>
      <c r="C80" s="47"/>
      <c r="D80" s="44"/>
    </row>
    <row r="81" spans="2:4" x14ac:dyDescent="0.3">
      <c r="B81" s="47"/>
      <c r="C81" s="47"/>
      <c r="D81" s="44"/>
    </row>
    <row r="82" spans="2:4" x14ac:dyDescent="0.3">
      <c r="B82" s="47"/>
      <c r="C82" s="47"/>
      <c r="D82" s="44"/>
    </row>
    <row r="83" spans="2:4" x14ac:dyDescent="0.3">
      <c r="B83" s="47"/>
      <c r="C83" s="47"/>
      <c r="D83" s="44"/>
    </row>
    <row r="84" spans="2:4" x14ac:dyDescent="0.3">
      <c r="B84" s="47"/>
      <c r="C84" s="47"/>
      <c r="D84" s="44"/>
    </row>
    <row r="85" spans="2:4" x14ac:dyDescent="0.3">
      <c r="B85" s="47"/>
      <c r="C85" s="47"/>
      <c r="D85" s="44"/>
    </row>
    <row r="86" spans="2:4" x14ac:dyDescent="0.3">
      <c r="B86" s="47"/>
      <c r="C86" s="47"/>
      <c r="D86" s="44"/>
    </row>
    <row r="87" spans="2:4" x14ac:dyDescent="0.3">
      <c r="B87" s="47"/>
      <c r="C87" s="47"/>
      <c r="D87" s="47"/>
    </row>
    <row r="88" spans="2:4" x14ac:dyDescent="0.3">
      <c r="B88" s="47"/>
      <c r="C88" s="47"/>
      <c r="D88" s="47"/>
    </row>
    <row r="89" spans="2:4" x14ac:dyDescent="0.3">
      <c r="B89" s="47"/>
      <c r="C89" s="47"/>
      <c r="D89" s="47"/>
    </row>
    <row r="90" spans="2:4" x14ac:dyDescent="0.3">
      <c r="B90" s="47"/>
      <c r="C90" s="47"/>
      <c r="D90" s="47"/>
    </row>
    <row r="91" spans="2:4" x14ac:dyDescent="0.3">
      <c r="B91" s="47"/>
      <c r="C91" s="47"/>
      <c r="D91" s="47"/>
    </row>
    <row r="92" spans="2:4" x14ac:dyDescent="0.3">
      <c r="B92" s="47"/>
      <c r="C92" s="47"/>
      <c r="D92" s="47"/>
    </row>
    <row r="93" spans="2:4" x14ac:dyDescent="0.3">
      <c r="B93" s="47"/>
      <c r="C93" s="47"/>
      <c r="D93" s="47"/>
    </row>
    <row r="94" spans="2:4" x14ac:dyDescent="0.3">
      <c r="B94" s="47"/>
      <c r="C94" s="47"/>
      <c r="D94" s="47"/>
    </row>
    <row r="95" spans="2:4" x14ac:dyDescent="0.3">
      <c r="B95" s="47"/>
      <c r="C95" s="47"/>
      <c r="D95" s="47"/>
    </row>
    <row r="96" spans="2:4" x14ac:dyDescent="0.3">
      <c r="B96" s="47"/>
      <c r="C96" s="47"/>
      <c r="D96" s="47"/>
    </row>
    <row r="97" spans="2:4" x14ac:dyDescent="0.3">
      <c r="B97" s="47"/>
      <c r="C97" s="47"/>
      <c r="D97" s="47"/>
    </row>
    <row r="98" spans="2:4" x14ac:dyDescent="0.3">
      <c r="B98" s="47"/>
      <c r="C98" s="47"/>
      <c r="D98" s="47"/>
    </row>
    <row r="99" spans="2:4" x14ac:dyDescent="0.3">
      <c r="B99" s="47"/>
      <c r="C99" s="47"/>
      <c r="D99" s="44"/>
    </row>
    <row r="100" spans="2:4" x14ac:dyDescent="0.3">
      <c r="B100" s="47"/>
      <c r="C100" s="47"/>
    </row>
    <row r="101" spans="2:4" x14ac:dyDescent="0.3">
      <c r="B101" s="47"/>
      <c r="C101" s="47"/>
    </row>
    <row r="102" spans="2:4" x14ac:dyDescent="0.3">
      <c r="B102" s="47"/>
      <c r="C102" s="47"/>
    </row>
    <row r="103" spans="2:4" x14ac:dyDescent="0.3">
      <c r="B103" s="47"/>
      <c r="C103" s="47"/>
    </row>
    <row r="104" spans="2:4" x14ac:dyDescent="0.3">
      <c r="B104" s="47"/>
      <c r="C104" s="47"/>
    </row>
    <row r="105" spans="2:4" x14ac:dyDescent="0.3">
      <c r="B105" s="44"/>
      <c r="C105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Karen_summary</vt:lpstr>
      <vt:lpstr>Wheat flour_bread_consumption</vt:lpstr>
      <vt:lpstr>Other_cereal_consumption</vt:lpstr>
      <vt:lpstr>Rice_consumption</vt:lpstr>
      <vt:lpstr>Oils_fats_consumption</vt:lpstr>
      <vt:lpstr>Maize_production</vt:lpstr>
      <vt:lpstr>Mahangu_production</vt:lpstr>
      <vt:lpstr>Sorghum_production</vt:lpstr>
      <vt:lpstr>Wheat_production</vt:lpstr>
      <vt:lpstr>Butter_oil_fat_production</vt:lpstr>
      <vt:lpstr>Food_consumption_per_capita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Aaron Wise</cp:lastModifiedBy>
  <dcterms:created xsi:type="dcterms:W3CDTF">2020-04-02T15:07:51Z</dcterms:created>
  <dcterms:modified xsi:type="dcterms:W3CDTF">2020-05-10T17:09:57Z</dcterms:modified>
</cp:coreProperties>
</file>